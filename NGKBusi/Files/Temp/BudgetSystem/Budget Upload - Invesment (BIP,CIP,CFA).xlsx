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\Downloads\"/>
    </mc:Choice>
  </mc:AlternateContent>
  <xr:revisionPtr revIDLastSave="0" documentId="13_ncr:1_{2AD96D1B-36C1-4C1C-BF61-7F5481D2E7A9}" xr6:coauthVersionLast="47" xr6:coauthVersionMax="47" xr10:uidLastSave="{00000000-0000-0000-0000-000000000000}"/>
  <bookViews>
    <workbookView xWindow="-23148" yWindow="-1116" windowWidth="23256" windowHeight="12456" activeTab="6" xr2:uid="{DBC91B5C-E501-473C-9992-DED489074C07}"/>
  </bookViews>
  <sheets>
    <sheet name="Data" sheetId="3" r:id="rId1"/>
    <sheet name="Master" sheetId="2" state="hidden" r:id="rId2"/>
    <sheet name="Master_Section" sheetId="6" state="hidden" r:id="rId3"/>
    <sheet name="COA" sheetId="1" state="hidden" r:id="rId4"/>
    <sheet name="Password" sheetId="7" state="hidden" r:id="rId5"/>
    <sheet name="Priority" sheetId="8" r:id="rId6"/>
    <sheet name="V2" sheetId="9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_j102" localSheetId="3">#REF!</definedName>
    <definedName name="__j102" localSheetId="5">#REF!</definedName>
    <definedName name="__j102">#REF!</definedName>
    <definedName name="_1">#N/A</definedName>
    <definedName name="_Fill" localSheetId="3" hidden="1">#REF!</definedName>
    <definedName name="_Fill" localSheetId="1" hidden="1">#REF!</definedName>
    <definedName name="_Fill" hidden="1">#REF!</definedName>
    <definedName name="_xlnm._FilterDatabase" localSheetId="3" hidden="1">[1]金具工程見出し!$A$9:$K$9</definedName>
    <definedName name="_xlnm._FilterDatabase" localSheetId="0" hidden="1">Data!$H$1:$O$1</definedName>
    <definedName name="_xlnm._FilterDatabase" localSheetId="1" hidden="1">Master!$A$1:$A$43</definedName>
    <definedName name="_xlnm._FilterDatabase" localSheetId="5" hidden="1">[1]金具工程見出し!$A$9:$K$9</definedName>
    <definedName name="_xlnm._FilterDatabase" hidden="1">[2]金具工程見出し!$A$9:$K$9</definedName>
    <definedName name="_j102" localSheetId="3">#REF!</definedName>
    <definedName name="_j102" localSheetId="0">#REF!</definedName>
    <definedName name="_j102" localSheetId="1">#REF!</definedName>
    <definedName name="_j102" localSheetId="5">#REF!</definedName>
    <definedName name="_j102">#REF!</definedName>
    <definedName name="_Key1" localSheetId="3" hidden="1">#REF!</definedName>
    <definedName name="_Key1" localSheetId="0" hidden="1">#REF!</definedName>
    <definedName name="_Key1" hidden="1">#REF!</definedName>
    <definedName name="_Order1" hidden="1">255</definedName>
    <definedName name="_Sort" localSheetId="3" hidden="1">#REF!</definedName>
    <definedName name="_Sort" localSheetId="0" hidden="1">#REF!</definedName>
    <definedName name="_Sort" localSheetId="1" hidden="1">#REF!</definedName>
    <definedName name="_Sort" localSheetId="5" hidden="1">#REF!</definedName>
    <definedName name="_Sort" hidden="1">#REF!</definedName>
    <definedName name="aa" localSheetId="3">#REF!</definedName>
    <definedName name="aa" localSheetId="0">#REF!</definedName>
    <definedName name="aa">#REF!</definedName>
    <definedName name="AB" localSheetId="3">#REF!</definedName>
    <definedName name="AB" localSheetId="0">#REF!</definedName>
    <definedName name="AB">#REF!</definedName>
    <definedName name="ai" localSheetId="3">#REF!</definedName>
    <definedName name="ai" localSheetId="0">#REF!</definedName>
    <definedName name="ai">#REF!</definedName>
    <definedName name="as" localSheetId="3">#REF!</definedName>
    <definedName name="as" localSheetId="0">#REF!</definedName>
    <definedName name="as">#REF!</definedName>
    <definedName name="assit" localSheetId="3">#REF!</definedName>
    <definedName name="assit" localSheetId="0">#REF!</definedName>
    <definedName name="assit">#REF!</definedName>
    <definedName name="b" localSheetId="3">#REF!</definedName>
    <definedName name="b" localSheetId="0">#REF!</definedName>
    <definedName name="b">#REF!</definedName>
    <definedName name="BC" localSheetId="3">#REF!</definedName>
    <definedName name="BC" localSheetId="0">#REF!</definedName>
    <definedName name="BC">#REF!</definedName>
    <definedName name="BI" localSheetId="3">#REF!</definedName>
    <definedName name="BI" localSheetId="0">#REF!</definedName>
    <definedName name="BI">#REF!</definedName>
    <definedName name="BO" localSheetId="3">#REF!</definedName>
    <definedName name="BO" localSheetId="0">#REF!</definedName>
    <definedName name="BO">#REF!</definedName>
    <definedName name="cc" localSheetId="3">#REF!</definedName>
    <definedName name="cc" localSheetId="0">#REF!</definedName>
    <definedName name="cc">#REF!</definedName>
    <definedName name="ccc" localSheetId="3" hidden="1">#REF!</definedName>
    <definedName name="ccc" localSheetId="0" hidden="1">#REF!</definedName>
    <definedName name="ccc" hidden="1">#REF!</definedName>
    <definedName name="CH" localSheetId="3">#REF!</definedName>
    <definedName name="CH" localSheetId="0">#REF!</definedName>
    <definedName name="CH">#REF!</definedName>
    <definedName name="CI" localSheetId="3">#REF!</definedName>
    <definedName name="CI" localSheetId="0">#REF!</definedName>
    <definedName name="CI">#REF!</definedName>
    <definedName name="Ck_for" localSheetId="3">#REF!</definedName>
    <definedName name="Ck_for" localSheetId="0">#REF!</definedName>
    <definedName name="Ck_for">#REF!</definedName>
    <definedName name="Ck_in" localSheetId="3">#REF!</definedName>
    <definedName name="Ck_in" localSheetId="0">#REF!</definedName>
    <definedName name="Ck_in">#REF!</definedName>
    <definedName name="Ck_out" localSheetId="3">#REF!</definedName>
    <definedName name="Ck_out" localSheetId="0">#REF!</definedName>
    <definedName name="Ck_out">#REF!</definedName>
    <definedName name="d" localSheetId="3">#REF!</definedName>
    <definedName name="d" localSheetId="0">#REF!</definedName>
    <definedName name="d">#REF!</definedName>
    <definedName name="_xlnm.Database" localSheetId="3">#REF!</definedName>
    <definedName name="_xlnm.Database" localSheetId="0">#REF!</definedName>
    <definedName name="_xlnm.Database">#REF!</definedName>
    <definedName name="dd" localSheetId="3">#REF!</definedName>
    <definedName name="dd" localSheetId="0">#REF!</definedName>
    <definedName name="dd">#REF!</definedName>
    <definedName name="ddd" localSheetId="3" hidden="1">#REF!</definedName>
    <definedName name="ddd" localSheetId="0" hidden="1">#REF!</definedName>
    <definedName name="ddd" hidden="1">#REF!</definedName>
    <definedName name="DF" localSheetId="3">#REF!</definedName>
    <definedName name="DF" localSheetId="0">#REF!</definedName>
    <definedName name="DF">#REF!</definedName>
    <definedName name="e" localSheetId="3">#REF!</definedName>
    <definedName name="e" localSheetId="0">#REF!</definedName>
    <definedName name="e">#REF!</definedName>
    <definedName name="edy">#REF!</definedName>
    <definedName name="ee" localSheetId="3">#REF!</definedName>
    <definedName name="ee" localSheetId="0">#REF!</definedName>
    <definedName name="ee">#REF!</definedName>
    <definedName name="eXCRATE" localSheetId="3">#REF!</definedName>
    <definedName name="eXCRATE" localSheetId="0">#REF!</definedName>
    <definedName name="eXCRATE">#REF!</definedName>
    <definedName name="exrate" localSheetId="3">#REF!</definedName>
    <definedName name="exrate" localSheetId="0">#REF!</definedName>
    <definedName name="exrate">#REF!</definedName>
    <definedName name="F" localSheetId="3">#REF!</definedName>
    <definedName name="F" localSheetId="0">#REF!</definedName>
    <definedName name="F">#REF!</definedName>
    <definedName name="fcb" localSheetId="3">#REF!</definedName>
    <definedName name="fcb" localSheetId="0">#REF!</definedName>
    <definedName name="fcb">#REF!</definedName>
    <definedName name="FG" localSheetId="3">#REF!</definedName>
    <definedName name="FG" localSheetId="0">#REF!</definedName>
    <definedName name="FG">#REF!</definedName>
    <definedName name="g" localSheetId="3">#REF!</definedName>
    <definedName name="g" localSheetId="0">#REF!</definedName>
    <definedName name="g">#REF!</definedName>
    <definedName name="gg" localSheetId="3">#REF!</definedName>
    <definedName name="gg" localSheetId="0">#REF!</definedName>
    <definedName name="gg">#REF!</definedName>
    <definedName name="HF" localSheetId="3">#REF!</definedName>
    <definedName name="HF" localSheetId="0">#REF!</definedName>
    <definedName name="HF">#REF!</definedName>
    <definedName name="HTML_CodePage" hidden="1">1252</definedName>
    <definedName name="HTML_Control" localSheetId="3" hidden="1">{"'Stock November   ' 99'!$A$1:$AF$46"}</definedName>
    <definedName name="HTML_Control" localSheetId="0" hidden="1">{"'Stock November   ' 99'!$A$1:$AF$46"}</definedName>
    <definedName name="HTML_Control" localSheetId="1" hidden="1">{"'Stock November   ' 99'!$A$1:$AF$46"}</definedName>
    <definedName name="HTML_Control" localSheetId="5" hidden="1">{"'Stock November   ' 99'!$A$1:$AF$46"}</definedName>
    <definedName name="HTML_Control" hidden="1">{"'Stock November   ' 99'!$A$1:$AF$46"}</definedName>
    <definedName name="HTML_Description" hidden="1">""</definedName>
    <definedName name="HTML_Email" hidden="1">""</definedName>
    <definedName name="HTML_Header" hidden="1">"Stock November   ' 99"</definedName>
    <definedName name="HTML_LastUpdate" hidden="1">"11/18/99"</definedName>
    <definedName name="HTML_LineAfter" hidden="1">FALSE</definedName>
    <definedName name="HTML_LineBefore" hidden="1">FALSE</definedName>
    <definedName name="HTML_Name" hidden="1">"Production Control"</definedName>
    <definedName name="HTML_OBDlg2" hidden="1">TRUE</definedName>
    <definedName name="HTML_OBDlg4" hidden="1">TRUE</definedName>
    <definedName name="HTML_OS" hidden="1">0</definedName>
    <definedName name="HTML_PathFile" hidden="1">"\\Se 01\data se01\stock_nov99.htm"</definedName>
    <definedName name="HTML_Title" hidden="1">"Stock_November"</definedName>
    <definedName name="kissa" localSheetId="3">#REF!</definedName>
    <definedName name="kissa" localSheetId="0">#REF!</definedName>
    <definedName name="kissa" localSheetId="1">#REF!</definedName>
    <definedName name="kissa" localSheetId="5">#REF!</definedName>
    <definedName name="kissa">#REF!</definedName>
    <definedName name="kissakei" localSheetId="3">#REF!</definedName>
    <definedName name="kissakei" localSheetId="0">#REF!</definedName>
    <definedName name="kissakei">#REF!</definedName>
    <definedName name="kk" localSheetId="3">#REF!</definedName>
    <definedName name="kk" localSheetId="0">#REF!</definedName>
    <definedName name="kk">#REF!</definedName>
    <definedName name="kkk" localSheetId="3">#REF!</definedName>
    <definedName name="kkk" localSheetId="0">#REF!</definedName>
    <definedName name="kkk">#REF!</definedName>
    <definedName name="kkkk" localSheetId="3">#REF!</definedName>
    <definedName name="kkkk" localSheetId="0">#REF!</definedName>
    <definedName name="kkkk">#REF!</definedName>
    <definedName name="l" localSheetId="3">#REF!</definedName>
    <definedName name="l" localSheetId="0">#REF!</definedName>
    <definedName name="l">#REF!</definedName>
    <definedName name="L_01" localSheetId="3">#REF!</definedName>
    <definedName name="L_01" localSheetId="0">#REF!</definedName>
    <definedName name="L_01">#REF!</definedName>
    <definedName name="LIA" localSheetId="3">#REF!</definedName>
    <definedName name="LIA" localSheetId="0">#REF!</definedName>
    <definedName name="LIA">#REF!</definedName>
    <definedName name="LILI" localSheetId="3">#REF!</definedName>
    <definedName name="LILI" localSheetId="0">#REF!</definedName>
    <definedName name="LILI">#REF!</definedName>
    <definedName name="LINA" localSheetId="3">#REF!</definedName>
    <definedName name="LINA" localSheetId="0">#REF!</definedName>
    <definedName name="LINA">#REF!</definedName>
    <definedName name="m" localSheetId="3">#REF!</definedName>
    <definedName name="m" localSheetId="0">#REF!</definedName>
    <definedName name="m">#REF!</definedName>
    <definedName name="Manufacturing" localSheetId="3">#REF!</definedName>
    <definedName name="Manufacturing" localSheetId="0">#REF!</definedName>
    <definedName name="Manufacturing">#REF!</definedName>
    <definedName name="MR" localSheetId="3">#REF!</definedName>
    <definedName name="MR" localSheetId="0">#REF!</definedName>
    <definedName name="MR">#REF!</definedName>
    <definedName name="nittk" localSheetId="3">#REF!</definedName>
    <definedName name="nittk" localSheetId="0">#REF!</definedName>
    <definedName name="nittk">#REF!</definedName>
    <definedName name="nittk_ok" localSheetId="3">#REF!</definedName>
    <definedName name="nittk_ok" localSheetId="0">#REF!</definedName>
    <definedName name="nittk_ok">#REF!</definedName>
    <definedName name="nittoukei" localSheetId="3">#REF!</definedName>
    <definedName name="nittoukei" localSheetId="0">#REF!</definedName>
    <definedName name="nittoukei">#REF!</definedName>
    <definedName name="Plan" hidden="1">[2]金具工程見出し!$A$9:$K$9</definedName>
    <definedName name="_xlnm.Print_Area" localSheetId="3">#REF!</definedName>
    <definedName name="_xlnm.Print_Area" localSheetId="1">#REF!</definedName>
    <definedName name="_xlnm.Print_Area">[2]金具工程見出し!$B$1:$K$65536</definedName>
    <definedName name="PRINT_AREA_MI" localSheetId="3">#REF!</definedName>
    <definedName name="Print_Area_MI" localSheetId="0">#REF!</definedName>
    <definedName name="PRINT_AREA_MI" localSheetId="1">#REF!</definedName>
    <definedName name="PRINT_AREA_MI" localSheetId="5">#REF!</definedName>
    <definedName name="Print_Area_MI">#REF!</definedName>
    <definedName name="_xlnm.Print_Titles" localSheetId="3">#REF!</definedName>
    <definedName name="_xlnm.Print_Titles" localSheetId="1">#REF!</definedName>
    <definedName name="_xlnm.Print_Titles">#N/A</definedName>
    <definedName name="PRINT_TITLES_MI" localSheetId="3">#REF!</definedName>
    <definedName name="PRINT_TITLES_MI" localSheetId="1">#REF!</definedName>
    <definedName name="PRINT_TITLES_MI" localSheetId="5">#REF!</definedName>
    <definedName name="PRINT_TITLES_MI">#REF!</definedName>
    <definedName name="ry" localSheetId="3">#REF!</definedName>
    <definedName name="ry" localSheetId="0">#REF!</definedName>
    <definedName name="ry">#REF!</definedName>
    <definedName name="ryohikei" localSheetId="3">#REF!</definedName>
    <definedName name="ryohikei" localSheetId="0">#REF!</definedName>
    <definedName name="ryohikei">#REF!</definedName>
    <definedName name="S" localSheetId="3">#REF!</definedName>
    <definedName name="S" localSheetId="0">#REF!</definedName>
    <definedName name="S">#REF!</definedName>
    <definedName name="sais" localSheetId="3">#REF!</definedName>
    <definedName name="sais" localSheetId="0">#REF!</definedName>
    <definedName name="sais">#REF!</definedName>
    <definedName name="saisyuu" localSheetId="3">#REF!</definedName>
    <definedName name="saisyuu" localSheetId="0">#REF!</definedName>
    <definedName name="saisyuu">#REF!</definedName>
    <definedName name="se" localSheetId="3">#REF!</definedName>
    <definedName name="se" localSheetId="0">#REF!</definedName>
    <definedName name="se">#REF!</definedName>
    <definedName name="sett" localSheetId="3">#REF!</definedName>
    <definedName name="sett" localSheetId="0">#REF!</definedName>
    <definedName name="sett">#REF!</definedName>
    <definedName name="setta" localSheetId="3">#REF!</definedName>
    <definedName name="setta" localSheetId="0">#REF!</definedName>
    <definedName name="setta">#REF!</definedName>
    <definedName name="settaihikei" localSheetId="3">#REF!</definedName>
    <definedName name="settaihikei" localSheetId="0">#REF!</definedName>
    <definedName name="settaihikei">#REF!</definedName>
    <definedName name="settaikousai" localSheetId="3">#REF!</definedName>
    <definedName name="settaikousai" localSheetId="0">#REF!</definedName>
    <definedName name="settaikousai">#REF!</definedName>
    <definedName name="SEX" localSheetId="3">#REF!</definedName>
    <definedName name="SEX" localSheetId="0">#REF!</definedName>
    <definedName name="SEX">#REF!</definedName>
    <definedName name="shu" localSheetId="3">#REF!</definedName>
    <definedName name="shu" localSheetId="0">#REF!</definedName>
    <definedName name="shu">#REF!</definedName>
    <definedName name="shukuhakukei" localSheetId="3">#REF!</definedName>
    <definedName name="shukuhakukei" localSheetId="0">#REF!</definedName>
    <definedName name="shukuhakukei">#REF!</definedName>
    <definedName name="so" localSheetId="3">#REF!</definedName>
    <definedName name="so" localSheetId="0">#REF!</definedName>
    <definedName name="so">#REF!</definedName>
    <definedName name="son" localSheetId="3">#REF!</definedName>
    <definedName name="son" localSheetId="0">#REF!</definedName>
    <definedName name="son">#REF!</definedName>
    <definedName name="sonot" localSheetId="3">#REF!</definedName>
    <definedName name="sonot" localSheetId="0">#REF!</definedName>
    <definedName name="sonot">#REF!</definedName>
    <definedName name="sonotakei" localSheetId="3">#REF!</definedName>
    <definedName name="sonotakei" localSheetId="0">#REF!</definedName>
    <definedName name="sonotakei">#REF!</definedName>
    <definedName name="ST" localSheetId="3">#REF!</definedName>
    <definedName name="ST" localSheetId="0">#REF!</definedName>
    <definedName name="ST">#REF!</definedName>
    <definedName name="stt" localSheetId="3">#REF!</definedName>
    <definedName name="stt" localSheetId="0">#REF!</definedName>
    <definedName name="stt">#REF!</definedName>
    <definedName name="SX" localSheetId="3">#REF!</definedName>
    <definedName name="SX" localSheetId="0">#REF!</definedName>
    <definedName name="SX">#REF!</definedName>
    <definedName name="sxx" localSheetId="3">#REF!</definedName>
    <definedName name="sxx" localSheetId="0">#REF!</definedName>
    <definedName name="sxx">#REF!</definedName>
    <definedName name="test">[3]出力②!$G$7:$I$19</definedName>
    <definedName name="test2">[3]グラフ用!$E$3:$F$14</definedName>
    <definedName name="test3">[3]グラフ用!$H$5:$J$13</definedName>
    <definedName name="test4">[3]グラフ用!$I$4:$J$13</definedName>
    <definedName name="Tgl" localSheetId="3">#REF!</definedName>
    <definedName name="Tgl" localSheetId="0">#REF!</definedName>
    <definedName name="Tgl" localSheetId="1">#REF!</definedName>
    <definedName name="Tgl" localSheetId="5">#REF!</definedName>
    <definedName name="Tgl">#REF!</definedName>
    <definedName name="tgll" localSheetId="3">#REF!</definedName>
    <definedName name="tgll" localSheetId="0">#REF!</definedName>
    <definedName name="tgll">#REF!</definedName>
    <definedName name="tr" localSheetId="3">#REF!</definedName>
    <definedName name="tr" localSheetId="0">#REF!</definedName>
    <definedName name="tr">#REF!</definedName>
    <definedName name="train" localSheetId="3">#REF!</definedName>
    <definedName name="train" localSheetId="0">#REF!</definedName>
    <definedName name="train">#REF!</definedName>
    <definedName name="TRIAL" localSheetId="3">#REF!</definedName>
    <definedName name="TRIAL" localSheetId="0">#REF!</definedName>
    <definedName name="TRIAL">#REF!</definedName>
    <definedName name="tttttttttttt" localSheetId="3">#REF!</definedName>
    <definedName name="tttttttttttt" localSheetId="0">#REF!</definedName>
    <definedName name="tttttttttttt">#REF!</definedName>
    <definedName name="tu" localSheetId="3">#REF!</definedName>
    <definedName name="tu" localSheetId="0">#REF!</definedName>
    <definedName name="tu">#REF!</definedName>
    <definedName name="tuusinhikei" localSheetId="3">#REF!</definedName>
    <definedName name="tuusinhikei" localSheetId="0">#REF!</definedName>
    <definedName name="tuusinhikei">#REF!</definedName>
    <definedName name="u" localSheetId="3">#REF!</definedName>
    <definedName name="u" localSheetId="0">#REF!</definedName>
    <definedName name="u">#REF!</definedName>
    <definedName name="uj" localSheetId="3" hidden="1">{"'Stock November   ' 99'!$A$1:$AF$46"}</definedName>
    <definedName name="uj" localSheetId="0" hidden="1">{"'Stock November   ' 99'!$A$1:$AF$46"}</definedName>
    <definedName name="uj" localSheetId="1" hidden="1">{"'Stock November   ' 99'!$A$1:$AF$46"}</definedName>
    <definedName name="uj" localSheetId="5" hidden="1">{"'Stock November   ' 99'!$A$1:$AF$46"}</definedName>
    <definedName name="uj" hidden="1">{"'Stock November   ' 99'!$A$1:$AF$46"}</definedName>
    <definedName name="uji" localSheetId="3" hidden="1">{"'Stock November   ' 99'!$A$1:$AF$46"}</definedName>
    <definedName name="uji" localSheetId="0" hidden="1">{"'Stock November   ' 99'!$A$1:$AF$46"}</definedName>
    <definedName name="uji" localSheetId="1" hidden="1">{"'Stock November   ' 99'!$A$1:$AF$46"}</definedName>
    <definedName name="uji" localSheetId="5" hidden="1">{"'Stock November   ' 99'!$A$1:$AF$46"}</definedName>
    <definedName name="uji" hidden="1">{"'Stock November   ' 99'!$A$1:$AF$46"}</definedName>
    <definedName name="UT" localSheetId="3">#REF!</definedName>
    <definedName name="UT" localSheetId="0">#REF!</definedName>
    <definedName name="UT">#REF!</definedName>
    <definedName name="uu" localSheetId="3">#REF!</definedName>
    <definedName name="uu" localSheetId="0">#REF!</definedName>
    <definedName name="uu">#REF!</definedName>
    <definedName name="ww" localSheetId="3">#REF!</definedName>
    <definedName name="ww" localSheetId="0">#REF!</definedName>
    <definedName name="ww">#REF!</definedName>
    <definedName name="ﾃﾞｰﾀセ直販">'[4]ｺﾋﾟｰ用（直セ）'!$E$12</definedName>
    <definedName name="ﾃﾞｰﾀプラント">'[4]ｺﾋﾟｰ用（海プ）'!$E$1:$Y$97</definedName>
    <definedName name="ﾃﾞｰﾀ海プ">'[4]ｺﾋﾟｰ用（海プ）'!$D$7</definedName>
    <definedName name="ﾃﾞｰﾀ海市" localSheetId="3">#REF!</definedName>
    <definedName name="ﾃﾞｰﾀ海市" localSheetId="0">#REF!</definedName>
    <definedName name="ﾃﾞｰﾀ海市" localSheetId="1">#REF!</definedName>
    <definedName name="ﾃﾞｰﾀ海市" localSheetId="5">#REF!</definedName>
    <definedName name="ﾃﾞｰﾀ海市">#REF!</definedName>
    <definedName name="ﾃﾞｰﾀ直販ｾﾝｻｰ">'[4]ｺﾋﾟｰ用（直セ）'!$E$1:$Y$34</definedName>
    <definedName name="プラントｺｰﾄﾞ">'[4]ｺﾋﾟｰ用（海プ）'!$F$1:$Z$209</definedName>
    <definedName name="リスト">[5]リスト!$C$1:$C$150</definedName>
    <definedName name="ルピア" localSheetId="3">#REF!</definedName>
    <definedName name="ルピア" localSheetId="0">#REF!</definedName>
    <definedName name="ルピア" localSheetId="1">#REF!</definedName>
    <definedName name="ルピア" localSheetId="5">#REF!</definedName>
    <definedName name="ルピア">#REF!</definedName>
    <definedName name="予算ﾚｰﾄ" localSheetId="3">#REF!</definedName>
    <definedName name="予算ﾚｰﾄ" localSheetId="0">#REF!</definedName>
    <definedName name="予算ﾚｰﾄ">#REF!</definedName>
    <definedName name="今" localSheetId="3">#REF!</definedName>
    <definedName name="今" localSheetId="0">#REF!</definedName>
    <definedName name="今">#REF!</definedName>
    <definedName name="仲介" localSheetId="3">#REF!</definedName>
    <definedName name="仲介" localSheetId="0">#REF!</definedName>
    <definedName name="仲介">#REF!</definedName>
    <definedName name="元" localSheetId="3">#REF!</definedName>
    <definedName name="元" localSheetId="0">#REF!</definedName>
    <definedName name="元">#REF!</definedName>
    <definedName name="円" localSheetId="3">#REF!</definedName>
    <definedName name="円" localSheetId="0">#REF!</definedName>
    <definedName name="円">#REF!</definedName>
    <definedName name="円vsドル_レート" localSheetId="3">#REF!</definedName>
    <definedName name="円vsドル_レート" localSheetId="0">#REF!</definedName>
    <definedName name="円vsドル_レート">#REF!</definedName>
    <definedName name="出発" localSheetId="3">[6]支援計画・０４!$G$4:$G$171</definedName>
    <definedName name="出発" localSheetId="1">[6]支援計画・０４!$G$4:$G$171</definedName>
    <definedName name="出発" localSheetId="5">[6]支援計画・０４!$G$4:$G$171</definedName>
    <definedName name="出発">[7]支援計画・０４!$G$4:$G$171</definedName>
    <definedName name="到着" localSheetId="3">[6]支援計画・０４!$F$4:$F$171</definedName>
    <definedName name="到着" localSheetId="1">[6]支援計画・０４!$F$4:$F$171</definedName>
    <definedName name="到着" localSheetId="5">[6]支援計画・０４!$F$4:$F$171</definedName>
    <definedName name="到着">[7]支援計画・０４!$F$4:$F$171</definedName>
    <definedName name="印刷領域" localSheetId="3">#REF!</definedName>
    <definedName name="印刷領域" localSheetId="0">#REF!</definedName>
    <definedName name="印刷領域" localSheetId="1">#REF!</definedName>
    <definedName name="印刷領域" localSheetId="5">#REF!</definedName>
    <definedName name="印刷領域">#REF!</definedName>
    <definedName name="品種別ｺｰﾄﾞ">'[4]ｺﾋﾟｰ用（全社）'!$F$1:$Z$245</definedName>
    <definedName name="品種別出荷ﾃﾞｰﾀ">'[4]ｺﾋﾟｰ用（全社）'!$E$1:$X$65536</definedName>
    <definedName name="品種別出荷ﾃﾞｰﾀ全社">'[4]ｺﾋﾟｰ用（全社）'!$E$1:$X$65536</definedName>
    <definedName name="品種別実績" localSheetId="3">#REF!</definedName>
    <definedName name="品種別実績" localSheetId="0">#REF!</definedName>
    <definedName name="品種別実績" localSheetId="1">#REF!</definedName>
    <definedName name="品種別実績" localSheetId="5">#REF!</definedName>
    <definedName name="品種別実績">#REF!</definedName>
    <definedName name="商品群" localSheetId="3">[8]テーブル!$B$2:$B$7</definedName>
    <definedName name="商品群" localSheetId="1">[8]テーブル!$B$2:$B$7</definedName>
    <definedName name="商品群" localSheetId="5">[8]テーブル!$B$2:$B$7</definedName>
    <definedName name="商品群">[9]テーブル!$B$2:$B$7</definedName>
    <definedName name="実績レート" localSheetId="3">#REF!</definedName>
    <definedName name="実績レート" localSheetId="0">#REF!</definedName>
    <definedName name="実績レート" localSheetId="1">#REF!</definedName>
    <definedName name="実績レート" localSheetId="5">#REF!</definedName>
    <definedName name="実績レート">#REF!</definedName>
    <definedName name="対象日数" localSheetId="3">#REF!</definedName>
    <definedName name="対象日数" localSheetId="0">#REF!</definedName>
    <definedName name="対象日数">#REF!</definedName>
    <definedName name="技術開発経費181" localSheetId="3">#REF!</definedName>
    <definedName name="技術開発経費181" localSheetId="0">#REF!</definedName>
    <definedName name="技術開発経費181">#REF!</definedName>
    <definedName name="技術開発経費182" localSheetId="3">#REF!</definedName>
    <definedName name="技術開発経費182" localSheetId="0">#REF!</definedName>
    <definedName name="技術開発経費182">#REF!</definedName>
    <definedName name="担当者" localSheetId="3">[8]テーブル!$F$2:$F$24</definedName>
    <definedName name="担当者" localSheetId="1">[8]テーブル!$F$2:$F$24</definedName>
    <definedName name="担当者" localSheetId="5">[8]テーブル!$F$2:$F$24</definedName>
    <definedName name="担当者">[9]テーブル!$F$2:$F$24</definedName>
    <definedName name="支援まとめ">'[10]予定日別1-6'!$U$4:$GV$4</definedName>
    <definedName name="日付" localSheetId="3">[6]支援計画・０４!$J$4:$CW$4</definedName>
    <definedName name="日付" localSheetId="1">[6]支援計画・０４!$J$4:$CW$4</definedName>
    <definedName name="日付" localSheetId="5">[6]支援計画・０４!$J$4:$CW$4</definedName>
    <definedName name="日付">[7]支援計画・０４!$J$4:$CW$4</definedName>
    <definedName name="日数" localSheetId="3">#REF!</definedName>
    <definedName name="日数" localSheetId="0">#REF!</definedName>
    <definedName name="日数" localSheetId="1">#REF!</definedName>
    <definedName name="日数" localSheetId="5">#REF!</definedName>
    <definedName name="日数">#REF!</definedName>
    <definedName name="期" localSheetId="3">#REF!</definedName>
    <definedName name="期" localSheetId="0">#REF!</definedName>
    <definedName name="期">#REF!</definedName>
    <definedName name="梱包_Ｍ３">'[11]KB,MOLD ESTIMATE.00'!$F$13:$X$13</definedName>
    <definedName name="機能分類リスト" localSheetId="0">[12]開発計画品番リスト!#REF!</definedName>
    <definedName name="機能分類リスト">[12]開発計画品番リスト!#REF!</definedName>
    <definedName name="比率" localSheetId="0">[13]調達計画!#REF!</definedName>
    <definedName name="比率">[13]調達計画!#REF!</definedName>
    <definedName name="決算期区分" localSheetId="3">#REF!</definedName>
    <definedName name="決算期区分" localSheetId="0">#REF!</definedName>
    <definedName name="決算期区分" localSheetId="1">#REF!</definedName>
    <definedName name="決算期区分" localSheetId="5">#REF!</definedName>
    <definedName name="決算期区分">#REF!</definedName>
    <definedName name="為替" localSheetId="3">#REF!</definedName>
    <definedName name="為替" localSheetId="0">#REF!</definedName>
    <definedName name="為替">#REF!</definedName>
    <definedName name="為替レートEU" localSheetId="3">#REF!</definedName>
    <definedName name="為替レートEU" localSheetId="0">#REF!</definedName>
    <definedName name="為替レートEU">#REF!</definedName>
    <definedName name="為替レートUS" localSheetId="3">#REF!</definedName>
    <definedName name="為替レートUS" localSheetId="0">#REF!</definedName>
    <definedName name="為替レートUS">#REF!</definedName>
    <definedName name="生産拠点" localSheetId="3">[8]テーブル!$C$2:$C$6</definedName>
    <definedName name="生産拠点" localSheetId="1">[8]テーブル!$C$2:$C$6</definedName>
    <definedName name="生産拠点" localSheetId="5">[8]テーブル!$C$2:$C$6</definedName>
    <definedName name="生産拠点">[9]テーブル!$C$2:$C$6</definedName>
    <definedName name="直販ｺｰﾄﾞ">'[4]ｺﾋﾟｰ用（直セ）'!$F$1:$AN$263</definedName>
    <definedName name="立上年" localSheetId="3">[8]テーブル!$A$2:$A$11</definedName>
    <definedName name="立上年" localSheetId="1">[8]テーブル!$A$2:$A$11</definedName>
    <definedName name="立上年" localSheetId="5">[8]テーブル!$A$2:$A$11</definedName>
    <definedName name="立上年">[9]テーブル!$A$2:$A$11</definedName>
    <definedName name="立上月" localSheetId="3">[8]テーブル!$D$2:$D$13</definedName>
    <definedName name="立上月" localSheetId="1">[8]テーブル!$D$2:$D$13</definedName>
    <definedName name="立上月" localSheetId="5">[8]テーブル!$D$2:$D$13</definedName>
    <definedName name="立上月">[9]テーブル!$D$2:$D$13</definedName>
    <definedName name="補助部門比率" localSheetId="3">#REF!</definedName>
    <definedName name="補助部門比率" localSheetId="0">#REF!</definedName>
    <definedName name="補助部門比率" localSheetId="1">#REF!</definedName>
    <definedName name="補助部門比率" localSheetId="5">#REF!</definedName>
    <definedName name="補助部門比率">#REF!</definedName>
    <definedName name="補助部門費_設計以外181" localSheetId="3">#REF!</definedName>
    <definedName name="補助部門費_設計以外181" localSheetId="0">#REF!</definedName>
    <definedName name="補助部門費_設計以外181">#REF!</definedName>
    <definedName name="補助部門費_設計以外182" localSheetId="3">#REF!</definedName>
    <definedName name="補助部門費_設計以外182" localSheetId="0">#REF!</definedName>
    <definedName name="補助部門費_設計以外182">#REF!</definedName>
    <definedName name="販管費率" localSheetId="3">#REF!</definedName>
    <definedName name="販管費率" localSheetId="0">#REF!</definedName>
    <definedName name="販管費率">#REF!</definedName>
    <definedName name="輸入" localSheetId="3">#REF!</definedName>
    <definedName name="輸入" localSheetId="0">#REF!</definedName>
    <definedName name="輸入">#REF!</definedName>
    <definedName name="配布先" localSheetId="3">#REF!</definedName>
    <definedName name="配布先" localSheetId="0">#REF!</definedName>
    <definedName name="配布先">#REF!</definedName>
    <definedName name="開発経費合計181" localSheetId="3">#REF!</definedName>
    <definedName name="開発経費合計181" localSheetId="0">#REF!</definedName>
    <definedName name="開発経費合計181">#REF!</definedName>
    <definedName name="開発経費合計182" localSheetId="3">#REF!</definedName>
    <definedName name="開発経費合計182" localSheetId="0">#REF!</definedName>
    <definedName name="開発経費合計182">#REF!</definedName>
    <definedName name="雇用" localSheetId="3">#REF!</definedName>
    <definedName name="雇用" localSheetId="0">#REF!</definedName>
    <definedName name="雇用">#REF!</definedName>
    <definedName name="電話代補助" localSheetId="3">#REF!</definedName>
    <definedName name="電話代補助" localSheetId="0">#REF!</definedName>
    <definedName name="電話代補助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3" l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2" i="3"/>
  <c r="Q2" i="3" l="1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D2" i="3"/>
  <c r="D3" i="3"/>
  <c r="D4" i="3"/>
  <c r="J4" i="3" s="1"/>
  <c r="D5" i="3"/>
  <c r="I5" i="3" s="1"/>
  <c r="D6" i="3"/>
  <c r="I6" i="3" s="1"/>
  <c r="D7" i="3"/>
  <c r="I7" i="3" s="1"/>
  <c r="D8" i="3"/>
  <c r="I8" i="3" s="1"/>
  <c r="D9" i="3"/>
  <c r="J9" i="3" s="1"/>
  <c r="D10" i="3"/>
  <c r="I10" i="3" s="1"/>
  <c r="D11" i="3"/>
  <c r="D12" i="3"/>
  <c r="D13" i="3"/>
  <c r="I13" i="3" s="1"/>
  <c r="D14" i="3"/>
  <c r="D15" i="3"/>
  <c r="D16" i="3"/>
  <c r="D17" i="3"/>
  <c r="J17" i="3" s="1"/>
  <c r="D18" i="3"/>
  <c r="I18" i="3" s="1"/>
  <c r="D19" i="3"/>
  <c r="I19" i="3" s="1"/>
  <c r="D20" i="3"/>
  <c r="I20" i="3" s="1"/>
  <c r="D21" i="3"/>
  <c r="I21" i="3" s="1"/>
  <c r="D22" i="3"/>
  <c r="I22" i="3" s="1"/>
  <c r="D23" i="3"/>
  <c r="I23" i="3" s="1"/>
  <c r="D24" i="3"/>
  <c r="I24" i="3" s="1"/>
  <c r="D25" i="3"/>
  <c r="I25" i="3" s="1"/>
  <c r="D26" i="3"/>
  <c r="J26" i="3" s="1"/>
  <c r="D27" i="3"/>
  <c r="D28" i="3"/>
  <c r="J28" i="3" s="1"/>
  <c r="D29" i="3"/>
  <c r="I29" i="3" s="1"/>
  <c r="D30" i="3"/>
  <c r="I30" i="3" s="1"/>
  <c r="D31" i="3"/>
  <c r="I31" i="3" s="1"/>
  <c r="D32" i="3"/>
  <c r="I32" i="3" s="1"/>
  <c r="D33" i="3"/>
  <c r="I33" i="3" s="1"/>
  <c r="D34" i="3"/>
  <c r="I34" i="3" s="1"/>
  <c r="D35" i="3"/>
  <c r="I35" i="3" s="1"/>
  <c r="D36" i="3"/>
  <c r="I36" i="3" s="1"/>
  <c r="D37" i="3"/>
  <c r="I37" i="3" s="1"/>
  <c r="D38" i="3"/>
  <c r="I38" i="3" s="1"/>
  <c r="D39" i="3"/>
  <c r="I39" i="3" s="1"/>
  <c r="D40" i="3"/>
  <c r="I40" i="3" s="1"/>
  <c r="D41" i="3"/>
  <c r="I41" i="3" s="1"/>
  <c r="D42" i="3"/>
  <c r="J42" i="3" s="1"/>
  <c r="D43" i="3"/>
  <c r="D44" i="3"/>
  <c r="I44" i="3" s="1"/>
  <c r="D45" i="3"/>
  <c r="J45" i="3" s="1"/>
  <c r="D46" i="3"/>
  <c r="I46" i="3" s="1"/>
  <c r="D47" i="3"/>
  <c r="J47" i="3" s="1"/>
  <c r="D48" i="3"/>
  <c r="J48" i="3" s="1"/>
  <c r="D49" i="3"/>
  <c r="I49" i="3" s="1"/>
  <c r="D50" i="3"/>
  <c r="J50" i="3" s="1"/>
  <c r="D51" i="3"/>
  <c r="I51" i="3" s="1"/>
  <c r="D52" i="3"/>
  <c r="I52" i="3" s="1"/>
  <c r="D53" i="3"/>
  <c r="I53" i="3" s="1"/>
  <c r="D54" i="3"/>
  <c r="I54" i="3" s="1"/>
  <c r="D55" i="3"/>
  <c r="I55" i="3" s="1"/>
  <c r="D56" i="3"/>
  <c r="I56" i="3" s="1"/>
  <c r="D57" i="3"/>
  <c r="I57" i="3" s="1"/>
  <c r="D58" i="3"/>
  <c r="I58" i="3" s="1"/>
  <c r="D59" i="3"/>
  <c r="D60" i="3"/>
  <c r="D61" i="3"/>
  <c r="J61" i="3" s="1"/>
  <c r="D62" i="3"/>
  <c r="I62" i="3" s="1"/>
  <c r="D63" i="3"/>
  <c r="I63" i="3" s="1"/>
  <c r="D64" i="3"/>
  <c r="I64" i="3" s="1"/>
  <c r="D65" i="3"/>
  <c r="D66" i="3"/>
  <c r="I66" i="3" s="1"/>
  <c r="D67" i="3"/>
  <c r="I67" i="3" s="1"/>
  <c r="D68" i="3"/>
  <c r="I68" i="3" s="1"/>
  <c r="D69" i="3"/>
  <c r="I69" i="3" s="1"/>
  <c r="D70" i="3"/>
  <c r="I70" i="3" s="1"/>
  <c r="D71" i="3"/>
  <c r="I71" i="3" s="1"/>
  <c r="D72" i="3"/>
  <c r="I72" i="3" s="1"/>
  <c r="D73" i="3"/>
  <c r="I73" i="3" s="1"/>
  <c r="D74" i="3"/>
  <c r="I74" i="3" s="1"/>
  <c r="D75" i="3"/>
  <c r="D76" i="3"/>
  <c r="D77" i="3"/>
  <c r="I77" i="3" s="1"/>
  <c r="D78" i="3"/>
  <c r="J78" i="3" s="1"/>
  <c r="D79" i="3"/>
  <c r="I79" i="3" s="1"/>
  <c r="D80" i="3"/>
  <c r="I80" i="3" s="1"/>
  <c r="D81" i="3"/>
  <c r="J81" i="3" s="1"/>
  <c r="D82" i="3"/>
  <c r="I82" i="3" s="1"/>
  <c r="D83" i="3"/>
  <c r="J83" i="3" s="1"/>
  <c r="D84" i="3"/>
  <c r="I84" i="3" s="1"/>
  <c r="D85" i="3"/>
  <c r="I85" i="3" s="1"/>
  <c r="D86" i="3"/>
  <c r="I86" i="3" s="1"/>
  <c r="D87" i="3"/>
  <c r="I87" i="3" s="1"/>
  <c r="D88" i="3"/>
  <c r="I88" i="3" s="1"/>
  <c r="D89" i="3"/>
  <c r="I89" i="3" s="1"/>
  <c r="D90" i="3"/>
  <c r="I90" i="3" s="1"/>
  <c r="D91" i="3"/>
  <c r="D92" i="3"/>
  <c r="D93" i="3"/>
  <c r="D94" i="3"/>
  <c r="D95" i="3"/>
  <c r="I95" i="3" s="1"/>
  <c r="D96" i="3"/>
  <c r="I96" i="3" s="1"/>
  <c r="D97" i="3"/>
  <c r="I97" i="3" s="1"/>
  <c r="D98" i="3"/>
  <c r="I98" i="3" s="1"/>
  <c r="D99" i="3"/>
  <c r="I99" i="3" s="1"/>
  <c r="D100" i="3"/>
  <c r="I100" i="3" s="1"/>
  <c r="D101" i="3"/>
  <c r="I101" i="3" s="1"/>
  <c r="D102" i="3"/>
  <c r="I102" i="3" s="1"/>
  <c r="D103" i="3"/>
  <c r="I103" i="3" s="1"/>
  <c r="D104" i="3"/>
  <c r="I104" i="3" s="1"/>
  <c r="D105" i="3"/>
  <c r="I105" i="3" s="1"/>
  <c r="D106" i="3"/>
  <c r="I106" i="3" s="1"/>
  <c r="D107" i="3"/>
  <c r="D108" i="3"/>
  <c r="J108" i="3" s="1"/>
  <c r="D109" i="3"/>
  <c r="I109" i="3" s="1"/>
  <c r="D110" i="3"/>
  <c r="I110" i="3" s="1"/>
  <c r="D111" i="3"/>
  <c r="J111" i="3" s="1"/>
  <c r="D112" i="3"/>
  <c r="I112" i="3" s="1"/>
  <c r="D113" i="3"/>
  <c r="I113" i="3" s="1"/>
  <c r="D114" i="3"/>
  <c r="J114" i="3" s="1"/>
  <c r="D115" i="3"/>
  <c r="I115" i="3" s="1"/>
  <c r="D116" i="3"/>
  <c r="I116" i="3" s="1"/>
  <c r="D117" i="3"/>
  <c r="I117" i="3" s="1"/>
  <c r="D118" i="3"/>
  <c r="I118" i="3" s="1"/>
  <c r="D119" i="3"/>
  <c r="I119" i="3" s="1"/>
  <c r="D120" i="3"/>
  <c r="I120" i="3" s="1"/>
  <c r="D121" i="3"/>
  <c r="I121" i="3" s="1"/>
  <c r="D122" i="3"/>
  <c r="I122" i="3" s="1"/>
  <c r="D123" i="3"/>
  <c r="D124" i="3"/>
  <c r="D125" i="3"/>
  <c r="D126" i="3"/>
  <c r="J126" i="3" s="1"/>
  <c r="D127" i="3"/>
  <c r="I127" i="3" s="1"/>
  <c r="D128" i="3"/>
  <c r="J128" i="3" s="1"/>
  <c r="D129" i="3"/>
  <c r="I129" i="3" s="1"/>
  <c r="D130" i="3"/>
  <c r="I130" i="3" s="1"/>
  <c r="D131" i="3"/>
  <c r="I131" i="3" s="1"/>
  <c r="D132" i="3"/>
  <c r="I132" i="3" s="1"/>
  <c r="D133" i="3"/>
  <c r="I133" i="3" s="1"/>
  <c r="D134" i="3"/>
  <c r="I134" i="3" s="1"/>
  <c r="D135" i="3"/>
  <c r="I135" i="3" s="1"/>
  <c r="D136" i="3"/>
  <c r="I136" i="3" s="1"/>
  <c r="D137" i="3"/>
  <c r="I137" i="3" s="1"/>
  <c r="D138" i="3"/>
  <c r="I138" i="3" s="1"/>
  <c r="D139" i="3"/>
  <c r="D140" i="3"/>
  <c r="D141" i="3"/>
  <c r="J141" i="3" s="1"/>
  <c r="D142" i="3"/>
  <c r="I142" i="3" s="1"/>
  <c r="D143" i="3"/>
  <c r="J143" i="3" s="1"/>
  <c r="D144" i="3"/>
  <c r="J144" i="3" s="1"/>
  <c r="D145" i="3"/>
  <c r="I145" i="3" s="1"/>
  <c r="D146" i="3"/>
  <c r="J146" i="3" s="1"/>
  <c r="D147" i="3"/>
  <c r="J147" i="3" s="1"/>
  <c r="D148" i="3"/>
  <c r="I148" i="3" s="1"/>
  <c r="D149" i="3"/>
  <c r="I149" i="3" s="1"/>
  <c r="D150" i="3"/>
  <c r="I150" i="3" s="1"/>
  <c r="D151" i="3"/>
  <c r="I151" i="3" s="1"/>
  <c r="D152" i="3"/>
  <c r="I152" i="3" s="1"/>
  <c r="D153" i="3"/>
  <c r="I153" i="3" s="1"/>
  <c r="D154" i="3"/>
  <c r="I154" i="3" s="1"/>
  <c r="D155" i="3"/>
  <c r="D156" i="3"/>
  <c r="I156" i="3" s="1"/>
  <c r="D157" i="3"/>
  <c r="I157" i="3" s="1"/>
  <c r="D158" i="3"/>
  <c r="D159" i="3"/>
  <c r="D160" i="3"/>
  <c r="D161" i="3"/>
  <c r="J161" i="3" s="1"/>
  <c r="D162" i="3"/>
  <c r="I162" i="3" s="1"/>
  <c r="D163" i="3"/>
  <c r="I163" i="3" s="1"/>
  <c r="D164" i="3"/>
  <c r="I164" i="3" s="1"/>
  <c r="D165" i="3"/>
  <c r="I165" i="3" s="1"/>
  <c r="D166" i="3"/>
  <c r="I166" i="3" s="1"/>
  <c r="D167" i="3"/>
  <c r="I167" i="3" s="1"/>
  <c r="D168" i="3"/>
  <c r="I168" i="3" s="1"/>
  <c r="D169" i="3"/>
  <c r="I169" i="3" s="1"/>
  <c r="D170" i="3"/>
  <c r="I170" i="3" s="1"/>
  <c r="D171" i="3"/>
  <c r="D172" i="3"/>
  <c r="D173" i="3"/>
  <c r="D174" i="3"/>
  <c r="J174" i="3" s="1"/>
  <c r="D175" i="3"/>
  <c r="I175" i="3" s="1"/>
  <c r="D176" i="3"/>
  <c r="I176" i="3" s="1"/>
  <c r="D177" i="3"/>
  <c r="I177" i="3" s="1"/>
  <c r="D178" i="3"/>
  <c r="I178" i="3" s="1"/>
  <c r="D179" i="3"/>
  <c r="I179" i="3" s="1"/>
  <c r="D180" i="3"/>
  <c r="I180" i="3" s="1"/>
  <c r="D181" i="3"/>
  <c r="I181" i="3" s="1"/>
  <c r="D182" i="3"/>
  <c r="I182" i="3" s="1"/>
  <c r="D183" i="3"/>
  <c r="I183" i="3" s="1"/>
  <c r="D184" i="3"/>
  <c r="I184" i="3" s="1"/>
  <c r="D185" i="3"/>
  <c r="I185" i="3" s="1"/>
  <c r="D186" i="3"/>
  <c r="I186" i="3" s="1"/>
  <c r="D187" i="3"/>
  <c r="D188" i="3"/>
  <c r="D189" i="3"/>
  <c r="D190" i="3"/>
  <c r="I190" i="3" s="1"/>
  <c r="D191" i="3"/>
  <c r="I191" i="3" s="1"/>
  <c r="D192" i="3"/>
  <c r="D193" i="3"/>
  <c r="I193" i="3" s="1"/>
  <c r="D194" i="3"/>
  <c r="I194" i="3" s="1"/>
  <c r="D195" i="3"/>
  <c r="I195" i="3" s="1"/>
  <c r="D196" i="3"/>
  <c r="I196" i="3" s="1"/>
  <c r="D197" i="3"/>
  <c r="I197" i="3" s="1"/>
  <c r="D198" i="3"/>
  <c r="I198" i="3" s="1"/>
  <c r="D199" i="3"/>
  <c r="I199" i="3" s="1"/>
  <c r="D200" i="3"/>
  <c r="I200" i="3" s="1"/>
  <c r="D201" i="3"/>
  <c r="I201" i="3" s="1"/>
  <c r="D202" i="3"/>
  <c r="I202" i="3" s="1"/>
  <c r="D203" i="3"/>
  <c r="D204" i="3"/>
  <c r="I204" i="3" s="1"/>
  <c r="D205" i="3"/>
  <c r="J205" i="3" s="1"/>
  <c r="D206" i="3"/>
  <c r="I206" i="3" s="1"/>
  <c r="D207" i="3"/>
  <c r="J207" i="3" s="1"/>
  <c r="D208" i="3"/>
  <c r="I208" i="3" s="1"/>
  <c r="D209" i="3"/>
  <c r="J209" i="3" s="1"/>
  <c r="D210" i="3"/>
  <c r="J210" i="3" s="1"/>
  <c r="D211" i="3"/>
  <c r="I211" i="3" s="1"/>
  <c r="D212" i="3"/>
  <c r="I212" i="3" s="1"/>
  <c r="D213" i="3"/>
  <c r="I213" i="3" s="1"/>
  <c r="D214" i="3"/>
  <c r="I214" i="3" s="1"/>
  <c r="D215" i="3"/>
  <c r="I215" i="3" s="1"/>
  <c r="D216" i="3"/>
  <c r="I216" i="3" s="1"/>
  <c r="D217" i="3"/>
  <c r="I217" i="3" s="1"/>
  <c r="D218" i="3"/>
  <c r="I218" i="3" s="1"/>
  <c r="D219" i="3"/>
  <c r="D220" i="3"/>
  <c r="I220" i="3" s="1"/>
  <c r="D221" i="3"/>
  <c r="J221" i="3" s="1"/>
  <c r="D222" i="3"/>
  <c r="I222" i="3" s="1"/>
  <c r="D223" i="3"/>
  <c r="I223" i="3" s="1"/>
  <c r="D224" i="3"/>
  <c r="I224" i="3" s="1"/>
  <c r="D225" i="3"/>
  <c r="I225" i="3" s="1"/>
  <c r="D226" i="3"/>
  <c r="I226" i="3" s="1"/>
  <c r="D227" i="3"/>
  <c r="D228" i="3"/>
  <c r="I228" i="3" s="1"/>
  <c r="D229" i="3"/>
  <c r="I229" i="3" s="1"/>
  <c r="D230" i="3"/>
  <c r="I230" i="3" s="1"/>
  <c r="D231" i="3"/>
  <c r="I231" i="3" s="1"/>
  <c r="D232" i="3"/>
  <c r="I232" i="3" s="1"/>
  <c r="D233" i="3"/>
  <c r="I233" i="3" s="1"/>
  <c r="D234" i="3"/>
  <c r="I234" i="3" s="1"/>
  <c r="D235" i="3"/>
  <c r="D236" i="3"/>
  <c r="D237" i="3"/>
  <c r="D238" i="3"/>
  <c r="I238" i="3" s="1"/>
  <c r="D239" i="3"/>
  <c r="I239" i="3" s="1"/>
  <c r="D240" i="3"/>
  <c r="J240" i="3" s="1"/>
  <c r="D241" i="3"/>
  <c r="I241" i="3" s="1"/>
  <c r="D242" i="3"/>
  <c r="I242" i="3" s="1"/>
  <c r="D243" i="3"/>
  <c r="J243" i="3" s="1"/>
  <c r="D244" i="3"/>
  <c r="I244" i="3" s="1"/>
  <c r="D245" i="3"/>
  <c r="I245" i="3" s="1"/>
  <c r="D246" i="3"/>
  <c r="I246" i="3" s="1"/>
  <c r="D247" i="3"/>
  <c r="I247" i="3" s="1"/>
  <c r="D248" i="3"/>
  <c r="I248" i="3" s="1"/>
  <c r="D249" i="3"/>
  <c r="J249" i="3" s="1"/>
  <c r="D250" i="3"/>
  <c r="I250" i="3" s="1"/>
  <c r="D251" i="3"/>
  <c r="D252" i="3"/>
  <c r="D253" i="3"/>
  <c r="I253" i="3" s="1"/>
  <c r="D254" i="3"/>
  <c r="I254" i="3" s="1"/>
  <c r="D255" i="3"/>
  <c r="J255" i="3" s="1"/>
  <c r="D256" i="3"/>
  <c r="I256" i="3" s="1"/>
  <c r="D257" i="3"/>
  <c r="I257" i="3" s="1"/>
  <c r="D258" i="3"/>
  <c r="I258" i="3" s="1"/>
  <c r="D259" i="3"/>
  <c r="I259" i="3" s="1"/>
  <c r="D260" i="3"/>
  <c r="J260" i="3" s="1"/>
  <c r="D261" i="3"/>
  <c r="I261" i="3" s="1"/>
  <c r="D262" i="3"/>
  <c r="I262" i="3" s="1"/>
  <c r="D263" i="3"/>
  <c r="I263" i="3" s="1"/>
  <c r="D264" i="3"/>
  <c r="I264" i="3" s="1"/>
  <c r="D265" i="3"/>
  <c r="I265" i="3" s="1"/>
  <c r="D266" i="3"/>
  <c r="I266" i="3" s="1"/>
  <c r="D267" i="3"/>
  <c r="D268" i="3"/>
  <c r="D269" i="3"/>
  <c r="I269" i="3" s="1"/>
  <c r="D270" i="3"/>
  <c r="I270" i="3" s="1"/>
  <c r="D271" i="3"/>
  <c r="I271" i="3" s="1"/>
  <c r="D272" i="3"/>
  <c r="I272" i="3" s="1"/>
  <c r="D273" i="3"/>
  <c r="I273" i="3" s="1"/>
  <c r="D274" i="3"/>
  <c r="I274" i="3" s="1"/>
  <c r="D275" i="3"/>
  <c r="I275" i="3" s="1"/>
  <c r="D276" i="3"/>
  <c r="I276" i="3" s="1"/>
  <c r="D277" i="3"/>
  <c r="I277" i="3" s="1"/>
  <c r="D278" i="3"/>
  <c r="I278" i="3" s="1"/>
  <c r="D279" i="3"/>
  <c r="I279" i="3" s="1"/>
  <c r="D280" i="3"/>
  <c r="I280" i="3" s="1"/>
  <c r="D281" i="3"/>
  <c r="I281" i="3" s="1"/>
  <c r="D282" i="3"/>
  <c r="I282" i="3" s="1"/>
  <c r="D283" i="3"/>
  <c r="D284" i="3"/>
  <c r="D285" i="3"/>
  <c r="I285" i="3" s="1"/>
  <c r="D286" i="3"/>
  <c r="I286" i="3" s="1"/>
  <c r="D287" i="3"/>
  <c r="I287" i="3" s="1"/>
  <c r="D288" i="3"/>
  <c r="I288" i="3" s="1"/>
  <c r="D289" i="3"/>
  <c r="J289" i="3" s="1"/>
  <c r="D290" i="3"/>
  <c r="I290" i="3" s="1"/>
  <c r="D291" i="3"/>
  <c r="I291" i="3" s="1"/>
  <c r="D292" i="3"/>
  <c r="J292" i="3" s="1"/>
  <c r="D293" i="3"/>
  <c r="I293" i="3" s="1"/>
  <c r="D294" i="3"/>
  <c r="J294" i="3" s="1"/>
  <c r="D295" i="3"/>
  <c r="I295" i="3" s="1"/>
  <c r="D296" i="3"/>
  <c r="I296" i="3" s="1"/>
  <c r="D297" i="3"/>
  <c r="I297" i="3" s="1"/>
  <c r="D298" i="3"/>
  <c r="J298" i="3" s="1"/>
  <c r="D299" i="3"/>
  <c r="D300" i="3"/>
  <c r="D301" i="3"/>
  <c r="D302" i="3"/>
  <c r="D303" i="3"/>
  <c r="I303" i="3" s="1"/>
  <c r="D304" i="3"/>
  <c r="I304" i="3" s="1"/>
  <c r="D305" i="3"/>
  <c r="J305" i="3" s="1"/>
  <c r="D306" i="3"/>
  <c r="I306" i="3" s="1"/>
  <c r="D307" i="3"/>
  <c r="I307" i="3" s="1"/>
  <c r="D308" i="3"/>
  <c r="I308" i="3" s="1"/>
  <c r="D309" i="3"/>
  <c r="I309" i="3" s="1"/>
  <c r="D310" i="3"/>
  <c r="I310" i="3" s="1"/>
  <c r="D311" i="3"/>
  <c r="I311" i="3" s="1"/>
  <c r="D312" i="3"/>
  <c r="I312" i="3" s="1"/>
  <c r="D313" i="3"/>
  <c r="I313" i="3" s="1"/>
  <c r="D314" i="3"/>
  <c r="I314" i="3" s="1"/>
  <c r="D315" i="3"/>
  <c r="D316" i="3"/>
  <c r="D317" i="3"/>
  <c r="D318" i="3"/>
  <c r="J318" i="3" s="1"/>
  <c r="D319" i="3"/>
  <c r="I319" i="3" s="1"/>
  <c r="D320" i="3"/>
  <c r="I320" i="3" s="1"/>
  <c r="D321" i="3"/>
  <c r="I321" i="3" s="1"/>
  <c r="D322" i="3"/>
  <c r="I322" i="3" s="1"/>
  <c r="D323" i="3"/>
  <c r="I323" i="3" s="1"/>
  <c r="D324" i="3"/>
  <c r="I324" i="3" s="1"/>
  <c r="D325" i="3"/>
  <c r="I325" i="3" s="1"/>
  <c r="D326" i="3"/>
  <c r="I326" i="3" s="1"/>
  <c r="D327" i="3"/>
  <c r="I327" i="3" s="1"/>
  <c r="D328" i="3"/>
  <c r="I328" i="3" s="1"/>
  <c r="D329" i="3"/>
  <c r="I329" i="3" s="1"/>
  <c r="D330" i="3"/>
  <c r="I330" i="3" s="1"/>
  <c r="D331" i="3"/>
  <c r="D332" i="3"/>
  <c r="D333" i="3"/>
  <c r="I333" i="3" s="1"/>
  <c r="D334" i="3"/>
  <c r="D335" i="3"/>
  <c r="D336" i="3"/>
  <c r="I336" i="3" s="1"/>
  <c r="D337" i="3"/>
  <c r="I337" i="3" s="1"/>
  <c r="D338" i="3"/>
  <c r="I338" i="3" s="1"/>
  <c r="D339" i="3"/>
  <c r="I339" i="3" s="1"/>
  <c r="D340" i="3"/>
  <c r="I340" i="3" s="1"/>
  <c r="D341" i="3"/>
  <c r="I341" i="3" s="1"/>
  <c r="D342" i="3"/>
  <c r="I342" i="3" s="1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I2" i="3"/>
  <c r="J2" i="3"/>
  <c r="I3" i="3"/>
  <c r="J3" i="3"/>
  <c r="I9" i="3"/>
  <c r="I11" i="3"/>
  <c r="J11" i="3"/>
  <c r="I12" i="3"/>
  <c r="J12" i="3"/>
  <c r="J13" i="3"/>
  <c r="I14" i="3"/>
  <c r="J14" i="3"/>
  <c r="J15" i="3"/>
  <c r="I16" i="3"/>
  <c r="J16" i="3"/>
  <c r="I17" i="3"/>
  <c r="J18" i="3"/>
  <c r="I27" i="3"/>
  <c r="J27" i="3"/>
  <c r="I28" i="3"/>
  <c r="I43" i="3"/>
  <c r="J43" i="3"/>
  <c r="J44" i="3"/>
  <c r="I45" i="3"/>
  <c r="J46" i="3"/>
  <c r="I47" i="3"/>
  <c r="I48" i="3"/>
  <c r="I59" i="3"/>
  <c r="J59" i="3"/>
  <c r="I60" i="3"/>
  <c r="J60" i="3"/>
  <c r="I61" i="3"/>
  <c r="I65" i="3"/>
  <c r="J65" i="3"/>
  <c r="J68" i="3"/>
  <c r="I75" i="3"/>
  <c r="J75" i="3"/>
  <c r="I76" i="3"/>
  <c r="J76" i="3"/>
  <c r="I91" i="3"/>
  <c r="J91" i="3"/>
  <c r="I92" i="3"/>
  <c r="J92" i="3"/>
  <c r="I93" i="3"/>
  <c r="J93" i="3"/>
  <c r="I94" i="3"/>
  <c r="J94" i="3"/>
  <c r="J97" i="3"/>
  <c r="I107" i="3"/>
  <c r="J107" i="3"/>
  <c r="I108" i="3"/>
  <c r="J110" i="3"/>
  <c r="I123" i="3"/>
  <c r="J123" i="3"/>
  <c r="I124" i="3"/>
  <c r="J124" i="3"/>
  <c r="I125" i="3"/>
  <c r="J125" i="3"/>
  <c r="I126" i="3"/>
  <c r="I139" i="3"/>
  <c r="J139" i="3"/>
  <c r="I140" i="3"/>
  <c r="J140" i="3"/>
  <c r="I141" i="3"/>
  <c r="I143" i="3"/>
  <c r="I144" i="3"/>
  <c r="I155" i="3"/>
  <c r="J155" i="3"/>
  <c r="J156" i="3"/>
  <c r="J157" i="3"/>
  <c r="I158" i="3"/>
  <c r="J158" i="3"/>
  <c r="I159" i="3"/>
  <c r="J159" i="3"/>
  <c r="I160" i="3"/>
  <c r="J160" i="3"/>
  <c r="I171" i="3"/>
  <c r="J171" i="3"/>
  <c r="I172" i="3"/>
  <c r="J172" i="3"/>
  <c r="I173" i="3"/>
  <c r="J173" i="3"/>
  <c r="I174" i="3"/>
  <c r="I187" i="3"/>
  <c r="J187" i="3"/>
  <c r="I188" i="3"/>
  <c r="J188" i="3"/>
  <c r="I189" i="3"/>
  <c r="J189" i="3"/>
  <c r="J191" i="3"/>
  <c r="I192" i="3"/>
  <c r="J192" i="3"/>
  <c r="I203" i="3"/>
  <c r="J203" i="3"/>
  <c r="J204" i="3"/>
  <c r="I205" i="3"/>
  <c r="I219" i="3"/>
  <c r="J219" i="3"/>
  <c r="J220" i="3"/>
  <c r="I221" i="3"/>
  <c r="J225" i="3"/>
  <c r="J226" i="3"/>
  <c r="I227" i="3"/>
  <c r="J227" i="3"/>
  <c r="I235" i="3"/>
  <c r="J235" i="3"/>
  <c r="I236" i="3"/>
  <c r="J236" i="3"/>
  <c r="I237" i="3"/>
  <c r="J237" i="3"/>
  <c r="I251" i="3"/>
  <c r="J251" i="3"/>
  <c r="I252" i="3"/>
  <c r="J252" i="3"/>
  <c r="J254" i="3"/>
  <c r="I255" i="3"/>
  <c r="I267" i="3"/>
  <c r="J267" i="3"/>
  <c r="I268" i="3"/>
  <c r="J268" i="3"/>
  <c r="I283" i="3"/>
  <c r="J283" i="3"/>
  <c r="I284" i="3"/>
  <c r="J284" i="3"/>
  <c r="J286" i="3"/>
  <c r="I289" i="3"/>
  <c r="I299" i="3"/>
  <c r="J299" i="3"/>
  <c r="I300" i="3"/>
  <c r="J300" i="3"/>
  <c r="I301" i="3"/>
  <c r="J301" i="3"/>
  <c r="I302" i="3"/>
  <c r="J302" i="3"/>
  <c r="I315" i="3"/>
  <c r="J315" i="3"/>
  <c r="I316" i="3"/>
  <c r="J316" i="3"/>
  <c r="I317" i="3"/>
  <c r="J317" i="3"/>
  <c r="I318" i="3"/>
  <c r="I331" i="3"/>
  <c r="J331" i="3"/>
  <c r="I332" i="3"/>
  <c r="J332" i="3"/>
  <c r="J333" i="3"/>
  <c r="I334" i="3"/>
  <c r="J334" i="3"/>
  <c r="I335" i="3"/>
  <c r="J335" i="3"/>
  <c r="I343" i="3"/>
  <c r="J343" i="3"/>
  <c r="I344" i="3"/>
  <c r="J344" i="3"/>
  <c r="I345" i="3"/>
  <c r="J345" i="3"/>
  <c r="I346" i="3"/>
  <c r="J346" i="3"/>
  <c r="I347" i="3"/>
  <c r="J347" i="3"/>
  <c r="I348" i="3"/>
  <c r="J348" i="3"/>
  <c r="I349" i="3"/>
  <c r="J349" i="3"/>
  <c r="I350" i="3"/>
  <c r="J350" i="3"/>
  <c r="I351" i="3"/>
  <c r="J351" i="3"/>
  <c r="I352" i="3"/>
  <c r="J352" i="3"/>
  <c r="I353" i="3"/>
  <c r="J353" i="3"/>
  <c r="I354" i="3"/>
  <c r="J354" i="3"/>
  <c r="I355" i="3"/>
  <c r="J355" i="3"/>
  <c r="I356" i="3"/>
  <c r="J356" i="3"/>
  <c r="I357" i="3"/>
  <c r="J357" i="3"/>
  <c r="I358" i="3"/>
  <c r="J358" i="3"/>
  <c r="I359" i="3"/>
  <c r="J359" i="3"/>
  <c r="I360" i="3"/>
  <c r="J360" i="3"/>
  <c r="I361" i="3"/>
  <c r="J361" i="3"/>
  <c r="I362" i="3"/>
  <c r="J362" i="3"/>
  <c r="I363" i="3"/>
  <c r="J363" i="3"/>
  <c r="I364" i="3"/>
  <c r="J364" i="3"/>
  <c r="I365" i="3"/>
  <c r="J365" i="3"/>
  <c r="I366" i="3"/>
  <c r="J366" i="3"/>
  <c r="I367" i="3"/>
  <c r="J367" i="3"/>
  <c r="I368" i="3"/>
  <c r="J368" i="3"/>
  <c r="I369" i="3"/>
  <c r="J369" i="3"/>
  <c r="I370" i="3"/>
  <c r="J370" i="3"/>
  <c r="I371" i="3"/>
  <c r="J371" i="3"/>
  <c r="I372" i="3"/>
  <c r="J372" i="3"/>
  <c r="I373" i="3"/>
  <c r="J373" i="3"/>
  <c r="I374" i="3"/>
  <c r="J374" i="3"/>
  <c r="I375" i="3"/>
  <c r="J375" i="3"/>
  <c r="I376" i="3"/>
  <c r="J376" i="3"/>
  <c r="I377" i="3"/>
  <c r="J377" i="3"/>
  <c r="I378" i="3"/>
  <c r="J378" i="3"/>
  <c r="I379" i="3"/>
  <c r="J379" i="3"/>
  <c r="I380" i="3"/>
  <c r="J380" i="3"/>
  <c r="I381" i="3"/>
  <c r="J381" i="3"/>
  <c r="I382" i="3"/>
  <c r="J382" i="3"/>
  <c r="I383" i="3"/>
  <c r="J383" i="3"/>
  <c r="I384" i="3"/>
  <c r="J384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J180" i="3" l="1"/>
  <c r="J179" i="3"/>
  <c r="J194" i="3"/>
  <c r="J178" i="3"/>
  <c r="J269" i="3"/>
  <c r="J193" i="3"/>
  <c r="J177" i="3"/>
  <c r="I146" i="3"/>
  <c r="I243" i="3"/>
  <c r="J145" i="3"/>
  <c r="J242" i="3"/>
  <c r="I114" i="3"/>
  <c r="J274" i="3"/>
  <c r="J241" i="3"/>
  <c r="J113" i="3"/>
  <c r="J337" i="3"/>
  <c r="J271" i="3"/>
  <c r="I240" i="3"/>
  <c r="I161" i="3"/>
  <c r="I111" i="3"/>
  <c r="I294" i="3"/>
  <c r="J293" i="3"/>
  <c r="J34" i="3"/>
  <c r="J320" i="3"/>
  <c r="I128" i="3"/>
  <c r="I81" i="3"/>
  <c r="J33" i="3"/>
  <c r="J319" i="3"/>
  <c r="I305" i="3"/>
  <c r="I292" i="3"/>
  <c r="I209" i="3"/>
  <c r="J148" i="3"/>
  <c r="J127" i="3"/>
  <c r="I78" i="3"/>
  <c r="J49" i="3"/>
  <c r="J186" i="3"/>
  <c r="J277" i="3"/>
  <c r="J309" i="3"/>
  <c r="J35" i="3"/>
  <c r="J308" i="3"/>
  <c r="J32" i="3"/>
  <c r="J116" i="3"/>
  <c r="J36" i="3"/>
  <c r="J212" i="3"/>
  <c r="J306" i="3"/>
  <c r="J211" i="3"/>
  <c r="I210" i="3"/>
  <c r="I50" i="3"/>
  <c r="J303" i="3"/>
  <c r="J291" i="3"/>
  <c r="J206" i="3"/>
  <c r="I147" i="3"/>
  <c r="J109" i="3"/>
  <c r="J77" i="3"/>
  <c r="J29" i="3"/>
  <c r="J41" i="3"/>
  <c r="J281" i="3"/>
  <c r="I83" i="3"/>
  <c r="J67" i="3"/>
  <c r="J329" i="3"/>
  <c r="J290" i="3"/>
  <c r="J275" i="3"/>
  <c r="I260" i="3"/>
  <c r="I207" i="3"/>
  <c r="J82" i="3"/>
  <c r="J98" i="3"/>
  <c r="J66" i="3"/>
  <c r="J326" i="3"/>
  <c r="J312" i="3"/>
  <c r="J258" i="3"/>
  <c r="J239" i="3"/>
  <c r="J224" i="3"/>
  <c r="J153" i="3"/>
  <c r="J31" i="3"/>
  <c r="J323" i="3"/>
  <c r="J273" i="3"/>
  <c r="J222" i="3"/>
  <c r="J131" i="3"/>
  <c r="J115" i="3"/>
  <c r="J80" i="3"/>
  <c r="J62" i="3"/>
  <c r="J336" i="3"/>
  <c r="J322" i="3"/>
  <c r="J310" i="3"/>
  <c r="J130" i="3"/>
  <c r="J95" i="3"/>
  <c r="I42" i="3"/>
  <c r="J276" i="3"/>
  <c r="J264" i="3"/>
  <c r="J259" i="3"/>
  <c r="J340" i="3"/>
  <c r="J328" i="3"/>
  <c r="J285" i="3"/>
  <c r="J257" i="3"/>
  <c r="J238" i="3"/>
  <c r="J272" i="3"/>
  <c r="J79" i="3"/>
  <c r="I249" i="3"/>
  <c r="J170" i="3"/>
  <c r="J137" i="3"/>
  <c r="J112" i="3"/>
  <c r="J100" i="3"/>
  <c r="I26" i="3"/>
  <c r="J341" i="3"/>
  <c r="J324" i="3"/>
  <c r="J307" i="3"/>
  <c r="J282" i="3"/>
  <c r="J265" i="3"/>
  <c r="J256" i="3"/>
  <c r="J244" i="3"/>
  <c r="J223" i="3"/>
  <c r="J190" i="3"/>
  <c r="J99" i="3"/>
  <c r="J74" i="3"/>
  <c r="J218" i="3"/>
  <c r="J185" i="3"/>
  <c r="J106" i="3"/>
  <c r="J73" i="3"/>
  <c r="J250" i="3"/>
  <c r="J217" i="3"/>
  <c r="J138" i="3"/>
  <c r="J105" i="3"/>
  <c r="J342" i="3"/>
  <c r="J325" i="3"/>
  <c r="J266" i="3"/>
  <c r="J58" i="3"/>
  <c r="J25" i="3"/>
  <c r="J202" i="3"/>
  <c r="J169" i="3"/>
  <c r="J132" i="3"/>
  <c r="J90" i="3"/>
  <c r="J57" i="3"/>
  <c r="J20" i="3"/>
  <c r="I298" i="3"/>
  <c r="J234" i="3"/>
  <c r="J201" i="3"/>
  <c r="J176" i="3"/>
  <c r="J164" i="3"/>
  <c r="J19" i="3"/>
  <c r="J163" i="3"/>
  <c r="J122" i="3"/>
  <c r="J89" i="3"/>
  <c r="J64" i="3"/>
  <c r="J52" i="3"/>
  <c r="J339" i="3"/>
  <c r="J314" i="3"/>
  <c r="J297" i="3"/>
  <c r="J288" i="3"/>
  <c r="J280" i="3"/>
  <c r="J262" i="3"/>
  <c r="J233" i="3"/>
  <c r="J208" i="3"/>
  <c r="J196" i="3"/>
  <c r="J175" i="3"/>
  <c r="J142" i="3"/>
  <c r="J51" i="3"/>
  <c r="J10" i="3"/>
  <c r="J338" i="3"/>
  <c r="J330" i="3"/>
  <c r="J321" i="3"/>
  <c r="J313" i="3"/>
  <c r="J304" i="3"/>
  <c r="J296" i="3"/>
  <c r="J287" i="3"/>
  <c r="J278" i="3"/>
  <c r="J270" i="3"/>
  <c r="J261" i="3"/>
  <c r="J253" i="3"/>
  <c r="J195" i="3"/>
  <c r="J162" i="3"/>
  <c r="J154" i="3"/>
  <c r="J129" i="3"/>
  <c r="J121" i="3"/>
  <c r="J96" i="3"/>
  <c r="J84" i="3"/>
  <c r="J63" i="3"/>
  <c r="J30" i="3"/>
  <c r="J228" i="3"/>
  <c r="I4" i="3"/>
  <c r="J248" i="3"/>
  <c r="J232" i="3"/>
  <c r="J216" i="3"/>
  <c r="J200" i="3"/>
  <c r="J184" i="3"/>
  <c r="J168" i="3"/>
  <c r="J152" i="3"/>
  <c r="J136" i="3"/>
  <c r="J120" i="3"/>
  <c r="J104" i="3"/>
  <c r="J88" i="3"/>
  <c r="J72" i="3"/>
  <c r="J56" i="3"/>
  <c r="J40" i="3"/>
  <c r="J24" i="3"/>
  <c r="J8" i="3"/>
  <c r="J247" i="3"/>
  <c r="J231" i="3"/>
  <c r="J215" i="3"/>
  <c r="J199" i="3"/>
  <c r="J183" i="3"/>
  <c r="J167" i="3"/>
  <c r="J151" i="3"/>
  <c r="J135" i="3"/>
  <c r="J119" i="3"/>
  <c r="J103" i="3"/>
  <c r="J87" i="3"/>
  <c r="J71" i="3"/>
  <c r="J55" i="3"/>
  <c r="J39" i="3"/>
  <c r="J23" i="3"/>
  <c r="J7" i="3"/>
  <c r="J246" i="3"/>
  <c r="J230" i="3"/>
  <c r="J214" i="3"/>
  <c r="J198" i="3"/>
  <c r="J182" i="3"/>
  <c r="J166" i="3"/>
  <c r="J150" i="3"/>
  <c r="J134" i="3"/>
  <c r="J118" i="3"/>
  <c r="J102" i="3"/>
  <c r="J86" i="3"/>
  <c r="J70" i="3"/>
  <c r="J54" i="3"/>
  <c r="J38" i="3"/>
  <c r="J22" i="3"/>
  <c r="J6" i="3"/>
  <c r="J327" i="3"/>
  <c r="J311" i="3"/>
  <c r="J295" i="3"/>
  <c r="J279" i="3"/>
  <c r="J263" i="3"/>
  <c r="J245" i="3"/>
  <c r="J229" i="3"/>
  <c r="J213" i="3"/>
  <c r="J197" i="3"/>
  <c r="J181" i="3"/>
  <c r="J165" i="3"/>
  <c r="J149" i="3"/>
  <c r="J133" i="3"/>
  <c r="J117" i="3"/>
  <c r="J101" i="3"/>
  <c r="J85" i="3"/>
  <c r="J69" i="3"/>
  <c r="J53" i="3"/>
  <c r="J37" i="3"/>
  <c r="J21" i="3"/>
  <c r="J5" i="3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U43" i="2"/>
  <c r="M43" i="2"/>
  <c r="U42" i="2"/>
  <c r="M42" i="2"/>
  <c r="U41" i="2"/>
  <c r="M41" i="2"/>
  <c r="U40" i="2"/>
  <c r="M40" i="2"/>
  <c r="U39" i="2"/>
  <c r="M39" i="2"/>
  <c r="U38" i="2"/>
  <c r="M38" i="2"/>
  <c r="U37" i="2"/>
  <c r="M37" i="2"/>
  <c r="U36" i="2"/>
  <c r="M36" i="2"/>
  <c r="U35" i="2"/>
  <c r="M35" i="2"/>
  <c r="U34" i="2"/>
  <c r="M34" i="2"/>
  <c r="U33" i="2"/>
  <c r="M33" i="2"/>
  <c r="U32" i="2"/>
  <c r="M32" i="2"/>
  <c r="U31" i="2"/>
  <c r="M31" i="2"/>
  <c r="U30" i="2"/>
  <c r="M30" i="2"/>
  <c r="U29" i="2"/>
  <c r="M29" i="2"/>
  <c r="U28" i="2"/>
  <c r="M28" i="2"/>
  <c r="U27" i="2"/>
  <c r="M27" i="2"/>
  <c r="U26" i="2"/>
  <c r="M26" i="2"/>
  <c r="U25" i="2"/>
  <c r="M25" i="2"/>
  <c r="U24" i="2"/>
  <c r="M24" i="2"/>
  <c r="U23" i="2"/>
  <c r="M23" i="2"/>
  <c r="U22" i="2"/>
  <c r="M22" i="2"/>
  <c r="U21" i="2"/>
  <c r="M21" i="2"/>
  <c r="M20" i="2"/>
  <c r="U19" i="2"/>
  <c r="M19" i="2"/>
  <c r="U18" i="2"/>
  <c r="M18" i="2"/>
  <c r="U17" i="2"/>
  <c r="M17" i="2"/>
  <c r="U16" i="2"/>
  <c r="M16" i="2"/>
  <c r="U15" i="2"/>
  <c r="M15" i="2"/>
  <c r="U14" i="2"/>
  <c r="M14" i="2"/>
  <c r="U13" i="2"/>
  <c r="M13" i="2"/>
  <c r="U12" i="2"/>
  <c r="M12" i="2"/>
  <c r="U11" i="2"/>
  <c r="M11" i="2"/>
  <c r="U10" i="2"/>
  <c r="M10" i="2"/>
  <c r="U9" i="2"/>
  <c r="M9" i="2"/>
  <c r="U8" i="2"/>
  <c r="M8" i="2"/>
  <c r="U7" i="2"/>
  <c r="M7" i="2"/>
  <c r="U6" i="2"/>
  <c r="M6" i="2"/>
  <c r="U5" i="2"/>
  <c r="M5" i="2"/>
  <c r="U4" i="2"/>
  <c r="M4" i="2"/>
  <c r="U3" i="2"/>
  <c r="M3" i="2"/>
  <c r="U2" i="2"/>
  <c r="M2" i="2"/>
  <c r="D172" i="6" l="1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L43" i="6"/>
  <c r="D43" i="6"/>
  <c r="L42" i="6"/>
  <c r="D42" i="6"/>
  <c r="L41" i="6"/>
  <c r="D41" i="6"/>
  <c r="L40" i="6"/>
  <c r="D40" i="6"/>
  <c r="L39" i="6"/>
  <c r="D39" i="6"/>
  <c r="L38" i="6"/>
  <c r="D38" i="6"/>
  <c r="L37" i="6"/>
  <c r="D37" i="6"/>
  <c r="L36" i="6"/>
  <c r="D36" i="6"/>
  <c r="L35" i="6"/>
  <c r="D35" i="6"/>
  <c r="L34" i="6"/>
  <c r="D34" i="6"/>
  <c r="L33" i="6"/>
  <c r="D33" i="6"/>
  <c r="L32" i="6"/>
  <c r="D32" i="6"/>
  <c r="L31" i="6"/>
  <c r="D31" i="6"/>
  <c r="L30" i="6"/>
  <c r="D30" i="6"/>
  <c r="L29" i="6"/>
  <c r="D29" i="6"/>
  <c r="L28" i="6"/>
  <c r="D28" i="6"/>
  <c r="L27" i="6"/>
  <c r="D27" i="6"/>
  <c r="L26" i="6"/>
  <c r="D26" i="6"/>
  <c r="L25" i="6"/>
  <c r="D25" i="6"/>
  <c r="L24" i="6"/>
  <c r="D24" i="6"/>
  <c r="L23" i="6"/>
  <c r="D23" i="6"/>
  <c r="L22" i="6"/>
  <c r="D22" i="6"/>
  <c r="L21" i="6"/>
  <c r="D21" i="6"/>
  <c r="D20" i="6"/>
  <c r="L20" i="6"/>
  <c r="D19" i="6"/>
  <c r="L19" i="6"/>
  <c r="D18" i="6"/>
  <c r="L18" i="6"/>
  <c r="D17" i="6"/>
  <c r="L17" i="6"/>
  <c r="D16" i="6"/>
  <c r="L16" i="6"/>
  <c r="D15" i="6"/>
  <c r="L14" i="6"/>
  <c r="D14" i="6"/>
  <c r="L13" i="6"/>
  <c r="D13" i="6"/>
  <c r="L12" i="6"/>
  <c r="D12" i="6"/>
  <c r="L11" i="6"/>
  <c r="D11" i="6"/>
  <c r="L10" i="6"/>
  <c r="D10" i="6"/>
  <c r="L9" i="6"/>
  <c r="D9" i="6"/>
  <c r="L8" i="6"/>
  <c r="D8" i="6"/>
  <c r="L7" i="6"/>
  <c r="D7" i="6"/>
  <c r="L6" i="6"/>
  <c r="D6" i="6"/>
  <c r="L5" i="6"/>
  <c r="D5" i="6"/>
  <c r="L4" i="6"/>
  <c r="D4" i="6"/>
  <c r="L3" i="6"/>
  <c r="D3" i="6"/>
  <c r="L2" i="6"/>
  <c r="D2" i="6"/>
  <c r="E43" i="2" l="1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Wiyani</author>
    <author>Ian Yustiar Irsyadi</author>
  </authors>
  <commentList>
    <comment ref="A1" authorId="0" shapeId="0" xr:uid="{E409E520-7F27-4AAE-ABCE-C4154D77FA89}">
      <text>
        <r>
          <rPr>
            <b/>
            <sz val="9"/>
            <color indexed="81"/>
            <rFont val="Tahoma"/>
            <family val="2"/>
          </rPr>
          <t>FA:</t>
        </r>
        <r>
          <rPr>
            <sz val="9"/>
            <color indexed="81"/>
            <rFont val="Tahoma"/>
            <family val="2"/>
          </rPr>
          <t xml:space="preserve">
Pilihlah kategori asal asset tersebut.
-  BIP untuk new investment
-  CIP untuk asset yang sudah ada di list CIP (Construction In Progress) yang akan didistribusikan oleh FA department
-  CFA untuk Current Fixed Assets (Existing Assets)</t>
        </r>
      </text>
    </comment>
    <comment ref="E1" authorId="0" shapeId="0" xr:uid="{4F72E581-0048-481D-8496-7D646B127666}">
      <text>
        <r>
          <rPr>
            <b/>
            <sz val="9"/>
            <color indexed="81"/>
            <rFont val="Tahoma"/>
            <family val="2"/>
          </rPr>
          <t>FA:</t>
        </r>
        <r>
          <rPr>
            <sz val="9"/>
            <color indexed="81"/>
            <rFont val="Tahoma"/>
            <family val="2"/>
          </rPr>
          <t xml:space="preserve">
Isi dengan departemen yang akan menggunakan asset</t>
        </r>
      </text>
    </comment>
    <comment ref="H1" authorId="1" shapeId="0" xr:uid="{867AA1D0-F4F3-438E-AB89-F60B2DEC725B}">
      <text>
        <r>
          <rPr>
            <b/>
            <sz val="9"/>
            <color indexed="81"/>
            <rFont val="Tahoma"/>
            <charset val="1"/>
          </rPr>
          <t>FA:</t>
        </r>
        <r>
          <rPr>
            <sz val="9"/>
            <color indexed="81"/>
            <rFont val="Tahoma"/>
            <charset val="1"/>
          </rPr>
          <t xml:space="preserve">
Masukkan daftar asset yang akan di akuisisi pada periode berikut ini:
1. </t>
        </r>
        <r>
          <rPr>
            <b/>
            <sz val="9"/>
            <color indexed="81"/>
            <rFont val="Tahoma"/>
            <family val="2"/>
          </rPr>
          <t>Nov 2024 - Maret 2025</t>
        </r>
        <r>
          <rPr>
            <sz val="9"/>
            <color indexed="81"/>
            <rFont val="Tahoma"/>
            <charset val="1"/>
          </rPr>
          <t xml:space="preserve">
2. FY126 (Apr 2025 - Mar 2026)
3. FY127 (Apr 2026 - Mar 2027)
4. FY128 (Apr 2027 - Mar 2028)</t>
        </r>
      </text>
    </comment>
    <comment ref="K1" authorId="0" shapeId="0" xr:uid="{22A4F3B0-E307-45E0-8B5A-9D1E5F1535C2}">
      <text>
        <r>
          <rPr>
            <b/>
            <sz val="9"/>
            <color indexed="81"/>
            <rFont val="Tahoma"/>
            <family val="2"/>
          </rPr>
          <t>FA:</t>
        </r>
        <r>
          <rPr>
            <sz val="9"/>
            <color indexed="81"/>
            <rFont val="Tahoma"/>
            <family val="2"/>
          </rPr>
          <t xml:space="preserve">
Isikan kolom ini dengan nilai asset secara keseluruhan, contoh; nilai mesin + jasa instalasi + biaya trial + dll
Untuk asset yang akan dialokasikan kebeberapa departemen, harap cantumkan nilai total asset (tidak perlu dibagi secara manual)</t>
        </r>
      </text>
    </comment>
    <comment ref="M1" authorId="0" shapeId="0" xr:uid="{D897555E-DAB9-462E-8345-D1D1E5CCB8D5}">
      <text>
        <r>
          <rPr>
            <b/>
            <sz val="9"/>
            <color indexed="81"/>
            <rFont val="Tahoma"/>
            <family val="2"/>
          </rPr>
          <t>FA:</t>
        </r>
        <r>
          <rPr>
            <sz val="9"/>
            <color indexed="81"/>
            <rFont val="Tahoma"/>
            <family val="2"/>
          </rPr>
          <t xml:space="preserve">
Isi dengan persentase, pembagian untuk asset yang dialokasikan ke beberapa departemen</t>
        </r>
      </text>
    </comment>
    <comment ref="N1" authorId="0" shapeId="0" xr:uid="{81CBBDAE-34B1-4CB7-856D-CC9DFD57C8DC}">
      <text>
        <r>
          <rPr>
            <b/>
            <sz val="9"/>
            <color indexed="81"/>
            <rFont val="Tahoma"/>
            <family val="2"/>
          </rPr>
          <t>FA:</t>
        </r>
        <r>
          <rPr>
            <sz val="9"/>
            <color indexed="81"/>
            <rFont val="Tahoma"/>
            <family val="2"/>
          </rPr>
          <t xml:space="preserve">
Isikan dengan tanggal, kapan asset tersebut akan mulai digunakan</t>
        </r>
      </text>
    </comment>
  </commentList>
</comments>
</file>

<file path=xl/sharedStrings.xml><?xml version="1.0" encoding="utf-8"?>
<sst xmlns="http://schemas.openxmlformats.org/spreadsheetml/2006/main" count="2269" uniqueCount="360">
  <si>
    <t>Name</t>
    <phoneticPr fontId="0"/>
  </si>
  <si>
    <t>COA AX</t>
  </si>
  <si>
    <t>Group Cost</t>
  </si>
  <si>
    <t>UNIQ</t>
  </si>
  <si>
    <t>COA Budget</t>
  </si>
  <si>
    <t>Description</t>
  </si>
  <si>
    <t>Salary for Commissioner</t>
  </si>
  <si>
    <t>SGA</t>
  </si>
  <si>
    <t>A502</t>
  </si>
  <si>
    <t>Salary for Director</t>
  </si>
  <si>
    <t>Salary for Director &amp; Expat</t>
  </si>
  <si>
    <t>Staff Labor - Baslc Salary</t>
  </si>
  <si>
    <t>A501</t>
  </si>
  <si>
    <t>Basic Salary of permanent employee</t>
  </si>
  <si>
    <t>Staff Labor - Allowance</t>
  </si>
  <si>
    <t>Employee allowance</t>
  </si>
  <si>
    <t>Staff Labor - Tax allowance (art.21)</t>
  </si>
  <si>
    <t>Empployee Tax allowance</t>
  </si>
  <si>
    <t>Staff Labor - BPJS JK &amp; JKK (1.19%)</t>
  </si>
  <si>
    <t>BPJS JK &amp; JKK (death warrant, Accident Insurance)</t>
  </si>
  <si>
    <t>Staff Labor - BPJS Kesehatan (4%)</t>
  </si>
  <si>
    <t>BPJS health insurance</t>
  </si>
  <si>
    <t>Staff Overtime</t>
  </si>
  <si>
    <t>A503</t>
  </si>
  <si>
    <t>Overtime permanent employee</t>
  </si>
  <si>
    <t>Staff Welfare - BPJS Dana pensiun (2%)</t>
  </si>
  <si>
    <t>A504</t>
  </si>
  <si>
    <t>BPJS pension fund</t>
  </si>
  <si>
    <t>Staff Welfare - BPJS JHT (3.7%)</t>
  </si>
  <si>
    <t>BPJS Pension plan</t>
  </si>
  <si>
    <t>Staff Bonus / TAT</t>
  </si>
  <si>
    <t>Year-end allowance &amp; Alpha</t>
  </si>
  <si>
    <t>Staff Ramadhan / THR</t>
  </si>
  <si>
    <t>Lebaran bonus</t>
  </si>
  <si>
    <t>Staff Welfare - Outpatient (Medical)</t>
  </si>
  <si>
    <t>outpatient treatment costs</t>
  </si>
  <si>
    <t>Staff Welfare - Hospitalization</t>
  </si>
  <si>
    <t>hospitalization costs</t>
  </si>
  <si>
    <t>Staff Welfare - Glasses</t>
  </si>
  <si>
    <t>glasses costs</t>
  </si>
  <si>
    <t>Staff Welfare - Dental</t>
  </si>
  <si>
    <t>dental costs</t>
  </si>
  <si>
    <t>Staff Welfare - Medical Check Up</t>
  </si>
  <si>
    <t>Medical Check Up cost</t>
  </si>
  <si>
    <t>Staff Welfare - Uniform</t>
  </si>
  <si>
    <t>uniform costs</t>
  </si>
  <si>
    <t>Staff Welfare - Family Gathering / Anniversary</t>
  </si>
  <si>
    <t>Family Gathering / Anniversary</t>
  </si>
  <si>
    <t>Staff Welfare - Meals of canteen &amp; other meals</t>
  </si>
  <si>
    <t>Meals of canteen &amp; other meals cost</t>
  </si>
  <si>
    <t>Staff Welfare - Kaizen &amp; QCC reward</t>
  </si>
  <si>
    <t>an expense, arising from Kaizen and QCC acitivity</t>
  </si>
  <si>
    <t>Staff Welfare - Welfare Others</t>
  </si>
  <si>
    <t>an other welfare expense, arising besides the above welfare expense</t>
  </si>
  <si>
    <t>Retirement Allowance</t>
  </si>
  <si>
    <t>A505</t>
    <phoneticPr fontId="0"/>
  </si>
  <si>
    <t>employee retirement provission costs</t>
  </si>
  <si>
    <t>House Rent Allowance</t>
  </si>
  <si>
    <t>House Rent Allowance for expat</t>
  </si>
  <si>
    <t>Casual Staff Labor - Basic Salary</t>
  </si>
  <si>
    <t>All benefit for temporary worker</t>
  </si>
  <si>
    <t>Casual Staff Labor - Overtime</t>
  </si>
  <si>
    <t>Overtime temporary worker</t>
  </si>
  <si>
    <t>Personnel expense transferred</t>
  </si>
  <si>
    <t>A506</t>
    <phoneticPr fontId="0"/>
  </si>
  <si>
    <t>Transfer Labor cost from one section into another section</t>
  </si>
  <si>
    <t>Depreciation-Building</t>
  </si>
  <si>
    <t>A601</t>
  </si>
  <si>
    <t>the amount of depreciation of tangible assets for building</t>
  </si>
  <si>
    <t>Depreciation-Machiney &amp; equipment</t>
  </si>
  <si>
    <t>the amount of depreciation of tangible assets for machinery &amp; factory equipment</t>
  </si>
  <si>
    <t>Depreciation-Vehicles</t>
  </si>
  <si>
    <t>the amount of depreciation of tangible assets for vehicles</t>
  </si>
  <si>
    <t>Depreciation-Tools, furniture &amp; office equipment</t>
  </si>
  <si>
    <t>the amount of depreciation of tangible assets for office tools, furniture &amp; office equipment</t>
  </si>
  <si>
    <t>Depreciation-Software</t>
  </si>
  <si>
    <r>
      <t xml:space="preserve">the amount of depreciation of </t>
    </r>
    <r>
      <rPr>
        <b/>
        <sz val="10"/>
        <color theme="1"/>
        <rFont val="Tahoma"/>
        <family val="2"/>
      </rPr>
      <t>intangible assets</t>
    </r>
    <r>
      <rPr>
        <sz val="10"/>
        <color theme="1"/>
        <rFont val="Tahoma"/>
        <family val="2"/>
      </rPr>
      <t xml:space="preserve"> for software, and other intangible assets</t>
    </r>
  </si>
  <si>
    <t>Rental car</t>
  </si>
  <si>
    <t>A801</t>
  </si>
  <si>
    <t>The expenses of car rent</t>
  </si>
  <si>
    <t>Other rental fee</t>
  </si>
  <si>
    <t>A701</t>
  </si>
  <si>
    <t>The expenses of rent beside car rent, such as copy machine, dispenser, etc.</t>
  </si>
  <si>
    <t>Electricity Charge</t>
  </si>
  <si>
    <t>A1003</t>
  </si>
  <si>
    <t xml:space="preserve">Electricity consumption </t>
  </si>
  <si>
    <t>Water Supply Charge</t>
  </si>
  <si>
    <t>A1004</t>
  </si>
  <si>
    <t xml:space="preserve">Water consumption </t>
  </si>
  <si>
    <t>Repair Building</t>
  </si>
  <si>
    <t>A1002</t>
  </si>
  <si>
    <t>expenses for repair and maintenance asset building</t>
  </si>
  <si>
    <t>Repair of Equipment</t>
  </si>
  <si>
    <t>expenses for repair and maintenance tangible assets, intangible assets and other assets beside building</t>
  </si>
  <si>
    <t>Factory Supply Expense</t>
  </si>
  <si>
    <t>A1099</t>
  </si>
  <si>
    <t xml:space="preserve">All cost that arrising to support factory acitivity </t>
  </si>
  <si>
    <t>Calibration Cost</t>
  </si>
  <si>
    <t>Cost of calibration for tools and equipment of factory and others</t>
  </si>
  <si>
    <t>Transportation Fee for employee</t>
  </si>
  <si>
    <t>Gasoline of company cars &amp; expense for Local transportation</t>
  </si>
  <si>
    <t>Travel Expense-Domestic</t>
  </si>
  <si>
    <t>expenses for business trip, including allowance for business trip to an employee only for domestic travel</t>
  </si>
  <si>
    <t>Travel Expense-Oversea</t>
  </si>
  <si>
    <t>expenses for business trip, including allowance for business trip to an employee only for overseas travel</t>
  </si>
  <si>
    <t>Entertainment</t>
  </si>
  <si>
    <t>A1001</t>
  </si>
  <si>
    <t>the amount of expenses for the act of entertaining the business partner</t>
  </si>
  <si>
    <t>Amortization of Land &amp; Building tax (PBB)</t>
  </si>
  <si>
    <t>the amount of depreciation of intangible of Land &amp; Building Tax (PBB)</t>
  </si>
  <si>
    <t>License fee</t>
  </si>
  <si>
    <t>The expense related with the documentation process, such as : KIR, Car lisence, company lisence, etc.</t>
  </si>
  <si>
    <t>Insurance Premium</t>
  </si>
  <si>
    <t>expenses for risk management with no premium at the end of the term, such as fire insurance for plants and inventories</t>
  </si>
  <si>
    <t>Office supply &amp; Stationary Expense</t>
  </si>
  <si>
    <t>the amount of supplies for office, such as stationery. Small office equipment included</t>
  </si>
  <si>
    <t>Communication expenses</t>
  </si>
  <si>
    <t>expenses for communication with a people in remote place, such as expense for telephone and postage</t>
  </si>
  <si>
    <t>IT Expense</t>
  </si>
  <si>
    <t>A1005</t>
  </si>
  <si>
    <t>the amount of supplies for IT tools</t>
  </si>
  <si>
    <t>Stamp/Post Fee</t>
  </si>
  <si>
    <t>The expenses related with stamp duty</t>
  </si>
  <si>
    <t>Consultancy/Professional Fee</t>
  </si>
  <si>
    <t>A901</t>
  </si>
  <si>
    <t>a fee for professional who not only public qualification holders, such as a CPA or an attorney, but also a person or an organization with technical knowledge such as a consultant or a translator.</t>
  </si>
  <si>
    <t>NGK group service fee</t>
  </si>
  <si>
    <t>A1007</t>
  </si>
  <si>
    <t>All fees that paid to NGK group</t>
  </si>
  <si>
    <t>Ticket &amp; accomodation of trainer (from NGK Group)</t>
  </si>
  <si>
    <t>The expenses related with the person who come from NGK Group that will provide training to NGK Busi</t>
  </si>
  <si>
    <t>Miscellaneous Expense</t>
  </si>
  <si>
    <t>others operational expense</t>
  </si>
  <si>
    <t>Publishing Expense</t>
  </si>
  <si>
    <t>News paper, magazine, and other publishing cost</t>
  </si>
  <si>
    <t>Cleaning Expense</t>
  </si>
  <si>
    <t>The expenses related with the tools or other for cleaning activity</t>
  </si>
  <si>
    <t>Training Expense</t>
  </si>
  <si>
    <t>A1006</t>
  </si>
  <si>
    <t>Training cost</t>
  </si>
  <si>
    <t>Recruitment Fee</t>
  </si>
  <si>
    <t>Cost for recruitment process</t>
  </si>
  <si>
    <t>Expatriate expenses exclude labor cost</t>
  </si>
  <si>
    <t>Incidental costs related to expatriete</t>
  </si>
  <si>
    <t>Expatriate fee Tax (BADORA)</t>
  </si>
  <si>
    <t>Tax income from expatriete</t>
  </si>
  <si>
    <t>Freights and Export expense</t>
  </si>
  <si>
    <t>A201</t>
  </si>
  <si>
    <t>an expense, arising from export transaction such as; insurance, pallet, freight cost</t>
  </si>
  <si>
    <t>Transportation for Goods</t>
  </si>
  <si>
    <t>A202</t>
  </si>
  <si>
    <t>Transportion expense of local goods sales</t>
  </si>
  <si>
    <t>Packing for Sale</t>
  </si>
  <si>
    <t>A203</t>
  </si>
  <si>
    <t>Packing expense for local good sales</t>
  </si>
  <si>
    <t>Advertising expenses</t>
  </si>
  <si>
    <t>A401</t>
  </si>
  <si>
    <t>an expense for advertise or publication of goods</t>
  </si>
  <si>
    <t>Sales Promotion - Coupon</t>
  </si>
  <si>
    <t>A402</t>
    <phoneticPr fontId="0"/>
  </si>
  <si>
    <r>
      <t xml:space="preserve">an expense for promotion items in the form of </t>
    </r>
    <r>
      <rPr>
        <b/>
        <sz val="10"/>
        <color theme="1"/>
        <rFont val="Tahoma"/>
        <family val="2"/>
      </rPr>
      <t>coupon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</si>
  <si>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Sales Promotion - Activity</t>
  </si>
  <si>
    <t>A404</t>
    <phoneticPr fontId="0"/>
  </si>
  <si>
    <r>
      <t xml:space="preserve">an expense for promotion items in the form of </t>
    </r>
    <r>
      <rPr>
        <b/>
        <sz val="10"/>
        <color theme="1"/>
        <rFont val="Tahoma"/>
        <family val="2"/>
      </rPr>
      <t>promotion activity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</si>
  <si>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Sales Promotion - Supply</t>
  </si>
  <si>
    <t>A403</t>
    <phoneticPr fontId="0"/>
  </si>
  <si>
    <r>
      <t xml:space="preserve">an expense for promotion items in the form of </t>
    </r>
    <r>
      <rPr>
        <b/>
        <sz val="10"/>
        <color theme="1"/>
        <rFont val="Tahoma"/>
        <family val="2"/>
      </rPr>
      <t>mat-prom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</si>
  <si>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Cost of Samples</t>
  </si>
  <si>
    <t>A499</t>
  </si>
  <si>
    <t>Sample expense</t>
  </si>
  <si>
    <t>Sales - Insurance of Delivery or Shipment</t>
  </si>
  <si>
    <t>A299</t>
    <phoneticPr fontId="14"/>
  </si>
  <si>
    <t>Sales - Insurance of AR (Credit Insurance)</t>
  </si>
  <si>
    <t>Sales - Royalty to NGK Group</t>
  </si>
  <si>
    <t>Sales - Royalty to Independence Party</t>
  </si>
  <si>
    <t>Import Duty-purchased FG from NGK group</t>
  </si>
  <si>
    <t>MFG</t>
  </si>
  <si>
    <t>Import Duty-purchased KD&amp;RM from NGK Japan</t>
  </si>
  <si>
    <t>Import Duty-purchased KD&amp;RM from NGK Group(Not fromJP)</t>
  </si>
  <si>
    <t>Import Duty-purchased Comp Parts&amp;RM from outside supplier</t>
  </si>
  <si>
    <t>Import Expense-purchased FG from NGK group</t>
  </si>
  <si>
    <t>Import Expense-purchased KD&amp;RM from NGK Japan</t>
  </si>
  <si>
    <t>Import Expense-purchased KD&amp;RM from NGK Group(Not fromJP)</t>
  </si>
  <si>
    <t>Import Expense-purchased Comp Parts&amp;RM from outside supplier</t>
  </si>
  <si>
    <t>Cost of Factory Supply</t>
  </si>
  <si>
    <t>Cost of Chemical</t>
    <phoneticPr fontId="0"/>
  </si>
  <si>
    <t>The expenses of Chemicals consumption</t>
  </si>
  <si>
    <t>Cost of Packaging</t>
  </si>
  <si>
    <t>Cost of Tooling</t>
  </si>
  <si>
    <t>The expenses of Tooling consumption</t>
  </si>
  <si>
    <t>Cost of Machinery parts</t>
  </si>
  <si>
    <t>The expenses of Spare Parts consumption</t>
  </si>
  <si>
    <t>Casual Staff Labor</t>
  </si>
  <si>
    <t>Others - Miscellaneous Waste</t>
  </si>
  <si>
    <t>OTH</t>
  </si>
  <si>
    <t>Others - Miscellaneous Tax</t>
  </si>
  <si>
    <t>Others - Sport Activity</t>
  </si>
  <si>
    <t>Others - Retribution / Garbage Cost</t>
  </si>
  <si>
    <t>Others - Miscellaneous Non Operational Expense</t>
  </si>
  <si>
    <t>Other Income</t>
  </si>
  <si>
    <t>BNGK</t>
  </si>
  <si>
    <t>GROUP COST</t>
  </si>
  <si>
    <t>GROUP SECTION</t>
  </si>
  <si>
    <t>Code</t>
    <phoneticPr fontId="0"/>
  </si>
  <si>
    <t>COA Assets</t>
  </si>
  <si>
    <t>Name of Asset</t>
  </si>
  <si>
    <t>COA Depre</t>
  </si>
  <si>
    <t>Name of Depre</t>
  </si>
  <si>
    <t>Top Management</t>
  </si>
  <si>
    <t>B1000</t>
  </si>
  <si>
    <t>ADM</t>
  </si>
  <si>
    <t>NGK BUSI INDONESIA</t>
  </si>
  <si>
    <t>Building</t>
  </si>
  <si>
    <t>Commissioner</t>
  </si>
  <si>
    <t>B1001</t>
  </si>
  <si>
    <t>Admin &amp; HR</t>
  </si>
  <si>
    <t>B2200</t>
  </si>
  <si>
    <t>Vehicles</t>
  </si>
  <si>
    <t>General Affair</t>
  </si>
  <si>
    <t>B2210</t>
  </si>
  <si>
    <t>Tools, furniture &amp; office equipment</t>
  </si>
  <si>
    <t>Human Resource</t>
  </si>
  <si>
    <t>B2220</t>
  </si>
  <si>
    <t>Software</t>
  </si>
  <si>
    <t>Health, Safety &amp; Environment</t>
  </si>
  <si>
    <t>B2230</t>
  </si>
  <si>
    <t>Accounting &amp; Finance</t>
  </si>
  <si>
    <t>B2300</t>
  </si>
  <si>
    <t>Information Technology</t>
  </si>
  <si>
    <t>B2400</t>
  </si>
  <si>
    <t>Sales &amp; MKTG Dept.- Automotive</t>
  </si>
  <si>
    <t>B3100</t>
  </si>
  <si>
    <t>Marketing</t>
  </si>
  <si>
    <t>B3160</t>
  </si>
  <si>
    <t>Sales - OEM</t>
  </si>
  <si>
    <t>B3110</t>
  </si>
  <si>
    <t>Sales - OES</t>
  </si>
  <si>
    <t>B3120</t>
  </si>
  <si>
    <t>Sales - IAM</t>
  </si>
  <si>
    <t>B3130</t>
  </si>
  <si>
    <t>SP PD- CF</t>
  </si>
  <si>
    <t>B4101</t>
  </si>
  <si>
    <t>DIR</t>
  </si>
  <si>
    <t>SP PD- CM</t>
  </si>
  <si>
    <t>B4102</t>
  </si>
  <si>
    <t>SP PD- WT</t>
  </si>
  <si>
    <t>B4103</t>
  </si>
  <si>
    <t>SP PD- Plating</t>
  </si>
  <si>
    <t>B4105</t>
  </si>
  <si>
    <t>SP PD- MS Insp.</t>
  </si>
  <si>
    <t>B4109</t>
  </si>
  <si>
    <t>SP PD- Insulator Sealing</t>
  </si>
  <si>
    <t>B4106</t>
  </si>
  <si>
    <t>SP PD- Assy</t>
  </si>
  <si>
    <t>B4110</t>
  </si>
  <si>
    <t>SP-PD-Assy-Auto Assembly</t>
  </si>
  <si>
    <t>B4115</t>
  </si>
  <si>
    <t>SP PD- Bending</t>
  </si>
  <si>
    <t>B4114</t>
  </si>
  <si>
    <t>SP PD- Final Inspection</t>
  </si>
  <si>
    <t>B4120</t>
  </si>
  <si>
    <t>SP PD- QC - OEM</t>
  </si>
  <si>
    <t>B4121</t>
  </si>
  <si>
    <t>PC PD- Injection</t>
  </si>
  <si>
    <t>B4410</t>
  </si>
  <si>
    <t>PC PD- Assy</t>
  </si>
  <si>
    <t>B4430</t>
  </si>
  <si>
    <t>PC PD- QC</t>
  </si>
  <si>
    <t>B4440</t>
  </si>
  <si>
    <t>Plant Operation (Indirect Mfg)</t>
  </si>
  <si>
    <t>B5000</t>
  </si>
  <si>
    <t>IND</t>
  </si>
  <si>
    <t>Production Office</t>
  </si>
  <si>
    <t>B5100</t>
  </si>
  <si>
    <t>Production Office (SP)</t>
  </si>
  <si>
    <t>B5101</t>
  </si>
  <si>
    <t>Production Office (PC)</t>
  </si>
  <si>
    <t>B5104</t>
  </si>
  <si>
    <t>Quality Assurance</t>
  </si>
  <si>
    <t>B5800</t>
  </si>
  <si>
    <t>Quality Control</t>
  </si>
  <si>
    <t>B5900</t>
  </si>
  <si>
    <t>Maintenance</t>
  </si>
  <si>
    <t>B5500</t>
  </si>
  <si>
    <t>Production Engineering</t>
  </si>
  <si>
    <t>B5600</t>
  </si>
  <si>
    <t>Supply Procurement</t>
  </si>
  <si>
    <t>B5130</t>
  </si>
  <si>
    <t>Inventory Control</t>
  </si>
  <si>
    <t>B5200</t>
  </si>
  <si>
    <t>WH Dept.- KD &amp; RM</t>
  </si>
  <si>
    <t>B5710</t>
  </si>
  <si>
    <t>SCM - FG WH</t>
  </si>
  <si>
    <t>B3150</t>
  </si>
  <si>
    <t>Continuous Improvement</t>
  </si>
  <si>
    <t>B5007</t>
  </si>
  <si>
    <t>Asset Name</t>
  </si>
  <si>
    <t>Coa Name</t>
  </si>
  <si>
    <t>Coa ID</t>
  </si>
  <si>
    <t>Acquisition Value</t>
  </si>
  <si>
    <t>Useful Life</t>
  </si>
  <si>
    <t>Allocation %</t>
  </si>
  <si>
    <t>Depre Start</t>
  </si>
  <si>
    <t>BIP</t>
  </si>
  <si>
    <t>CIP</t>
  </si>
  <si>
    <t>A</t>
  </si>
  <si>
    <t>Must</t>
  </si>
  <si>
    <t>If this is not done, the company or our team cannot continue its business.</t>
  </si>
  <si>
    <t>B</t>
  </si>
  <si>
    <t>Want to</t>
  </si>
  <si>
    <t>We want to do it as a team this term. we need it.</t>
  </si>
  <si>
    <t>C</t>
  </si>
  <si>
    <t>Challenge</t>
  </si>
  <si>
    <t>We want to do it for this term or the future. But it doesn't matter if it's not this term.</t>
  </si>
  <si>
    <t>Priority Code</t>
  </si>
  <si>
    <t>Priority Name</t>
  </si>
  <si>
    <t>Budget Allocation</t>
  </si>
  <si>
    <t>Name COA AX</t>
  </si>
  <si>
    <t>Staff Welfare - Safety Shoes</t>
  </si>
  <si>
    <t>Depreciation-Lease Machinery &amp; equipment</t>
  </si>
  <si>
    <t>the amount of depreciation of tangible assets for machinery &amp; factory equipment (Leases)</t>
  </si>
  <si>
    <t>Depreciation - Right of use Assets</t>
  </si>
  <si>
    <t>the amount of depreciation of right of use assets</t>
  </si>
  <si>
    <t>All</t>
  </si>
  <si>
    <t>B0000</t>
  </si>
  <si>
    <t>Audit Fee</t>
  </si>
  <si>
    <t>a fee for external auditor of accounting assessment</t>
  </si>
  <si>
    <t>Security Guard</t>
  </si>
  <si>
    <t>Fee for security from outsourcing company</t>
  </si>
  <si>
    <t>Service Fee (Canteen Meal &amp; other service for staff)</t>
  </si>
  <si>
    <t>Expense for canteen</t>
  </si>
  <si>
    <t>A299</t>
    <phoneticPr fontId="12"/>
  </si>
  <si>
    <t>Import Duty-purchased FG from outside supplier</t>
  </si>
  <si>
    <t>Import Expense-purchased FG from outside supplier</t>
  </si>
  <si>
    <t>Expense-purchased Packaging material from outside supplier</t>
  </si>
  <si>
    <t>Subcontracting Cost</t>
  </si>
  <si>
    <t>Indirect material costs</t>
  </si>
  <si>
    <t>Cost of Oil</t>
  </si>
  <si>
    <t>To Section (Code)</t>
  </si>
  <si>
    <t>To Section (Name)</t>
  </si>
  <si>
    <t>Section From (Code)</t>
  </si>
  <si>
    <t>Section From (Name)</t>
  </si>
  <si>
    <t>Budget_Period</t>
  </si>
  <si>
    <t>Budget Type</t>
  </si>
  <si>
    <t>Group Section</t>
  </si>
  <si>
    <t>CFA</t>
  </si>
  <si>
    <t>Machinery &amp; Equipment - New</t>
  </si>
  <si>
    <t>Machinery &amp; Equipment - Second</t>
  </si>
  <si>
    <t>a construction such as a factory that has a roof and walls and Structure a construction fixed on land other than a building.</t>
  </si>
  <si>
    <t>Devices that used for production, such as cold forming equipment, an assembly machine, and All Factory Equiptment (new)</t>
  </si>
  <si>
    <t>Devices that used for production, such as cold forming equipment, an assembly machine, and All Factory Equiptment (second)</t>
  </si>
  <si>
    <t>things that used for surface-transporting people or goods, such as cars, trucks and forklifts.</t>
  </si>
  <si>
    <t>&gt; 5.000.000</t>
  </si>
  <si>
    <t>furniture that we used in office and factory, and Office equipment, such as fax machine, printer, komputer, note book, etc</t>
  </si>
  <si>
    <t>Value</t>
  </si>
  <si>
    <t>Sales &amp; MKTG Dept.- DID Chain</t>
  </si>
  <si>
    <t>B3172</t>
  </si>
  <si>
    <t>B4130</t>
  </si>
  <si>
    <t>Password protect sheet = budget</t>
  </si>
  <si>
    <t>Version Checking Do Not Delete This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</si>
</sst>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12"/>
      <color theme="0"/>
      <name val="Tahoma"/>
      <family val="2"/>
    </font>
    <font>
      <b/>
      <sz val="12"/>
      <color rgb="FF0033CC"/>
      <name val="Tahoma"/>
      <family val="2"/>
    </font>
    <font>
      <sz val="12"/>
      <color theme="1"/>
      <name val="Tahoma"/>
      <family val="2"/>
    </font>
    <font>
      <sz val="10"/>
      <color theme="1"/>
      <name val="Tahoma"/>
      <family val="2"/>
    </font>
    <font>
      <sz val="10"/>
      <color rgb="FF0033CC"/>
      <name val="Tahoma"/>
      <family val="2"/>
    </font>
    <font>
      <b/>
      <sz val="10"/>
      <color theme="1"/>
      <name val="Tahoma"/>
      <family val="2"/>
    </font>
    <font>
      <sz val="10"/>
      <color rgb="FFC00000"/>
      <name val="Tahoma"/>
      <family val="2"/>
    </font>
    <font>
      <sz val="10"/>
      <name val="Calibri"/>
      <family val="2"/>
      <scheme val="minor"/>
    </font>
    <font>
      <b/>
      <sz val="10"/>
      <color theme="0"/>
      <name val="Tahoma"/>
      <family val="2"/>
    </font>
    <font>
      <sz val="10"/>
      <color theme="0"/>
      <name val="Tahoma"/>
      <family val="2"/>
    </font>
    <font>
      <sz val="9"/>
      <color theme="1"/>
      <name val="Calibri"/>
      <family val="2"/>
      <scheme val="minor"/>
    </font>
    <font>
      <sz val="10"/>
      <name val="Tahoma"/>
      <family val="2"/>
    </font>
    <font>
      <b/>
      <sz val="10"/>
      <color rgb="FF0000FF"/>
      <name val="Tahom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Tahoma"/>
      <family val="2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6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center"/>
    </xf>
    <xf numFmtId="0" fontId="1" fillId="0" borderId="0"/>
    <xf numFmtId="0" fontId="13" fillId="7" borderId="0"/>
    <xf numFmtId="0" fontId="23" fillId="0" borderId="0"/>
    <xf numFmtId="43" fontId="1" fillId="0" borderId="0" applyFont="0" applyFill="0" applyBorder="0" applyAlignment="0" applyProtection="0"/>
    <xf numFmtId="0" fontId="2" fillId="0" borderId="0">
      <alignment vertical="center"/>
    </xf>
    <xf numFmtId="0" fontId="1" fillId="0" borderId="0"/>
  </cellStyleXfs>
  <cellXfs count="85">
    <xf numFmtId="0" fontId="0" fillId="0" borderId="0" xfId="0"/>
    <xf numFmtId="0" fontId="3" fillId="2" borderId="0" xfId="3" applyFont="1" applyFill="1" applyAlignment="1">
      <alignment horizontal="center" vertical="center" wrapText="1"/>
    </xf>
    <xf numFmtId="0" fontId="4" fillId="3" borderId="0" xfId="3" applyFont="1" applyFill="1" applyAlignment="1">
      <alignment horizontal="center" vertical="center" wrapText="1"/>
    </xf>
    <xf numFmtId="0" fontId="5" fillId="0" borderId="0" xfId="3" applyFont="1" applyAlignment="1">
      <alignment vertical="center" wrapText="1"/>
    </xf>
    <xf numFmtId="0" fontId="6" fillId="0" borderId="0" xfId="3" applyFont="1">
      <alignment vertical="center"/>
    </xf>
    <xf numFmtId="0" fontId="6" fillId="0" borderId="0" xfId="3" applyFont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7" fillId="0" borderId="0" xfId="3" applyFont="1">
      <alignment vertical="center"/>
    </xf>
    <xf numFmtId="0" fontId="6" fillId="4" borderId="0" xfId="3" applyFont="1" applyFill="1">
      <alignment vertical="center"/>
    </xf>
    <xf numFmtId="0" fontId="7" fillId="5" borderId="0" xfId="3" applyFont="1" applyFill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4" borderId="0" xfId="3" applyFont="1" applyFill="1" applyAlignment="1">
      <alignment horizontal="center" vertical="center"/>
    </xf>
    <xf numFmtId="0" fontId="10" fillId="0" borderId="0" xfId="4" applyFont="1" applyAlignment="1">
      <alignment horizontal="center" vertical="center"/>
    </xf>
    <xf numFmtId="0" fontId="11" fillId="6" borderId="1" xfId="3" applyFont="1" applyFill="1" applyBorder="1" applyAlignment="1">
      <alignment horizontal="center" vertical="center"/>
    </xf>
    <xf numFmtId="0" fontId="11" fillId="2" borderId="0" xfId="3" applyFont="1" applyFill="1">
      <alignment vertical="center"/>
    </xf>
    <xf numFmtId="0" fontId="12" fillId="6" borderId="1" xfId="3" applyFont="1" applyFill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0" fontId="8" fillId="0" borderId="1" xfId="3" applyFont="1" applyBorder="1">
      <alignment vertical="center"/>
    </xf>
    <xf numFmtId="0" fontId="14" fillId="0" borderId="1" xfId="5" applyFont="1" applyFill="1" applyBorder="1" applyAlignment="1">
      <alignment vertical="center"/>
    </xf>
    <xf numFmtId="0" fontId="14" fillId="0" borderId="1" xfId="5" applyFont="1" applyFill="1" applyBorder="1" applyAlignment="1">
      <alignment horizontal="center" vertical="center"/>
    </xf>
    <xf numFmtId="0" fontId="15" fillId="0" borderId="1" xfId="3" applyFont="1" applyBorder="1">
      <alignment vertical="center"/>
    </xf>
    <xf numFmtId="0" fontId="6" fillId="0" borderId="1" xfId="3" applyFont="1" applyBorder="1">
      <alignment vertical="center"/>
    </xf>
    <xf numFmtId="0" fontId="6" fillId="0" borderId="1" xfId="3" applyFont="1" applyBorder="1" applyAlignment="1">
      <alignment horizontal="center" vertical="center"/>
    </xf>
    <xf numFmtId="0" fontId="14" fillId="0" borderId="1" xfId="3" applyFont="1" applyBorder="1">
      <alignment vertical="center"/>
    </xf>
    <xf numFmtId="0" fontId="16" fillId="0" borderId="0" xfId="0" applyFont="1" applyAlignment="1">
      <alignment vertical="center"/>
    </xf>
    <xf numFmtId="164" fontId="16" fillId="0" borderId="0" xfId="1" applyNumberFormat="1" applyFont="1" applyFill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6" fillId="0" borderId="1" xfId="1" applyNumberFormat="1" applyFont="1" applyBorder="1" applyAlignment="1">
      <alignment horizontal="center" vertical="center"/>
    </xf>
    <xf numFmtId="0" fontId="6" fillId="0" borderId="1" xfId="1" applyNumberFormat="1" applyFont="1" applyBorder="1" applyAlignment="1">
      <alignment vertical="center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20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horizontal="left" vertical="top"/>
    </xf>
    <xf numFmtId="0" fontId="20" fillId="0" borderId="1" xfId="0" applyFont="1" applyBorder="1" applyAlignment="1">
      <alignment horizontal="left" vertical="top" wrapText="1"/>
    </xf>
    <xf numFmtId="164" fontId="16" fillId="0" borderId="0" xfId="1" applyNumberFormat="1" applyFont="1" applyFill="1" applyAlignment="1">
      <alignment vertical="center"/>
    </xf>
    <xf numFmtId="164" fontId="16" fillId="0" borderId="0" xfId="1" applyNumberFormat="1" applyFont="1" applyAlignment="1">
      <alignment vertical="center"/>
    </xf>
    <xf numFmtId="0" fontId="3" fillId="2" borderId="0" xfId="8" applyFont="1" applyFill="1" applyAlignment="1">
      <alignment horizontal="center" vertical="center" wrapText="1"/>
    </xf>
    <xf numFmtId="0" fontId="4" fillId="3" borderId="0" xfId="8" applyFont="1" applyFill="1" applyAlignment="1">
      <alignment horizontal="center" vertical="center" wrapText="1"/>
    </xf>
    <xf numFmtId="0" fontId="5" fillId="8" borderId="0" xfId="8" applyFont="1" applyFill="1" applyAlignment="1">
      <alignment vertical="center" wrapText="1"/>
    </xf>
    <xf numFmtId="0" fontId="11" fillId="6" borderId="1" xfId="8" applyFont="1" applyFill="1" applyBorder="1" applyAlignment="1">
      <alignment horizontal="center" vertical="center"/>
    </xf>
    <xf numFmtId="0" fontId="11" fillId="2" borderId="0" xfId="8" applyFont="1" applyFill="1">
      <alignment vertical="center"/>
    </xf>
    <xf numFmtId="0" fontId="11" fillId="8" borderId="1" xfId="8" applyFont="1" applyFill="1" applyBorder="1" applyAlignment="1">
      <alignment horizontal="center" vertical="center"/>
    </xf>
    <xf numFmtId="0" fontId="12" fillId="6" borderId="1" xfId="8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5" fillId="0" borderId="0" xfId="8" applyFont="1" applyAlignment="1">
      <alignment vertical="center" wrapText="1"/>
    </xf>
    <xf numFmtId="0" fontId="6" fillId="0" borderId="0" xfId="8" applyFont="1">
      <alignment vertical="center"/>
    </xf>
    <xf numFmtId="0" fontId="6" fillId="0" borderId="0" xfId="8" applyFont="1" applyAlignment="1">
      <alignment horizontal="center" vertical="center"/>
    </xf>
    <xf numFmtId="0" fontId="7" fillId="0" borderId="0" xfId="8" applyFont="1" applyAlignment="1">
      <alignment horizontal="center" vertical="center"/>
    </xf>
    <xf numFmtId="0" fontId="7" fillId="0" borderId="0" xfId="8" applyFont="1">
      <alignment vertical="center"/>
    </xf>
    <xf numFmtId="0" fontId="6" fillId="8" borderId="0" xfId="8" applyFont="1" applyFill="1">
      <alignment vertical="center"/>
    </xf>
    <xf numFmtId="0" fontId="15" fillId="0" borderId="1" xfId="8" applyFont="1" applyBorder="1">
      <alignment vertical="center"/>
    </xf>
    <xf numFmtId="0" fontId="6" fillId="0" borderId="1" xfId="8" applyFont="1" applyBorder="1">
      <alignment vertical="center"/>
    </xf>
    <xf numFmtId="0" fontId="14" fillId="0" borderId="1" xfId="8" applyFont="1" applyBorder="1">
      <alignment vertical="center"/>
    </xf>
    <xf numFmtId="0" fontId="15" fillId="9" borderId="1" xfId="5" applyFont="1" applyFill="1" applyBorder="1" applyAlignment="1">
      <alignment vertical="center"/>
    </xf>
    <xf numFmtId="0" fontId="15" fillId="9" borderId="1" xfId="5" applyFont="1" applyFill="1" applyBorder="1" applyAlignment="1">
      <alignment horizontal="center" vertical="center"/>
    </xf>
    <xf numFmtId="0" fontId="15" fillId="9" borderId="1" xfId="8" applyFont="1" applyFill="1" applyBorder="1">
      <alignment vertical="center"/>
    </xf>
    <xf numFmtId="0" fontId="6" fillId="4" borderId="0" xfId="8" applyFont="1" applyFill="1">
      <alignment vertical="center"/>
    </xf>
    <xf numFmtId="0" fontId="7" fillId="5" borderId="0" xfId="8" applyFont="1" applyFill="1" applyAlignment="1">
      <alignment horizontal="center" vertical="center"/>
    </xf>
    <xf numFmtId="0" fontId="9" fillId="0" borderId="0" xfId="8" applyFont="1" applyAlignment="1">
      <alignment horizontal="center" vertical="center"/>
    </xf>
    <xf numFmtId="0" fontId="9" fillId="4" borderId="0" xfId="8" applyFont="1" applyFill="1" applyAlignment="1">
      <alignment horizontal="center" vertical="center"/>
    </xf>
    <xf numFmtId="0" fontId="10" fillId="0" borderId="0" xfId="9" applyFont="1" applyAlignment="1">
      <alignment horizontal="center" vertical="center"/>
    </xf>
    <xf numFmtId="0" fontId="16" fillId="0" borderId="0" xfId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top"/>
    </xf>
    <xf numFmtId="0" fontId="25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16" fillId="10" borderId="0" xfId="1" applyNumberFormat="1" applyFont="1" applyFill="1" applyBorder="1" applyAlignment="1">
      <alignment vertical="center"/>
    </xf>
    <xf numFmtId="164" fontId="16" fillId="0" borderId="0" xfId="1" applyNumberFormat="1" applyFont="1" applyFill="1" applyBorder="1" applyAlignment="1" applyProtection="1">
      <alignment vertical="center"/>
      <protection locked="0"/>
    </xf>
    <xf numFmtId="0" fontId="16" fillId="0" borderId="0" xfId="0" applyFont="1" applyAlignment="1" applyProtection="1">
      <alignment vertical="center"/>
      <protection locked="0"/>
    </xf>
    <xf numFmtId="9" fontId="16" fillId="0" borderId="0" xfId="2" applyFont="1" applyFill="1" applyBorder="1" applyAlignment="1" applyProtection="1">
      <alignment vertical="center"/>
      <protection locked="0"/>
    </xf>
    <xf numFmtId="165" fontId="16" fillId="0" borderId="0" xfId="0" applyNumberFormat="1" applyFont="1" applyAlignment="1" applyProtection="1">
      <alignment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>
      <alignment vertical="top" wrapText="1"/>
    </xf>
    <xf numFmtId="0" fontId="21" fillId="11" borderId="0" xfId="0" applyFont="1" applyFill="1" applyAlignment="1" applyProtection="1">
      <alignment horizontal="center" vertical="top" wrapText="1"/>
      <protection locked="0"/>
    </xf>
    <xf numFmtId="0" fontId="21" fillId="11" borderId="0" xfId="0" applyFont="1" applyFill="1" applyAlignment="1">
      <alignment horizontal="center" vertical="top" wrapText="1"/>
    </xf>
    <xf numFmtId="164" fontId="21" fillId="11" borderId="0" xfId="1" applyNumberFormat="1" applyFont="1" applyFill="1" applyBorder="1" applyAlignment="1">
      <alignment horizontal="center" vertical="top" wrapText="1"/>
    </xf>
    <xf numFmtId="164" fontId="21" fillId="11" borderId="0" xfId="1" applyNumberFormat="1" applyFont="1" applyFill="1" applyBorder="1" applyAlignment="1" applyProtection="1">
      <alignment horizontal="center" vertical="top" wrapText="1"/>
      <protection locked="0"/>
    </xf>
    <xf numFmtId="9" fontId="21" fillId="11" borderId="0" xfId="2" applyFont="1" applyFill="1" applyBorder="1" applyAlignment="1" applyProtection="1">
      <alignment horizontal="center" vertical="top" wrapText="1"/>
      <protection locked="0"/>
    </xf>
    <xf numFmtId="165" fontId="21" fillId="11" borderId="0" xfId="0" applyNumberFormat="1" applyFont="1" applyFill="1" applyAlignment="1" applyProtection="1">
      <alignment horizontal="center" vertical="top" wrapText="1"/>
      <protection locked="0"/>
    </xf>
    <xf numFmtId="164" fontId="21" fillId="11" borderId="0" xfId="1" applyNumberFormat="1" applyFont="1" applyFill="1" applyAlignment="1">
      <alignment vertical="top" wrapText="1"/>
    </xf>
    <xf numFmtId="0" fontId="14" fillId="3" borderId="1" xfId="0" applyFont="1" applyFill="1" applyBorder="1" applyAlignment="1">
      <alignment horizontal="center" vertical="top"/>
    </xf>
  </cellXfs>
  <cellStyles count="10">
    <cellStyle name="Comma" xfId="1" builtinId="3"/>
    <cellStyle name="Comma 3 2" xfId="7" xr:uid="{BDF3CC1A-D45E-486A-AF90-DA506EE3AB88}"/>
    <cellStyle name="Normal" xfId="0" builtinId="0"/>
    <cellStyle name="Normal 2" xfId="3" xr:uid="{D0D1230D-BB5C-46B9-A32E-5621CE411B76}"/>
    <cellStyle name="Normal 2 2" xfId="8" xr:uid="{ADB9C855-0262-4ACB-BA30-02FEFD8893D8}"/>
    <cellStyle name="Normal 20" xfId="6" xr:uid="{125DC8AC-BF0B-497B-AC05-35793C1AF6F9}"/>
    <cellStyle name="Normal 3 3" xfId="4" xr:uid="{0F0BDEAB-4BF8-46D3-9F0B-44F6E0812104}"/>
    <cellStyle name="Normal 3 3 2 2 4" xfId="9" xr:uid="{D1E986E0-2BDF-4861-AFB0-11E61CFDAFF8}"/>
    <cellStyle name="Percent" xfId="2" builtinId="5"/>
    <cellStyle name="標準 2 2" xfId="5" xr:uid="{2993C973-C45A-484E-A994-6D971E3D8809}"/>
  </cellStyles>
  <dxfs count="3"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ction1\center\&#12467;&#12540;&#12489;&#34920;PDM&#12487;&#12540;&#12479;\&#20027;&#20307;&#37329;&#20855;\SHELL%20%20%20(&#12467;&#12540;&#12489;&#65297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467;&#12540;&#12489;&#34920;PDM&#12487;&#12540;&#12479;\&#20027;&#20307;&#37329;&#20855;\SHELL%20%20%20(&#12467;&#12540;&#12489;&#65297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&#20491;&#20154;&#12487;&#65293;&#12479;\&#37325;&#26494;\&#12498;&#12473;&#12488;&#12464;&#12521;&#12512;\&#65419;&#65405;&#65412;&#65400;&#65438;&#65431;&#65425;(LZKAR7A)&#6529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PT.%20NGK\My%20Documents\my%20documents\102&#65374;104&#26399;&#20986;&#33655;&#20104;&#23450;&#34920;&#21508;&#37096;&#37197;&#24067;&#2999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son-mt7500-01\&#20107;&#26989;&#25613;&#30410;&#35211;&#31309;db\PE&#12503;&#12525;&#12487;&#12517;&#12540;&#12473;\183&#26399;\&#38283;&#30330;&#36027;&#29992;Original\CA&#38283;&#30330;&#36027;&#29992;&#35211;&#31309;DB\CA&#35373;&#20633;&#25237;&#36039;&#35336;&#30011;&#2636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WINNT\Profiles\ichikawa\Personal\&#29983;&#29987;&#29366;&#27841;&#22577;&#21578;&#12539;&#65296;&#6530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k.384/AppData/Local/Temp/WINNT/Profiles/ichikawa/Personal/&#29983;&#29987;&#29366;&#27841;&#22577;&#21578;&#12539;&#65296;&#65301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DOCUME~1\osumi\LOCALS~1\Temp\notesFFF692\&#36914;&#25431;CHECK&#12471;&#12540;&#1248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k.384/AppData/Local/Temp/DOCUME~1/osumi/LOCALS~1/Temp/notesFFF692/&#36914;&#25431;CHECK&#12471;&#12540;&#1248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hikawa\ichikawa_Data\Documents%20and%20Settings\ichikawa\&#12487;&#12473;&#12463;&#12488;&#12483;&#12503;\&#29983;&#29987;&#29366;&#27841;&#22577;&#21578;\2001\&#25903;&#25588;&#35336;&#30011;&#12539;&#65298;&#65296;&#65296;&#6529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WINDOWS\&#65411;&#65438;&#65405;&#65400;&#65412;&#65391;&#65420;&#65439;\&#65332;&#65337;setubi\kb410.210.16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i-filesrv05\home\DOCUME~1\takane\LOCALS~1\Temp\c.lotus.notes.data\&#38283;&#30330;&#35336;&#30011;&#21697;&#30058;&#12522;&#12473;&#1248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MY%20DOCUMENTS\&#20013;&#26399;&#35336;&#30011;\&#65305;&#65304;&#12539;&#20013;&#35336;\&#20013;&#26399;&#35336;&#30011;&#65305;&#65304;&#35211;&#30452;&#123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金具工程見出し"/>
      <sheetName val="主体金具コード表"/>
      <sheetName val="Sheet1"/>
      <sheetName val="Welfare"/>
      <sheetName val="Acc Code &amp; Sec"/>
      <sheetName val="Tran-Emp"/>
      <sheetName val="COA2"/>
      <sheetName val="Definition"/>
      <sheetName val="SEC"/>
      <sheetName val="Unit"/>
      <sheetName val="SNGK Section code"/>
      <sheetName val="COA"/>
      <sheetName val="Mapping"/>
      <sheetName val="Asset Group"/>
      <sheetName val="Direct Allocation"/>
      <sheetName val="supplier"/>
      <sheetName val="DEPT&amp;SEC"/>
      <sheetName val="Master Data"/>
      <sheetName val="マスタ"/>
      <sheetName val="マスタ２"/>
      <sheetName val="Master"/>
      <sheetName val="Master_Se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金具工程見出し"/>
      <sheetName val="主体金具コード表"/>
      <sheetName val="CODE-NAME"/>
      <sheetName val="ocean voyage"/>
      <sheetName val="2002"/>
      <sheetName val="直製(集計)"/>
      <sheetName val="3300-00"/>
      <sheetName val="出力②"/>
      <sheetName val="グラフ用"/>
      <sheetName val="PKWT"/>
      <sheetName val="Master"/>
      <sheetName val="monthly_report (11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使い方"/>
      <sheetName val="入力①"/>
      <sheetName val="出力①"/>
      <sheetName val="マクロ①"/>
      <sheetName val="入力②"/>
      <sheetName val="出力②"/>
      <sheetName val="マクロ②"/>
      <sheetName val="グラフ用"/>
      <sheetName val="3100-00"/>
      <sheetName val="支援計画・０４"/>
    </sheetNames>
    <sheetDataSet>
      <sheetData sheetId="0" refreshError="1"/>
      <sheetData sheetId="1"/>
      <sheetData sheetId="2" refreshError="1"/>
      <sheetData sheetId="3" refreshError="1"/>
      <sheetData sheetId="4"/>
      <sheetData sheetId="5">
        <row r="7">
          <cell r="G7" t="str">
            <v>区間</v>
          </cell>
          <cell r="H7" t="str">
            <v>中央値</v>
          </cell>
          <cell r="I7" t="str">
            <v>度数</v>
          </cell>
        </row>
        <row r="8">
          <cell r="G8" t="str">
            <v>～16.35</v>
          </cell>
          <cell r="H8">
            <v>0</v>
          </cell>
          <cell r="I8">
            <v>0</v>
          </cell>
        </row>
        <row r="9">
          <cell r="G9" t="str">
            <v>16.35～16.365</v>
          </cell>
          <cell r="H9">
            <v>16.357500000000002</v>
          </cell>
          <cell r="I9">
            <v>6</v>
          </cell>
        </row>
        <row r="10">
          <cell r="G10" t="str">
            <v>16.365～16.38</v>
          </cell>
          <cell r="H10">
            <v>16.372500000000002</v>
          </cell>
          <cell r="I10">
            <v>10</v>
          </cell>
        </row>
        <row r="11">
          <cell r="G11" t="str">
            <v>16.38～16.395</v>
          </cell>
          <cell r="H11">
            <v>16.387500000000003</v>
          </cell>
          <cell r="I11">
            <v>13</v>
          </cell>
        </row>
        <row r="12">
          <cell r="G12" t="str">
            <v>16.395～16.41</v>
          </cell>
          <cell r="H12">
            <v>16.402500000000003</v>
          </cell>
          <cell r="I12">
            <v>1</v>
          </cell>
        </row>
        <row r="13">
          <cell r="G13" t="str">
            <v>16.41～16.425</v>
          </cell>
          <cell r="H13">
            <v>16.417500000000004</v>
          </cell>
          <cell r="I13">
            <v>0</v>
          </cell>
        </row>
        <row r="14">
          <cell r="G14" t="str">
            <v>16.425～16.44</v>
          </cell>
          <cell r="H14">
            <v>16.432500000000005</v>
          </cell>
          <cell r="I14">
            <v>0</v>
          </cell>
        </row>
        <row r="15">
          <cell r="G15" t="str">
            <v>16.44～16.455</v>
          </cell>
          <cell r="H15">
            <v>16.447500000000005</v>
          </cell>
          <cell r="I15">
            <v>0</v>
          </cell>
        </row>
        <row r="16">
          <cell r="G16" t="str">
            <v>16.455～16.47</v>
          </cell>
          <cell r="H16">
            <v>16.462500000000006</v>
          </cell>
          <cell r="I16">
            <v>0</v>
          </cell>
        </row>
        <row r="17">
          <cell r="G17" t="str">
            <v>16.47～</v>
          </cell>
          <cell r="H17">
            <v>0</v>
          </cell>
          <cell r="I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</row>
      </sheetData>
      <sheetData sheetId="6" refreshError="1"/>
      <sheetData sheetId="7">
        <row r="3">
          <cell r="E3">
            <v>15.852</v>
          </cell>
          <cell r="F3">
            <v>0</v>
          </cell>
        </row>
        <row r="4">
          <cell r="E4">
            <v>15.852</v>
          </cell>
          <cell r="F4">
            <v>0</v>
          </cell>
          <cell r="I4" t="str">
            <v>～16.35</v>
          </cell>
          <cell r="J4">
            <v>0</v>
          </cell>
        </row>
        <row r="5">
          <cell r="E5">
            <v>15.852</v>
          </cell>
          <cell r="F5">
            <v>0</v>
          </cell>
          <cell r="H5">
            <v>16.365000000000002</v>
          </cell>
          <cell r="I5">
            <v>16.357500000000002</v>
          </cell>
          <cell r="J5">
            <v>6</v>
          </cell>
        </row>
        <row r="6">
          <cell r="E6">
            <v>15.852</v>
          </cell>
          <cell r="F6">
            <v>0</v>
          </cell>
          <cell r="H6">
            <v>16.380000000000003</v>
          </cell>
          <cell r="I6">
            <v>16.372500000000002</v>
          </cell>
          <cell r="J6">
            <v>10</v>
          </cell>
        </row>
        <row r="7">
          <cell r="E7">
            <v>15.852</v>
          </cell>
          <cell r="F7">
            <v>0</v>
          </cell>
          <cell r="H7">
            <v>16.395000000000003</v>
          </cell>
          <cell r="I7">
            <v>16.387500000000003</v>
          </cell>
          <cell r="J7">
            <v>13</v>
          </cell>
        </row>
        <row r="8">
          <cell r="E8">
            <v>15.852</v>
          </cell>
          <cell r="F8">
            <v>0</v>
          </cell>
          <cell r="H8">
            <v>16.410000000000004</v>
          </cell>
          <cell r="I8">
            <v>16.402500000000003</v>
          </cell>
          <cell r="J8">
            <v>1</v>
          </cell>
        </row>
        <row r="9">
          <cell r="E9">
            <v>15.852</v>
          </cell>
          <cell r="F9">
            <v>0</v>
          </cell>
          <cell r="H9">
            <v>16.425000000000004</v>
          </cell>
          <cell r="I9">
            <v>16.417500000000004</v>
          </cell>
          <cell r="J9">
            <v>0</v>
          </cell>
        </row>
        <row r="10">
          <cell r="E10">
            <v>15.852</v>
          </cell>
          <cell r="F10">
            <v>0</v>
          </cell>
          <cell r="H10">
            <v>16.440000000000005</v>
          </cell>
          <cell r="I10">
            <v>16.432500000000005</v>
          </cell>
          <cell r="J10">
            <v>0</v>
          </cell>
        </row>
        <row r="11">
          <cell r="E11">
            <v>15.852</v>
          </cell>
          <cell r="F11">
            <v>0</v>
          </cell>
          <cell r="H11">
            <v>16.455000000000005</v>
          </cell>
          <cell r="I11">
            <v>16.447500000000005</v>
          </cell>
          <cell r="J11">
            <v>0</v>
          </cell>
        </row>
        <row r="12">
          <cell r="E12">
            <v>15.852</v>
          </cell>
          <cell r="F12">
            <v>0</v>
          </cell>
          <cell r="H12">
            <v>16.470000000000006</v>
          </cell>
          <cell r="I12">
            <v>16.462500000000006</v>
          </cell>
          <cell r="J12">
            <v>0</v>
          </cell>
        </row>
        <row r="13">
          <cell r="E13">
            <v>15.852</v>
          </cell>
          <cell r="F13">
            <v>0</v>
          </cell>
          <cell r="H13">
            <v>16.485000000000007</v>
          </cell>
          <cell r="I13" t="str">
            <v>16.47～</v>
          </cell>
          <cell r="J13">
            <v>0</v>
          </cell>
        </row>
        <row r="14">
          <cell r="E14">
            <v>15.852</v>
          </cell>
          <cell r="F14">
            <v>0</v>
          </cell>
        </row>
      </sheetData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ｺﾋﾟｰ用（直セ）"/>
      <sheetName val="ｺﾋﾟｰ用（海プ）"/>
      <sheetName val="ｺﾋﾟｰ用（全社）"/>
      <sheetName val="生産進捗表（機械別）（サンプル）"/>
      <sheetName val="グラフ用"/>
      <sheetName val="予定日別1-6"/>
      <sheetName val="CodeMetaData"/>
      <sheetName val="System"/>
      <sheetName val="EE"/>
      <sheetName val="Master"/>
      <sheetName val="◆為替レート"/>
      <sheetName val="生産能力"/>
      <sheetName val="求償データ"/>
      <sheetName val="抽出_401_J3データ"/>
      <sheetName val="FIAT"/>
    </sheetNames>
    <sheetDataSet>
      <sheetData sheetId="0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ヒューズ試作</v>
          </cell>
          <cell r="F2" t="str">
            <v>PX10109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60</v>
          </cell>
          <cell r="N2">
            <v>0</v>
          </cell>
          <cell r="O2">
            <v>60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240000</v>
          </cell>
          <cell r="W2">
            <v>0</v>
          </cell>
          <cell r="X2">
            <v>240000</v>
          </cell>
          <cell r="Y2" t="str">
            <v xml:space="preserve"> </v>
          </cell>
        </row>
        <row r="3">
          <cell r="E3" t="str">
            <v>温度センサー</v>
          </cell>
          <cell r="F3" t="str">
            <v>PX101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60</v>
          </cell>
          <cell r="N3">
            <v>0</v>
          </cell>
          <cell r="O3">
            <v>60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240000</v>
          </cell>
          <cell r="W3">
            <v>0</v>
          </cell>
          <cell r="X3">
            <v>240000</v>
          </cell>
          <cell r="Y3" t="str">
            <v xml:space="preserve"> </v>
          </cell>
        </row>
        <row r="4">
          <cell r="E4" t="str">
            <v>ジルコニア完成品</v>
          </cell>
          <cell r="F4" t="str">
            <v>PX11101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1825072</v>
          </cell>
          <cell r="N4">
            <v>1816956</v>
          </cell>
          <cell r="O4">
            <v>1825072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2068879810</v>
          </cell>
          <cell r="W4">
            <v>2058893260</v>
          </cell>
          <cell r="X4">
            <v>2068879810</v>
          </cell>
          <cell r="Y4" t="str">
            <v xml:space="preserve"> </v>
          </cell>
        </row>
        <row r="5">
          <cell r="E5" t="str">
            <v>ジルコニア部品</v>
          </cell>
          <cell r="F5" t="str">
            <v>PX11102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10000</v>
          </cell>
          <cell r="N5">
            <v>10000</v>
          </cell>
          <cell r="O5">
            <v>10000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75000</v>
          </cell>
          <cell r="W5">
            <v>75000</v>
          </cell>
          <cell r="X5">
            <v>75000</v>
          </cell>
          <cell r="Y5" t="str">
            <v xml:space="preserve"> </v>
          </cell>
        </row>
        <row r="6">
          <cell r="E6" t="str">
            <v>ジルコニア試作</v>
          </cell>
          <cell r="F6" t="str">
            <v>PX11103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913</v>
          </cell>
          <cell r="N6">
            <v>0</v>
          </cell>
          <cell r="O6">
            <v>913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4204745</v>
          </cell>
          <cell r="W6">
            <v>0</v>
          </cell>
          <cell r="X6">
            <v>4204745</v>
          </cell>
          <cell r="Y6" t="str">
            <v xml:space="preserve"> </v>
          </cell>
        </row>
        <row r="7">
          <cell r="E7" t="str">
            <v>チタニア</v>
          </cell>
          <cell r="F7" t="str">
            <v>PX11105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13440</v>
          </cell>
          <cell r="N7">
            <v>13440</v>
          </cell>
          <cell r="O7">
            <v>13440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27291840</v>
          </cell>
          <cell r="W7">
            <v>27291840</v>
          </cell>
          <cell r="X7">
            <v>27291840</v>
          </cell>
          <cell r="Y7" t="str">
            <v xml:space="preserve"> </v>
          </cell>
        </row>
        <row r="8">
          <cell r="E8" t="str">
            <v>全領域センサ－</v>
          </cell>
          <cell r="F8" t="str">
            <v>PX11111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45711</v>
          </cell>
          <cell r="N8">
            <v>0</v>
          </cell>
          <cell r="O8">
            <v>45711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123931022</v>
          </cell>
          <cell r="W8">
            <v>0</v>
          </cell>
          <cell r="X8">
            <v>123931022</v>
          </cell>
          <cell r="Y8" t="str">
            <v xml:space="preserve"> </v>
          </cell>
        </row>
        <row r="9">
          <cell r="E9" t="str">
            <v>全領域部品</v>
          </cell>
          <cell r="F9" t="str">
            <v>PX11112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290</v>
          </cell>
          <cell r="N9">
            <v>0</v>
          </cell>
          <cell r="O9">
            <v>290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6218400</v>
          </cell>
          <cell r="W9">
            <v>0</v>
          </cell>
          <cell r="X9">
            <v>6218400</v>
          </cell>
          <cell r="Y9" t="str">
            <v xml:space="preserve"> </v>
          </cell>
        </row>
        <row r="10">
          <cell r="E10" t="str">
            <v>全領域試作</v>
          </cell>
          <cell r="F10" t="str">
            <v>PX11113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150</v>
          </cell>
          <cell r="N10">
            <v>0</v>
          </cell>
          <cell r="O10">
            <v>150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5454100</v>
          </cell>
          <cell r="W10">
            <v>0</v>
          </cell>
          <cell r="X10">
            <v>5454100</v>
          </cell>
          <cell r="Y10" t="str">
            <v xml:space="preserve"> </v>
          </cell>
        </row>
        <row r="11">
          <cell r="E11" t="str">
            <v>酸素センサー</v>
          </cell>
          <cell r="F11" t="str">
            <v>PX111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1895576</v>
          </cell>
          <cell r="N11">
            <v>1840396</v>
          </cell>
          <cell r="O11">
            <v>1895576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2236054917</v>
          </cell>
          <cell r="W11">
            <v>2086260100</v>
          </cell>
          <cell r="X11">
            <v>2236054917</v>
          </cell>
          <cell r="Y11" t="str">
            <v xml:space="preserve"> </v>
          </cell>
        </row>
        <row r="12">
          <cell r="E12" t="str">
            <v>ＮＯＸセンサー</v>
          </cell>
          <cell r="F12" t="str">
            <v>PX12101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847</v>
          </cell>
          <cell r="N12">
            <v>847</v>
          </cell>
          <cell r="O12">
            <v>847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2855237</v>
          </cell>
          <cell r="W12">
            <v>2855237</v>
          </cell>
          <cell r="X12">
            <v>2855237</v>
          </cell>
          <cell r="Y12" t="str">
            <v xml:space="preserve"> </v>
          </cell>
        </row>
        <row r="13">
          <cell r="E13" t="str">
            <v>ＮＯＸ回路</v>
          </cell>
          <cell r="F13" t="str">
            <v>PX12102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350</v>
          </cell>
          <cell r="N13">
            <v>350</v>
          </cell>
          <cell r="O13">
            <v>350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837200</v>
          </cell>
          <cell r="W13">
            <v>837200</v>
          </cell>
          <cell r="X13">
            <v>837200</v>
          </cell>
          <cell r="Y13" t="str">
            <v xml:space="preserve"> </v>
          </cell>
        </row>
        <row r="14">
          <cell r="E14" t="str">
            <v>ノックセンサー</v>
          </cell>
          <cell r="F14" t="str">
            <v>PX12105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218604</v>
          </cell>
          <cell r="N14">
            <v>218604</v>
          </cell>
          <cell r="O14">
            <v>218604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84894000</v>
          </cell>
          <cell r="W14">
            <v>84894000</v>
          </cell>
          <cell r="X14">
            <v>84894000</v>
          </cell>
          <cell r="Y14" t="str">
            <v xml:space="preserve"> </v>
          </cell>
        </row>
        <row r="15">
          <cell r="E15" t="str">
            <v>ノック　試作品</v>
          </cell>
          <cell r="F15" t="str">
            <v>PX12107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500</v>
          </cell>
          <cell r="N15">
            <v>0</v>
          </cell>
          <cell r="O15">
            <v>500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1350000</v>
          </cell>
          <cell r="W15">
            <v>0</v>
          </cell>
          <cell r="X15">
            <v>1350000</v>
          </cell>
          <cell r="Y15" t="str">
            <v xml:space="preserve"> </v>
          </cell>
        </row>
        <row r="16">
          <cell r="E16" t="str">
            <v>その他のセンサー</v>
          </cell>
          <cell r="F16" t="str">
            <v>PX121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220301</v>
          </cell>
          <cell r="N16">
            <v>219801</v>
          </cell>
          <cell r="O16">
            <v>220301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89936437</v>
          </cell>
          <cell r="W16">
            <v>88586437</v>
          </cell>
          <cell r="X16">
            <v>89936437</v>
          </cell>
          <cell r="Y16" t="str">
            <v xml:space="preserve"> </v>
          </cell>
        </row>
        <row r="17">
          <cell r="E17" t="str">
            <v>センサ－</v>
          </cell>
          <cell r="F17" t="str">
            <v>PX1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2115937</v>
          </cell>
          <cell r="N17">
            <v>2060197</v>
          </cell>
          <cell r="O17">
            <v>2115937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2326231354</v>
          </cell>
          <cell r="W17">
            <v>2174846537</v>
          </cell>
          <cell r="X17">
            <v>2326231354</v>
          </cell>
          <cell r="Y17" t="str">
            <v xml:space="preserve"> </v>
          </cell>
        </row>
        <row r="18">
          <cell r="E18" t="str">
            <v>コントロラー</v>
          </cell>
          <cell r="F18" t="str">
            <v>PX50101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680</v>
          </cell>
          <cell r="N18">
            <v>680</v>
          </cell>
          <cell r="O18">
            <v>680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1236480</v>
          </cell>
          <cell r="W18">
            <v>1236480</v>
          </cell>
          <cell r="X18">
            <v>1236480</v>
          </cell>
          <cell r="Y18" t="str">
            <v xml:space="preserve"> </v>
          </cell>
        </row>
        <row r="19">
          <cell r="E19" t="str">
            <v>リレー</v>
          </cell>
          <cell r="F19" t="str">
            <v>PX50110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300</v>
          </cell>
          <cell r="N19">
            <v>300</v>
          </cell>
          <cell r="O19">
            <v>300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320100</v>
          </cell>
          <cell r="W19">
            <v>320100</v>
          </cell>
          <cell r="X19">
            <v>320100</v>
          </cell>
          <cell r="Y19" t="str">
            <v xml:space="preserve"> </v>
          </cell>
        </row>
        <row r="20">
          <cell r="E20" t="str">
            <v>エアーヒーター</v>
          </cell>
          <cell r="F20" t="str">
            <v>PX50113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6600</v>
          </cell>
          <cell r="N20">
            <v>6600</v>
          </cell>
          <cell r="O20">
            <v>6600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15877200</v>
          </cell>
          <cell r="W20">
            <v>15877200</v>
          </cell>
          <cell r="X20">
            <v>15877200</v>
          </cell>
          <cell r="Y20" t="str">
            <v xml:space="preserve"> </v>
          </cell>
        </row>
        <row r="21">
          <cell r="E21" t="str">
            <v>その他</v>
          </cell>
          <cell r="F21" t="str">
            <v>PX50190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400</v>
          </cell>
          <cell r="N21">
            <v>400</v>
          </cell>
          <cell r="O21">
            <v>400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426000</v>
          </cell>
          <cell r="W21">
            <v>426000</v>
          </cell>
          <cell r="X21">
            <v>426000</v>
          </cell>
          <cell r="Y21" t="str">
            <v xml:space="preserve"> </v>
          </cell>
        </row>
        <row r="22">
          <cell r="E22" t="str">
            <v>Ｑ．Ｇ．Ｓ．</v>
          </cell>
          <cell r="F22" t="str">
            <v>PX501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7980</v>
          </cell>
          <cell r="N22">
            <v>7980</v>
          </cell>
          <cell r="O22">
            <v>7980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17859780</v>
          </cell>
          <cell r="W22">
            <v>17859780</v>
          </cell>
          <cell r="X22">
            <v>17859780</v>
          </cell>
          <cell r="Y22" t="str">
            <v xml:space="preserve"> </v>
          </cell>
        </row>
        <row r="23">
          <cell r="E23" t="str">
            <v>関連品その他</v>
          </cell>
          <cell r="F23" t="str">
            <v>PX5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7980</v>
          </cell>
          <cell r="N23">
            <v>7980</v>
          </cell>
          <cell r="O23">
            <v>7980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17859780</v>
          </cell>
          <cell r="W23">
            <v>17859780</v>
          </cell>
          <cell r="X23">
            <v>17859780</v>
          </cell>
          <cell r="Y23" t="str">
            <v xml:space="preserve"> </v>
          </cell>
        </row>
        <row r="24">
          <cell r="E24" t="str">
            <v>関連品</v>
          </cell>
          <cell r="F24" t="str">
            <v>PX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2123917</v>
          </cell>
          <cell r="N24">
            <v>2068177</v>
          </cell>
          <cell r="O24">
            <v>2123917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2344091134</v>
          </cell>
          <cell r="W24">
            <v>2192706317</v>
          </cell>
          <cell r="X24">
            <v>2344091134</v>
          </cell>
          <cell r="Y24" t="str">
            <v xml:space="preserve"> </v>
          </cell>
        </row>
        <row r="25">
          <cell r="F25" t="str">
            <v xml:space="preserve"> 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2123917</v>
          </cell>
          <cell r="N25">
            <v>2068177</v>
          </cell>
          <cell r="O25">
            <v>2123917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2344091134</v>
          </cell>
          <cell r="W25">
            <v>2192706317</v>
          </cell>
          <cell r="X25">
            <v>2344091134</v>
          </cell>
          <cell r="Y25" t="str">
            <v xml:space="preserve"> </v>
          </cell>
        </row>
      </sheetData>
      <sheetData sheetId="1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474380</v>
          </cell>
          <cell r="N2">
            <v>0</v>
          </cell>
          <cell r="O2">
            <v>474380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32693017</v>
          </cell>
          <cell r="W2">
            <v>0</v>
          </cell>
          <cell r="X2">
            <v>32693017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21900</v>
          </cell>
          <cell r="N3">
            <v>0</v>
          </cell>
          <cell r="O3">
            <v>21900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1485120</v>
          </cell>
          <cell r="W3">
            <v>0</v>
          </cell>
          <cell r="X3">
            <v>1485120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496280</v>
          </cell>
          <cell r="N4">
            <v>0</v>
          </cell>
          <cell r="O4">
            <v>496280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34178137</v>
          </cell>
          <cell r="W4">
            <v>0</v>
          </cell>
          <cell r="X4">
            <v>34178137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53340</v>
          </cell>
          <cell r="N5">
            <v>22690</v>
          </cell>
          <cell r="O5">
            <v>53340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6633456</v>
          </cell>
          <cell r="W5">
            <v>1520430</v>
          </cell>
          <cell r="X5">
            <v>6633456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11100</v>
          </cell>
          <cell r="N6">
            <v>0</v>
          </cell>
          <cell r="O6">
            <v>11100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1035000</v>
          </cell>
          <cell r="W6">
            <v>0</v>
          </cell>
          <cell r="X6">
            <v>1035000</v>
          </cell>
          <cell r="Y6" t="str">
            <v xml:space="preserve"> </v>
          </cell>
        </row>
        <row r="7">
          <cell r="D7" t="str">
            <v xml:space="preserve"> </v>
          </cell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146</v>
          </cell>
          <cell r="N7">
            <v>0</v>
          </cell>
          <cell r="O7">
            <v>146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11818</v>
          </cell>
          <cell r="W7">
            <v>0</v>
          </cell>
          <cell r="X7">
            <v>11818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11680</v>
          </cell>
          <cell r="N8">
            <v>0</v>
          </cell>
          <cell r="O8">
            <v>11680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767100</v>
          </cell>
          <cell r="W8">
            <v>0</v>
          </cell>
          <cell r="X8">
            <v>767100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20</v>
          </cell>
          <cell r="N9">
            <v>0</v>
          </cell>
          <cell r="O9">
            <v>20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4716</v>
          </cell>
          <cell r="W9">
            <v>0</v>
          </cell>
          <cell r="X9">
            <v>4716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38300</v>
          </cell>
          <cell r="N10">
            <v>31680</v>
          </cell>
          <cell r="O10">
            <v>38300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2623256</v>
          </cell>
          <cell r="W10">
            <v>1724976</v>
          </cell>
          <cell r="X10">
            <v>2623256</v>
          </cell>
          <cell r="Y10" t="str">
            <v xml:space="preserve"> </v>
          </cell>
        </row>
        <row r="11">
          <cell r="E11" t="str">
            <v>ＨＫ／ＥＫ／ＥＭ</v>
          </cell>
          <cell r="F11" t="str">
            <v>PP12620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6340</v>
          </cell>
          <cell r="N11">
            <v>0</v>
          </cell>
          <cell r="O11">
            <v>6340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1673426</v>
          </cell>
          <cell r="W11">
            <v>0</v>
          </cell>
          <cell r="X11">
            <v>1673426</v>
          </cell>
          <cell r="Y11" t="str">
            <v xml:space="preserve"> </v>
          </cell>
        </row>
        <row r="12">
          <cell r="E12" t="str">
            <v>ＥＴ</v>
          </cell>
          <cell r="F12" t="str">
            <v>PP12621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400</v>
          </cell>
          <cell r="N12">
            <v>0</v>
          </cell>
          <cell r="O12">
            <v>400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84309</v>
          </cell>
          <cell r="W12">
            <v>0</v>
          </cell>
          <cell r="X12">
            <v>84309</v>
          </cell>
          <cell r="Y12" t="str">
            <v xml:space="preserve"> </v>
          </cell>
        </row>
        <row r="13">
          <cell r="E13" t="str">
            <v>ＥＱ</v>
          </cell>
          <cell r="F13" t="str">
            <v>PP12622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30</v>
          </cell>
          <cell r="N13">
            <v>0</v>
          </cell>
          <cell r="O13">
            <v>30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13884</v>
          </cell>
          <cell r="W13">
            <v>0</v>
          </cell>
          <cell r="X13">
            <v>13884</v>
          </cell>
          <cell r="Y13" t="str">
            <v xml:space="preserve"> </v>
          </cell>
        </row>
        <row r="14">
          <cell r="E14" t="str">
            <v>レース用</v>
          </cell>
          <cell r="F14" t="str">
            <v>PP12672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1020</v>
          </cell>
          <cell r="N14">
            <v>0</v>
          </cell>
          <cell r="O14">
            <v>1020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244146</v>
          </cell>
          <cell r="W14">
            <v>0</v>
          </cell>
          <cell r="X14">
            <v>244146</v>
          </cell>
          <cell r="Y14" t="str">
            <v xml:space="preserve"> </v>
          </cell>
        </row>
        <row r="15">
          <cell r="E15" t="str">
            <v>セミレース用</v>
          </cell>
          <cell r="F15" t="str">
            <v>PP12673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1218</v>
          </cell>
          <cell r="N15">
            <v>0</v>
          </cell>
          <cell r="O15">
            <v>1218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243114</v>
          </cell>
          <cell r="W15">
            <v>0</v>
          </cell>
          <cell r="X15">
            <v>243114</v>
          </cell>
          <cell r="Y15" t="str">
            <v xml:space="preserve"> </v>
          </cell>
        </row>
        <row r="16">
          <cell r="E16" t="str">
            <v>その他</v>
          </cell>
          <cell r="F16" t="str">
            <v>PP12690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1636297</v>
          </cell>
          <cell r="W16">
            <v>0</v>
          </cell>
          <cell r="X16">
            <v>1636297</v>
          </cell>
          <cell r="Y16" t="str">
            <v xml:space="preserve"> </v>
          </cell>
        </row>
        <row r="17">
          <cell r="E17" t="str">
            <v>試　作</v>
          </cell>
          <cell r="F17" t="str">
            <v>PP12691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20</v>
          </cell>
          <cell r="N17">
            <v>0</v>
          </cell>
          <cell r="O17">
            <v>20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100288</v>
          </cell>
          <cell r="W17">
            <v>0</v>
          </cell>
          <cell r="X17">
            <v>100288</v>
          </cell>
          <cell r="Y17" t="str">
            <v xml:space="preserve"> </v>
          </cell>
        </row>
        <row r="18">
          <cell r="E18" t="str">
            <v>特殊品</v>
          </cell>
          <cell r="F18" t="str">
            <v>PP126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123615</v>
          </cell>
          <cell r="N18">
            <v>54370</v>
          </cell>
          <cell r="O18">
            <v>123615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15070810</v>
          </cell>
          <cell r="W18">
            <v>3245406</v>
          </cell>
          <cell r="X18">
            <v>15070810</v>
          </cell>
          <cell r="Y18" t="str">
            <v xml:space="preserve"> </v>
          </cell>
        </row>
        <row r="19">
          <cell r="E19" t="str">
            <v>Ｖ・ＶＸ</v>
          </cell>
          <cell r="F19" t="str">
            <v>PP13006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10994</v>
          </cell>
          <cell r="N19">
            <v>0</v>
          </cell>
          <cell r="O19">
            <v>10994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3728630</v>
          </cell>
          <cell r="W19">
            <v>0</v>
          </cell>
          <cell r="X19">
            <v>3728630</v>
          </cell>
          <cell r="Y19" t="str">
            <v xml:space="preserve"> </v>
          </cell>
        </row>
        <row r="20">
          <cell r="E20" t="str">
            <v>白金チップ</v>
          </cell>
          <cell r="F20" t="str">
            <v>PP13008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10920</v>
          </cell>
          <cell r="N20">
            <v>0</v>
          </cell>
          <cell r="O20">
            <v>10920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5665763</v>
          </cell>
          <cell r="W20">
            <v>0</v>
          </cell>
          <cell r="X20">
            <v>5665763</v>
          </cell>
          <cell r="Y20" t="str">
            <v xml:space="preserve"> </v>
          </cell>
        </row>
        <row r="21">
          <cell r="E21" t="str">
            <v>突出白金チップ</v>
          </cell>
          <cell r="F21" t="str">
            <v>PP13050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22120</v>
          </cell>
          <cell r="N21">
            <v>12000</v>
          </cell>
          <cell r="O21">
            <v>22120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3828840</v>
          </cell>
          <cell r="W21">
            <v>2052000</v>
          </cell>
          <cell r="X21">
            <v>3828840</v>
          </cell>
          <cell r="Y21" t="str">
            <v xml:space="preserve"> </v>
          </cell>
        </row>
        <row r="22">
          <cell r="E22" t="str">
            <v>イリジューム</v>
          </cell>
          <cell r="F22" t="str">
            <v>PP13070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2348</v>
          </cell>
          <cell r="N22">
            <v>2118</v>
          </cell>
          <cell r="O22">
            <v>2348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692478</v>
          </cell>
          <cell r="W22">
            <v>618400</v>
          </cell>
          <cell r="X22">
            <v>692478</v>
          </cell>
          <cell r="Y22" t="str">
            <v xml:space="preserve"> </v>
          </cell>
        </row>
        <row r="23">
          <cell r="E23" t="str">
            <v>貴金属その他</v>
          </cell>
          <cell r="F23" t="str">
            <v>PP13090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5590</v>
          </cell>
          <cell r="N23">
            <v>3000</v>
          </cell>
          <cell r="O23">
            <v>5590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2297188</v>
          </cell>
          <cell r="W23">
            <v>723000</v>
          </cell>
          <cell r="X23">
            <v>2297188</v>
          </cell>
          <cell r="Y23" t="str">
            <v xml:space="preserve"> </v>
          </cell>
        </row>
        <row r="24">
          <cell r="E24" t="str">
            <v>貴金属タイプ</v>
          </cell>
          <cell r="F24" t="str">
            <v>PP130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51972</v>
          </cell>
          <cell r="N24">
            <v>17118</v>
          </cell>
          <cell r="O24">
            <v>51972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16212899</v>
          </cell>
          <cell r="W24">
            <v>3393400</v>
          </cell>
          <cell r="X24">
            <v>16212899</v>
          </cell>
          <cell r="Y24" t="str">
            <v xml:space="preserve"> </v>
          </cell>
        </row>
        <row r="25">
          <cell r="E25" t="str">
            <v>ＱＧＳグロー１材</v>
          </cell>
          <cell r="F25" t="str">
            <v>PP18005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1540</v>
          </cell>
          <cell r="N25">
            <v>0</v>
          </cell>
          <cell r="O25">
            <v>1540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404888</v>
          </cell>
          <cell r="W25">
            <v>0</v>
          </cell>
          <cell r="X25">
            <v>404888</v>
          </cell>
          <cell r="Y25" t="str">
            <v xml:space="preserve"> </v>
          </cell>
        </row>
        <row r="26">
          <cell r="E26" t="str">
            <v>ＱＧＳグロ－２材</v>
          </cell>
          <cell r="F26" t="str">
            <v>PP18008</v>
          </cell>
          <cell r="G26" t="str">
            <v>数量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11140</v>
          </cell>
          <cell r="N26">
            <v>0</v>
          </cell>
          <cell r="O26">
            <v>11140</v>
          </cell>
          <cell r="P26" t="str">
            <v>金額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3471282</v>
          </cell>
          <cell r="W26">
            <v>0</v>
          </cell>
          <cell r="X26">
            <v>3471282</v>
          </cell>
          <cell r="Y26" t="str">
            <v xml:space="preserve"> </v>
          </cell>
        </row>
        <row r="27">
          <cell r="E27" t="str">
            <v>ＳＲＭ</v>
          </cell>
          <cell r="F27" t="str">
            <v>PP18009</v>
          </cell>
          <cell r="G27" t="str">
            <v>数量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2180</v>
          </cell>
          <cell r="N27">
            <v>0</v>
          </cell>
          <cell r="O27">
            <v>2180</v>
          </cell>
          <cell r="P27" t="str">
            <v>金額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1426559</v>
          </cell>
          <cell r="W27">
            <v>0</v>
          </cell>
          <cell r="X27">
            <v>1426559</v>
          </cell>
          <cell r="Y27" t="str">
            <v xml:space="preserve"> </v>
          </cell>
        </row>
        <row r="28">
          <cell r="E28" t="str">
            <v>速熱グロー</v>
          </cell>
          <cell r="F28" t="str">
            <v>PP18011</v>
          </cell>
          <cell r="G28" t="str">
            <v>数量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12870</v>
          </cell>
          <cell r="N28">
            <v>0</v>
          </cell>
          <cell r="O28">
            <v>12870</v>
          </cell>
          <cell r="P28" t="str">
            <v>金額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2484445</v>
          </cell>
          <cell r="W28">
            <v>0</v>
          </cell>
          <cell r="X28">
            <v>2484445</v>
          </cell>
          <cell r="Y28" t="str">
            <v xml:space="preserve"> </v>
          </cell>
        </row>
        <row r="29">
          <cell r="E29" t="str">
            <v>一般グロー</v>
          </cell>
          <cell r="F29" t="str">
            <v>PP18017</v>
          </cell>
          <cell r="G29" t="str">
            <v>数量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2480</v>
          </cell>
          <cell r="N29">
            <v>0</v>
          </cell>
          <cell r="O29">
            <v>2480</v>
          </cell>
          <cell r="P29" t="str">
            <v>金額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294011</v>
          </cell>
          <cell r="W29">
            <v>0</v>
          </cell>
          <cell r="X29">
            <v>294011</v>
          </cell>
          <cell r="Y29" t="str">
            <v xml:space="preserve"> </v>
          </cell>
        </row>
        <row r="30">
          <cell r="E30" t="str">
            <v>コイル</v>
          </cell>
          <cell r="F30" t="str">
            <v>PP18080</v>
          </cell>
          <cell r="G30" t="str">
            <v>数量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20</v>
          </cell>
          <cell r="N30">
            <v>0</v>
          </cell>
          <cell r="O30">
            <v>20</v>
          </cell>
          <cell r="P30" t="str">
            <v>金額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2211</v>
          </cell>
          <cell r="W30">
            <v>0</v>
          </cell>
          <cell r="X30">
            <v>2211</v>
          </cell>
          <cell r="Y30" t="str">
            <v xml:space="preserve"> </v>
          </cell>
        </row>
        <row r="31">
          <cell r="E31" t="str">
            <v>その他</v>
          </cell>
          <cell r="F31" t="str">
            <v>PP18090</v>
          </cell>
          <cell r="G31" t="str">
            <v>数量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</v>
          </cell>
          <cell r="N31">
            <v>0</v>
          </cell>
          <cell r="O31">
            <v>1</v>
          </cell>
          <cell r="P31" t="str">
            <v>金額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620984</v>
          </cell>
          <cell r="W31">
            <v>0</v>
          </cell>
          <cell r="X31">
            <v>620984</v>
          </cell>
          <cell r="Y31" t="str">
            <v xml:space="preserve"> </v>
          </cell>
        </row>
        <row r="32">
          <cell r="E32" t="str">
            <v>試作</v>
          </cell>
          <cell r="F32" t="str">
            <v>PP18091</v>
          </cell>
          <cell r="G32" t="str">
            <v>数量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24</v>
          </cell>
          <cell r="N32">
            <v>0</v>
          </cell>
          <cell r="O32">
            <v>24</v>
          </cell>
          <cell r="P32" t="str">
            <v>金額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48000</v>
          </cell>
          <cell r="W32">
            <v>0</v>
          </cell>
          <cell r="X32">
            <v>48000</v>
          </cell>
          <cell r="Y32" t="str">
            <v xml:space="preserve"> </v>
          </cell>
        </row>
        <row r="33">
          <cell r="E33" t="str">
            <v>メタルグロー</v>
          </cell>
          <cell r="F33" t="str">
            <v>PP180</v>
          </cell>
          <cell r="G33" t="str">
            <v>数量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30255</v>
          </cell>
          <cell r="N33">
            <v>0</v>
          </cell>
          <cell r="O33">
            <v>30255</v>
          </cell>
          <cell r="P33" t="str">
            <v>金額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8752380</v>
          </cell>
          <cell r="W33">
            <v>0</v>
          </cell>
          <cell r="X33">
            <v>8752380</v>
          </cell>
          <cell r="Y33" t="str">
            <v xml:space="preserve"> </v>
          </cell>
        </row>
        <row r="34">
          <cell r="E34" t="str">
            <v>プラグ完成品</v>
          </cell>
          <cell r="F34" t="str">
            <v>PP1</v>
          </cell>
          <cell r="G34" t="str">
            <v>数量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702122</v>
          </cell>
          <cell r="N34">
            <v>71488</v>
          </cell>
          <cell r="O34">
            <v>702122</v>
          </cell>
          <cell r="P34" t="str">
            <v>金額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74214226</v>
          </cell>
          <cell r="W34">
            <v>6638806</v>
          </cell>
          <cell r="X34">
            <v>74214226</v>
          </cell>
          <cell r="Y34" t="str">
            <v xml:space="preserve"> </v>
          </cell>
        </row>
        <row r="35">
          <cell r="E35" t="str">
            <v>中軸付絶縁体</v>
          </cell>
          <cell r="F35" t="str">
            <v>PP50102</v>
          </cell>
          <cell r="G35" t="str">
            <v>数量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7535731</v>
          </cell>
          <cell r="N35">
            <v>2112490</v>
          </cell>
          <cell r="O35">
            <v>7535731</v>
          </cell>
          <cell r="P35" t="str">
            <v>金額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384111683</v>
          </cell>
          <cell r="W35">
            <v>136668923</v>
          </cell>
          <cell r="X35">
            <v>384111683</v>
          </cell>
          <cell r="Y35" t="str">
            <v xml:space="preserve"> </v>
          </cell>
        </row>
        <row r="36">
          <cell r="E36" t="str">
            <v>中　軸</v>
          </cell>
          <cell r="F36" t="str">
            <v>PP50104</v>
          </cell>
          <cell r="G36" t="str">
            <v>数量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2745000</v>
          </cell>
          <cell r="N36">
            <v>350000</v>
          </cell>
          <cell r="O36">
            <v>2745000</v>
          </cell>
          <cell r="P36" t="str">
            <v>金額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18913250</v>
          </cell>
          <cell r="W36">
            <v>1435000</v>
          </cell>
          <cell r="X36">
            <v>18913250</v>
          </cell>
          <cell r="Y36" t="str">
            <v xml:space="preserve"> </v>
          </cell>
        </row>
        <row r="37">
          <cell r="E37" t="str">
            <v>主体金具</v>
          </cell>
          <cell r="F37" t="str">
            <v>PP50106</v>
          </cell>
          <cell r="G37" t="str">
            <v>数量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8590730</v>
          </cell>
          <cell r="N37">
            <v>1785920</v>
          </cell>
          <cell r="O37">
            <v>8590730</v>
          </cell>
          <cell r="P37" t="str">
            <v>金額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166109043</v>
          </cell>
          <cell r="W37">
            <v>67561952</v>
          </cell>
          <cell r="X37">
            <v>166109043</v>
          </cell>
          <cell r="Y37" t="str">
            <v xml:space="preserve"> </v>
          </cell>
        </row>
        <row r="38">
          <cell r="E38" t="str">
            <v>絶縁体</v>
          </cell>
          <cell r="F38" t="str">
            <v>PP50108</v>
          </cell>
          <cell r="G38" t="str">
            <v>数量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2691970</v>
          </cell>
          <cell r="N38">
            <v>326370</v>
          </cell>
          <cell r="O38">
            <v>2691970</v>
          </cell>
          <cell r="P38" t="str">
            <v>金額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49039246</v>
          </cell>
          <cell r="W38">
            <v>2952786</v>
          </cell>
          <cell r="X38">
            <v>49039246</v>
          </cell>
          <cell r="Y38" t="str">
            <v xml:space="preserve"> </v>
          </cell>
        </row>
        <row r="39">
          <cell r="E39" t="str">
            <v>端子ナット</v>
          </cell>
          <cell r="F39" t="str">
            <v>PP50110</v>
          </cell>
          <cell r="G39" t="str">
            <v>数量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1200000</v>
          </cell>
          <cell r="N39">
            <v>0</v>
          </cell>
          <cell r="O39">
            <v>1200000</v>
          </cell>
          <cell r="P39" t="str">
            <v>金額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672000</v>
          </cell>
          <cell r="W39">
            <v>0</v>
          </cell>
          <cell r="X39">
            <v>672000</v>
          </cell>
          <cell r="Y39" t="str">
            <v xml:space="preserve"> </v>
          </cell>
        </row>
        <row r="40">
          <cell r="E40" t="str">
            <v>雄ネジ</v>
          </cell>
          <cell r="F40" t="str">
            <v>PP50112</v>
          </cell>
          <cell r="G40" t="str">
            <v>数量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1235000</v>
          </cell>
          <cell r="N40">
            <v>0</v>
          </cell>
          <cell r="O40">
            <v>1235000</v>
          </cell>
          <cell r="P40" t="str">
            <v>金額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2761500</v>
          </cell>
          <cell r="W40">
            <v>0</v>
          </cell>
          <cell r="X40">
            <v>2761500</v>
          </cell>
          <cell r="Y40" t="str">
            <v xml:space="preserve"> </v>
          </cell>
        </row>
        <row r="41">
          <cell r="E41" t="str">
            <v>一体端子</v>
          </cell>
          <cell r="F41" t="str">
            <v>PP50114</v>
          </cell>
          <cell r="G41" t="str">
            <v>数量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1700000</v>
          </cell>
          <cell r="N41">
            <v>300000</v>
          </cell>
          <cell r="O41">
            <v>1700000</v>
          </cell>
          <cell r="P41" t="str">
            <v>金額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5470400</v>
          </cell>
          <cell r="W41">
            <v>870000</v>
          </cell>
          <cell r="X41">
            <v>5470400</v>
          </cell>
          <cell r="Y41" t="str">
            <v xml:space="preserve"> </v>
          </cell>
        </row>
        <row r="42">
          <cell r="E42" t="str">
            <v>板パッキン</v>
          </cell>
          <cell r="F42" t="str">
            <v>PP50120</v>
          </cell>
          <cell r="G42" t="str">
            <v>数量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2300000</v>
          </cell>
          <cell r="N42">
            <v>0</v>
          </cell>
          <cell r="O42">
            <v>2300000</v>
          </cell>
          <cell r="P42" t="str">
            <v>金額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184000</v>
          </cell>
          <cell r="W42">
            <v>0</v>
          </cell>
          <cell r="X42">
            <v>184000</v>
          </cell>
          <cell r="Y42" t="str">
            <v xml:space="preserve"> </v>
          </cell>
        </row>
        <row r="43">
          <cell r="E43" t="str">
            <v>線パッキン</v>
          </cell>
          <cell r="F43" t="str">
            <v>PP50122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4160000</v>
          </cell>
          <cell r="N43">
            <v>0</v>
          </cell>
          <cell r="O43">
            <v>4160000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332800</v>
          </cell>
          <cell r="W43">
            <v>0</v>
          </cell>
          <cell r="X43">
            <v>332800</v>
          </cell>
          <cell r="Y43" t="str">
            <v xml:space="preserve"> </v>
          </cell>
        </row>
        <row r="44">
          <cell r="E44" t="str">
            <v>ガスケット</v>
          </cell>
          <cell r="F44" t="str">
            <v>PP50125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5530000</v>
          </cell>
          <cell r="N44">
            <v>0</v>
          </cell>
          <cell r="O44">
            <v>5530000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4262200</v>
          </cell>
          <cell r="W44">
            <v>0</v>
          </cell>
          <cell r="X44">
            <v>4262200</v>
          </cell>
          <cell r="Y44" t="str">
            <v xml:space="preserve"> </v>
          </cell>
        </row>
        <row r="45">
          <cell r="E45" t="str">
            <v>外測電極</v>
          </cell>
          <cell r="F45" t="str">
            <v>PP50127</v>
          </cell>
          <cell r="G45" t="str">
            <v>数量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196000</v>
          </cell>
          <cell r="N45">
            <v>196000</v>
          </cell>
          <cell r="O45">
            <v>196000</v>
          </cell>
          <cell r="P45" t="str">
            <v>金額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3332000</v>
          </cell>
          <cell r="W45">
            <v>3332000</v>
          </cell>
          <cell r="X45">
            <v>3332000</v>
          </cell>
          <cell r="Y45" t="str">
            <v xml:space="preserve"> </v>
          </cell>
        </row>
        <row r="46">
          <cell r="E46" t="str">
            <v>特殊中軸</v>
          </cell>
          <cell r="F46" t="str">
            <v>PP50142</v>
          </cell>
          <cell r="G46" t="str">
            <v>数量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500000</v>
          </cell>
          <cell r="N46">
            <v>0</v>
          </cell>
          <cell r="O46">
            <v>500000</v>
          </cell>
          <cell r="P46" t="str">
            <v>金額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3845000</v>
          </cell>
          <cell r="W46">
            <v>0</v>
          </cell>
          <cell r="X46">
            <v>3845000</v>
          </cell>
          <cell r="Y46" t="str">
            <v xml:space="preserve"> </v>
          </cell>
        </row>
        <row r="47">
          <cell r="E47" t="str">
            <v>滑　石</v>
          </cell>
          <cell r="F47" t="str">
            <v>PP50188</v>
          </cell>
          <cell r="G47" t="str">
            <v>数量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12020</v>
          </cell>
          <cell r="N47">
            <v>0</v>
          </cell>
          <cell r="O47">
            <v>12020</v>
          </cell>
          <cell r="P47" t="str">
            <v>金額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2711588</v>
          </cell>
          <cell r="W47">
            <v>0</v>
          </cell>
          <cell r="X47">
            <v>2711588</v>
          </cell>
          <cell r="Y47" t="str">
            <v xml:space="preserve"> </v>
          </cell>
        </row>
        <row r="48">
          <cell r="E48" t="str">
            <v>原材料・他</v>
          </cell>
          <cell r="F48" t="str">
            <v>PP50189</v>
          </cell>
          <cell r="G48" t="str">
            <v>数量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2128070</v>
          </cell>
          <cell r="N48">
            <v>0</v>
          </cell>
          <cell r="O48">
            <v>2128070</v>
          </cell>
          <cell r="P48" t="str">
            <v>金額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38058500</v>
          </cell>
          <cell r="W48">
            <v>0</v>
          </cell>
          <cell r="X48">
            <v>38058500</v>
          </cell>
          <cell r="Y48" t="str">
            <v xml:space="preserve"> </v>
          </cell>
        </row>
        <row r="49">
          <cell r="E49" t="str">
            <v>その他</v>
          </cell>
          <cell r="F49" t="str">
            <v>PP50190</v>
          </cell>
          <cell r="G49" t="str">
            <v>数量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3429</v>
          </cell>
          <cell r="N49">
            <v>0</v>
          </cell>
          <cell r="O49">
            <v>3429</v>
          </cell>
          <cell r="P49" t="str">
            <v>金額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11266215</v>
          </cell>
          <cell r="W49">
            <v>0</v>
          </cell>
          <cell r="X49">
            <v>11266215</v>
          </cell>
          <cell r="Y49" t="str">
            <v xml:space="preserve"> </v>
          </cell>
        </row>
        <row r="50">
          <cell r="E50" t="str">
            <v>スパ－クプラ部品</v>
          </cell>
          <cell r="F50" t="str">
            <v>PP501</v>
          </cell>
          <cell r="G50" t="str">
            <v>数量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40527950</v>
          </cell>
          <cell r="N50">
            <v>5070780</v>
          </cell>
          <cell r="O50">
            <v>40527950</v>
          </cell>
          <cell r="P50" t="str">
            <v>金額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691069425</v>
          </cell>
          <cell r="W50">
            <v>212820661</v>
          </cell>
          <cell r="X50">
            <v>691069425</v>
          </cell>
          <cell r="Y50" t="str">
            <v xml:space="preserve"> </v>
          </cell>
        </row>
        <row r="51">
          <cell r="E51" t="str">
            <v>スウェージャー品</v>
          </cell>
          <cell r="F51" t="str">
            <v>PP50343</v>
          </cell>
          <cell r="G51" t="str">
            <v>数量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-18821</v>
          </cell>
          <cell r="N51">
            <v>0</v>
          </cell>
          <cell r="O51">
            <v>-18821</v>
          </cell>
          <cell r="P51" t="str">
            <v>金額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-4235688</v>
          </cell>
          <cell r="W51">
            <v>0</v>
          </cell>
          <cell r="X51">
            <v>-4235688</v>
          </cell>
          <cell r="Y51" t="str">
            <v xml:space="preserve"> </v>
          </cell>
        </row>
        <row r="52">
          <cell r="E52" t="str">
            <v>その他</v>
          </cell>
          <cell r="F52" t="str">
            <v>PP50390</v>
          </cell>
          <cell r="G52" t="str">
            <v>数量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3410</v>
          </cell>
          <cell r="N52">
            <v>0</v>
          </cell>
          <cell r="O52">
            <v>3410</v>
          </cell>
          <cell r="P52" t="str">
            <v>金額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2549000</v>
          </cell>
          <cell r="W52">
            <v>0</v>
          </cell>
          <cell r="X52">
            <v>2549000</v>
          </cell>
          <cell r="Y52" t="str">
            <v xml:space="preserve"> </v>
          </cell>
        </row>
        <row r="53">
          <cell r="E53" t="str">
            <v>グロー部品</v>
          </cell>
          <cell r="F53" t="str">
            <v>PP503</v>
          </cell>
          <cell r="G53" t="str">
            <v>数量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-15411</v>
          </cell>
          <cell r="N53">
            <v>0</v>
          </cell>
          <cell r="O53">
            <v>-15411</v>
          </cell>
          <cell r="P53" t="str">
            <v>金額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-1686688</v>
          </cell>
          <cell r="W53">
            <v>0</v>
          </cell>
          <cell r="X53">
            <v>-1686688</v>
          </cell>
          <cell r="Y53" t="str">
            <v xml:space="preserve"> </v>
          </cell>
        </row>
        <row r="54">
          <cell r="E54" t="str">
            <v>ガラスパイプ</v>
          </cell>
          <cell r="F54" t="str">
            <v>PP50422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60000</v>
          </cell>
          <cell r="N54">
            <v>0</v>
          </cell>
          <cell r="O54">
            <v>60000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420000</v>
          </cell>
          <cell r="W54">
            <v>0</v>
          </cell>
          <cell r="X54">
            <v>420000</v>
          </cell>
          <cell r="Y54" t="str">
            <v xml:space="preserve"> </v>
          </cell>
        </row>
        <row r="55">
          <cell r="E55" t="str">
            <v>発熱体部品</v>
          </cell>
          <cell r="F55" t="str">
            <v>PP50442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50000</v>
          </cell>
          <cell r="N55">
            <v>0</v>
          </cell>
          <cell r="O55">
            <v>50000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25000000</v>
          </cell>
          <cell r="W55">
            <v>0</v>
          </cell>
          <cell r="X55">
            <v>25000000</v>
          </cell>
          <cell r="Y55" t="str">
            <v xml:space="preserve"> </v>
          </cell>
        </row>
        <row r="56">
          <cell r="E56" t="str">
            <v>Ｃグロー部品</v>
          </cell>
          <cell r="F56" t="str">
            <v>PP504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110000</v>
          </cell>
          <cell r="N56">
            <v>0</v>
          </cell>
          <cell r="O56">
            <v>110000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25420000</v>
          </cell>
          <cell r="W56">
            <v>0</v>
          </cell>
          <cell r="X56">
            <v>25420000</v>
          </cell>
          <cell r="Y56" t="str">
            <v xml:space="preserve"> </v>
          </cell>
        </row>
        <row r="57">
          <cell r="E57" t="str">
            <v>プラグ部品</v>
          </cell>
          <cell r="F57" t="str">
            <v>PP5</v>
          </cell>
          <cell r="G57" t="str">
            <v>数量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40622539</v>
          </cell>
          <cell r="N57">
            <v>5070780</v>
          </cell>
          <cell r="O57">
            <v>40622539</v>
          </cell>
          <cell r="P57" t="str">
            <v>金額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714802737</v>
          </cell>
          <cell r="W57">
            <v>212820661</v>
          </cell>
          <cell r="X57">
            <v>714802737</v>
          </cell>
          <cell r="Y57" t="str">
            <v xml:space="preserve"> </v>
          </cell>
        </row>
        <row r="58">
          <cell r="E58" t="str">
            <v>プラグ</v>
          </cell>
          <cell r="F58" t="str">
            <v>PP</v>
          </cell>
          <cell r="G58" t="str">
            <v>数量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41324661</v>
          </cell>
          <cell r="N58">
            <v>5142268</v>
          </cell>
          <cell r="O58">
            <v>41324661</v>
          </cell>
          <cell r="P58" t="str">
            <v>金額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789016963</v>
          </cell>
          <cell r="W58">
            <v>219459467</v>
          </cell>
          <cell r="X58">
            <v>789016963</v>
          </cell>
          <cell r="Y58" t="str">
            <v xml:space="preserve"> </v>
          </cell>
        </row>
        <row r="59">
          <cell r="E59" t="str">
            <v>ジルコニア半製品</v>
          </cell>
          <cell r="F59" t="str">
            <v>PX11100</v>
          </cell>
          <cell r="G59" t="str">
            <v>数量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119800</v>
          </cell>
          <cell r="N59">
            <v>1000</v>
          </cell>
          <cell r="O59">
            <v>119800</v>
          </cell>
          <cell r="P59" t="str">
            <v>金額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90687000</v>
          </cell>
          <cell r="W59">
            <v>561000</v>
          </cell>
          <cell r="X59">
            <v>90687000</v>
          </cell>
          <cell r="Y59" t="str">
            <v xml:space="preserve"> </v>
          </cell>
        </row>
        <row r="60">
          <cell r="E60" t="str">
            <v>ジルコニア完成品</v>
          </cell>
          <cell r="F60" t="str">
            <v>PX11101</v>
          </cell>
          <cell r="G60" t="str">
            <v>数量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7200</v>
          </cell>
          <cell r="N60">
            <v>7200</v>
          </cell>
          <cell r="O60">
            <v>7200</v>
          </cell>
          <cell r="P60" t="str">
            <v>金額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8596800</v>
          </cell>
          <cell r="W60">
            <v>8596800</v>
          </cell>
          <cell r="X60">
            <v>8596800</v>
          </cell>
          <cell r="Y60" t="str">
            <v xml:space="preserve"> </v>
          </cell>
        </row>
        <row r="61">
          <cell r="E61" t="str">
            <v>ジルコニア部品</v>
          </cell>
          <cell r="F61" t="str">
            <v>PX11102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3960879</v>
          </cell>
          <cell r="N61">
            <v>3283607</v>
          </cell>
          <cell r="O61">
            <v>3960879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222146713</v>
          </cell>
          <cell r="W61">
            <v>189350713</v>
          </cell>
          <cell r="X61">
            <v>222146713</v>
          </cell>
          <cell r="Y61" t="str">
            <v xml:space="preserve"> </v>
          </cell>
        </row>
        <row r="62">
          <cell r="E62" t="str">
            <v>ジルコニア素子</v>
          </cell>
          <cell r="F62" t="str">
            <v>PX11104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702000</v>
          </cell>
          <cell r="N62">
            <v>702000</v>
          </cell>
          <cell r="O62">
            <v>702000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243072720</v>
          </cell>
          <cell r="W62">
            <v>243072720</v>
          </cell>
          <cell r="X62">
            <v>243072720</v>
          </cell>
          <cell r="Y62" t="str">
            <v xml:space="preserve"> </v>
          </cell>
        </row>
        <row r="63">
          <cell r="E63" t="str">
            <v>チタニア</v>
          </cell>
          <cell r="F63" t="str">
            <v>PX11105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25820</v>
          </cell>
          <cell r="N63">
            <v>0</v>
          </cell>
          <cell r="O63">
            <v>25820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34839380</v>
          </cell>
          <cell r="W63">
            <v>0</v>
          </cell>
          <cell r="X63">
            <v>34839380</v>
          </cell>
          <cell r="Y63" t="str">
            <v xml:space="preserve"> </v>
          </cell>
        </row>
        <row r="64">
          <cell r="E64" t="str">
            <v>厚膜センサＮＧＫ</v>
          </cell>
          <cell r="F64" t="str">
            <v>PX11125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700</v>
          </cell>
          <cell r="N64">
            <v>0</v>
          </cell>
          <cell r="O64">
            <v>700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2283400</v>
          </cell>
          <cell r="W64">
            <v>0</v>
          </cell>
          <cell r="X64">
            <v>2283400</v>
          </cell>
          <cell r="Y64" t="str">
            <v xml:space="preserve"> </v>
          </cell>
        </row>
        <row r="65">
          <cell r="E65" t="str">
            <v>酸素センサー</v>
          </cell>
          <cell r="F65" t="str">
            <v>PX111</v>
          </cell>
          <cell r="G65" t="str">
            <v>数量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4816399</v>
          </cell>
          <cell r="N65">
            <v>3993807</v>
          </cell>
          <cell r="O65">
            <v>4816399</v>
          </cell>
          <cell r="P65" t="str">
            <v>金額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601626013</v>
          </cell>
          <cell r="W65">
            <v>441581233</v>
          </cell>
          <cell r="X65">
            <v>601626013</v>
          </cell>
          <cell r="Y65" t="str">
            <v xml:space="preserve"> </v>
          </cell>
        </row>
        <row r="66">
          <cell r="E66" t="str">
            <v>センサ－</v>
          </cell>
          <cell r="F66" t="str">
            <v>PX1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4816399</v>
          </cell>
          <cell r="N66">
            <v>3993807</v>
          </cell>
          <cell r="O66">
            <v>4816399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601626013</v>
          </cell>
          <cell r="W66">
            <v>441581233</v>
          </cell>
          <cell r="X66">
            <v>601626013</v>
          </cell>
          <cell r="Y66" t="str">
            <v xml:space="preserve"> </v>
          </cell>
        </row>
        <row r="67">
          <cell r="E67" t="str">
            <v>抵抗入キャップ</v>
          </cell>
          <cell r="F67" t="str">
            <v>PX51105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1250</v>
          </cell>
          <cell r="N67">
            <v>0</v>
          </cell>
          <cell r="O67">
            <v>1250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144804</v>
          </cell>
          <cell r="W67">
            <v>0</v>
          </cell>
          <cell r="X67">
            <v>144804</v>
          </cell>
          <cell r="Y67" t="str">
            <v xml:space="preserve"> </v>
          </cell>
        </row>
        <row r="68">
          <cell r="E68" t="str">
            <v>その他</v>
          </cell>
          <cell r="F68" t="str">
            <v>PX51190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  <cell r="O68">
            <v>1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21346</v>
          </cell>
          <cell r="W68">
            <v>0</v>
          </cell>
          <cell r="X68">
            <v>21346</v>
          </cell>
          <cell r="Y68" t="str">
            <v xml:space="preserve"> </v>
          </cell>
        </row>
        <row r="69">
          <cell r="E69" t="str">
            <v>部　品</v>
          </cell>
          <cell r="F69" t="str">
            <v>PX51195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960000</v>
          </cell>
          <cell r="N69">
            <v>960000</v>
          </cell>
          <cell r="O69">
            <v>960000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5811000</v>
          </cell>
          <cell r="W69">
            <v>5811000</v>
          </cell>
          <cell r="X69">
            <v>5811000</v>
          </cell>
          <cell r="Y69" t="str">
            <v xml:space="preserve"> </v>
          </cell>
        </row>
        <row r="70">
          <cell r="E70" t="str">
            <v>プラグキャップ</v>
          </cell>
          <cell r="F70" t="str">
            <v>PX511</v>
          </cell>
          <cell r="G70" t="str">
            <v>数量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961251</v>
          </cell>
          <cell r="N70">
            <v>960000</v>
          </cell>
          <cell r="O70">
            <v>961251</v>
          </cell>
          <cell r="P70" t="str">
            <v>金額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5977150</v>
          </cell>
          <cell r="W70">
            <v>5811000</v>
          </cell>
          <cell r="X70">
            <v>5977150</v>
          </cell>
          <cell r="Y70" t="str">
            <v xml:space="preserve"> </v>
          </cell>
        </row>
        <row r="71">
          <cell r="E71" t="str">
            <v>プラグコード</v>
          </cell>
          <cell r="F71" t="str">
            <v>PX52101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422</v>
          </cell>
          <cell r="N71">
            <v>0</v>
          </cell>
          <cell r="O71">
            <v>422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736070</v>
          </cell>
          <cell r="W71">
            <v>0</v>
          </cell>
          <cell r="X71">
            <v>736070</v>
          </cell>
          <cell r="Y71" t="str">
            <v xml:space="preserve"> </v>
          </cell>
        </row>
        <row r="72">
          <cell r="E72" t="str">
            <v>パワーケーブル</v>
          </cell>
          <cell r="F72" t="str">
            <v>PX52130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188</v>
          </cell>
          <cell r="N72">
            <v>0</v>
          </cell>
          <cell r="O72">
            <v>188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1270900</v>
          </cell>
          <cell r="W72">
            <v>0</v>
          </cell>
          <cell r="X72">
            <v>1270900</v>
          </cell>
          <cell r="Y72" t="str">
            <v xml:space="preserve"> </v>
          </cell>
        </row>
        <row r="73">
          <cell r="E73" t="str">
            <v>部　品</v>
          </cell>
          <cell r="F73" t="str">
            <v>PX52195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90000</v>
          </cell>
          <cell r="N73">
            <v>0</v>
          </cell>
          <cell r="O73">
            <v>90000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7640000</v>
          </cell>
          <cell r="W73">
            <v>0</v>
          </cell>
          <cell r="X73">
            <v>7640000</v>
          </cell>
          <cell r="Y73" t="str">
            <v xml:space="preserve"> </v>
          </cell>
        </row>
        <row r="74">
          <cell r="E74" t="str">
            <v>プラグコード</v>
          </cell>
          <cell r="F74" t="str">
            <v>PX521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90610</v>
          </cell>
          <cell r="N74">
            <v>0</v>
          </cell>
          <cell r="O74">
            <v>90610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9646970</v>
          </cell>
          <cell r="W74">
            <v>0</v>
          </cell>
          <cell r="X74">
            <v>9646970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PX59090</v>
          </cell>
          <cell r="G75" t="str">
            <v>数量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234000</v>
          </cell>
          <cell r="N75">
            <v>0</v>
          </cell>
          <cell r="O75">
            <v>234000</v>
          </cell>
          <cell r="P75" t="str">
            <v>金額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93600</v>
          </cell>
          <cell r="W75">
            <v>0</v>
          </cell>
          <cell r="X75">
            <v>93600</v>
          </cell>
          <cell r="Y75" t="str">
            <v xml:space="preserve"> </v>
          </cell>
        </row>
        <row r="76">
          <cell r="E76" t="str">
            <v>その他</v>
          </cell>
          <cell r="F76" t="str">
            <v>PX590</v>
          </cell>
          <cell r="G76" t="str">
            <v>数量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234000</v>
          </cell>
          <cell r="N76">
            <v>0</v>
          </cell>
          <cell r="O76">
            <v>234000</v>
          </cell>
          <cell r="P76" t="str">
            <v>金額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93600</v>
          </cell>
          <cell r="W76">
            <v>0</v>
          </cell>
          <cell r="X76">
            <v>93600</v>
          </cell>
          <cell r="Y76" t="str">
            <v xml:space="preserve"> </v>
          </cell>
        </row>
        <row r="77">
          <cell r="E77" t="str">
            <v>プ事機械設備</v>
          </cell>
          <cell r="F77" t="str">
            <v>PX59501</v>
          </cell>
          <cell r="G77" t="str">
            <v>数量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604</v>
          </cell>
          <cell r="N77">
            <v>0</v>
          </cell>
          <cell r="O77">
            <v>604</v>
          </cell>
          <cell r="P77" t="str">
            <v>金額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11047505</v>
          </cell>
          <cell r="W77">
            <v>0</v>
          </cell>
          <cell r="X77">
            <v>11047505</v>
          </cell>
          <cell r="Y77" t="str">
            <v xml:space="preserve"> </v>
          </cell>
        </row>
        <row r="78">
          <cell r="E78" t="str">
            <v>プ事部品</v>
          </cell>
          <cell r="F78" t="str">
            <v>PX59551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188</v>
          </cell>
          <cell r="N78">
            <v>0</v>
          </cell>
          <cell r="O78">
            <v>188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7395845</v>
          </cell>
          <cell r="W78">
            <v>0</v>
          </cell>
          <cell r="X78">
            <v>7395845</v>
          </cell>
          <cell r="Y78" t="str">
            <v xml:space="preserve"> </v>
          </cell>
        </row>
        <row r="79">
          <cell r="E79" t="str">
            <v>機械設備</v>
          </cell>
          <cell r="F79" t="str">
            <v>PX595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792</v>
          </cell>
          <cell r="N79">
            <v>0</v>
          </cell>
          <cell r="O79">
            <v>792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18443350</v>
          </cell>
          <cell r="W79">
            <v>0</v>
          </cell>
          <cell r="X79">
            <v>18443350</v>
          </cell>
          <cell r="Y79" t="str">
            <v xml:space="preserve"> </v>
          </cell>
        </row>
        <row r="80">
          <cell r="E80" t="str">
            <v>セ事機械設備</v>
          </cell>
          <cell r="F80" t="str">
            <v>PX59601</v>
          </cell>
          <cell r="G80" t="str">
            <v>数量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  <cell r="O80">
            <v>2</v>
          </cell>
          <cell r="P80" t="str">
            <v>金額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70448800</v>
          </cell>
          <cell r="W80">
            <v>0</v>
          </cell>
          <cell r="X80">
            <v>70448800</v>
          </cell>
          <cell r="Y80" t="str">
            <v xml:space="preserve"> </v>
          </cell>
        </row>
        <row r="81">
          <cell r="E81" t="str">
            <v>セ事部品</v>
          </cell>
          <cell r="F81" t="str">
            <v>PX59651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130</v>
          </cell>
          <cell r="N81">
            <v>0</v>
          </cell>
          <cell r="O81">
            <v>130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7050892</v>
          </cell>
          <cell r="W81">
            <v>0</v>
          </cell>
          <cell r="X81">
            <v>7050892</v>
          </cell>
          <cell r="Y81" t="str">
            <v xml:space="preserve"> </v>
          </cell>
        </row>
        <row r="82">
          <cell r="E82" t="str">
            <v>セ事機械設備</v>
          </cell>
          <cell r="F82" t="str">
            <v>PX596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132</v>
          </cell>
          <cell r="N82">
            <v>0</v>
          </cell>
          <cell r="O82">
            <v>132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77499692</v>
          </cell>
          <cell r="W82">
            <v>0</v>
          </cell>
          <cell r="X82">
            <v>77499692</v>
          </cell>
          <cell r="Y82" t="str">
            <v xml:space="preserve"> </v>
          </cell>
        </row>
        <row r="83">
          <cell r="E83" t="str">
            <v>関連品その他</v>
          </cell>
          <cell r="F83" t="str">
            <v>PX5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1286785</v>
          </cell>
          <cell r="N83">
            <v>960000</v>
          </cell>
          <cell r="O83">
            <v>1286785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111660762</v>
          </cell>
          <cell r="W83">
            <v>5811000</v>
          </cell>
          <cell r="X83">
            <v>111660762</v>
          </cell>
          <cell r="Y83" t="str">
            <v xml:space="preserve"> </v>
          </cell>
        </row>
        <row r="84">
          <cell r="E84" t="str">
            <v>雨用バルク</v>
          </cell>
          <cell r="F84" t="str">
            <v>PX90405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1000</v>
          </cell>
          <cell r="N84">
            <v>0</v>
          </cell>
          <cell r="O84">
            <v>1000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321000</v>
          </cell>
          <cell r="W84">
            <v>0</v>
          </cell>
          <cell r="X84">
            <v>321000</v>
          </cell>
          <cell r="Y84" t="str">
            <v xml:space="preserve"> </v>
          </cell>
        </row>
        <row r="85">
          <cell r="E85" t="str">
            <v>ワイパーブレード</v>
          </cell>
          <cell r="F85" t="str">
            <v>PX904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1000</v>
          </cell>
          <cell r="N85">
            <v>0</v>
          </cell>
          <cell r="O85">
            <v>1000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321000</v>
          </cell>
          <cell r="W85">
            <v>0</v>
          </cell>
          <cell r="X85">
            <v>321000</v>
          </cell>
          <cell r="Y85" t="str">
            <v xml:space="preserve"> </v>
          </cell>
        </row>
        <row r="86">
          <cell r="E86" t="str">
            <v>仕入商品</v>
          </cell>
          <cell r="F86" t="str">
            <v>PX9</v>
          </cell>
          <cell r="G86" t="str">
            <v>数量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1000</v>
          </cell>
          <cell r="N86">
            <v>0</v>
          </cell>
          <cell r="O86">
            <v>1000</v>
          </cell>
          <cell r="P86" t="str">
            <v>金額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321000</v>
          </cell>
          <cell r="W86">
            <v>0</v>
          </cell>
          <cell r="X86">
            <v>321000</v>
          </cell>
          <cell r="Y86" t="str">
            <v xml:space="preserve"> </v>
          </cell>
        </row>
        <row r="87">
          <cell r="E87" t="str">
            <v>関連品</v>
          </cell>
          <cell r="F87" t="str">
            <v>PX</v>
          </cell>
          <cell r="G87" t="str">
            <v>数量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6104184</v>
          </cell>
          <cell r="N87">
            <v>4953807</v>
          </cell>
          <cell r="O87">
            <v>6104184</v>
          </cell>
          <cell r="P87" t="str">
            <v>金額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713607775</v>
          </cell>
          <cell r="W87">
            <v>447392233</v>
          </cell>
          <cell r="X87">
            <v>713607775</v>
          </cell>
          <cell r="Y87" t="str">
            <v xml:space="preserve"> </v>
          </cell>
        </row>
        <row r="88">
          <cell r="F88" t="str">
            <v xml:space="preserve"> </v>
          </cell>
          <cell r="G88" t="str">
            <v>数量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47428845</v>
          </cell>
          <cell r="N88">
            <v>10096075</v>
          </cell>
          <cell r="O88">
            <v>47428845</v>
          </cell>
          <cell r="P88" t="str">
            <v>金額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1502624738</v>
          </cell>
          <cell r="W88">
            <v>666851700</v>
          </cell>
          <cell r="X88">
            <v>1502624738</v>
          </cell>
          <cell r="Y88" t="str">
            <v xml:space="preserve"> </v>
          </cell>
        </row>
      </sheetData>
      <sheetData sheetId="2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139638</v>
          </cell>
          <cell r="I2">
            <v>148156</v>
          </cell>
          <cell r="J2">
            <v>635</v>
          </cell>
          <cell r="K2">
            <v>153310</v>
          </cell>
          <cell r="L2">
            <v>302101</v>
          </cell>
          <cell r="M2">
            <v>7147181</v>
          </cell>
          <cell r="N2">
            <v>73000</v>
          </cell>
          <cell r="O2">
            <v>7588920</v>
          </cell>
          <cell r="P2" t="str">
            <v>金額</v>
          </cell>
          <cell r="Q2">
            <v>4799546</v>
          </cell>
          <cell r="R2">
            <v>25897903</v>
          </cell>
          <cell r="S2">
            <v>115515</v>
          </cell>
          <cell r="T2">
            <v>25570266</v>
          </cell>
          <cell r="U2">
            <v>51583684</v>
          </cell>
          <cell r="V2">
            <v>497498676</v>
          </cell>
          <cell r="W2">
            <v>2617410</v>
          </cell>
          <cell r="X2">
            <v>553881906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9274</v>
          </cell>
          <cell r="I3">
            <v>7695</v>
          </cell>
          <cell r="J3">
            <v>28</v>
          </cell>
          <cell r="K3">
            <v>5525</v>
          </cell>
          <cell r="L3">
            <v>13248</v>
          </cell>
          <cell r="M3">
            <v>289211</v>
          </cell>
          <cell r="N3">
            <v>12000</v>
          </cell>
          <cell r="O3">
            <v>311733</v>
          </cell>
          <cell r="P3" t="str">
            <v>金額</v>
          </cell>
          <cell r="Q3">
            <v>505750</v>
          </cell>
          <cell r="R3">
            <v>1369264</v>
          </cell>
          <cell r="S3">
            <v>4900</v>
          </cell>
          <cell r="T3">
            <v>938436</v>
          </cell>
          <cell r="U3">
            <v>2312600</v>
          </cell>
          <cell r="V3">
            <v>21091460</v>
          </cell>
          <cell r="W3">
            <v>240000</v>
          </cell>
          <cell r="X3">
            <v>23909810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148912</v>
          </cell>
          <cell r="I4">
            <v>155851</v>
          </cell>
          <cell r="J4">
            <v>663</v>
          </cell>
          <cell r="K4">
            <v>158835</v>
          </cell>
          <cell r="L4">
            <v>315349</v>
          </cell>
          <cell r="M4">
            <v>7436392</v>
          </cell>
          <cell r="N4">
            <v>85000</v>
          </cell>
          <cell r="O4">
            <v>7900653</v>
          </cell>
          <cell r="P4" t="str">
            <v>金額</v>
          </cell>
          <cell r="Q4">
            <v>5305296</v>
          </cell>
          <cell r="R4">
            <v>27267167</v>
          </cell>
          <cell r="S4">
            <v>120415</v>
          </cell>
          <cell r="T4">
            <v>26508702</v>
          </cell>
          <cell r="U4">
            <v>53896284</v>
          </cell>
          <cell r="V4">
            <v>518590136</v>
          </cell>
          <cell r="W4">
            <v>2857410</v>
          </cell>
          <cell r="X4">
            <v>577791716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895901</v>
          </cell>
          <cell r="I5">
            <v>252406</v>
          </cell>
          <cell r="J5">
            <v>416</v>
          </cell>
          <cell r="K5">
            <v>331836</v>
          </cell>
          <cell r="L5">
            <v>584658</v>
          </cell>
          <cell r="M5">
            <v>6114539</v>
          </cell>
          <cell r="N5">
            <v>601790</v>
          </cell>
          <cell r="O5">
            <v>7595098</v>
          </cell>
          <cell r="P5" t="str">
            <v>金額</v>
          </cell>
          <cell r="Q5">
            <v>54571220</v>
          </cell>
          <cell r="R5">
            <v>60084713</v>
          </cell>
          <cell r="S5">
            <v>106226</v>
          </cell>
          <cell r="T5">
            <v>76179964</v>
          </cell>
          <cell r="U5">
            <v>136370903</v>
          </cell>
          <cell r="V5">
            <v>506084171</v>
          </cell>
          <cell r="W5">
            <v>29161555</v>
          </cell>
          <cell r="X5">
            <v>697026294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815630</v>
          </cell>
          <cell r="I6">
            <v>260238</v>
          </cell>
          <cell r="J6">
            <v>1464</v>
          </cell>
          <cell r="K6">
            <v>895996</v>
          </cell>
          <cell r="L6">
            <v>1157698</v>
          </cell>
          <cell r="M6">
            <v>2791353</v>
          </cell>
          <cell r="N6">
            <v>14000</v>
          </cell>
          <cell r="O6">
            <v>4764681</v>
          </cell>
          <cell r="P6" t="str">
            <v>金額</v>
          </cell>
          <cell r="Q6">
            <v>46241674</v>
          </cell>
          <cell r="R6">
            <v>60410883</v>
          </cell>
          <cell r="S6">
            <v>357151</v>
          </cell>
          <cell r="T6">
            <v>176866624</v>
          </cell>
          <cell r="U6">
            <v>237634658</v>
          </cell>
          <cell r="V6">
            <v>235280746</v>
          </cell>
          <cell r="W6">
            <v>973000</v>
          </cell>
          <cell r="X6">
            <v>519157078</v>
          </cell>
          <cell r="Y6" t="str">
            <v xml:space="preserve"> </v>
          </cell>
        </row>
        <row r="7"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48</v>
          </cell>
          <cell r="J7">
            <v>0</v>
          </cell>
          <cell r="K7">
            <v>0</v>
          </cell>
          <cell r="L7">
            <v>48</v>
          </cell>
          <cell r="M7">
            <v>441400</v>
          </cell>
          <cell r="N7">
            <v>0</v>
          </cell>
          <cell r="O7">
            <v>441448</v>
          </cell>
          <cell r="P7" t="str">
            <v>金額</v>
          </cell>
          <cell r="Q7">
            <v>0</v>
          </cell>
          <cell r="R7">
            <v>17672</v>
          </cell>
          <cell r="S7">
            <v>0</v>
          </cell>
          <cell r="T7">
            <v>0</v>
          </cell>
          <cell r="U7">
            <v>17672</v>
          </cell>
          <cell r="V7">
            <v>30234792</v>
          </cell>
          <cell r="W7">
            <v>0</v>
          </cell>
          <cell r="X7">
            <v>30252464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201976</v>
          </cell>
          <cell r="I8">
            <v>28750</v>
          </cell>
          <cell r="J8">
            <v>633</v>
          </cell>
          <cell r="K8">
            <v>11679</v>
          </cell>
          <cell r="L8">
            <v>41062</v>
          </cell>
          <cell r="M8">
            <v>1085100</v>
          </cell>
          <cell r="N8">
            <v>280100</v>
          </cell>
          <cell r="O8">
            <v>1328138</v>
          </cell>
          <cell r="P8" t="str">
            <v>金額</v>
          </cell>
          <cell r="Q8">
            <v>11418437</v>
          </cell>
          <cell r="R8">
            <v>4948691</v>
          </cell>
          <cell r="S8">
            <v>105205</v>
          </cell>
          <cell r="T8">
            <v>2016394</v>
          </cell>
          <cell r="U8">
            <v>7070290</v>
          </cell>
          <cell r="V8">
            <v>62392227</v>
          </cell>
          <cell r="W8">
            <v>8038500</v>
          </cell>
          <cell r="X8">
            <v>80880954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36168</v>
          </cell>
          <cell r="I9">
            <v>0</v>
          </cell>
          <cell r="J9">
            <v>0</v>
          </cell>
          <cell r="K9">
            <v>671</v>
          </cell>
          <cell r="L9">
            <v>671</v>
          </cell>
          <cell r="M9">
            <v>8980</v>
          </cell>
          <cell r="N9">
            <v>0</v>
          </cell>
          <cell r="O9">
            <v>45819</v>
          </cell>
          <cell r="P9" t="str">
            <v>金額</v>
          </cell>
          <cell r="Q9">
            <v>2785472</v>
          </cell>
          <cell r="R9">
            <v>0</v>
          </cell>
          <cell r="S9">
            <v>0</v>
          </cell>
          <cell r="T9">
            <v>193631</v>
          </cell>
          <cell r="U9">
            <v>193631</v>
          </cell>
          <cell r="V9">
            <v>1330580</v>
          </cell>
          <cell r="W9">
            <v>0</v>
          </cell>
          <cell r="X9">
            <v>4309683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205464</v>
          </cell>
          <cell r="I10">
            <v>36695</v>
          </cell>
          <cell r="J10">
            <v>72</v>
          </cell>
          <cell r="K10">
            <v>123513</v>
          </cell>
          <cell r="L10">
            <v>160280</v>
          </cell>
          <cell r="M10">
            <v>605991</v>
          </cell>
          <cell r="N10">
            <v>24480</v>
          </cell>
          <cell r="O10">
            <v>971735</v>
          </cell>
          <cell r="P10" t="str">
            <v>金額</v>
          </cell>
          <cell r="Q10">
            <v>16086479</v>
          </cell>
          <cell r="R10">
            <v>10877906</v>
          </cell>
          <cell r="S10">
            <v>21740</v>
          </cell>
          <cell r="T10">
            <v>36284514</v>
          </cell>
          <cell r="U10">
            <v>47184160</v>
          </cell>
          <cell r="V10">
            <v>62587181</v>
          </cell>
          <cell r="W10">
            <v>1309176</v>
          </cell>
          <cell r="X10">
            <v>125857820</v>
          </cell>
          <cell r="Y10" t="str">
            <v xml:space="preserve"> </v>
          </cell>
        </row>
        <row r="11">
          <cell r="E11" t="str">
            <v>沿　面</v>
          </cell>
          <cell r="F11" t="str">
            <v>PP12612</v>
          </cell>
          <cell r="G11" t="str">
            <v>数量</v>
          </cell>
          <cell r="H11">
            <v>0</v>
          </cell>
          <cell r="I11">
            <v>94</v>
          </cell>
          <cell r="J11">
            <v>0</v>
          </cell>
          <cell r="K11">
            <v>0</v>
          </cell>
          <cell r="L11">
            <v>94</v>
          </cell>
          <cell r="M11">
            <v>33170</v>
          </cell>
          <cell r="N11">
            <v>0</v>
          </cell>
          <cell r="O11">
            <v>33264</v>
          </cell>
          <cell r="P11" t="str">
            <v>金額</v>
          </cell>
          <cell r="Q11">
            <v>0</v>
          </cell>
          <cell r="R11">
            <v>40440</v>
          </cell>
          <cell r="S11">
            <v>0</v>
          </cell>
          <cell r="T11">
            <v>0</v>
          </cell>
          <cell r="U11">
            <v>40440</v>
          </cell>
          <cell r="V11">
            <v>4474350</v>
          </cell>
          <cell r="W11">
            <v>0</v>
          </cell>
          <cell r="X11">
            <v>4514790</v>
          </cell>
          <cell r="Y11" t="str">
            <v xml:space="preserve"> </v>
          </cell>
        </row>
        <row r="12">
          <cell r="E12" t="str">
            <v>セミ沿面</v>
          </cell>
          <cell r="F12" t="str">
            <v>PP12614</v>
          </cell>
          <cell r="G12" t="str">
            <v>数量</v>
          </cell>
          <cell r="H12">
            <v>1100</v>
          </cell>
          <cell r="I12">
            <v>1551</v>
          </cell>
          <cell r="J12">
            <v>3</v>
          </cell>
          <cell r="K12">
            <v>995</v>
          </cell>
          <cell r="L12">
            <v>2549</v>
          </cell>
          <cell r="M12">
            <v>59480</v>
          </cell>
          <cell r="N12">
            <v>0</v>
          </cell>
          <cell r="O12">
            <v>63129</v>
          </cell>
          <cell r="P12" t="str">
            <v>金額</v>
          </cell>
          <cell r="Q12">
            <v>73700</v>
          </cell>
          <cell r="R12">
            <v>444565</v>
          </cell>
          <cell r="S12">
            <v>780</v>
          </cell>
          <cell r="T12">
            <v>290563</v>
          </cell>
          <cell r="U12">
            <v>735908</v>
          </cell>
          <cell r="V12">
            <v>5423570</v>
          </cell>
          <cell r="W12">
            <v>0</v>
          </cell>
          <cell r="X12">
            <v>6233178</v>
          </cell>
          <cell r="Y12" t="str">
            <v xml:space="preserve"> </v>
          </cell>
        </row>
        <row r="13">
          <cell r="E13" t="str">
            <v>ＨＫ／ＥＫ／ＥＭ</v>
          </cell>
          <cell r="F13" t="str">
            <v>PP12620</v>
          </cell>
          <cell r="G13" t="str">
            <v>数量</v>
          </cell>
          <cell r="H13">
            <v>232216</v>
          </cell>
          <cell r="I13">
            <v>53256</v>
          </cell>
          <cell r="J13">
            <v>60</v>
          </cell>
          <cell r="K13">
            <v>37666</v>
          </cell>
          <cell r="L13">
            <v>90982</v>
          </cell>
          <cell r="M13">
            <v>1111868</v>
          </cell>
          <cell r="N13">
            <v>109760</v>
          </cell>
          <cell r="O13">
            <v>1435066</v>
          </cell>
          <cell r="P13" t="str">
            <v>金額</v>
          </cell>
          <cell r="Q13">
            <v>24644255</v>
          </cell>
          <cell r="R13">
            <v>17953867</v>
          </cell>
          <cell r="S13">
            <v>20890</v>
          </cell>
          <cell r="T13">
            <v>11871645</v>
          </cell>
          <cell r="U13">
            <v>29846402</v>
          </cell>
          <cell r="V13">
            <v>117021425</v>
          </cell>
          <cell r="W13">
            <v>8634510</v>
          </cell>
          <cell r="X13">
            <v>171512082</v>
          </cell>
          <cell r="Y13" t="str">
            <v xml:space="preserve"> </v>
          </cell>
        </row>
        <row r="14">
          <cell r="E14" t="str">
            <v>ＥＴ</v>
          </cell>
          <cell r="F14" t="str">
            <v>PP12621</v>
          </cell>
          <cell r="G14" t="str">
            <v>数量</v>
          </cell>
          <cell r="H14">
            <v>7400</v>
          </cell>
          <cell r="I14">
            <v>1774</v>
          </cell>
          <cell r="J14">
            <v>0</v>
          </cell>
          <cell r="K14">
            <v>69</v>
          </cell>
          <cell r="L14">
            <v>1843</v>
          </cell>
          <cell r="M14">
            <v>1184300</v>
          </cell>
          <cell r="N14">
            <v>229890</v>
          </cell>
          <cell r="O14">
            <v>1193543</v>
          </cell>
          <cell r="P14" t="str">
            <v>金額</v>
          </cell>
          <cell r="Q14">
            <v>999000</v>
          </cell>
          <cell r="R14">
            <v>703720</v>
          </cell>
          <cell r="S14">
            <v>0</v>
          </cell>
          <cell r="T14">
            <v>20408</v>
          </cell>
          <cell r="U14">
            <v>724128</v>
          </cell>
          <cell r="V14">
            <v>134220987</v>
          </cell>
          <cell r="W14">
            <v>15203070</v>
          </cell>
          <cell r="X14">
            <v>135944115</v>
          </cell>
          <cell r="Y14" t="str">
            <v xml:space="preserve"> </v>
          </cell>
        </row>
        <row r="15">
          <cell r="E15" t="str">
            <v>ＥＱ</v>
          </cell>
          <cell r="F15" t="str">
            <v>PP12622</v>
          </cell>
          <cell r="G15" t="str">
            <v>数量</v>
          </cell>
          <cell r="H15">
            <v>288</v>
          </cell>
          <cell r="I15">
            <v>2790</v>
          </cell>
          <cell r="J15">
            <v>12</v>
          </cell>
          <cell r="K15">
            <v>4136</v>
          </cell>
          <cell r="L15">
            <v>6938</v>
          </cell>
          <cell r="M15">
            <v>4580</v>
          </cell>
          <cell r="N15">
            <v>0</v>
          </cell>
          <cell r="O15">
            <v>11806</v>
          </cell>
          <cell r="P15" t="str">
            <v>金額</v>
          </cell>
          <cell r="Q15">
            <v>83520</v>
          </cell>
          <cell r="R15">
            <v>1970940</v>
          </cell>
          <cell r="S15">
            <v>8520</v>
          </cell>
          <cell r="T15">
            <v>2558080</v>
          </cell>
          <cell r="U15">
            <v>4537540</v>
          </cell>
          <cell r="V15">
            <v>1575054</v>
          </cell>
          <cell r="W15">
            <v>0</v>
          </cell>
          <cell r="X15">
            <v>6196114</v>
          </cell>
          <cell r="Y15" t="str">
            <v xml:space="preserve"> </v>
          </cell>
        </row>
        <row r="16">
          <cell r="E16" t="str">
            <v>特殊タイプ</v>
          </cell>
          <cell r="F16" t="str">
            <v>PP12627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2000</v>
          </cell>
          <cell r="L16">
            <v>2000</v>
          </cell>
          <cell r="M16">
            <v>0</v>
          </cell>
          <cell r="N16">
            <v>0</v>
          </cell>
          <cell r="O16">
            <v>2000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920000</v>
          </cell>
          <cell r="U16">
            <v>920000</v>
          </cell>
          <cell r="V16">
            <v>0</v>
          </cell>
          <cell r="W16">
            <v>0</v>
          </cell>
          <cell r="X16">
            <v>920000</v>
          </cell>
          <cell r="Y16" t="str">
            <v xml:space="preserve"> </v>
          </cell>
        </row>
        <row r="17">
          <cell r="E17" t="str">
            <v>農舶用</v>
          </cell>
          <cell r="F17" t="str">
            <v>PP12670</v>
          </cell>
          <cell r="G17" t="str">
            <v>数量</v>
          </cell>
          <cell r="H17">
            <v>0</v>
          </cell>
          <cell r="I17">
            <v>210</v>
          </cell>
          <cell r="J17">
            <v>0</v>
          </cell>
          <cell r="K17">
            <v>12</v>
          </cell>
          <cell r="L17">
            <v>222</v>
          </cell>
          <cell r="M17">
            <v>1360</v>
          </cell>
          <cell r="N17">
            <v>0</v>
          </cell>
          <cell r="O17">
            <v>1582</v>
          </cell>
          <cell r="P17" t="str">
            <v>金額</v>
          </cell>
          <cell r="Q17">
            <v>0</v>
          </cell>
          <cell r="R17">
            <v>68315</v>
          </cell>
          <cell r="S17">
            <v>0</v>
          </cell>
          <cell r="T17">
            <v>3960</v>
          </cell>
          <cell r="U17">
            <v>72275</v>
          </cell>
          <cell r="V17">
            <v>180420</v>
          </cell>
          <cell r="W17">
            <v>0</v>
          </cell>
          <cell r="X17">
            <v>252695</v>
          </cell>
          <cell r="Y17" t="str">
            <v xml:space="preserve"> </v>
          </cell>
        </row>
        <row r="18">
          <cell r="E18" t="str">
            <v>レース用</v>
          </cell>
          <cell r="F18" t="str">
            <v>PP12672</v>
          </cell>
          <cell r="G18" t="str">
            <v>数量</v>
          </cell>
          <cell r="H18">
            <v>3661</v>
          </cell>
          <cell r="I18">
            <v>629</v>
          </cell>
          <cell r="J18">
            <v>0</v>
          </cell>
          <cell r="K18">
            <v>197</v>
          </cell>
          <cell r="L18">
            <v>826</v>
          </cell>
          <cell r="M18">
            <v>78314</v>
          </cell>
          <cell r="N18">
            <v>0</v>
          </cell>
          <cell r="O18">
            <v>82801</v>
          </cell>
          <cell r="P18" t="str">
            <v>金額</v>
          </cell>
          <cell r="Q18">
            <v>449262</v>
          </cell>
          <cell r="R18">
            <v>182375</v>
          </cell>
          <cell r="S18">
            <v>0</v>
          </cell>
          <cell r="T18">
            <v>57882</v>
          </cell>
          <cell r="U18">
            <v>240257</v>
          </cell>
          <cell r="V18">
            <v>11270103</v>
          </cell>
          <cell r="W18">
            <v>0</v>
          </cell>
          <cell r="X18">
            <v>11959622</v>
          </cell>
          <cell r="Y18" t="str">
            <v xml:space="preserve"> </v>
          </cell>
        </row>
        <row r="19">
          <cell r="E19" t="str">
            <v>セミレース用</v>
          </cell>
          <cell r="F19" t="str">
            <v>PP12673</v>
          </cell>
          <cell r="G19" t="str">
            <v>数量</v>
          </cell>
          <cell r="H19">
            <v>622</v>
          </cell>
          <cell r="I19">
            <v>2636</v>
          </cell>
          <cell r="J19">
            <v>0</v>
          </cell>
          <cell r="K19">
            <v>1590</v>
          </cell>
          <cell r="L19">
            <v>4226</v>
          </cell>
          <cell r="M19">
            <v>14168</v>
          </cell>
          <cell r="N19">
            <v>0</v>
          </cell>
          <cell r="O19">
            <v>19016</v>
          </cell>
          <cell r="P19" t="str">
            <v>金額</v>
          </cell>
          <cell r="Q19">
            <v>54480</v>
          </cell>
          <cell r="R19">
            <v>902510</v>
          </cell>
          <cell r="S19">
            <v>0</v>
          </cell>
          <cell r="T19">
            <v>525108</v>
          </cell>
          <cell r="U19">
            <v>1427618</v>
          </cell>
          <cell r="V19">
            <v>2824069</v>
          </cell>
          <cell r="W19">
            <v>0</v>
          </cell>
          <cell r="X19">
            <v>4306167</v>
          </cell>
          <cell r="Y19" t="str">
            <v xml:space="preserve"> </v>
          </cell>
        </row>
        <row r="20">
          <cell r="E20" t="str">
            <v>ジェット</v>
          </cell>
          <cell r="F20" t="str">
            <v>PP12684</v>
          </cell>
          <cell r="G20" t="str">
            <v>数量</v>
          </cell>
          <cell r="H20">
            <v>5</v>
          </cell>
          <cell r="I20">
            <v>12</v>
          </cell>
          <cell r="J20">
            <v>0</v>
          </cell>
          <cell r="K20">
            <v>4</v>
          </cell>
          <cell r="L20">
            <v>16</v>
          </cell>
          <cell r="M20">
            <v>290</v>
          </cell>
          <cell r="N20">
            <v>0</v>
          </cell>
          <cell r="O20">
            <v>311</v>
          </cell>
          <cell r="P20" t="str">
            <v>金額</v>
          </cell>
          <cell r="Q20">
            <v>147800</v>
          </cell>
          <cell r="R20">
            <v>801200</v>
          </cell>
          <cell r="S20">
            <v>0</v>
          </cell>
          <cell r="T20">
            <v>85600</v>
          </cell>
          <cell r="U20">
            <v>886800</v>
          </cell>
          <cell r="V20">
            <v>4012500</v>
          </cell>
          <cell r="W20">
            <v>0</v>
          </cell>
          <cell r="X20">
            <v>5047100</v>
          </cell>
          <cell r="Y20" t="str">
            <v xml:space="preserve"> </v>
          </cell>
        </row>
        <row r="21">
          <cell r="E21" t="str">
            <v>ＧＬ</v>
          </cell>
          <cell r="F21" t="str">
            <v>PP12686</v>
          </cell>
          <cell r="G21" t="str">
            <v>数量</v>
          </cell>
          <cell r="H21">
            <v>70</v>
          </cell>
          <cell r="I21">
            <v>10</v>
          </cell>
          <cell r="J21">
            <v>0</v>
          </cell>
          <cell r="K21">
            <v>94</v>
          </cell>
          <cell r="L21">
            <v>104</v>
          </cell>
          <cell r="M21">
            <v>0</v>
          </cell>
          <cell r="N21">
            <v>0</v>
          </cell>
          <cell r="O21">
            <v>174</v>
          </cell>
          <cell r="P21" t="str">
            <v>金額</v>
          </cell>
          <cell r="Q21">
            <v>1545000</v>
          </cell>
          <cell r="R21">
            <v>120000</v>
          </cell>
          <cell r="S21">
            <v>0</v>
          </cell>
          <cell r="T21">
            <v>1048180</v>
          </cell>
          <cell r="U21">
            <v>1168180</v>
          </cell>
          <cell r="V21">
            <v>0</v>
          </cell>
          <cell r="W21">
            <v>0</v>
          </cell>
          <cell r="X21">
            <v>2713180</v>
          </cell>
          <cell r="Y21" t="str">
            <v xml:space="preserve"> </v>
          </cell>
        </row>
        <row r="22">
          <cell r="E22" t="str">
            <v>その他</v>
          </cell>
          <cell r="F22" t="str">
            <v>PP12690</v>
          </cell>
          <cell r="G22" t="str">
            <v>数量</v>
          </cell>
          <cell r="H22">
            <v>132</v>
          </cell>
          <cell r="I22">
            <v>4</v>
          </cell>
          <cell r="J22">
            <v>0</v>
          </cell>
          <cell r="K22">
            <v>0</v>
          </cell>
          <cell r="L22">
            <v>4</v>
          </cell>
          <cell r="M22">
            <v>1</v>
          </cell>
          <cell r="N22">
            <v>0</v>
          </cell>
          <cell r="O22">
            <v>137</v>
          </cell>
          <cell r="P22" t="str">
            <v>金額</v>
          </cell>
          <cell r="Q22">
            <v>17002</v>
          </cell>
          <cell r="R22">
            <v>87832</v>
          </cell>
          <cell r="S22">
            <v>0</v>
          </cell>
          <cell r="T22">
            <v>0</v>
          </cell>
          <cell r="U22">
            <v>87832</v>
          </cell>
          <cell r="V22">
            <v>1636297</v>
          </cell>
          <cell r="W22">
            <v>0</v>
          </cell>
          <cell r="X22">
            <v>1741131</v>
          </cell>
          <cell r="Y22" t="str">
            <v xml:space="preserve"> </v>
          </cell>
        </row>
        <row r="23">
          <cell r="E23" t="str">
            <v>試　作</v>
          </cell>
          <cell r="F23" t="str">
            <v>PP12691</v>
          </cell>
          <cell r="G23" t="str">
            <v>数量</v>
          </cell>
          <cell r="H23">
            <v>7448</v>
          </cell>
          <cell r="I23">
            <v>15097</v>
          </cell>
          <cell r="J23">
            <v>0</v>
          </cell>
          <cell r="K23">
            <v>2182</v>
          </cell>
          <cell r="L23">
            <v>17279</v>
          </cell>
          <cell r="M23">
            <v>13452</v>
          </cell>
          <cell r="N23">
            <v>0</v>
          </cell>
          <cell r="O23">
            <v>38179</v>
          </cell>
          <cell r="P23" t="str">
            <v>金額</v>
          </cell>
          <cell r="Q23">
            <v>21756202</v>
          </cell>
          <cell r="R23">
            <v>20068560</v>
          </cell>
          <cell r="S23">
            <v>0</v>
          </cell>
          <cell r="T23">
            <v>6401895</v>
          </cell>
          <cell r="U23">
            <v>26470455</v>
          </cell>
          <cell r="V23">
            <v>19764775</v>
          </cell>
          <cell r="W23">
            <v>0</v>
          </cell>
          <cell r="X23">
            <v>67991432</v>
          </cell>
          <cell r="Y23" t="str">
            <v xml:space="preserve"> </v>
          </cell>
        </row>
        <row r="24">
          <cell r="E24" t="str">
            <v>特殊品</v>
          </cell>
          <cell r="F24" t="str">
            <v>PP126</v>
          </cell>
          <cell r="G24" t="str">
            <v>数量</v>
          </cell>
          <cell r="H24">
            <v>2408081</v>
          </cell>
          <cell r="I24">
            <v>656200</v>
          </cell>
          <cell r="J24">
            <v>2660</v>
          </cell>
          <cell r="K24">
            <v>1412640</v>
          </cell>
          <cell r="L24">
            <v>2071500</v>
          </cell>
          <cell r="M24">
            <v>13548346</v>
          </cell>
          <cell r="N24">
            <v>1260020</v>
          </cell>
          <cell r="O24">
            <v>18027927</v>
          </cell>
          <cell r="P24" t="str">
            <v>金額</v>
          </cell>
          <cell r="Q24">
            <v>180873503</v>
          </cell>
          <cell r="R24">
            <v>179684189</v>
          </cell>
          <cell r="S24">
            <v>620512</v>
          </cell>
          <cell r="T24">
            <v>315324448</v>
          </cell>
          <cell r="U24">
            <v>495629149</v>
          </cell>
          <cell r="V24">
            <v>1200313247</v>
          </cell>
          <cell r="W24">
            <v>63319811</v>
          </cell>
          <cell r="X24">
            <v>1876815899</v>
          </cell>
          <cell r="Y24" t="str">
            <v xml:space="preserve"> </v>
          </cell>
        </row>
        <row r="25">
          <cell r="E25" t="str">
            <v>Ｖ・ＶＸ</v>
          </cell>
          <cell r="F25" t="str">
            <v>PP13006</v>
          </cell>
          <cell r="G25" t="str">
            <v>数量</v>
          </cell>
          <cell r="H25">
            <v>10297</v>
          </cell>
          <cell r="I25">
            <v>14595</v>
          </cell>
          <cell r="J25">
            <v>75</v>
          </cell>
          <cell r="K25">
            <v>4854</v>
          </cell>
          <cell r="L25">
            <v>19524</v>
          </cell>
          <cell r="M25">
            <v>309644</v>
          </cell>
          <cell r="N25">
            <v>9440</v>
          </cell>
          <cell r="O25">
            <v>339465</v>
          </cell>
          <cell r="P25" t="str">
            <v>金額</v>
          </cell>
          <cell r="Q25">
            <v>3665505</v>
          </cell>
          <cell r="R25">
            <v>9839200</v>
          </cell>
          <cell r="S25">
            <v>46550</v>
          </cell>
          <cell r="T25">
            <v>3285176</v>
          </cell>
          <cell r="U25">
            <v>13170926</v>
          </cell>
          <cell r="V25">
            <v>61229050</v>
          </cell>
          <cell r="W25">
            <v>1996712</v>
          </cell>
          <cell r="X25">
            <v>78065481</v>
          </cell>
          <cell r="Y25" t="str">
            <v xml:space="preserve"> </v>
          </cell>
        </row>
        <row r="26">
          <cell r="E26" t="str">
            <v>白金チップ</v>
          </cell>
          <cell r="F26" t="str">
            <v>PP13008</v>
          </cell>
          <cell r="G26" t="str">
            <v>数量</v>
          </cell>
          <cell r="H26">
            <v>260681</v>
          </cell>
          <cell r="I26">
            <v>8802</v>
          </cell>
          <cell r="J26">
            <v>18</v>
          </cell>
          <cell r="K26">
            <v>75226</v>
          </cell>
          <cell r="L26">
            <v>84046</v>
          </cell>
          <cell r="M26">
            <v>690759</v>
          </cell>
          <cell r="N26">
            <v>227420</v>
          </cell>
          <cell r="O26">
            <v>1035486</v>
          </cell>
          <cell r="P26" t="str">
            <v>金額</v>
          </cell>
          <cell r="Q26">
            <v>55327300</v>
          </cell>
          <cell r="R26">
            <v>8078580</v>
          </cell>
          <cell r="S26">
            <v>16380</v>
          </cell>
          <cell r="T26">
            <v>43578045</v>
          </cell>
          <cell r="U26">
            <v>51673005</v>
          </cell>
          <cell r="V26">
            <v>221776269</v>
          </cell>
          <cell r="W26">
            <v>48421411</v>
          </cell>
          <cell r="X26">
            <v>328776574</v>
          </cell>
          <cell r="Y26" t="str">
            <v xml:space="preserve"> </v>
          </cell>
        </row>
        <row r="27">
          <cell r="E27" t="str">
            <v>ロングリーチ白金</v>
          </cell>
          <cell r="F27" t="str">
            <v>PP13040</v>
          </cell>
          <cell r="G27" t="str">
            <v>数量</v>
          </cell>
          <cell r="H27">
            <v>132486</v>
          </cell>
          <cell r="I27">
            <v>0</v>
          </cell>
          <cell r="J27">
            <v>0</v>
          </cell>
          <cell r="K27">
            <v>98</v>
          </cell>
          <cell r="L27">
            <v>98</v>
          </cell>
          <cell r="M27">
            <v>600</v>
          </cell>
          <cell r="N27">
            <v>0</v>
          </cell>
          <cell r="O27">
            <v>133184</v>
          </cell>
          <cell r="P27" t="str">
            <v>金額</v>
          </cell>
          <cell r="Q27">
            <v>25333980</v>
          </cell>
          <cell r="R27">
            <v>0</v>
          </cell>
          <cell r="S27">
            <v>0</v>
          </cell>
          <cell r="T27">
            <v>75486</v>
          </cell>
          <cell r="U27">
            <v>75486</v>
          </cell>
          <cell r="V27">
            <v>275100</v>
          </cell>
          <cell r="W27">
            <v>0</v>
          </cell>
          <cell r="X27">
            <v>25684566</v>
          </cell>
          <cell r="Y27" t="str">
            <v xml:space="preserve"> </v>
          </cell>
        </row>
        <row r="28">
          <cell r="E28" t="str">
            <v>ロング片側白金</v>
          </cell>
          <cell r="F28" t="str">
            <v>PP13041</v>
          </cell>
          <cell r="G28" t="str">
            <v>数量</v>
          </cell>
          <cell r="H28">
            <v>24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24</v>
          </cell>
          <cell r="P28" t="str">
            <v>金額</v>
          </cell>
          <cell r="Q28">
            <v>3528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3528</v>
          </cell>
          <cell r="Y28" t="str">
            <v xml:space="preserve"> </v>
          </cell>
        </row>
        <row r="29">
          <cell r="E29" t="str">
            <v>突出白金チップ</v>
          </cell>
          <cell r="F29" t="str">
            <v>PP13050</v>
          </cell>
          <cell r="G29" t="str">
            <v>数量</v>
          </cell>
          <cell r="H29">
            <v>27496</v>
          </cell>
          <cell r="I29">
            <v>533</v>
          </cell>
          <cell r="J29">
            <v>0</v>
          </cell>
          <cell r="K29">
            <v>9664</v>
          </cell>
          <cell r="L29">
            <v>10197</v>
          </cell>
          <cell r="M29">
            <v>409724</v>
          </cell>
          <cell r="N29">
            <v>328920</v>
          </cell>
          <cell r="O29">
            <v>447417</v>
          </cell>
          <cell r="P29" t="str">
            <v>金額</v>
          </cell>
          <cell r="Q29">
            <v>7700390</v>
          </cell>
          <cell r="R29">
            <v>576540</v>
          </cell>
          <cell r="S29">
            <v>0</v>
          </cell>
          <cell r="T29">
            <v>8068709</v>
          </cell>
          <cell r="U29">
            <v>8645249</v>
          </cell>
          <cell r="V29">
            <v>95088602</v>
          </cell>
          <cell r="W29">
            <v>66507120</v>
          </cell>
          <cell r="X29">
            <v>111434241</v>
          </cell>
          <cell r="Y29" t="str">
            <v xml:space="preserve"> </v>
          </cell>
        </row>
        <row r="30">
          <cell r="E30" t="str">
            <v>片側白金チップ</v>
          </cell>
          <cell r="F30" t="str">
            <v>PP13057</v>
          </cell>
          <cell r="G30" t="str">
            <v>数量</v>
          </cell>
          <cell r="H30">
            <v>24800</v>
          </cell>
          <cell r="I30">
            <v>0</v>
          </cell>
          <cell r="J30">
            <v>0</v>
          </cell>
          <cell r="K30">
            <v>85</v>
          </cell>
          <cell r="L30">
            <v>85</v>
          </cell>
          <cell r="M30">
            <v>344</v>
          </cell>
          <cell r="N30">
            <v>0</v>
          </cell>
          <cell r="O30">
            <v>25229</v>
          </cell>
          <cell r="P30" t="str">
            <v>金額</v>
          </cell>
          <cell r="Q30">
            <v>3126400</v>
          </cell>
          <cell r="R30">
            <v>0</v>
          </cell>
          <cell r="S30">
            <v>0</v>
          </cell>
          <cell r="T30">
            <v>36805</v>
          </cell>
          <cell r="U30">
            <v>36805</v>
          </cell>
          <cell r="V30">
            <v>103200</v>
          </cell>
          <cell r="W30">
            <v>0</v>
          </cell>
          <cell r="X30">
            <v>3266405</v>
          </cell>
          <cell r="Y30" t="str">
            <v xml:space="preserve"> </v>
          </cell>
        </row>
        <row r="31">
          <cell r="E31" t="str">
            <v>イリジューム</v>
          </cell>
          <cell r="F31" t="str">
            <v>PP13070</v>
          </cell>
          <cell r="G31" t="str">
            <v>数量</v>
          </cell>
          <cell r="H31">
            <v>323041</v>
          </cell>
          <cell r="I31">
            <v>58</v>
          </cell>
          <cell r="J31">
            <v>0</v>
          </cell>
          <cell r="K31">
            <v>12476</v>
          </cell>
          <cell r="L31">
            <v>12534</v>
          </cell>
          <cell r="M31">
            <v>77858</v>
          </cell>
          <cell r="N31">
            <v>22278</v>
          </cell>
          <cell r="O31">
            <v>413433</v>
          </cell>
          <cell r="P31" t="str">
            <v>金額</v>
          </cell>
          <cell r="Q31">
            <v>95500781</v>
          </cell>
          <cell r="R31">
            <v>62220</v>
          </cell>
          <cell r="S31">
            <v>0</v>
          </cell>
          <cell r="T31">
            <v>10766813</v>
          </cell>
          <cell r="U31">
            <v>10829033</v>
          </cell>
          <cell r="V31">
            <v>26394210</v>
          </cell>
          <cell r="W31">
            <v>5517280</v>
          </cell>
          <cell r="X31">
            <v>132724024</v>
          </cell>
          <cell r="Y31" t="str">
            <v xml:space="preserve"> </v>
          </cell>
        </row>
        <row r="32">
          <cell r="E32" t="str">
            <v>ロングイリジウム</v>
          </cell>
          <cell r="F32" t="str">
            <v>PP13071</v>
          </cell>
          <cell r="G32" t="str">
            <v>数量</v>
          </cell>
          <cell r="H32">
            <v>918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918</v>
          </cell>
          <cell r="P32" t="str">
            <v>金額</v>
          </cell>
          <cell r="Q32">
            <v>387396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387396</v>
          </cell>
          <cell r="Y32" t="str">
            <v xml:space="preserve"> </v>
          </cell>
        </row>
        <row r="33">
          <cell r="E33" t="str">
            <v>突出イリジューム</v>
          </cell>
          <cell r="F33" t="str">
            <v>PP13072</v>
          </cell>
          <cell r="G33" t="str">
            <v>数量</v>
          </cell>
          <cell r="H33">
            <v>41242</v>
          </cell>
          <cell r="I33">
            <v>10</v>
          </cell>
          <cell r="J33">
            <v>0</v>
          </cell>
          <cell r="K33">
            <v>481</v>
          </cell>
          <cell r="L33">
            <v>491</v>
          </cell>
          <cell r="M33">
            <v>1500</v>
          </cell>
          <cell r="N33">
            <v>0</v>
          </cell>
          <cell r="O33">
            <v>43233</v>
          </cell>
          <cell r="P33" t="str">
            <v>金額</v>
          </cell>
          <cell r="Q33">
            <v>13062320</v>
          </cell>
          <cell r="R33">
            <v>12000</v>
          </cell>
          <cell r="S33">
            <v>0</v>
          </cell>
          <cell r="T33">
            <v>427550</v>
          </cell>
          <cell r="U33">
            <v>439550</v>
          </cell>
          <cell r="V33">
            <v>1123428</v>
          </cell>
          <cell r="W33">
            <v>0</v>
          </cell>
          <cell r="X33">
            <v>14625298</v>
          </cell>
          <cell r="Y33" t="str">
            <v xml:space="preserve"> </v>
          </cell>
        </row>
        <row r="34">
          <cell r="E34" t="str">
            <v>片側イリジュウム</v>
          </cell>
          <cell r="F34" t="str">
            <v>PP13073</v>
          </cell>
          <cell r="G34" t="str">
            <v>数量</v>
          </cell>
          <cell r="H34">
            <v>25686</v>
          </cell>
          <cell r="I34">
            <v>79</v>
          </cell>
          <cell r="J34">
            <v>3</v>
          </cell>
          <cell r="K34">
            <v>686</v>
          </cell>
          <cell r="L34">
            <v>768</v>
          </cell>
          <cell r="M34">
            <v>2580</v>
          </cell>
          <cell r="N34">
            <v>0</v>
          </cell>
          <cell r="O34">
            <v>29034</v>
          </cell>
          <cell r="P34" t="str">
            <v>金額</v>
          </cell>
          <cell r="Q34">
            <v>6298560</v>
          </cell>
          <cell r="R34">
            <v>74970</v>
          </cell>
          <cell r="S34">
            <v>2730</v>
          </cell>
          <cell r="T34">
            <v>511000</v>
          </cell>
          <cell r="U34">
            <v>588700</v>
          </cell>
          <cell r="V34">
            <v>889284</v>
          </cell>
          <cell r="W34">
            <v>0</v>
          </cell>
          <cell r="X34">
            <v>7776544</v>
          </cell>
          <cell r="Y34" t="str">
            <v xml:space="preserve"> </v>
          </cell>
        </row>
        <row r="35">
          <cell r="E35" t="str">
            <v>イリシリーズ</v>
          </cell>
          <cell r="F35" t="str">
            <v>PP13075</v>
          </cell>
          <cell r="G35" t="str">
            <v>数量</v>
          </cell>
          <cell r="H35">
            <v>124</v>
          </cell>
          <cell r="I35">
            <v>12608</v>
          </cell>
          <cell r="J35">
            <v>16</v>
          </cell>
          <cell r="K35">
            <v>5</v>
          </cell>
          <cell r="L35">
            <v>12629</v>
          </cell>
          <cell r="M35">
            <v>0</v>
          </cell>
          <cell r="N35">
            <v>0</v>
          </cell>
          <cell r="O35">
            <v>12753</v>
          </cell>
          <cell r="P35" t="str">
            <v>金額</v>
          </cell>
          <cell r="Q35">
            <v>124000</v>
          </cell>
          <cell r="R35">
            <v>10964170</v>
          </cell>
          <cell r="S35">
            <v>13760</v>
          </cell>
          <cell r="T35">
            <v>4600</v>
          </cell>
          <cell r="U35">
            <v>10982530</v>
          </cell>
          <cell r="V35">
            <v>0</v>
          </cell>
          <cell r="W35">
            <v>0</v>
          </cell>
          <cell r="X35">
            <v>11106530</v>
          </cell>
          <cell r="Y35" t="str">
            <v xml:space="preserve"> </v>
          </cell>
        </row>
        <row r="36">
          <cell r="E36" t="str">
            <v>ＩＸ</v>
          </cell>
          <cell r="F36" t="str">
            <v>PP13076</v>
          </cell>
          <cell r="G36" t="str">
            <v>数量</v>
          </cell>
          <cell r="H36">
            <v>52</v>
          </cell>
          <cell r="I36">
            <v>41857</v>
          </cell>
          <cell r="J36">
            <v>54</v>
          </cell>
          <cell r="K36">
            <v>18196</v>
          </cell>
          <cell r="L36">
            <v>60107</v>
          </cell>
          <cell r="M36">
            <v>34129</v>
          </cell>
          <cell r="N36">
            <v>0</v>
          </cell>
          <cell r="O36">
            <v>94288</v>
          </cell>
          <cell r="P36" t="str">
            <v>金額</v>
          </cell>
          <cell r="Q36">
            <v>58240</v>
          </cell>
          <cell r="R36">
            <v>27585895</v>
          </cell>
          <cell r="S36">
            <v>34880</v>
          </cell>
          <cell r="T36">
            <v>11738440</v>
          </cell>
          <cell r="U36">
            <v>39359215</v>
          </cell>
          <cell r="V36">
            <v>9194485</v>
          </cell>
          <cell r="W36">
            <v>0</v>
          </cell>
          <cell r="X36">
            <v>48611940</v>
          </cell>
          <cell r="Y36" t="str">
            <v xml:space="preserve"> </v>
          </cell>
        </row>
        <row r="37">
          <cell r="E37" t="str">
            <v>イリデュアル</v>
          </cell>
          <cell r="F37" t="str">
            <v>PP13077</v>
          </cell>
          <cell r="G37" t="str">
            <v>数量</v>
          </cell>
          <cell r="H37">
            <v>0</v>
          </cell>
          <cell r="I37">
            <v>3000</v>
          </cell>
          <cell r="J37">
            <v>0</v>
          </cell>
          <cell r="K37">
            <v>0</v>
          </cell>
          <cell r="L37">
            <v>3000</v>
          </cell>
          <cell r="M37">
            <v>0</v>
          </cell>
          <cell r="N37">
            <v>0</v>
          </cell>
          <cell r="O37">
            <v>3000</v>
          </cell>
          <cell r="P37" t="str">
            <v>金額</v>
          </cell>
          <cell r="Q37">
            <v>0</v>
          </cell>
          <cell r="R37">
            <v>2355000</v>
          </cell>
          <cell r="S37">
            <v>0</v>
          </cell>
          <cell r="T37">
            <v>0</v>
          </cell>
          <cell r="U37">
            <v>2355000</v>
          </cell>
          <cell r="V37">
            <v>0</v>
          </cell>
          <cell r="W37">
            <v>0</v>
          </cell>
          <cell r="X37">
            <v>2355000</v>
          </cell>
          <cell r="Y37" t="str">
            <v xml:space="preserve"> </v>
          </cell>
        </row>
        <row r="38">
          <cell r="E38" t="str">
            <v>貴金属その他</v>
          </cell>
          <cell r="F38" t="str">
            <v>PP13090</v>
          </cell>
          <cell r="G38" t="str">
            <v>数量</v>
          </cell>
          <cell r="H38">
            <v>50916</v>
          </cell>
          <cell r="I38">
            <v>8013</v>
          </cell>
          <cell r="J38">
            <v>0</v>
          </cell>
          <cell r="K38">
            <v>5098</v>
          </cell>
          <cell r="L38">
            <v>13111</v>
          </cell>
          <cell r="M38">
            <v>479210</v>
          </cell>
          <cell r="N38">
            <v>383200</v>
          </cell>
          <cell r="O38">
            <v>543237</v>
          </cell>
          <cell r="P38" t="str">
            <v>金額</v>
          </cell>
          <cell r="Q38">
            <v>14593406</v>
          </cell>
          <cell r="R38">
            <v>6743400</v>
          </cell>
          <cell r="S38">
            <v>0</v>
          </cell>
          <cell r="T38">
            <v>4707420</v>
          </cell>
          <cell r="U38">
            <v>11450820</v>
          </cell>
          <cell r="V38">
            <v>110115270</v>
          </cell>
          <cell r="W38">
            <v>77750300</v>
          </cell>
          <cell r="X38">
            <v>136159496</v>
          </cell>
          <cell r="Y38" t="str">
            <v xml:space="preserve"> </v>
          </cell>
        </row>
        <row r="39">
          <cell r="E39" t="str">
            <v>貴金属タイプ</v>
          </cell>
          <cell r="F39" t="str">
            <v>PP130</v>
          </cell>
          <cell r="G39" t="str">
            <v>数量</v>
          </cell>
          <cell r="H39">
            <v>897763</v>
          </cell>
          <cell r="I39">
            <v>89555</v>
          </cell>
          <cell r="J39">
            <v>166</v>
          </cell>
          <cell r="K39">
            <v>126869</v>
          </cell>
          <cell r="L39">
            <v>216590</v>
          </cell>
          <cell r="M39">
            <v>2006348</v>
          </cell>
          <cell r="N39">
            <v>971258</v>
          </cell>
          <cell r="O39">
            <v>3120701</v>
          </cell>
          <cell r="P39" t="str">
            <v>金額</v>
          </cell>
          <cell r="Q39">
            <v>225181806</v>
          </cell>
          <cell r="R39">
            <v>66291975</v>
          </cell>
          <cell r="S39">
            <v>114300</v>
          </cell>
          <cell r="T39">
            <v>83200044</v>
          </cell>
          <cell r="U39">
            <v>149606319</v>
          </cell>
          <cell r="V39">
            <v>526188898</v>
          </cell>
          <cell r="W39">
            <v>200192823</v>
          </cell>
          <cell r="X39">
            <v>900977023</v>
          </cell>
          <cell r="Y39" t="str">
            <v xml:space="preserve"> </v>
          </cell>
        </row>
        <row r="40">
          <cell r="E40" t="str">
            <v>ＨＴＣ</v>
          </cell>
          <cell r="F40" t="str">
            <v>PP17904</v>
          </cell>
          <cell r="G40" t="str">
            <v>数量</v>
          </cell>
          <cell r="H40">
            <v>90212</v>
          </cell>
          <cell r="I40">
            <v>0</v>
          </cell>
          <cell r="J40">
            <v>0</v>
          </cell>
          <cell r="K40">
            <v>43</v>
          </cell>
          <cell r="L40">
            <v>43</v>
          </cell>
          <cell r="M40">
            <v>70</v>
          </cell>
          <cell r="N40">
            <v>0</v>
          </cell>
          <cell r="O40">
            <v>90325</v>
          </cell>
          <cell r="P40" t="str">
            <v>金額</v>
          </cell>
          <cell r="Q40">
            <v>49012360</v>
          </cell>
          <cell r="R40">
            <v>0</v>
          </cell>
          <cell r="S40">
            <v>0</v>
          </cell>
          <cell r="T40">
            <v>37453</v>
          </cell>
          <cell r="U40">
            <v>37453</v>
          </cell>
          <cell r="V40">
            <v>56000</v>
          </cell>
          <cell r="W40">
            <v>0</v>
          </cell>
          <cell r="X40">
            <v>49105813</v>
          </cell>
          <cell r="Y40" t="str">
            <v xml:space="preserve"> </v>
          </cell>
        </row>
        <row r="41">
          <cell r="E41" t="str">
            <v>自己制御　ＣＹ</v>
          </cell>
          <cell r="F41" t="str">
            <v>PP17905</v>
          </cell>
          <cell r="G41" t="str">
            <v>数量</v>
          </cell>
          <cell r="H41">
            <v>31677</v>
          </cell>
          <cell r="I41">
            <v>0</v>
          </cell>
          <cell r="J41">
            <v>0</v>
          </cell>
          <cell r="K41">
            <v>18774</v>
          </cell>
          <cell r="L41">
            <v>18774</v>
          </cell>
          <cell r="M41">
            <v>6263</v>
          </cell>
          <cell r="N41">
            <v>0</v>
          </cell>
          <cell r="O41">
            <v>56714</v>
          </cell>
          <cell r="P41" t="str">
            <v>金額</v>
          </cell>
          <cell r="Q41">
            <v>18988770</v>
          </cell>
          <cell r="R41">
            <v>0</v>
          </cell>
          <cell r="S41">
            <v>0</v>
          </cell>
          <cell r="T41">
            <v>28104590</v>
          </cell>
          <cell r="U41">
            <v>28104590</v>
          </cell>
          <cell r="V41">
            <v>5219230</v>
          </cell>
          <cell r="W41">
            <v>0</v>
          </cell>
          <cell r="X41">
            <v>52312590</v>
          </cell>
          <cell r="Y41" t="str">
            <v xml:space="preserve"> </v>
          </cell>
        </row>
        <row r="42">
          <cell r="E42" t="str">
            <v>両絶縁　ＣＸ</v>
          </cell>
          <cell r="F42" t="str">
            <v>PP17910</v>
          </cell>
          <cell r="G42" t="str">
            <v>数量</v>
          </cell>
          <cell r="H42">
            <v>30</v>
          </cell>
          <cell r="I42">
            <v>0</v>
          </cell>
          <cell r="J42">
            <v>0</v>
          </cell>
          <cell r="K42">
            <v>1290</v>
          </cell>
          <cell r="L42">
            <v>1290</v>
          </cell>
          <cell r="M42">
            <v>1304</v>
          </cell>
          <cell r="N42">
            <v>0</v>
          </cell>
          <cell r="O42">
            <v>2624</v>
          </cell>
          <cell r="P42" t="str">
            <v>金額</v>
          </cell>
          <cell r="Q42">
            <v>39000</v>
          </cell>
          <cell r="R42">
            <v>0</v>
          </cell>
          <cell r="S42">
            <v>0</v>
          </cell>
          <cell r="T42">
            <v>1657650</v>
          </cell>
          <cell r="U42">
            <v>1657650</v>
          </cell>
          <cell r="V42">
            <v>1675640</v>
          </cell>
          <cell r="W42">
            <v>0</v>
          </cell>
          <cell r="X42">
            <v>3372290</v>
          </cell>
          <cell r="Y42" t="str">
            <v xml:space="preserve"> </v>
          </cell>
        </row>
        <row r="43">
          <cell r="E43" t="str">
            <v>ボデーアースＣＺ</v>
          </cell>
          <cell r="F43" t="str">
            <v>PP17915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920</v>
          </cell>
          <cell r="L43">
            <v>920</v>
          </cell>
          <cell r="M43">
            <v>674</v>
          </cell>
          <cell r="N43">
            <v>0</v>
          </cell>
          <cell r="O43">
            <v>1594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1168400</v>
          </cell>
          <cell r="U43">
            <v>1168400</v>
          </cell>
          <cell r="V43">
            <v>855980</v>
          </cell>
          <cell r="W43">
            <v>0</v>
          </cell>
          <cell r="X43">
            <v>2024380</v>
          </cell>
          <cell r="Y43" t="str">
            <v xml:space="preserve"> </v>
          </cell>
        </row>
        <row r="44">
          <cell r="E44" t="str">
            <v>試作</v>
          </cell>
          <cell r="F44" t="str">
            <v>PP17991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50</v>
          </cell>
          <cell r="N44">
            <v>0</v>
          </cell>
          <cell r="O44">
            <v>50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250000</v>
          </cell>
          <cell r="W44">
            <v>0</v>
          </cell>
          <cell r="X44">
            <v>250000</v>
          </cell>
          <cell r="Y44" t="str">
            <v xml:space="preserve"> </v>
          </cell>
        </row>
        <row r="45">
          <cell r="E45" t="str">
            <v>温測セラミツク</v>
          </cell>
          <cell r="F45" t="str">
            <v>PP17995</v>
          </cell>
          <cell r="G45" t="str">
            <v>数量</v>
          </cell>
          <cell r="H45">
            <v>8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8</v>
          </cell>
          <cell r="P45" t="str">
            <v>金額</v>
          </cell>
          <cell r="Q45">
            <v>400000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400000</v>
          </cell>
          <cell r="Y45" t="str">
            <v xml:space="preserve"> </v>
          </cell>
        </row>
        <row r="46">
          <cell r="E46" t="str">
            <v>セラミックグロー</v>
          </cell>
          <cell r="F46" t="str">
            <v>PP179</v>
          </cell>
          <cell r="G46" t="str">
            <v>数量</v>
          </cell>
          <cell r="H46">
            <v>121927</v>
          </cell>
          <cell r="I46">
            <v>0</v>
          </cell>
          <cell r="J46">
            <v>0</v>
          </cell>
          <cell r="K46">
            <v>21027</v>
          </cell>
          <cell r="L46">
            <v>21027</v>
          </cell>
          <cell r="M46">
            <v>8361</v>
          </cell>
          <cell r="N46">
            <v>0</v>
          </cell>
          <cell r="O46">
            <v>151315</v>
          </cell>
          <cell r="P46" t="str">
            <v>金額</v>
          </cell>
          <cell r="Q46">
            <v>68440130</v>
          </cell>
          <cell r="R46">
            <v>0</v>
          </cell>
          <cell r="S46">
            <v>0</v>
          </cell>
          <cell r="T46">
            <v>30968093</v>
          </cell>
          <cell r="U46">
            <v>30968093</v>
          </cell>
          <cell r="V46">
            <v>8056850</v>
          </cell>
          <cell r="W46">
            <v>0</v>
          </cell>
          <cell r="X46">
            <v>107465073</v>
          </cell>
          <cell r="Y46" t="str">
            <v xml:space="preserve"> </v>
          </cell>
        </row>
        <row r="47">
          <cell r="E47" t="str">
            <v>ＱＧＳグロー１材</v>
          </cell>
          <cell r="F47" t="str">
            <v>PP18005</v>
          </cell>
          <cell r="G47" t="str">
            <v>数量</v>
          </cell>
          <cell r="H47">
            <v>1000</v>
          </cell>
          <cell r="I47">
            <v>615</v>
          </cell>
          <cell r="J47">
            <v>0</v>
          </cell>
          <cell r="K47">
            <v>2032</v>
          </cell>
          <cell r="L47">
            <v>2647</v>
          </cell>
          <cell r="M47">
            <v>8363</v>
          </cell>
          <cell r="N47">
            <v>0</v>
          </cell>
          <cell r="O47">
            <v>12010</v>
          </cell>
          <cell r="P47" t="str">
            <v>金額</v>
          </cell>
          <cell r="Q47">
            <v>394000</v>
          </cell>
          <cell r="R47">
            <v>707020</v>
          </cell>
          <cell r="S47">
            <v>0</v>
          </cell>
          <cell r="T47">
            <v>1862910</v>
          </cell>
          <cell r="U47">
            <v>2569930</v>
          </cell>
          <cell r="V47">
            <v>4050178</v>
          </cell>
          <cell r="W47">
            <v>0</v>
          </cell>
          <cell r="X47">
            <v>7014108</v>
          </cell>
          <cell r="Y47" t="str">
            <v xml:space="preserve"> </v>
          </cell>
        </row>
        <row r="48">
          <cell r="E48" t="str">
            <v>ＱＧＳグロ－２材</v>
          </cell>
          <cell r="F48" t="str">
            <v>PP18008</v>
          </cell>
          <cell r="G48" t="str">
            <v>数量</v>
          </cell>
          <cell r="H48">
            <v>173233</v>
          </cell>
          <cell r="I48">
            <v>1754</v>
          </cell>
          <cell r="J48">
            <v>0</v>
          </cell>
          <cell r="K48">
            <v>14198</v>
          </cell>
          <cell r="L48">
            <v>15952</v>
          </cell>
          <cell r="M48">
            <v>25300</v>
          </cell>
          <cell r="N48">
            <v>0</v>
          </cell>
          <cell r="O48">
            <v>214485</v>
          </cell>
          <cell r="P48" t="str">
            <v>金額</v>
          </cell>
          <cell r="Q48">
            <v>60002809</v>
          </cell>
          <cell r="R48">
            <v>2693500</v>
          </cell>
          <cell r="S48">
            <v>0</v>
          </cell>
          <cell r="T48">
            <v>13772746</v>
          </cell>
          <cell r="U48">
            <v>16466246</v>
          </cell>
          <cell r="V48">
            <v>10686362</v>
          </cell>
          <cell r="W48">
            <v>0</v>
          </cell>
          <cell r="X48">
            <v>87155417</v>
          </cell>
          <cell r="Y48" t="str">
            <v xml:space="preserve"> </v>
          </cell>
        </row>
        <row r="49">
          <cell r="E49" t="str">
            <v>ＳＲＭ</v>
          </cell>
          <cell r="F49" t="str">
            <v>PP18009</v>
          </cell>
          <cell r="G49" t="str">
            <v>数量</v>
          </cell>
          <cell r="H49">
            <v>27520</v>
          </cell>
          <cell r="I49">
            <v>4</v>
          </cell>
          <cell r="J49">
            <v>0</v>
          </cell>
          <cell r="K49">
            <v>19992</v>
          </cell>
          <cell r="L49">
            <v>19996</v>
          </cell>
          <cell r="M49">
            <v>3290</v>
          </cell>
          <cell r="N49">
            <v>0</v>
          </cell>
          <cell r="O49">
            <v>50806</v>
          </cell>
          <cell r="P49" t="str">
            <v>金額</v>
          </cell>
          <cell r="Q49">
            <v>9632360</v>
          </cell>
          <cell r="R49">
            <v>4400</v>
          </cell>
          <cell r="S49">
            <v>0</v>
          </cell>
          <cell r="T49">
            <v>21173700</v>
          </cell>
          <cell r="U49">
            <v>21178100</v>
          </cell>
          <cell r="V49">
            <v>2040669</v>
          </cell>
          <cell r="W49">
            <v>0</v>
          </cell>
          <cell r="X49">
            <v>32851129</v>
          </cell>
          <cell r="Y49" t="str">
            <v xml:space="preserve"> </v>
          </cell>
        </row>
        <row r="50">
          <cell r="E50" t="str">
            <v>速熱グロー</v>
          </cell>
          <cell r="F50" t="str">
            <v>PP18011</v>
          </cell>
          <cell r="G50" t="str">
            <v>数量</v>
          </cell>
          <cell r="H50">
            <v>20552</v>
          </cell>
          <cell r="I50">
            <v>445</v>
          </cell>
          <cell r="J50">
            <v>0</v>
          </cell>
          <cell r="K50">
            <v>2523</v>
          </cell>
          <cell r="L50">
            <v>2968</v>
          </cell>
          <cell r="M50">
            <v>25942</v>
          </cell>
          <cell r="N50">
            <v>0</v>
          </cell>
          <cell r="O50">
            <v>49462</v>
          </cell>
          <cell r="P50" t="str">
            <v>金額</v>
          </cell>
          <cell r="Q50">
            <v>6207044</v>
          </cell>
          <cell r="R50">
            <v>373030</v>
          </cell>
          <cell r="S50">
            <v>0</v>
          </cell>
          <cell r="T50">
            <v>1469035</v>
          </cell>
          <cell r="U50">
            <v>1842065</v>
          </cell>
          <cell r="V50">
            <v>6095470</v>
          </cell>
          <cell r="W50">
            <v>0</v>
          </cell>
          <cell r="X50">
            <v>14144579</v>
          </cell>
          <cell r="Y50" t="str">
            <v xml:space="preserve"> </v>
          </cell>
        </row>
        <row r="51">
          <cell r="E51" t="str">
            <v>一般グロー</v>
          </cell>
          <cell r="F51" t="str">
            <v>PP18017</v>
          </cell>
          <cell r="G51" t="str">
            <v>数量</v>
          </cell>
          <cell r="H51">
            <v>4916</v>
          </cell>
          <cell r="I51">
            <v>896</v>
          </cell>
          <cell r="J51">
            <v>0</v>
          </cell>
          <cell r="K51">
            <v>1339</v>
          </cell>
          <cell r="L51">
            <v>2235</v>
          </cell>
          <cell r="M51">
            <v>5204</v>
          </cell>
          <cell r="N51">
            <v>0</v>
          </cell>
          <cell r="O51">
            <v>12355</v>
          </cell>
          <cell r="P51" t="str">
            <v>金額</v>
          </cell>
          <cell r="Q51">
            <v>2267124</v>
          </cell>
          <cell r="R51">
            <v>401920</v>
          </cell>
          <cell r="S51">
            <v>0</v>
          </cell>
          <cell r="T51">
            <v>829756</v>
          </cell>
          <cell r="U51">
            <v>1231676</v>
          </cell>
          <cell r="V51">
            <v>2008691</v>
          </cell>
          <cell r="W51">
            <v>0</v>
          </cell>
          <cell r="X51">
            <v>5507491</v>
          </cell>
          <cell r="Y51" t="str">
            <v xml:space="preserve"> </v>
          </cell>
        </row>
        <row r="52">
          <cell r="E52" t="str">
            <v>プラグ型ヒーター</v>
          </cell>
          <cell r="F52" t="str">
            <v>PP18025</v>
          </cell>
          <cell r="G52" t="str">
            <v>数量</v>
          </cell>
          <cell r="H52">
            <v>11300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30000</v>
          </cell>
          <cell r="N52">
            <v>30000</v>
          </cell>
          <cell r="O52">
            <v>41300</v>
          </cell>
          <cell r="P52" t="str">
            <v>金額</v>
          </cell>
          <cell r="Q52">
            <v>4639900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5886000</v>
          </cell>
          <cell r="W52">
            <v>5886000</v>
          </cell>
          <cell r="X52">
            <v>10525900</v>
          </cell>
          <cell r="Y52" t="str">
            <v xml:space="preserve"> </v>
          </cell>
        </row>
        <row r="53">
          <cell r="E53" t="str">
            <v>プラグ型レジスタ</v>
          </cell>
          <cell r="F53" t="str">
            <v>PP18070</v>
          </cell>
          <cell r="G53" t="str">
            <v>数量</v>
          </cell>
          <cell r="H53">
            <v>730</v>
          </cell>
          <cell r="I53">
            <v>0</v>
          </cell>
          <cell r="J53">
            <v>0</v>
          </cell>
          <cell r="K53">
            <v>10</v>
          </cell>
          <cell r="L53">
            <v>10</v>
          </cell>
          <cell r="M53">
            <v>44</v>
          </cell>
          <cell r="N53">
            <v>0</v>
          </cell>
          <cell r="O53">
            <v>784</v>
          </cell>
          <cell r="P53" t="str">
            <v>金額</v>
          </cell>
          <cell r="Q53">
            <v>575300</v>
          </cell>
          <cell r="R53">
            <v>0</v>
          </cell>
          <cell r="S53">
            <v>0</v>
          </cell>
          <cell r="T53">
            <v>19080</v>
          </cell>
          <cell r="U53">
            <v>19080</v>
          </cell>
          <cell r="V53">
            <v>48463</v>
          </cell>
          <cell r="W53">
            <v>0</v>
          </cell>
          <cell r="X53">
            <v>642843</v>
          </cell>
          <cell r="Y53" t="str">
            <v xml:space="preserve"> </v>
          </cell>
        </row>
        <row r="54">
          <cell r="E54" t="str">
            <v>両絶縁</v>
          </cell>
          <cell r="F54" t="str">
            <v>PP18072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11</v>
          </cell>
          <cell r="L54">
            <v>11</v>
          </cell>
          <cell r="M54">
            <v>0</v>
          </cell>
          <cell r="N54">
            <v>0</v>
          </cell>
          <cell r="O54">
            <v>11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14400</v>
          </cell>
          <cell r="U54">
            <v>14400</v>
          </cell>
          <cell r="V54">
            <v>0</v>
          </cell>
          <cell r="W54">
            <v>0</v>
          </cell>
          <cell r="X54">
            <v>14400</v>
          </cell>
          <cell r="Y54" t="str">
            <v xml:space="preserve"> </v>
          </cell>
        </row>
        <row r="55">
          <cell r="E55" t="str">
            <v>コイル</v>
          </cell>
          <cell r="F55" t="str">
            <v>PP18080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20</v>
          </cell>
          <cell r="N55">
            <v>0</v>
          </cell>
          <cell r="O55">
            <v>20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2211</v>
          </cell>
          <cell r="W55">
            <v>0</v>
          </cell>
          <cell r="X55">
            <v>2211</v>
          </cell>
          <cell r="Y55" t="str">
            <v xml:space="preserve"> </v>
          </cell>
        </row>
        <row r="56">
          <cell r="E56" t="str">
            <v>その他</v>
          </cell>
          <cell r="F56" t="str">
            <v>PP18090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</v>
          </cell>
          <cell r="N56">
            <v>0</v>
          </cell>
          <cell r="O56">
            <v>1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620984</v>
          </cell>
          <cell r="W56">
            <v>0</v>
          </cell>
          <cell r="X56">
            <v>620984</v>
          </cell>
          <cell r="Y56" t="str">
            <v xml:space="preserve"> </v>
          </cell>
        </row>
        <row r="57">
          <cell r="E57" t="str">
            <v>試作</v>
          </cell>
          <cell r="F57" t="str">
            <v>PP18091</v>
          </cell>
          <cell r="G57" t="str">
            <v>数量</v>
          </cell>
          <cell r="H57">
            <v>9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24</v>
          </cell>
          <cell r="N57">
            <v>0</v>
          </cell>
          <cell r="O57">
            <v>33</v>
          </cell>
          <cell r="P57" t="str">
            <v>金額</v>
          </cell>
          <cell r="Q57">
            <v>270000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48000</v>
          </cell>
          <cell r="W57">
            <v>0</v>
          </cell>
          <cell r="X57">
            <v>318000</v>
          </cell>
          <cell r="Y57" t="str">
            <v xml:space="preserve"> </v>
          </cell>
        </row>
        <row r="58">
          <cell r="E58" t="str">
            <v>温測グロー</v>
          </cell>
          <cell r="F58" t="str">
            <v>PP18095</v>
          </cell>
          <cell r="G58" t="str">
            <v>数量</v>
          </cell>
          <cell r="H58">
            <v>2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2</v>
          </cell>
          <cell r="P58" t="str">
            <v>金額</v>
          </cell>
          <cell r="Q58">
            <v>20000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20000</v>
          </cell>
          <cell r="Y58" t="str">
            <v xml:space="preserve"> </v>
          </cell>
        </row>
        <row r="59">
          <cell r="E59" t="str">
            <v>メタルグロー</v>
          </cell>
          <cell r="F59" t="str">
            <v>PP180</v>
          </cell>
          <cell r="G59" t="str">
            <v>数量</v>
          </cell>
          <cell r="H59">
            <v>239262</v>
          </cell>
          <cell r="I59">
            <v>3714</v>
          </cell>
          <cell r="J59">
            <v>0</v>
          </cell>
          <cell r="K59">
            <v>40105</v>
          </cell>
          <cell r="L59">
            <v>43819</v>
          </cell>
          <cell r="M59">
            <v>98188</v>
          </cell>
          <cell r="N59">
            <v>30000</v>
          </cell>
          <cell r="O59">
            <v>381269</v>
          </cell>
          <cell r="P59" t="str">
            <v>金額</v>
          </cell>
          <cell r="Q59">
            <v>84008537</v>
          </cell>
          <cell r="R59">
            <v>4179870</v>
          </cell>
          <cell r="S59">
            <v>0</v>
          </cell>
          <cell r="T59">
            <v>39141627</v>
          </cell>
          <cell r="U59">
            <v>43321497</v>
          </cell>
          <cell r="V59">
            <v>31487028</v>
          </cell>
          <cell r="W59">
            <v>5886000</v>
          </cell>
          <cell r="X59">
            <v>158817062</v>
          </cell>
          <cell r="Y59" t="str">
            <v xml:space="preserve"> </v>
          </cell>
        </row>
        <row r="60">
          <cell r="E60" t="str">
            <v>プラグ完成品</v>
          </cell>
          <cell r="F60" t="str">
            <v>PP1</v>
          </cell>
          <cell r="G60" t="str">
            <v>数量</v>
          </cell>
          <cell r="H60">
            <v>3815945</v>
          </cell>
          <cell r="I60">
            <v>905320</v>
          </cell>
          <cell r="J60">
            <v>3489</v>
          </cell>
          <cell r="K60">
            <v>1759476</v>
          </cell>
          <cell r="L60">
            <v>2668285</v>
          </cell>
          <cell r="M60">
            <v>23097635</v>
          </cell>
          <cell r="N60">
            <v>2346278</v>
          </cell>
          <cell r="O60">
            <v>29581865</v>
          </cell>
          <cell r="P60" t="str">
            <v>金額</v>
          </cell>
          <cell r="Q60">
            <v>563809272</v>
          </cell>
          <cell r="R60">
            <v>277423201</v>
          </cell>
          <cell r="S60">
            <v>855227</v>
          </cell>
          <cell r="T60">
            <v>495142914</v>
          </cell>
          <cell r="U60">
            <v>773421342</v>
          </cell>
          <cell r="V60">
            <v>2284636159</v>
          </cell>
          <cell r="W60">
            <v>272256044</v>
          </cell>
          <cell r="X60">
            <v>3621866773</v>
          </cell>
          <cell r="Y60" t="str">
            <v xml:space="preserve"> </v>
          </cell>
        </row>
        <row r="61">
          <cell r="E61" t="str">
            <v>中軸付絶縁体</v>
          </cell>
          <cell r="F61" t="str">
            <v>PP50102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7535731</v>
          </cell>
          <cell r="N61">
            <v>2112490</v>
          </cell>
          <cell r="O61">
            <v>7535731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384111683</v>
          </cell>
          <cell r="W61">
            <v>136668923</v>
          </cell>
          <cell r="X61">
            <v>384111683</v>
          </cell>
          <cell r="Y61" t="str">
            <v xml:space="preserve"> </v>
          </cell>
        </row>
        <row r="62">
          <cell r="E62" t="str">
            <v>中　軸</v>
          </cell>
          <cell r="F62" t="str">
            <v>PP50104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2745000</v>
          </cell>
          <cell r="N62">
            <v>350000</v>
          </cell>
          <cell r="O62">
            <v>2745000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18913250</v>
          </cell>
          <cell r="W62">
            <v>1435000</v>
          </cell>
          <cell r="X62">
            <v>18913250</v>
          </cell>
          <cell r="Y62" t="str">
            <v xml:space="preserve"> </v>
          </cell>
        </row>
        <row r="63">
          <cell r="E63" t="str">
            <v>主体金具</v>
          </cell>
          <cell r="F63" t="str">
            <v>PP50106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8590730</v>
          </cell>
          <cell r="N63">
            <v>1785920</v>
          </cell>
          <cell r="O63">
            <v>8590730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166109043</v>
          </cell>
          <cell r="W63">
            <v>67561952</v>
          </cell>
          <cell r="X63">
            <v>166109043</v>
          </cell>
          <cell r="Y63" t="str">
            <v xml:space="preserve"> </v>
          </cell>
        </row>
        <row r="64">
          <cell r="E64" t="str">
            <v>絶縁体</v>
          </cell>
          <cell r="F64" t="str">
            <v>PP50108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2691970</v>
          </cell>
          <cell r="N64">
            <v>326370</v>
          </cell>
          <cell r="O64">
            <v>2691970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49039246</v>
          </cell>
          <cell r="W64">
            <v>2952786</v>
          </cell>
          <cell r="X64">
            <v>49039246</v>
          </cell>
          <cell r="Y64" t="str">
            <v xml:space="preserve"> </v>
          </cell>
        </row>
        <row r="65">
          <cell r="E65" t="str">
            <v>端子ナット</v>
          </cell>
          <cell r="F65" t="str">
            <v>PP50110</v>
          </cell>
          <cell r="G65" t="str">
            <v>数量</v>
          </cell>
          <cell r="H65">
            <v>100</v>
          </cell>
          <cell r="I65">
            <v>1571</v>
          </cell>
          <cell r="J65">
            <v>0</v>
          </cell>
          <cell r="K65">
            <v>0</v>
          </cell>
          <cell r="L65">
            <v>1571</v>
          </cell>
          <cell r="M65">
            <v>1200000</v>
          </cell>
          <cell r="N65">
            <v>0</v>
          </cell>
          <cell r="O65">
            <v>1201671</v>
          </cell>
          <cell r="P65" t="str">
            <v>金額</v>
          </cell>
          <cell r="Q65">
            <v>1000</v>
          </cell>
          <cell r="R65">
            <v>15368</v>
          </cell>
          <cell r="S65">
            <v>0</v>
          </cell>
          <cell r="T65">
            <v>0</v>
          </cell>
          <cell r="U65">
            <v>15368</v>
          </cell>
          <cell r="V65">
            <v>672000</v>
          </cell>
          <cell r="W65">
            <v>0</v>
          </cell>
          <cell r="X65">
            <v>688368</v>
          </cell>
          <cell r="Y65" t="str">
            <v xml:space="preserve"> </v>
          </cell>
        </row>
        <row r="66">
          <cell r="E66" t="str">
            <v>雄ネジ</v>
          </cell>
          <cell r="F66" t="str">
            <v>PP50112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1235000</v>
          </cell>
          <cell r="N66">
            <v>0</v>
          </cell>
          <cell r="O66">
            <v>1235000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2761500</v>
          </cell>
          <cell r="W66">
            <v>0</v>
          </cell>
          <cell r="X66">
            <v>2761500</v>
          </cell>
          <cell r="Y66" t="str">
            <v xml:space="preserve"> </v>
          </cell>
        </row>
        <row r="67">
          <cell r="E67" t="str">
            <v>一体端子</v>
          </cell>
          <cell r="F67" t="str">
            <v>PP50114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1700000</v>
          </cell>
          <cell r="N67">
            <v>300000</v>
          </cell>
          <cell r="O67">
            <v>1700000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5470400</v>
          </cell>
          <cell r="W67">
            <v>870000</v>
          </cell>
          <cell r="X67">
            <v>5470400</v>
          </cell>
          <cell r="Y67" t="str">
            <v xml:space="preserve"> </v>
          </cell>
        </row>
        <row r="68">
          <cell r="E68" t="str">
            <v>板パッキン</v>
          </cell>
          <cell r="F68" t="str">
            <v>PP50120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2300000</v>
          </cell>
          <cell r="N68">
            <v>0</v>
          </cell>
          <cell r="O68">
            <v>2300000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184000</v>
          </cell>
          <cell r="W68">
            <v>0</v>
          </cell>
          <cell r="X68">
            <v>184000</v>
          </cell>
          <cell r="Y68" t="str">
            <v xml:space="preserve"> </v>
          </cell>
        </row>
        <row r="69">
          <cell r="E69" t="str">
            <v>線パッキン</v>
          </cell>
          <cell r="F69" t="str">
            <v>PP50122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4160000</v>
          </cell>
          <cell r="N69">
            <v>0</v>
          </cell>
          <cell r="O69">
            <v>4160000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332800</v>
          </cell>
          <cell r="W69">
            <v>0</v>
          </cell>
          <cell r="X69">
            <v>332800</v>
          </cell>
          <cell r="Y69" t="str">
            <v xml:space="preserve"> </v>
          </cell>
        </row>
        <row r="70">
          <cell r="E70" t="str">
            <v>ガスケット</v>
          </cell>
          <cell r="F70" t="str">
            <v>PP50125</v>
          </cell>
          <cell r="G70" t="str">
            <v>数量</v>
          </cell>
          <cell r="H70">
            <v>1237756</v>
          </cell>
          <cell r="I70">
            <v>50</v>
          </cell>
          <cell r="J70">
            <v>0</v>
          </cell>
          <cell r="K70">
            <v>331443</v>
          </cell>
          <cell r="L70">
            <v>331493</v>
          </cell>
          <cell r="M70">
            <v>5551206</v>
          </cell>
          <cell r="N70">
            <v>0</v>
          </cell>
          <cell r="O70">
            <v>7120455</v>
          </cell>
          <cell r="P70" t="str">
            <v>金額</v>
          </cell>
          <cell r="Q70">
            <v>4125122</v>
          </cell>
          <cell r="R70">
            <v>400</v>
          </cell>
          <cell r="S70">
            <v>0</v>
          </cell>
          <cell r="T70">
            <v>1336309</v>
          </cell>
          <cell r="U70">
            <v>1336709</v>
          </cell>
          <cell r="V70">
            <v>4338541</v>
          </cell>
          <cell r="W70">
            <v>0</v>
          </cell>
          <cell r="X70">
            <v>9800372</v>
          </cell>
          <cell r="Y70" t="str">
            <v xml:space="preserve"> </v>
          </cell>
        </row>
        <row r="71">
          <cell r="E71" t="str">
            <v>外測電極</v>
          </cell>
          <cell r="F71" t="str">
            <v>PP50127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196000</v>
          </cell>
          <cell r="N71">
            <v>196000</v>
          </cell>
          <cell r="O71">
            <v>196000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3332000</v>
          </cell>
          <cell r="W71">
            <v>3332000</v>
          </cell>
          <cell r="X71">
            <v>3332000</v>
          </cell>
          <cell r="Y71" t="str">
            <v xml:space="preserve"> </v>
          </cell>
        </row>
        <row r="72">
          <cell r="E72" t="str">
            <v>特殊中軸</v>
          </cell>
          <cell r="F72" t="str">
            <v>PP50142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500000</v>
          </cell>
          <cell r="N72">
            <v>0</v>
          </cell>
          <cell r="O72">
            <v>500000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3845000</v>
          </cell>
          <cell r="W72">
            <v>0</v>
          </cell>
          <cell r="X72">
            <v>3845000</v>
          </cell>
          <cell r="Y72" t="str">
            <v xml:space="preserve"> </v>
          </cell>
        </row>
        <row r="73">
          <cell r="E73" t="str">
            <v>滑　石</v>
          </cell>
          <cell r="F73" t="str">
            <v>PP50188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12020</v>
          </cell>
          <cell r="N73">
            <v>0</v>
          </cell>
          <cell r="O73">
            <v>12020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2711588</v>
          </cell>
          <cell r="W73">
            <v>0</v>
          </cell>
          <cell r="X73">
            <v>2711588</v>
          </cell>
          <cell r="Y73" t="str">
            <v xml:space="preserve"> </v>
          </cell>
        </row>
        <row r="74">
          <cell r="E74" t="str">
            <v>原材料・他</v>
          </cell>
          <cell r="F74" t="str">
            <v>PP50189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2128070</v>
          </cell>
          <cell r="N74">
            <v>0</v>
          </cell>
          <cell r="O74">
            <v>2128070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38058500</v>
          </cell>
          <cell r="W74">
            <v>0</v>
          </cell>
          <cell r="X74">
            <v>38058500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PP50190</v>
          </cell>
          <cell r="G75" t="str">
            <v>数量</v>
          </cell>
          <cell r="H75">
            <v>20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3429</v>
          </cell>
          <cell r="N75">
            <v>0</v>
          </cell>
          <cell r="O75">
            <v>3449</v>
          </cell>
          <cell r="P75" t="str">
            <v>金額</v>
          </cell>
          <cell r="Q75">
            <v>36000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11266215</v>
          </cell>
          <cell r="W75">
            <v>0</v>
          </cell>
          <cell r="X75">
            <v>11302215</v>
          </cell>
          <cell r="Y75" t="str">
            <v xml:space="preserve"> </v>
          </cell>
        </row>
        <row r="76">
          <cell r="E76" t="str">
            <v>スパ－クプラ部品</v>
          </cell>
          <cell r="F76" t="str">
            <v>PP501</v>
          </cell>
          <cell r="G76" t="str">
            <v>数量</v>
          </cell>
          <cell r="H76">
            <v>1237876</v>
          </cell>
          <cell r="I76">
            <v>1621</v>
          </cell>
          <cell r="J76">
            <v>0</v>
          </cell>
          <cell r="K76">
            <v>331443</v>
          </cell>
          <cell r="L76">
            <v>333064</v>
          </cell>
          <cell r="M76">
            <v>40549156</v>
          </cell>
          <cell r="N76">
            <v>5070780</v>
          </cell>
          <cell r="O76">
            <v>42120096</v>
          </cell>
          <cell r="P76" t="str">
            <v>金額</v>
          </cell>
          <cell r="Q76">
            <v>4162122</v>
          </cell>
          <cell r="R76">
            <v>15768</v>
          </cell>
          <cell r="S76">
            <v>0</v>
          </cell>
          <cell r="T76">
            <v>1336309</v>
          </cell>
          <cell r="U76">
            <v>1352077</v>
          </cell>
          <cell r="V76">
            <v>691145766</v>
          </cell>
          <cell r="W76">
            <v>212820661</v>
          </cell>
          <cell r="X76">
            <v>696659965</v>
          </cell>
          <cell r="Y76" t="str">
            <v xml:space="preserve"> </v>
          </cell>
        </row>
        <row r="77">
          <cell r="E77" t="str">
            <v>板パッキン</v>
          </cell>
          <cell r="F77" t="str">
            <v>PP50330</v>
          </cell>
          <cell r="G77" t="str">
            <v>数量</v>
          </cell>
          <cell r="H77">
            <v>120</v>
          </cell>
          <cell r="I77">
            <v>0</v>
          </cell>
          <cell r="J77">
            <v>0</v>
          </cell>
          <cell r="K77">
            <v>100</v>
          </cell>
          <cell r="L77">
            <v>100</v>
          </cell>
          <cell r="M77">
            <v>0</v>
          </cell>
          <cell r="N77">
            <v>0</v>
          </cell>
          <cell r="O77">
            <v>220</v>
          </cell>
          <cell r="P77" t="str">
            <v>金額</v>
          </cell>
          <cell r="Q77">
            <v>1200</v>
          </cell>
          <cell r="R77">
            <v>0</v>
          </cell>
          <cell r="S77">
            <v>0</v>
          </cell>
          <cell r="T77">
            <v>1000</v>
          </cell>
          <cell r="U77">
            <v>1000</v>
          </cell>
          <cell r="V77">
            <v>0</v>
          </cell>
          <cell r="W77">
            <v>0</v>
          </cell>
          <cell r="X77">
            <v>2200</v>
          </cell>
          <cell r="Y77" t="str">
            <v xml:space="preserve"> </v>
          </cell>
        </row>
        <row r="78">
          <cell r="E78" t="str">
            <v>スウェージャー品</v>
          </cell>
          <cell r="F78" t="str">
            <v>PP50343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-18821</v>
          </cell>
          <cell r="N78">
            <v>0</v>
          </cell>
          <cell r="O78">
            <v>-18821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-4235688</v>
          </cell>
          <cell r="W78">
            <v>0</v>
          </cell>
          <cell r="X78">
            <v>-4235688</v>
          </cell>
          <cell r="Y78" t="str">
            <v xml:space="preserve"> </v>
          </cell>
        </row>
        <row r="79">
          <cell r="E79" t="str">
            <v>その他</v>
          </cell>
          <cell r="F79" t="str">
            <v>PP50390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3410</v>
          </cell>
          <cell r="N79">
            <v>0</v>
          </cell>
          <cell r="O79">
            <v>3410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2549000</v>
          </cell>
          <cell r="W79">
            <v>0</v>
          </cell>
          <cell r="X79">
            <v>2549000</v>
          </cell>
          <cell r="Y79" t="str">
            <v xml:space="preserve"> </v>
          </cell>
        </row>
        <row r="80">
          <cell r="E80" t="str">
            <v>グロー部品</v>
          </cell>
          <cell r="F80" t="str">
            <v>PP503</v>
          </cell>
          <cell r="G80" t="str">
            <v>数量</v>
          </cell>
          <cell r="H80">
            <v>120</v>
          </cell>
          <cell r="I80">
            <v>0</v>
          </cell>
          <cell r="J80">
            <v>0</v>
          </cell>
          <cell r="K80">
            <v>100</v>
          </cell>
          <cell r="L80">
            <v>100</v>
          </cell>
          <cell r="M80">
            <v>-15411</v>
          </cell>
          <cell r="N80">
            <v>0</v>
          </cell>
          <cell r="O80">
            <v>-15191</v>
          </cell>
          <cell r="P80" t="str">
            <v>金額</v>
          </cell>
          <cell r="Q80">
            <v>1200</v>
          </cell>
          <cell r="R80">
            <v>0</v>
          </cell>
          <cell r="S80">
            <v>0</v>
          </cell>
          <cell r="T80">
            <v>1000</v>
          </cell>
          <cell r="U80">
            <v>1000</v>
          </cell>
          <cell r="V80">
            <v>-1686688</v>
          </cell>
          <cell r="W80">
            <v>0</v>
          </cell>
          <cell r="X80">
            <v>-1684488</v>
          </cell>
          <cell r="Y80" t="str">
            <v xml:space="preserve"> </v>
          </cell>
        </row>
        <row r="81">
          <cell r="E81" t="str">
            <v>ガラスパイプ</v>
          </cell>
          <cell r="F81" t="str">
            <v>PP50422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60000</v>
          </cell>
          <cell r="N81">
            <v>0</v>
          </cell>
          <cell r="O81">
            <v>60000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420000</v>
          </cell>
          <cell r="W81">
            <v>0</v>
          </cell>
          <cell r="X81">
            <v>420000</v>
          </cell>
          <cell r="Y81" t="str">
            <v xml:space="preserve"> </v>
          </cell>
        </row>
        <row r="82">
          <cell r="E82" t="str">
            <v>発熱体部品</v>
          </cell>
          <cell r="F82" t="str">
            <v>PP50442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50000</v>
          </cell>
          <cell r="N82">
            <v>0</v>
          </cell>
          <cell r="O82">
            <v>50000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25000000</v>
          </cell>
          <cell r="W82">
            <v>0</v>
          </cell>
          <cell r="X82">
            <v>25000000</v>
          </cell>
          <cell r="Y82" t="str">
            <v xml:space="preserve"> </v>
          </cell>
        </row>
        <row r="83">
          <cell r="E83" t="str">
            <v>Ｃグロー部品</v>
          </cell>
          <cell r="F83" t="str">
            <v>PP504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110000</v>
          </cell>
          <cell r="N83">
            <v>0</v>
          </cell>
          <cell r="O83">
            <v>110000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25420000</v>
          </cell>
          <cell r="W83">
            <v>0</v>
          </cell>
          <cell r="X83">
            <v>25420000</v>
          </cell>
          <cell r="Y83" t="str">
            <v xml:space="preserve"> </v>
          </cell>
        </row>
        <row r="84">
          <cell r="E84" t="str">
            <v>その他</v>
          </cell>
          <cell r="F84" t="str">
            <v>PP50790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</v>
          </cell>
          <cell r="N84">
            <v>0</v>
          </cell>
          <cell r="O84">
            <v>2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76000</v>
          </cell>
          <cell r="W84">
            <v>0</v>
          </cell>
          <cell r="X84">
            <v>76000</v>
          </cell>
          <cell r="Y84" t="str">
            <v xml:space="preserve"> </v>
          </cell>
        </row>
        <row r="85">
          <cell r="E85" t="str">
            <v>ＧＬ部品</v>
          </cell>
          <cell r="F85" t="str">
            <v>PP507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</v>
          </cell>
          <cell r="N85">
            <v>0</v>
          </cell>
          <cell r="O85">
            <v>2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76000</v>
          </cell>
          <cell r="W85">
            <v>0</v>
          </cell>
          <cell r="X85">
            <v>76000</v>
          </cell>
          <cell r="Y85" t="str">
            <v xml:space="preserve"> </v>
          </cell>
        </row>
        <row r="86">
          <cell r="E86" t="str">
            <v>プラグ部品</v>
          </cell>
          <cell r="F86" t="str">
            <v>PP5</v>
          </cell>
          <cell r="G86" t="str">
            <v>数量</v>
          </cell>
          <cell r="H86">
            <v>1237996</v>
          </cell>
          <cell r="I86">
            <v>1621</v>
          </cell>
          <cell r="J86">
            <v>0</v>
          </cell>
          <cell r="K86">
            <v>331543</v>
          </cell>
          <cell r="L86">
            <v>333164</v>
          </cell>
          <cell r="M86">
            <v>40643747</v>
          </cell>
          <cell r="N86">
            <v>5070780</v>
          </cell>
          <cell r="O86">
            <v>42214907</v>
          </cell>
          <cell r="P86" t="str">
            <v>金額</v>
          </cell>
          <cell r="Q86">
            <v>4163322</v>
          </cell>
          <cell r="R86">
            <v>15768</v>
          </cell>
          <cell r="S86">
            <v>0</v>
          </cell>
          <cell r="T86">
            <v>1337309</v>
          </cell>
          <cell r="U86">
            <v>1353077</v>
          </cell>
          <cell r="V86">
            <v>714955078</v>
          </cell>
          <cell r="W86">
            <v>212820661</v>
          </cell>
          <cell r="X86">
            <v>720471477</v>
          </cell>
          <cell r="Y86" t="str">
            <v xml:space="preserve"> </v>
          </cell>
        </row>
        <row r="87">
          <cell r="E87" t="str">
            <v>プラグ</v>
          </cell>
          <cell r="F87" t="str">
            <v>PP</v>
          </cell>
          <cell r="G87" t="str">
            <v>数量</v>
          </cell>
          <cell r="H87">
            <v>5053941</v>
          </cell>
          <cell r="I87">
            <v>906941</v>
          </cell>
          <cell r="J87">
            <v>3489</v>
          </cell>
          <cell r="K87">
            <v>2091019</v>
          </cell>
          <cell r="L87">
            <v>3001449</v>
          </cell>
          <cell r="M87">
            <v>63741382</v>
          </cell>
          <cell r="N87">
            <v>7417058</v>
          </cell>
          <cell r="O87">
            <v>71796772</v>
          </cell>
          <cell r="P87" t="str">
            <v>金額</v>
          </cell>
          <cell r="Q87">
            <v>567972594</v>
          </cell>
          <cell r="R87">
            <v>277438969</v>
          </cell>
          <cell r="S87">
            <v>855227</v>
          </cell>
          <cell r="T87">
            <v>496480223</v>
          </cell>
          <cell r="U87">
            <v>774774419</v>
          </cell>
          <cell r="V87">
            <v>2999591237</v>
          </cell>
          <cell r="W87">
            <v>485076705</v>
          </cell>
          <cell r="X87">
            <v>4342338250</v>
          </cell>
          <cell r="Y87" t="str">
            <v xml:space="preserve"> </v>
          </cell>
        </row>
        <row r="88">
          <cell r="E88" t="str">
            <v>サーミスター</v>
          </cell>
          <cell r="F88" t="str">
            <v>PX10101</v>
          </cell>
          <cell r="G88" t="str">
            <v>数量</v>
          </cell>
          <cell r="H88">
            <v>4890</v>
          </cell>
          <cell r="I88">
            <v>0</v>
          </cell>
          <cell r="J88">
            <v>0</v>
          </cell>
          <cell r="K88">
            <v>422</v>
          </cell>
          <cell r="L88">
            <v>422</v>
          </cell>
          <cell r="M88">
            <v>0</v>
          </cell>
          <cell r="N88">
            <v>0</v>
          </cell>
          <cell r="O88">
            <v>5312</v>
          </cell>
          <cell r="P88" t="str">
            <v>金額</v>
          </cell>
          <cell r="Q88">
            <v>8275810</v>
          </cell>
          <cell r="R88">
            <v>0</v>
          </cell>
          <cell r="S88">
            <v>0</v>
          </cell>
          <cell r="T88">
            <v>545725</v>
          </cell>
          <cell r="U88">
            <v>545725</v>
          </cell>
          <cell r="V88">
            <v>0</v>
          </cell>
          <cell r="W88">
            <v>0</v>
          </cell>
          <cell r="X88">
            <v>8821535</v>
          </cell>
          <cell r="Y88" t="str">
            <v xml:space="preserve"> </v>
          </cell>
        </row>
        <row r="89">
          <cell r="E89" t="str">
            <v>Ｃ　Ａ</v>
          </cell>
          <cell r="F89" t="str">
            <v>PX10104</v>
          </cell>
          <cell r="G89" t="str">
            <v>数量</v>
          </cell>
          <cell r="H89">
            <v>0</v>
          </cell>
          <cell r="I89">
            <v>0</v>
          </cell>
          <cell r="J89">
            <v>0</v>
          </cell>
          <cell r="K89">
            <v>9</v>
          </cell>
          <cell r="L89">
            <v>9</v>
          </cell>
          <cell r="M89">
            <v>0</v>
          </cell>
          <cell r="N89">
            <v>0</v>
          </cell>
          <cell r="O89">
            <v>9</v>
          </cell>
          <cell r="P89" t="str">
            <v>金額</v>
          </cell>
          <cell r="Q89">
            <v>0</v>
          </cell>
          <cell r="R89">
            <v>0</v>
          </cell>
          <cell r="S89">
            <v>0</v>
          </cell>
          <cell r="T89">
            <v>10630</v>
          </cell>
          <cell r="U89">
            <v>10630</v>
          </cell>
          <cell r="V89">
            <v>0</v>
          </cell>
          <cell r="W89">
            <v>0</v>
          </cell>
          <cell r="X89">
            <v>10630</v>
          </cell>
          <cell r="Y89" t="str">
            <v xml:space="preserve"> </v>
          </cell>
        </row>
        <row r="90">
          <cell r="E90" t="str">
            <v>ヒューズ</v>
          </cell>
          <cell r="F90" t="str">
            <v>PX10107</v>
          </cell>
          <cell r="G90" t="str">
            <v>数量</v>
          </cell>
          <cell r="H90">
            <v>17</v>
          </cell>
          <cell r="I90">
            <v>0</v>
          </cell>
          <cell r="J90">
            <v>0</v>
          </cell>
          <cell r="K90">
            <v>10868</v>
          </cell>
          <cell r="L90">
            <v>10868</v>
          </cell>
          <cell r="M90">
            <v>0</v>
          </cell>
          <cell r="N90">
            <v>0</v>
          </cell>
          <cell r="O90">
            <v>10885</v>
          </cell>
          <cell r="P90" t="str">
            <v>金額</v>
          </cell>
          <cell r="Q90">
            <v>21554</v>
          </cell>
          <cell r="R90">
            <v>0</v>
          </cell>
          <cell r="S90">
            <v>0</v>
          </cell>
          <cell r="T90">
            <v>9565317</v>
          </cell>
          <cell r="U90">
            <v>9565317</v>
          </cell>
          <cell r="V90">
            <v>0</v>
          </cell>
          <cell r="W90">
            <v>0</v>
          </cell>
          <cell r="X90">
            <v>9586871</v>
          </cell>
          <cell r="Y90" t="str">
            <v xml:space="preserve"> </v>
          </cell>
        </row>
        <row r="91">
          <cell r="E91" t="str">
            <v>ヒューズ　部品</v>
          </cell>
          <cell r="F91" t="str">
            <v>PX10108</v>
          </cell>
          <cell r="G91" t="str">
            <v>数量</v>
          </cell>
          <cell r="H91">
            <v>5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5</v>
          </cell>
          <cell r="P91" t="str">
            <v>金額</v>
          </cell>
          <cell r="Q91">
            <v>3625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3625</v>
          </cell>
          <cell r="Y91" t="str">
            <v xml:space="preserve"> </v>
          </cell>
        </row>
        <row r="92">
          <cell r="E92" t="str">
            <v>ヒューズ試作</v>
          </cell>
          <cell r="F92" t="str">
            <v>PX10109</v>
          </cell>
          <cell r="G92" t="str">
            <v>数量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60</v>
          </cell>
          <cell r="N92">
            <v>0</v>
          </cell>
          <cell r="O92">
            <v>60</v>
          </cell>
          <cell r="P92" t="str">
            <v>金額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240000</v>
          </cell>
          <cell r="W92">
            <v>0</v>
          </cell>
          <cell r="X92">
            <v>240000</v>
          </cell>
          <cell r="Y92" t="str">
            <v xml:space="preserve"> </v>
          </cell>
        </row>
        <row r="93">
          <cell r="E93" t="str">
            <v>シースＣＡ</v>
          </cell>
          <cell r="F93" t="str">
            <v>PX10110</v>
          </cell>
          <cell r="G93" t="str">
            <v>数量</v>
          </cell>
          <cell r="H93">
            <v>277</v>
          </cell>
          <cell r="I93">
            <v>0</v>
          </cell>
          <cell r="J93">
            <v>0</v>
          </cell>
          <cell r="K93">
            <v>16</v>
          </cell>
          <cell r="L93">
            <v>16</v>
          </cell>
          <cell r="M93">
            <v>0</v>
          </cell>
          <cell r="N93">
            <v>0</v>
          </cell>
          <cell r="O93">
            <v>293</v>
          </cell>
          <cell r="P93" t="str">
            <v>金額</v>
          </cell>
          <cell r="Q93">
            <v>623378</v>
          </cell>
          <cell r="R93">
            <v>0</v>
          </cell>
          <cell r="S93">
            <v>0</v>
          </cell>
          <cell r="T93">
            <v>17144</v>
          </cell>
          <cell r="U93">
            <v>17144</v>
          </cell>
          <cell r="V93">
            <v>0</v>
          </cell>
          <cell r="W93">
            <v>0</v>
          </cell>
          <cell r="X93">
            <v>640522</v>
          </cell>
          <cell r="Y93" t="str">
            <v xml:space="preserve"> </v>
          </cell>
        </row>
        <row r="94">
          <cell r="E94" t="str">
            <v>シースＣＡ試作</v>
          </cell>
          <cell r="F94" t="str">
            <v>PX10112</v>
          </cell>
          <cell r="G94" t="str">
            <v>数量</v>
          </cell>
          <cell r="H94">
            <v>355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355</v>
          </cell>
          <cell r="P94" t="str">
            <v>金額</v>
          </cell>
          <cell r="Q94">
            <v>547622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547622</v>
          </cell>
          <cell r="Y94" t="str">
            <v xml:space="preserve"> </v>
          </cell>
        </row>
        <row r="95">
          <cell r="E95" t="str">
            <v>回路　試作品</v>
          </cell>
          <cell r="F95" t="str">
            <v>PX10115</v>
          </cell>
          <cell r="G95" t="str">
            <v>数量</v>
          </cell>
          <cell r="H95">
            <v>3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3</v>
          </cell>
          <cell r="P95" t="str">
            <v>金額</v>
          </cell>
          <cell r="Q95">
            <v>16500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16500</v>
          </cell>
          <cell r="Y95" t="str">
            <v xml:space="preserve"> </v>
          </cell>
        </row>
        <row r="96">
          <cell r="E96" t="str">
            <v>ＶＣセンサー</v>
          </cell>
          <cell r="F96" t="str">
            <v>PX10120</v>
          </cell>
          <cell r="G96" t="str">
            <v>数量</v>
          </cell>
          <cell r="H96">
            <v>26451</v>
          </cell>
          <cell r="I96">
            <v>0</v>
          </cell>
          <cell r="J96">
            <v>0</v>
          </cell>
          <cell r="K96">
            <v>341</v>
          </cell>
          <cell r="L96">
            <v>341</v>
          </cell>
          <cell r="M96">
            <v>0</v>
          </cell>
          <cell r="N96">
            <v>0</v>
          </cell>
          <cell r="O96">
            <v>26792</v>
          </cell>
          <cell r="P96" t="str">
            <v>金額</v>
          </cell>
          <cell r="Q96">
            <v>18318099</v>
          </cell>
          <cell r="R96">
            <v>0</v>
          </cell>
          <cell r="S96">
            <v>0</v>
          </cell>
          <cell r="T96">
            <v>299229</v>
          </cell>
          <cell r="U96">
            <v>299229</v>
          </cell>
          <cell r="V96">
            <v>0</v>
          </cell>
          <cell r="W96">
            <v>0</v>
          </cell>
          <cell r="X96">
            <v>18617328</v>
          </cell>
          <cell r="Y96" t="str">
            <v xml:space="preserve"> </v>
          </cell>
        </row>
        <row r="97">
          <cell r="E97" t="str">
            <v>ＶＣセンサー試作</v>
          </cell>
          <cell r="F97" t="str">
            <v>PX10121</v>
          </cell>
          <cell r="G97" t="str">
            <v>数量</v>
          </cell>
          <cell r="H97">
            <v>1</v>
          </cell>
          <cell r="I97">
            <v>0</v>
          </cell>
          <cell r="J97">
            <v>0</v>
          </cell>
          <cell r="K97">
            <v>1</v>
          </cell>
          <cell r="L97">
            <v>1</v>
          </cell>
          <cell r="M97">
            <v>0</v>
          </cell>
          <cell r="N97">
            <v>0</v>
          </cell>
          <cell r="O97">
            <v>2</v>
          </cell>
          <cell r="P97" t="str">
            <v>金額</v>
          </cell>
          <cell r="Q97">
            <v>5000</v>
          </cell>
          <cell r="R97">
            <v>0</v>
          </cell>
          <cell r="S97">
            <v>0</v>
          </cell>
          <cell r="T97">
            <v>5000</v>
          </cell>
          <cell r="U97">
            <v>5000</v>
          </cell>
          <cell r="V97">
            <v>0</v>
          </cell>
          <cell r="W97">
            <v>0</v>
          </cell>
          <cell r="X97">
            <v>10000</v>
          </cell>
          <cell r="Y97" t="str">
            <v xml:space="preserve"> </v>
          </cell>
        </row>
        <row r="98">
          <cell r="E98" t="str">
            <v>温度センサ仕入品</v>
          </cell>
          <cell r="F98" t="str">
            <v>PX10190</v>
          </cell>
          <cell r="G98" t="str">
            <v>数量</v>
          </cell>
          <cell r="H98">
            <v>1200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1200</v>
          </cell>
          <cell r="P98" t="str">
            <v>金額</v>
          </cell>
          <cell r="Q98">
            <v>368000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368000</v>
          </cell>
          <cell r="Y98" t="str">
            <v xml:space="preserve"> </v>
          </cell>
        </row>
        <row r="99">
          <cell r="E99" t="str">
            <v>温度センサー</v>
          </cell>
          <cell r="F99" t="str">
            <v>PX101</v>
          </cell>
          <cell r="G99" t="str">
            <v>数量</v>
          </cell>
          <cell r="H99">
            <v>33199</v>
          </cell>
          <cell r="I99">
            <v>0</v>
          </cell>
          <cell r="J99">
            <v>0</v>
          </cell>
          <cell r="K99">
            <v>11657</v>
          </cell>
          <cell r="L99">
            <v>11657</v>
          </cell>
          <cell r="M99">
            <v>60</v>
          </cell>
          <cell r="N99">
            <v>0</v>
          </cell>
          <cell r="O99">
            <v>44916</v>
          </cell>
          <cell r="P99" t="str">
            <v>金額</v>
          </cell>
          <cell r="Q99">
            <v>28179588</v>
          </cell>
          <cell r="R99">
            <v>0</v>
          </cell>
          <cell r="S99">
            <v>0</v>
          </cell>
          <cell r="T99">
            <v>10443045</v>
          </cell>
          <cell r="U99">
            <v>10443045</v>
          </cell>
          <cell r="V99">
            <v>240000</v>
          </cell>
          <cell r="W99">
            <v>0</v>
          </cell>
          <cell r="X99">
            <v>38862633</v>
          </cell>
          <cell r="Y99" t="str">
            <v xml:space="preserve"> </v>
          </cell>
        </row>
        <row r="100">
          <cell r="E100" t="str">
            <v>ジルコニア半製品</v>
          </cell>
          <cell r="F100" t="str">
            <v>PX11100</v>
          </cell>
          <cell r="G100" t="str">
            <v>数量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119800</v>
          </cell>
          <cell r="N100">
            <v>1000</v>
          </cell>
          <cell r="O100">
            <v>119800</v>
          </cell>
          <cell r="P100" t="str">
            <v>金額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90687000</v>
          </cell>
          <cell r="W100">
            <v>561000</v>
          </cell>
          <cell r="X100">
            <v>90687000</v>
          </cell>
          <cell r="Y100" t="str">
            <v xml:space="preserve"> </v>
          </cell>
        </row>
        <row r="101">
          <cell r="E101" t="str">
            <v>ジルコニア完成品</v>
          </cell>
          <cell r="F101" t="str">
            <v>PX11101</v>
          </cell>
          <cell r="G101" t="str">
            <v>数量</v>
          </cell>
          <cell r="H101">
            <v>224500</v>
          </cell>
          <cell r="I101">
            <v>0</v>
          </cell>
          <cell r="J101">
            <v>0</v>
          </cell>
          <cell r="K101">
            <v>5376</v>
          </cell>
          <cell r="L101">
            <v>5376</v>
          </cell>
          <cell r="M101">
            <v>1849822</v>
          </cell>
          <cell r="N101">
            <v>1840826</v>
          </cell>
          <cell r="O101">
            <v>2079698</v>
          </cell>
          <cell r="P101" t="str">
            <v>金額</v>
          </cell>
          <cell r="Q101">
            <v>369681205</v>
          </cell>
          <cell r="R101">
            <v>0</v>
          </cell>
          <cell r="S101">
            <v>0</v>
          </cell>
          <cell r="T101">
            <v>11346703</v>
          </cell>
          <cell r="U101">
            <v>11346703</v>
          </cell>
          <cell r="V101">
            <v>2107698591</v>
          </cell>
          <cell r="W101">
            <v>2096557065</v>
          </cell>
          <cell r="X101">
            <v>2488726499</v>
          </cell>
          <cell r="Y101" t="str">
            <v xml:space="preserve"> </v>
          </cell>
        </row>
        <row r="102">
          <cell r="E102" t="str">
            <v>ジルコニア部品</v>
          </cell>
          <cell r="F102" t="str">
            <v>PX11102</v>
          </cell>
          <cell r="G102" t="str">
            <v>数量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3970879</v>
          </cell>
          <cell r="N102">
            <v>3293607</v>
          </cell>
          <cell r="O102">
            <v>3970879</v>
          </cell>
          <cell r="P102" t="str">
            <v>金額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222221713</v>
          </cell>
          <cell r="W102">
            <v>189425713</v>
          </cell>
          <cell r="X102">
            <v>222221713</v>
          </cell>
          <cell r="Y102" t="str">
            <v xml:space="preserve"> </v>
          </cell>
        </row>
        <row r="103">
          <cell r="E103" t="str">
            <v>ジルコニア試作</v>
          </cell>
          <cell r="F103" t="str">
            <v>PX11103</v>
          </cell>
          <cell r="G103" t="str">
            <v>数量</v>
          </cell>
          <cell r="H103">
            <v>461</v>
          </cell>
          <cell r="I103">
            <v>0</v>
          </cell>
          <cell r="J103">
            <v>0</v>
          </cell>
          <cell r="K103">
            <v>21</v>
          </cell>
          <cell r="L103">
            <v>21</v>
          </cell>
          <cell r="M103">
            <v>913</v>
          </cell>
          <cell r="N103">
            <v>0</v>
          </cell>
          <cell r="O103">
            <v>1395</v>
          </cell>
          <cell r="P103" t="str">
            <v>金額</v>
          </cell>
          <cell r="Q103">
            <v>5778367</v>
          </cell>
          <cell r="R103">
            <v>0</v>
          </cell>
          <cell r="S103">
            <v>0</v>
          </cell>
          <cell r="T103">
            <v>225000</v>
          </cell>
          <cell r="U103">
            <v>225000</v>
          </cell>
          <cell r="V103">
            <v>4204745</v>
          </cell>
          <cell r="W103">
            <v>0</v>
          </cell>
          <cell r="X103">
            <v>10208112</v>
          </cell>
          <cell r="Y103" t="str">
            <v xml:space="preserve"> </v>
          </cell>
        </row>
        <row r="104">
          <cell r="E104" t="str">
            <v>ジルコニア素子</v>
          </cell>
          <cell r="F104" t="str">
            <v>PX11104</v>
          </cell>
          <cell r="G104" t="str">
            <v>数量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702000</v>
          </cell>
          <cell r="N104">
            <v>702000</v>
          </cell>
          <cell r="O104">
            <v>702000</v>
          </cell>
          <cell r="P104" t="str">
            <v>金額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243072720</v>
          </cell>
          <cell r="W104">
            <v>243072720</v>
          </cell>
          <cell r="X104">
            <v>243072720</v>
          </cell>
          <cell r="Y104" t="str">
            <v xml:space="preserve"> </v>
          </cell>
        </row>
        <row r="105">
          <cell r="E105" t="str">
            <v>チタニア</v>
          </cell>
          <cell r="F105" t="str">
            <v>PX11105</v>
          </cell>
          <cell r="G105" t="str">
            <v>数量</v>
          </cell>
          <cell r="H105">
            <v>0</v>
          </cell>
          <cell r="I105">
            <v>0</v>
          </cell>
          <cell r="J105">
            <v>0</v>
          </cell>
          <cell r="K105">
            <v>5153</v>
          </cell>
          <cell r="L105">
            <v>5153</v>
          </cell>
          <cell r="M105">
            <v>41260</v>
          </cell>
          <cell r="N105">
            <v>15440</v>
          </cell>
          <cell r="O105">
            <v>46413</v>
          </cell>
          <cell r="P105" t="str">
            <v>金額</v>
          </cell>
          <cell r="Q105">
            <v>0</v>
          </cell>
          <cell r="R105">
            <v>0</v>
          </cell>
          <cell r="S105">
            <v>0</v>
          </cell>
          <cell r="T105">
            <v>11952282</v>
          </cell>
          <cell r="U105">
            <v>11952282</v>
          </cell>
          <cell r="V105">
            <v>66358820</v>
          </cell>
          <cell r="W105">
            <v>31519440</v>
          </cell>
          <cell r="X105">
            <v>78311102</v>
          </cell>
          <cell r="Y105" t="str">
            <v xml:space="preserve"> </v>
          </cell>
        </row>
        <row r="106">
          <cell r="E106" t="str">
            <v>Ａ／Ｆメーター</v>
          </cell>
          <cell r="F106" t="str">
            <v>PX11110</v>
          </cell>
          <cell r="G106" t="str">
            <v>数量</v>
          </cell>
          <cell r="H106">
            <v>0</v>
          </cell>
          <cell r="I106">
            <v>2</v>
          </cell>
          <cell r="J106">
            <v>0</v>
          </cell>
          <cell r="K106">
            <v>0</v>
          </cell>
          <cell r="L106">
            <v>2</v>
          </cell>
          <cell r="M106">
            <v>0</v>
          </cell>
          <cell r="N106">
            <v>0</v>
          </cell>
          <cell r="O106">
            <v>2</v>
          </cell>
          <cell r="P106" t="str">
            <v>金額</v>
          </cell>
          <cell r="Q106">
            <v>0</v>
          </cell>
          <cell r="R106">
            <v>126000</v>
          </cell>
          <cell r="S106">
            <v>0</v>
          </cell>
          <cell r="T106">
            <v>0</v>
          </cell>
          <cell r="U106">
            <v>126000</v>
          </cell>
          <cell r="V106">
            <v>0</v>
          </cell>
          <cell r="W106">
            <v>0</v>
          </cell>
          <cell r="X106">
            <v>126000</v>
          </cell>
          <cell r="Y106" t="str">
            <v xml:space="preserve"> </v>
          </cell>
        </row>
        <row r="107">
          <cell r="E107" t="str">
            <v>全領域センサ－</v>
          </cell>
          <cell r="F107" t="str">
            <v>PX11111</v>
          </cell>
          <cell r="G107" t="str">
            <v>数量</v>
          </cell>
          <cell r="H107">
            <v>2635</v>
          </cell>
          <cell r="I107">
            <v>0</v>
          </cell>
          <cell r="J107">
            <v>0</v>
          </cell>
          <cell r="K107">
            <v>545</v>
          </cell>
          <cell r="L107">
            <v>545</v>
          </cell>
          <cell r="M107">
            <v>45791</v>
          </cell>
          <cell r="N107">
            <v>0</v>
          </cell>
          <cell r="O107">
            <v>48971</v>
          </cell>
          <cell r="P107" t="str">
            <v>金額</v>
          </cell>
          <cell r="Q107">
            <v>12047149</v>
          </cell>
          <cell r="R107">
            <v>0</v>
          </cell>
          <cell r="S107">
            <v>0</v>
          </cell>
          <cell r="T107">
            <v>2144995</v>
          </cell>
          <cell r="U107">
            <v>2144995</v>
          </cell>
          <cell r="V107">
            <v>124147118</v>
          </cell>
          <cell r="W107">
            <v>0</v>
          </cell>
          <cell r="X107">
            <v>138339262</v>
          </cell>
          <cell r="Y107" t="str">
            <v xml:space="preserve"> </v>
          </cell>
        </row>
        <row r="108">
          <cell r="E108" t="str">
            <v>全領域部品</v>
          </cell>
          <cell r="F108" t="str">
            <v>PX11112</v>
          </cell>
          <cell r="G108" t="str">
            <v>数量</v>
          </cell>
          <cell r="H108">
            <v>259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290</v>
          </cell>
          <cell r="N108">
            <v>0</v>
          </cell>
          <cell r="O108">
            <v>549</v>
          </cell>
          <cell r="P108" t="str">
            <v>金額</v>
          </cell>
          <cell r="Q108">
            <v>4611336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6218400</v>
          </cell>
          <cell r="W108">
            <v>0</v>
          </cell>
          <cell r="X108">
            <v>10829736</v>
          </cell>
          <cell r="Y108" t="str">
            <v xml:space="preserve"> </v>
          </cell>
        </row>
        <row r="109">
          <cell r="E109" t="str">
            <v>全領域試作</v>
          </cell>
          <cell r="F109" t="str">
            <v>PX11113</v>
          </cell>
          <cell r="G109" t="str">
            <v>数量</v>
          </cell>
          <cell r="H109">
            <v>118</v>
          </cell>
          <cell r="I109">
            <v>0</v>
          </cell>
          <cell r="J109">
            <v>0</v>
          </cell>
          <cell r="K109">
            <v>5</v>
          </cell>
          <cell r="L109">
            <v>5</v>
          </cell>
          <cell r="M109">
            <v>150</v>
          </cell>
          <cell r="N109">
            <v>0</v>
          </cell>
          <cell r="O109">
            <v>273</v>
          </cell>
          <cell r="P109" t="str">
            <v>金額</v>
          </cell>
          <cell r="Q109">
            <v>3248740</v>
          </cell>
          <cell r="R109">
            <v>0</v>
          </cell>
          <cell r="S109">
            <v>0</v>
          </cell>
          <cell r="T109">
            <v>30000</v>
          </cell>
          <cell r="U109">
            <v>30000</v>
          </cell>
          <cell r="V109">
            <v>5454100</v>
          </cell>
          <cell r="W109">
            <v>0</v>
          </cell>
          <cell r="X109">
            <v>8732840</v>
          </cell>
          <cell r="Y109" t="str">
            <v xml:space="preserve"> </v>
          </cell>
        </row>
        <row r="110">
          <cell r="E110" t="str">
            <v>筒型センサＮＧＫ</v>
          </cell>
          <cell r="F110" t="str">
            <v>PX11121</v>
          </cell>
          <cell r="G110" t="str">
            <v>数量</v>
          </cell>
          <cell r="H110">
            <v>0</v>
          </cell>
          <cell r="I110">
            <v>0</v>
          </cell>
          <cell r="J110">
            <v>0</v>
          </cell>
          <cell r="K110">
            <v>284</v>
          </cell>
          <cell r="L110">
            <v>284</v>
          </cell>
          <cell r="M110">
            <v>0</v>
          </cell>
          <cell r="N110">
            <v>0</v>
          </cell>
          <cell r="O110">
            <v>284</v>
          </cell>
          <cell r="P110" t="str">
            <v>金額</v>
          </cell>
          <cell r="Q110">
            <v>0</v>
          </cell>
          <cell r="R110">
            <v>0</v>
          </cell>
          <cell r="S110">
            <v>0</v>
          </cell>
          <cell r="T110">
            <v>561883</v>
          </cell>
          <cell r="U110">
            <v>561883</v>
          </cell>
          <cell r="V110">
            <v>0</v>
          </cell>
          <cell r="W110">
            <v>0</v>
          </cell>
          <cell r="X110">
            <v>561883</v>
          </cell>
          <cell r="Y110" t="str">
            <v xml:space="preserve"> </v>
          </cell>
        </row>
        <row r="111">
          <cell r="E111" t="str">
            <v>厚膜センサＮＧＫ</v>
          </cell>
          <cell r="F111" t="str">
            <v>PX11125</v>
          </cell>
          <cell r="G111" t="str">
            <v>数量</v>
          </cell>
          <cell r="H111">
            <v>0</v>
          </cell>
          <cell r="I111">
            <v>0</v>
          </cell>
          <cell r="J111">
            <v>0</v>
          </cell>
          <cell r="K111">
            <v>1987</v>
          </cell>
          <cell r="L111">
            <v>1987</v>
          </cell>
          <cell r="M111">
            <v>700</v>
          </cell>
          <cell r="N111">
            <v>0</v>
          </cell>
          <cell r="O111">
            <v>2687</v>
          </cell>
          <cell r="P111" t="str">
            <v>金額</v>
          </cell>
          <cell r="Q111">
            <v>0</v>
          </cell>
          <cell r="R111">
            <v>0</v>
          </cell>
          <cell r="S111">
            <v>0</v>
          </cell>
          <cell r="T111">
            <v>3960322</v>
          </cell>
          <cell r="U111">
            <v>3960322</v>
          </cell>
          <cell r="V111">
            <v>2283400</v>
          </cell>
          <cell r="W111">
            <v>0</v>
          </cell>
          <cell r="X111">
            <v>6243722</v>
          </cell>
          <cell r="Y111" t="str">
            <v xml:space="preserve"> </v>
          </cell>
        </row>
        <row r="112">
          <cell r="E112" t="str">
            <v>酸素センサー</v>
          </cell>
          <cell r="F112" t="str">
            <v>PX111</v>
          </cell>
          <cell r="G112" t="str">
            <v>数量</v>
          </cell>
          <cell r="H112">
            <v>227973</v>
          </cell>
          <cell r="I112">
            <v>2</v>
          </cell>
          <cell r="J112">
            <v>0</v>
          </cell>
          <cell r="K112">
            <v>13371</v>
          </cell>
          <cell r="L112">
            <v>13373</v>
          </cell>
          <cell r="M112">
            <v>6731605</v>
          </cell>
          <cell r="N112">
            <v>5852873</v>
          </cell>
          <cell r="O112">
            <v>6972951</v>
          </cell>
          <cell r="P112" t="str">
            <v>金額</v>
          </cell>
          <cell r="Q112">
            <v>395366797</v>
          </cell>
          <cell r="R112">
            <v>126000</v>
          </cell>
          <cell r="S112">
            <v>0</v>
          </cell>
          <cell r="T112">
            <v>30221185</v>
          </cell>
          <cell r="U112">
            <v>30347185</v>
          </cell>
          <cell r="V112">
            <v>2872346607</v>
          </cell>
          <cell r="W112">
            <v>2561135938</v>
          </cell>
          <cell r="X112">
            <v>3298060589</v>
          </cell>
          <cell r="Y112" t="str">
            <v xml:space="preserve"> </v>
          </cell>
        </row>
        <row r="113">
          <cell r="E113" t="str">
            <v>ＮＯＸセンサー</v>
          </cell>
          <cell r="F113" t="str">
            <v>PX12101</v>
          </cell>
          <cell r="G113" t="str">
            <v>数量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847</v>
          </cell>
          <cell r="N113">
            <v>847</v>
          </cell>
          <cell r="O113">
            <v>847</v>
          </cell>
          <cell r="P113" t="str">
            <v>金額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2855237</v>
          </cell>
          <cell r="W113">
            <v>2855237</v>
          </cell>
          <cell r="X113">
            <v>2855237</v>
          </cell>
          <cell r="Y113" t="str">
            <v xml:space="preserve"> </v>
          </cell>
        </row>
        <row r="114">
          <cell r="E114" t="str">
            <v>ＮＯＸ回路</v>
          </cell>
          <cell r="F114" t="str">
            <v>PX12102</v>
          </cell>
          <cell r="G114" t="str">
            <v>数量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350</v>
          </cell>
          <cell r="N114">
            <v>350</v>
          </cell>
          <cell r="O114">
            <v>350</v>
          </cell>
          <cell r="P114" t="str">
            <v>金額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837200</v>
          </cell>
          <cell r="W114">
            <v>837200</v>
          </cell>
          <cell r="X114">
            <v>837200</v>
          </cell>
          <cell r="Y114" t="str">
            <v xml:space="preserve"> </v>
          </cell>
        </row>
        <row r="115">
          <cell r="E115" t="str">
            <v>ノックセンサー</v>
          </cell>
          <cell r="F115" t="str">
            <v>PX12105</v>
          </cell>
          <cell r="G115" t="str">
            <v>数量</v>
          </cell>
          <cell r="H115">
            <v>124635</v>
          </cell>
          <cell r="I115">
            <v>0</v>
          </cell>
          <cell r="J115">
            <v>0</v>
          </cell>
          <cell r="K115">
            <v>323</v>
          </cell>
          <cell r="L115">
            <v>323</v>
          </cell>
          <cell r="M115">
            <v>218904</v>
          </cell>
          <cell r="N115">
            <v>218904</v>
          </cell>
          <cell r="O115">
            <v>343862</v>
          </cell>
          <cell r="P115" t="str">
            <v>金額</v>
          </cell>
          <cell r="Q115">
            <v>50887512</v>
          </cell>
          <cell r="R115">
            <v>0</v>
          </cell>
          <cell r="S115">
            <v>0</v>
          </cell>
          <cell r="T115">
            <v>219976</v>
          </cell>
          <cell r="U115">
            <v>219976</v>
          </cell>
          <cell r="V115">
            <v>85140300</v>
          </cell>
          <cell r="W115">
            <v>85140300</v>
          </cell>
          <cell r="X115">
            <v>136247788</v>
          </cell>
          <cell r="Y115" t="str">
            <v xml:space="preserve"> </v>
          </cell>
        </row>
        <row r="116">
          <cell r="E116" t="str">
            <v>ノック　試作品</v>
          </cell>
          <cell r="F116" t="str">
            <v>PX12107</v>
          </cell>
          <cell r="G116" t="str">
            <v>数量</v>
          </cell>
          <cell r="H116">
            <v>15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500</v>
          </cell>
          <cell r="N116">
            <v>0</v>
          </cell>
          <cell r="O116">
            <v>515</v>
          </cell>
          <cell r="P116" t="str">
            <v>金額</v>
          </cell>
          <cell r="Q116">
            <v>214628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1350000</v>
          </cell>
          <cell r="W116">
            <v>0</v>
          </cell>
          <cell r="X116">
            <v>1564628</v>
          </cell>
          <cell r="Y116" t="str">
            <v xml:space="preserve"> </v>
          </cell>
        </row>
        <row r="117">
          <cell r="E117" t="str">
            <v>オイルセンサー</v>
          </cell>
          <cell r="F117" t="str">
            <v>PX12110</v>
          </cell>
          <cell r="G117" t="str">
            <v>数量</v>
          </cell>
          <cell r="H117">
            <v>3</v>
          </cell>
          <cell r="I117">
            <v>0</v>
          </cell>
          <cell r="J117">
            <v>0</v>
          </cell>
          <cell r="K117">
            <v>18</v>
          </cell>
          <cell r="L117">
            <v>18</v>
          </cell>
          <cell r="M117">
            <v>0</v>
          </cell>
          <cell r="N117">
            <v>0</v>
          </cell>
          <cell r="O117">
            <v>21</v>
          </cell>
          <cell r="P117" t="str">
            <v>金額</v>
          </cell>
          <cell r="Q117">
            <v>15400</v>
          </cell>
          <cell r="R117">
            <v>0</v>
          </cell>
          <cell r="S117">
            <v>0</v>
          </cell>
          <cell r="T117">
            <v>62040</v>
          </cell>
          <cell r="U117">
            <v>62040</v>
          </cell>
          <cell r="V117">
            <v>0</v>
          </cell>
          <cell r="W117">
            <v>0</v>
          </cell>
          <cell r="X117">
            <v>77440</v>
          </cell>
          <cell r="Y117" t="str">
            <v xml:space="preserve"> </v>
          </cell>
        </row>
        <row r="118">
          <cell r="E118" t="str">
            <v>荷重センサー</v>
          </cell>
          <cell r="F118" t="str">
            <v>PX12114</v>
          </cell>
          <cell r="G118" t="str">
            <v>数量</v>
          </cell>
          <cell r="H118">
            <v>400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400</v>
          </cell>
          <cell r="P118" t="str">
            <v>金額</v>
          </cell>
          <cell r="Q118">
            <v>1094832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1094832</v>
          </cell>
          <cell r="Y118" t="str">
            <v xml:space="preserve"> </v>
          </cell>
        </row>
        <row r="119">
          <cell r="E119" t="str">
            <v>荷重　試作品</v>
          </cell>
          <cell r="F119" t="str">
            <v>PX12116</v>
          </cell>
          <cell r="G119" t="str">
            <v>数量</v>
          </cell>
          <cell r="H119">
            <v>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1</v>
          </cell>
          <cell r="P119" t="str">
            <v>金額</v>
          </cell>
          <cell r="Q119">
            <v>7376987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7376987</v>
          </cell>
          <cell r="Y119" t="str">
            <v xml:space="preserve"> </v>
          </cell>
        </row>
        <row r="120">
          <cell r="E120" t="str">
            <v>Ｚ－ＴＦセンサー</v>
          </cell>
          <cell r="F120" t="str">
            <v>PX12120</v>
          </cell>
          <cell r="G120" t="str">
            <v>数量</v>
          </cell>
          <cell r="H120">
            <v>7260</v>
          </cell>
          <cell r="I120">
            <v>0</v>
          </cell>
          <cell r="J120">
            <v>0</v>
          </cell>
          <cell r="K120">
            <v>20</v>
          </cell>
          <cell r="L120">
            <v>20</v>
          </cell>
          <cell r="M120">
            <v>0</v>
          </cell>
          <cell r="N120">
            <v>0</v>
          </cell>
          <cell r="O120">
            <v>7280</v>
          </cell>
          <cell r="P120" t="str">
            <v>金額</v>
          </cell>
          <cell r="Q120">
            <v>11979000</v>
          </cell>
          <cell r="R120">
            <v>0</v>
          </cell>
          <cell r="S120">
            <v>0</v>
          </cell>
          <cell r="T120">
            <v>42900</v>
          </cell>
          <cell r="U120">
            <v>42900</v>
          </cell>
          <cell r="V120">
            <v>0</v>
          </cell>
          <cell r="W120">
            <v>0</v>
          </cell>
          <cell r="X120">
            <v>12021900</v>
          </cell>
          <cell r="Y120" t="str">
            <v xml:space="preserve"> </v>
          </cell>
        </row>
        <row r="121">
          <cell r="E121" t="str">
            <v>筒内圧センサ－</v>
          </cell>
          <cell r="F121" t="str">
            <v>PX12130</v>
          </cell>
          <cell r="G121" t="str">
            <v>数量</v>
          </cell>
          <cell r="H121">
            <v>0</v>
          </cell>
          <cell r="I121">
            <v>0</v>
          </cell>
          <cell r="J121">
            <v>0</v>
          </cell>
          <cell r="K121">
            <v>32</v>
          </cell>
          <cell r="L121">
            <v>32</v>
          </cell>
          <cell r="M121">
            <v>0</v>
          </cell>
          <cell r="N121">
            <v>0</v>
          </cell>
          <cell r="O121">
            <v>32</v>
          </cell>
          <cell r="P121" t="str">
            <v>金額</v>
          </cell>
          <cell r="Q121">
            <v>0</v>
          </cell>
          <cell r="R121">
            <v>0</v>
          </cell>
          <cell r="S121">
            <v>0</v>
          </cell>
          <cell r="T121">
            <v>153450</v>
          </cell>
          <cell r="U121">
            <v>153450</v>
          </cell>
          <cell r="V121">
            <v>0</v>
          </cell>
          <cell r="W121">
            <v>0</v>
          </cell>
          <cell r="X121">
            <v>153450</v>
          </cell>
          <cell r="Y121" t="str">
            <v xml:space="preserve"> </v>
          </cell>
        </row>
        <row r="122">
          <cell r="E122" t="str">
            <v>筒内圧試作品</v>
          </cell>
          <cell r="F122" t="str">
            <v>PX12132</v>
          </cell>
          <cell r="G122" t="str">
            <v>数量</v>
          </cell>
          <cell r="H122">
            <v>499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499</v>
          </cell>
          <cell r="P122" t="str">
            <v>金額</v>
          </cell>
          <cell r="Q122">
            <v>4990000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4990000</v>
          </cell>
          <cell r="Y122" t="str">
            <v xml:space="preserve"> </v>
          </cell>
        </row>
        <row r="123">
          <cell r="E123" t="str">
            <v>失火検知</v>
          </cell>
          <cell r="F123" t="str">
            <v>PX12192</v>
          </cell>
          <cell r="G123" t="str">
            <v>数量</v>
          </cell>
          <cell r="H123">
            <v>456</v>
          </cell>
          <cell r="I123">
            <v>0</v>
          </cell>
          <cell r="J123">
            <v>0</v>
          </cell>
          <cell r="K123">
            <v>25</v>
          </cell>
          <cell r="L123">
            <v>25</v>
          </cell>
          <cell r="M123">
            <v>0</v>
          </cell>
          <cell r="N123">
            <v>0</v>
          </cell>
          <cell r="O123">
            <v>481</v>
          </cell>
          <cell r="P123" t="str">
            <v>金額</v>
          </cell>
          <cell r="Q123">
            <v>2366868</v>
          </cell>
          <cell r="R123">
            <v>0</v>
          </cell>
          <cell r="S123">
            <v>0</v>
          </cell>
          <cell r="T123">
            <v>167700</v>
          </cell>
          <cell r="U123">
            <v>167700</v>
          </cell>
          <cell r="V123">
            <v>0</v>
          </cell>
          <cell r="W123">
            <v>0</v>
          </cell>
          <cell r="X123">
            <v>2534568</v>
          </cell>
          <cell r="Y123" t="str">
            <v xml:space="preserve"> </v>
          </cell>
        </row>
        <row r="124">
          <cell r="E124" t="str">
            <v>その他　試作品</v>
          </cell>
          <cell r="F124" t="str">
            <v>PX12194</v>
          </cell>
          <cell r="G124" t="str">
            <v>数量</v>
          </cell>
          <cell r="H124">
            <v>91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91</v>
          </cell>
          <cell r="P124" t="str">
            <v>金額</v>
          </cell>
          <cell r="Q124">
            <v>3977200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3977200</v>
          </cell>
          <cell r="Y124" t="str">
            <v xml:space="preserve"> </v>
          </cell>
        </row>
        <row r="125">
          <cell r="E125" t="str">
            <v>その他　その他</v>
          </cell>
          <cell r="F125" t="str">
            <v>PX12196</v>
          </cell>
          <cell r="G125" t="str">
            <v>数量</v>
          </cell>
          <cell r="H125">
            <v>108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108</v>
          </cell>
          <cell r="P125" t="str">
            <v>金額</v>
          </cell>
          <cell r="Q125">
            <v>1620000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1620000</v>
          </cell>
          <cell r="Y125" t="str">
            <v xml:space="preserve"> </v>
          </cell>
        </row>
        <row r="126">
          <cell r="E126" t="str">
            <v>その他のセンサー</v>
          </cell>
          <cell r="F126" t="str">
            <v>PX121</v>
          </cell>
          <cell r="G126" t="str">
            <v>数量</v>
          </cell>
          <cell r="H126">
            <v>133468</v>
          </cell>
          <cell r="I126">
            <v>0</v>
          </cell>
          <cell r="J126">
            <v>0</v>
          </cell>
          <cell r="K126">
            <v>418</v>
          </cell>
          <cell r="L126">
            <v>418</v>
          </cell>
          <cell r="M126">
            <v>220601</v>
          </cell>
          <cell r="N126">
            <v>220101</v>
          </cell>
          <cell r="O126">
            <v>354487</v>
          </cell>
          <cell r="P126" t="str">
            <v>金額</v>
          </cell>
          <cell r="Q126">
            <v>84522427</v>
          </cell>
          <cell r="R126">
            <v>0</v>
          </cell>
          <cell r="S126">
            <v>0</v>
          </cell>
          <cell r="T126">
            <v>646066</v>
          </cell>
          <cell r="U126">
            <v>646066</v>
          </cell>
          <cell r="V126">
            <v>90182737</v>
          </cell>
          <cell r="W126">
            <v>88832737</v>
          </cell>
          <cell r="X126">
            <v>175351230</v>
          </cell>
          <cell r="Y126" t="str">
            <v xml:space="preserve"> </v>
          </cell>
        </row>
        <row r="127">
          <cell r="E127" t="str">
            <v>センサ－</v>
          </cell>
          <cell r="F127" t="str">
            <v>PX1</v>
          </cell>
          <cell r="G127" t="str">
            <v>数量</v>
          </cell>
          <cell r="H127">
            <v>394640</v>
          </cell>
          <cell r="I127">
            <v>2</v>
          </cell>
          <cell r="J127">
            <v>0</v>
          </cell>
          <cell r="K127">
            <v>25446</v>
          </cell>
          <cell r="L127">
            <v>25448</v>
          </cell>
          <cell r="M127">
            <v>6952266</v>
          </cell>
          <cell r="N127">
            <v>6072974</v>
          </cell>
          <cell r="O127">
            <v>7372354</v>
          </cell>
          <cell r="P127" t="str">
            <v>金額</v>
          </cell>
          <cell r="Q127">
            <v>508068812</v>
          </cell>
          <cell r="R127">
            <v>126000</v>
          </cell>
          <cell r="S127">
            <v>0</v>
          </cell>
          <cell r="T127">
            <v>41310296</v>
          </cell>
          <cell r="U127">
            <v>41436296</v>
          </cell>
          <cell r="V127">
            <v>2962769344</v>
          </cell>
          <cell r="W127">
            <v>2649968675</v>
          </cell>
          <cell r="X127">
            <v>3512274452</v>
          </cell>
          <cell r="Y127" t="str">
            <v xml:space="preserve"> </v>
          </cell>
        </row>
        <row r="128">
          <cell r="E128" t="str">
            <v>完成品</v>
          </cell>
          <cell r="F128" t="str">
            <v>PX30101</v>
          </cell>
          <cell r="G128" t="str">
            <v>数量</v>
          </cell>
          <cell r="H128">
            <v>500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500</v>
          </cell>
          <cell r="P128" t="str">
            <v>金額</v>
          </cell>
          <cell r="Q128">
            <v>115000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115000</v>
          </cell>
          <cell r="Y128" t="str">
            <v xml:space="preserve"> </v>
          </cell>
        </row>
        <row r="129">
          <cell r="E129" t="str">
            <v>オウヨウ　チップ</v>
          </cell>
          <cell r="F129" t="str">
            <v>PX301</v>
          </cell>
          <cell r="G129" t="str">
            <v>数量</v>
          </cell>
          <cell r="H129">
            <v>500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500</v>
          </cell>
          <cell r="P129" t="str">
            <v>金額</v>
          </cell>
          <cell r="Q129">
            <v>115000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115000</v>
          </cell>
          <cell r="Y129" t="str">
            <v xml:space="preserve"> </v>
          </cell>
        </row>
        <row r="130">
          <cell r="E130" t="str">
            <v>完成品</v>
          </cell>
          <cell r="F130" t="str">
            <v>PX30501</v>
          </cell>
          <cell r="G130" t="str">
            <v>数量</v>
          </cell>
          <cell r="H130">
            <v>24082</v>
          </cell>
          <cell r="I130">
            <v>0</v>
          </cell>
          <cell r="J130">
            <v>0</v>
          </cell>
          <cell r="K130">
            <v>565</v>
          </cell>
          <cell r="L130">
            <v>565</v>
          </cell>
          <cell r="M130">
            <v>0</v>
          </cell>
          <cell r="N130">
            <v>0</v>
          </cell>
          <cell r="O130">
            <v>24647</v>
          </cell>
          <cell r="P130" t="str">
            <v>金額</v>
          </cell>
          <cell r="Q130">
            <v>31587920</v>
          </cell>
          <cell r="R130">
            <v>0</v>
          </cell>
          <cell r="S130">
            <v>0</v>
          </cell>
          <cell r="T130">
            <v>1214105</v>
          </cell>
          <cell r="U130">
            <v>1214105</v>
          </cell>
          <cell r="V130">
            <v>0</v>
          </cell>
          <cell r="W130">
            <v>0</v>
          </cell>
          <cell r="X130">
            <v>32802025</v>
          </cell>
          <cell r="Y130" t="str">
            <v xml:space="preserve"> </v>
          </cell>
        </row>
        <row r="131">
          <cell r="E131" t="str">
            <v>オウヨウタペット</v>
          </cell>
          <cell r="F131" t="str">
            <v>PX305</v>
          </cell>
          <cell r="G131" t="str">
            <v>数量</v>
          </cell>
          <cell r="H131">
            <v>24082</v>
          </cell>
          <cell r="I131">
            <v>0</v>
          </cell>
          <cell r="J131">
            <v>0</v>
          </cell>
          <cell r="K131">
            <v>565</v>
          </cell>
          <cell r="L131">
            <v>565</v>
          </cell>
          <cell r="M131">
            <v>0</v>
          </cell>
          <cell r="N131">
            <v>0</v>
          </cell>
          <cell r="O131">
            <v>24647</v>
          </cell>
          <cell r="P131" t="str">
            <v>金額</v>
          </cell>
          <cell r="Q131">
            <v>31587920</v>
          </cell>
          <cell r="R131">
            <v>0</v>
          </cell>
          <cell r="S131">
            <v>0</v>
          </cell>
          <cell r="T131">
            <v>1214105</v>
          </cell>
          <cell r="U131">
            <v>1214105</v>
          </cell>
          <cell r="V131">
            <v>0</v>
          </cell>
          <cell r="W131">
            <v>0</v>
          </cell>
          <cell r="X131">
            <v>32802025</v>
          </cell>
          <cell r="Y131" t="str">
            <v xml:space="preserve"> </v>
          </cell>
        </row>
        <row r="132">
          <cell r="E132" t="str">
            <v>オウヨウ</v>
          </cell>
          <cell r="F132" t="str">
            <v>PX3</v>
          </cell>
          <cell r="G132" t="str">
            <v>数量</v>
          </cell>
          <cell r="H132">
            <v>24582</v>
          </cell>
          <cell r="I132">
            <v>0</v>
          </cell>
          <cell r="J132">
            <v>0</v>
          </cell>
          <cell r="K132">
            <v>565</v>
          </cell>
          <cell r="L132">
            <v>565</v>
          </cell>
          <cell r="M132">
            <v>0</v>
          </cell>
          <cell r="N132">
            <v>0</v>
          </cell>
          <cell r="O132">
            <v>25147</v>
          </cell>
          <cell r="P132" t="str">
            <v>金額</v>
          </cell>
          <cell r="Q132">
            <v>31702920</v>
          </cell>
          <cell r="R132">
            <v>0</v>
          </cell>
          <cell r="S132">
            <v>0</v>
          </cell>
          <cell r="T132">
            <v>1214105</v>
          </cell>
          <cell r="U132">
            <v>1214105</v>
          </cell>
          <cell r="V132">
            <v>0</v>
          </cell>
          <cell r="W132">
            <v>0</v>
          </cell>
          <cell r="X132">
            <v>32917025</v>
          </cell>
          <cell r="Y132" t="str">
            <v xml:space="preserve"> </v>
          </cell>
        </row>
        <row r="133">
          <cell r="E133" t="str">
            <v>コントロラー</v>
          </cell>
          <cell r="F133" t="str">
            <v>PX50101</v>
          </cell>
          <cell r="G133" t="str">
            <v>数量</v>
          </cell>
          <cell r="H133">
            <v>29964</v>
          </cell>
          <cell r="I133">
            <v>0</v>
          </cell>
          <cell r="J133">
            <v>0</v>
          </cell>
          <cell r="K133">
            <v>1963</v>
          </cell>
          <cell r="L133">
            <v>1963</v>
          </cell>
          <cell r="M133">
            <v>680</v>
          </cell>
          <cell r="N133">
            <v>680</v>
          </cell>
          <cell r="O133">
            <v>32607</v>
          </cell>
          <cell r="P133" t="str">
            <v>金額</v>
          </cell>
          <cell r="Q133">
            <v>63218850</v>
          </cell>
          <cell r="R133">
            <v>0</v>
          </cell>
          <cell r="S133">
            <v>0</v>
          </cell>
          <cell r="T133">
            <v>3377209</v>
          </cell>
          <cell r="U133">
            <v>3377209</v>
          </cell>
          <cell r="V133">
            <v>1236480</v>
          </cell>
          <cell r="W133">
            <v>1236480</v>
          </cell>
          <cell r="X133">
            <v>67832539</v>
          </cell>
          <cell r="Y133" t="str">
            <v xml:space="preserve"> </v>
          </cell>
        </row>
        <row r="134">
          <cell r="E134" t="str">
            <v>レジスター</v>
          </cell>
          <cell r="F134" t="str">
            <v>PX50105</v>
          </cell>
          <cell r="G134" t="str">
            <v>数量</v>
          </cell>
          <cell r="H134">
            <v>1145</v>
          </cell>
          <cell r="I134">
            <v>0</v>
          </cell>
          <cell r="J134">
            <v>0</v>
          </cell>
          <cell r="K134">
            <v>89</v>
          </cell>
          <cell r="L134">
            <v>89</v>
          </cell>
          <cell r="M134">
            <v>0</v>
          </cell>
          <cell r="N134">
            <v>0</v>
          </cell>
          <cell r="O134">
            <v>1234</v>
          </cell>
          <cell r="P134" t="str">
            <v>金額</v>
          </cell>
          <cell r="Q134">
            <v>711385</v>
          </cell>
          <cell r="R134">
            <v>0</v>
          </cell>
          <cell r="S134">
            <v>0</v>
          </cell>
          <cell r="T134">
            <v>88446</v>
          </cell>
          <cell r="U134">
            <v>88446</v>
          </cell>
          <cell r="V134">
            <v>0</v>
          </cell>
          <cell r="W134">
            <v>0</v>
          </cell>
          <cell r="X134">
            <v>799831</v>
          </cell>
          <cell r="Y134" t="str">
            <v xml:space="preserve"> </v>
          </cell>
        </row>
        <row r="135">
          <cell r="E135" t="str">
            <v>リレー</v>
          </cell>
          <cell r="F135" t="str">
            <v>PX50110</v>
          </cell>
          <cell r="G135" t="str">
            <v>数量</v>
          </cell>
          <cell r="H135">
            <v>30278</v>
          </cell>
          <cell r="I135">
            <v>0</v>
          </cell>
          <cell r="J135">
            <v>0</v>
          </cell>
          <cell r="K135">
            <v>1464</v>
          </cell>
          <cell r="L135">
            <v>1464</v>
          </cell>
          <cell r="M135">
            <v>300</v>
          </cell>
          <cell r="N135">
            <v>300</v>
          </cell>
          <cell r="O135">
            <v>32042</v>
          </cell>
          <cell r="P135" t="str">
            <v>金額</v>
          </cell>
          <cell r="Q135">
            <v>14187630</v>
          </cell>
          <cell r="R135">
            <v>0</v>
          </cell>
          <cell r="S135">
            <v>0</v>
          </cell>
          <cell r="T135">
            <v>913505</v>
          </cell>
          <cell r="U135">
            <v>913505</v>
          </cell>
          <cell r="V135">
            <v>320100</v>
          </cell>
          <cell r="W135">
            <v>320100</v>
          </cell>
          <cell r="X135">
            <v>15421235</v>
          </cell>
          <cell r="Y135" t="str">
            <v xml:space="preserve"> </v>
          </cell>
        </row>
        <row r="136">
          <cell r="E136" t="str">
            <v>エアーヒーター</v>
          </cell>
          <cell r="F136" t="str">
            <v>PX50113</v>
          </cell>
          <cell r="G136" t="str">
            <v>数量</v>
          </cell>
          <cell r="H136">
            <v>15117</v>
          </cell>
          <cell r="I136">
            <v>0</v>
          </cell>
          <cell r="J136">
            <v>0</v>
          </cell>
          <cell r="K136">
            <v>440</v>
          </cell>
          <cell r="L136">
            <v>440</v>
          </cell>
          <cell r="M136">
            <v>6700</v>
          </cell>
          <cell r="N136">
            <v>6700</v>
          </cell>
          <cell r="O136">
            <v>22257</v>
          </cell>
          <cell r="P136" t="str">
            <v>金額</v>
          </cell>
          <cell r="Q136">
            <v>20209803</v>
          </cell>
          <cell r="R136">
            <v>0</v>
          </cell>
          <cell r="S136">
            <v>0</v>
          </cell>
          <cell r="T136">
            <v>1365749</v>
          </cell>
          <cell r="U136">
            <v>1365749</v>
          </cell>
          <cell r="V136">
            <v>15968500</v>
          </cell>
          <cell r="W136">
            <v>15968500</v>
          </cell>
          <cell r="X136">
            <v>37544052</v>
          </cell>
          <cell r="Y136" t="str">
            <v xml:space="preserve"> </v>
          </cell>
        </row>
        <row r="137">
          <cell r="E137" t="str">
            <v>その他</v>
          </cell>
          <cell r="F137" t="str">
            <v>PX50190</v>
          </cell>
          <cell r="G137" t="str">
            <v>数量</v>
          </cell>
          <cell r="H137">
            <v>3096</v>
          </cell>
          <cell r="I137">
            <v>0</v>
          </cell>
          <cell r="J137">
            <v>0</v>
          </cell>
          <cell r="K137">
            <v>227</v>
          </cell>
          <cell r="L137">
            <v>227</v>
          </cell>
          <cell r="M137">
            <v>400</v>
          </cell>
          <cell r="N137">
            <v>400</v>
          </cell>
          <cell r="O137">
            <v>3723</v>
          </cell>
          <cell r="P137" t="str">
            <v>金額</v>
          </cell>
          <cell r="Q137">
            <v>2273575</v>
          </cell>
          <cell r="R137">
            <v>0</v>
          </cell>
          <cell r="S137">
            <v>0</v>
          </cell>
          <cell r="T137">
            <v>193712</v>
          </cell>
          <cell r="U137">
            <v>193712</v>
          </cell>
          <cell r="V137">
            <v>426000</v>
          </cell>
          <cell r="W137">
            <v>426000</v>
          </cell>
          <cell r="X137">
            <v>2893287</v>
          </cell>
          <cell r="Y137" t="str">
            <v xml:space="preserve"> </v>
          </cell>
        </row>
        <row r="138">
          <cell r="E138" t="str">
            <v>試作品</v>
          </cell>
          <cell r="F138" t="str">
            <v>PX50191</v>
          </cell>
          <cell r="G138" t="str">
            <v>数量</v>
          </cell>
          <cell r="H138">
            <v>37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37</v>
          </cell>
          <cell r="P138" t="str">
            <v>金額</v>
          </cell>
          <cell r="Q138">
            <v>1998700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1998700</v>
          </cell>
          <cell r="Y138" t="str">
            <v xml:space="preserve"> </v>
          </cell>
        </row>
        <row r="139">
          <cell r="E139" t="str">
            <v>Ｑ．Ｇ．Ｓ．</v>
          </cell>
          <cell r="F139" t="str">
            <v>PX501</v>
          </cell>
          <cell r="G139" t="str">
            <v>数量</v>
          </cell>
          <cell r="H139">
            <v>79637</v>
          </cell>
          <cell r="I139">
            <v>0</v>
          </cell>
          <cell r="J139">
            <v>0</v>
          </cell>
          <cell r="K139">
            <v>4183</v>
          </cell>
          <cell r="L139">
            <v>4183</v>
          </cell>
          <cell r="M139">
            <v>8080</v>
          </cell>
          <cell r="N139">
            <v>8080</v>
          </cell>
          <cell r="O139">
            <v>91900</v>
          </cell>
          <cell r="P139" t="str">
            <v>金額</v>
          </cell>
          <cell r="Q139">
            <v>102599943</v>
          </cell>
          <cell r="R139">
            <v>0</v>
          </cell>
          <cell r="S139">
            <v>0</v>
          </cell>
          <cell r="T139">
            <v>5938621</v>
          </cell>
          <cell r="U139">
            <v>5938621</v>
          </cell>
          <cell r="V139">
            <v>17951080</v>
          </cell>
          <cell r="W139">
            <v>17951080</v>
          </cell>
          <cell r="X139">
            <v>126489644</v>
          </cell>
          <cell r="Y139" t="str">
            <v xml:space="preserve"> </v>
          </cell>
        </row>
        <row r="140">
          <cell r="E140" t="str">
            <v>一　般キャップ</v>
          </cell>
          <cell r="F140" t="str">
            <v>PX51101</v>
          </cell>
          <cell r="G140" t="str">
            <v>数量</v>
          </cell>
          <cell r="H140">
            <v>1027</v>
          </cell>
          <cell r="I140">
            <v>5</v>
          </cell>
          <cell r="J140">
            <v>0</v>
          </cell>
          <cell r="K140">
            <v>0</v>
          </cell>
          <cell r="L140">
            <v>5</v>
          </cell>
          <cell r="M140">
            <v>16380</v>
          </cell>
          <cell r="N140">
            <v>0</v>
          </cell>
          <cell r="O140">
            <v>17412</v>
          </cell>
          <cell r="P140" t="str">
            <v>金額</v>
          </cell>
          <cell r="Q140">
            <v>112785</v>
          </cell>
          <cell r="R140">
            <v>1840</v>
          </cell>
          <cell r="S140">
            <v>0</v>
          </cell>
          <cell r="T140">
            <v>0</v>
          </cell>
          <cell r="U140">
            <v>1840</v>
          </cell>
          <cell r="V140">
            <v>572965</v>
          </cell>
          <cell r="W140">
            <v>0</v>
          </cell>
          <cell r="X140">
            <v>687590</v>
          </cell>
          <cell r="Y140" t="str">
            <v xml:space="preserve"> </v>
          </cell>
        </row>
        <row r="141">
          <cell r="E141" t="str">
            <v>抵抗入キャップ</v>
          </cell>
          <cell r="F141" t="str">
            <v>PX51105</v>
          </cell>
          <cell r="G141" t="str">
            <v>数量</v>
          </cell>
          <cell r="H141">
            <v>62642</v>
          </cell>
          <cell r="I141">
            <v>3445</v>
          </cell>
          <cell r="J141">
            <v>0</v>
          </cell>
          <cell r="K141">
            <v>2272</v>
          </cell>
          <cell r="L141">
            <v>5717</v>
          </cell>
          <cell r="M141">
            <v>213278</v>
          </cell>
          <cell r="N141">
            <v>71800</v>
          </cell>
          <cell r="O141">
            <v>281637</v>
          </cell>
          <cell r="P141" t="str">
            <v>金額</v>
          </cell>
          <cell r="Q141">
            <v>10125960</v>
          </cell>
          <cell r="R141">
            <v>1892660</v>
          </cell>
          <cell r="S141">
            <v>0</v>
          </cell>
          <cell r="T141">
            <v>303280</v>
          </cell>
          <cell r="U141">
            <v>2195940</v>
          </cell>
          <cell r="V141">
            <v>22846207</v>
          </cell>
          <cell r="W141">
            <v>10403150</v>
          </cell>
          <cell r="X141">
            <v>35168107</v>
          </cell>
          <cell r="Y141" t="str">
            <v xml:space="preserve"> </v>
          </cell>
        </row>
        <row r="142">
          <cell r="E142" t="str">
            <v>その他</v>
          </cell>
          <cell r="F142" t="str">
            <v>PX51190</v>
          </cell>
          <cell r="G142" t="str">
            <v>数量</v>
          </cell>
          <cell r="H142">
            <v>0</v>
          </cell>
          <cell r="I142">
            <v>1242</v>
          </cell>
          <cell r="J142">
            <v>0</v>
          </cell>
          <cell r="K142">
            <v>0</v>
          </cell>
          <cell r="L142">
            <v>1242</v>
          </cell>
          <cell r="M142">
            <v>1</v>
          </cell>
          <cell r="N142">
            <v>0</v>
          </cell>
          <cell r="O142">
            <v>1243</v>
          </cell>
          <cell r="P142" t="str">
            <v>金額</v>
          </cell>
          <cell r="Q142">
            <v>0</v>
          </cell>
          <cell r="R142">
            <v>248850</v>
          </cell>
          <cell r="S142">
            <v>0</v>
          </cell>
          <cell r="T142">
            <v>0</v>
          </cell>
          <cell r="U142">
            <v>248850</v>
          </cell>
          <cell r="V142">
            <v>21346</v>
          </cell>
          <cell r="W142">
            <v>0</v>
          </cell>
          <cell r="X142">
            <v>270196</v>
          </cell>
          <cell r="Y142" t="str">
            <v xml:space="preserve"> </v>
          </cell>
        </row>
        <row r="143">
          <cell r="E143" t="str">
            <v>試作品</v>
          </cell>
          <cell r="F143" t="str">
            <v>PX51191</v>
          </cell>
          <cell r="G143" t="str">
            <v>数量</v>
          </cell>
          <cell r="H143">
            <v>1380</v>
          </cell>
          <cell r="I143">
            <v>7</v>
          </cell>
          <cell r="J143">
            <v>0</v>
          </cell>
          <cell r="K143">
            <v>0</v>
          </cell>
          <cell r="L143">
            <v>7</v>
          </cell>
          <cell r="M143">
            <v>0</v>
          </cell>
          <cell r="N143">
            <v>0</v>
          </cell>
          <cell r="O143">
            <v>1387</v>
          </cell>
          <cell r="P143" t="str">
            <v>金額</v>
          </cell>
          <cell r="Q143">
            <v>3421640</v>
          </cell>
          <cell r="R143">
            <v>13500</v>
          </cell>
          <cell r="S143">
            <v>0</v>
          </cell>
          <cell r="T143">
            <v>0</v>
          </cell>
          <cell r="U143">
            <v>13500</v>
          </cell>
          <cell r="V143">
            <v>0</v>
          </cell>
          <cell r="W143">
            <v>0</v>
          </cell>
          <cell r="X143">
            <v>3435140</v>
          </cell>
          <cell r="Y143" t="str">
            <v xml:space="preserve"> </v>
          </cell>
        </row>
        <row r="144">
          <cell r="E144" t="str">
            <v>部　品</v>
          </cell>
          <cell r="F144" t="str">
            <v>PX51195</v>
          </cell>
          <cell r="G144" t="str">
            <v>数量</v>
          </cell>
          <cell r="H144">
            <v>1096</v>
          </cell>
          <cell r="I144">
            <v>0</v>
          </cell>
          <cell r="J144">
            <v>0</v>
          </cell>
          <cell r="K144">
            <v>60</v>
          </cell>
          <cell r="L144">
            <v>60</v>
          </cell>
          <cell r="M144">
            <v>960000</v>
          </cell>
          <cell r="N144">
            <v>960000</v>
          </cell>
          <cell r="O144">
            <v>961156</v>
          </cell>
          <cell r="P144" t="str">
            <v>金額</v>
          </cell>
          <cell r="Q144">
            <v>6576</v>
          </cell>
          <cell r="R144">
            <v>0</v>
          </cell>
          <cell r="S144">
            <v>0</v>
          </cell>
          <cell r="T144">
            <v>15000</v>
          </cell>
          <cell r="U144">
            <v>15000</v>
          </cell>
          <cell r="V144">
            <v>5811000</v>
          </cell>
          <cell r="W144">
            <v>5811000</v>
          </cell>
          <cell r="X144">
            <v>5832576</v>
          </cell>
          <cell r="Y144" t="str">
            <v xml:space="preserve"> </v>
          </cell>
        </row>
        <row r="145">
          <cell r="E145" t="str">
            <v>プラグキャップ</v>
          </cell>
          <cell r="F145" t="str">
            <v>PX511</v>
          </cell>
          <cell r="G145" t="str">
            <v>数量</v>
          </cell>
          <cell r="H145">
            <v>66145</v>
          </cell>
          <cell r="I145">
            <v>4699</v>
          </cell>
          <cell r="J145">
            <v>0</v>
          </cell>
          <cell r="K145">
            <v>2332</v>
          </cell>
          <cell r="L145">
            <v>7031</v>
          </cell>
          <cell r="M145">
            <v>1189659</v>
          </cell>
          <cell r="N145">
            <v>1031800</v>
          </cell>
          <cell r="O145">
            <v>1262835</v>
          </cell>
          <cell r="P145" t="str">
            <v>金額</v>
          </cell>
          <cell r="Q145">
            <v>13666961</v>
          </cell>
          <cell r="R145">
            <v>2156850</v>
          </cell>
          <cell r="S145">
            <v>0</v>
          </cell>
          <cell r="T145">
            <v>318280</v>
          </cell>
          <cell r="U145">
            <v>2475130</v>
          </cell>
          <cell r="V145">
            <v>29251518</v>
          </cell>
          <cell r="W145">
            <v>16214150</v>
          </cell>
          <cell r="X145">
            <v>45393609</v>
          </cell>
          <cell r="Y145" t="str">
            <v xml:space="preserve"> </v>
          </cell>
        </row>
        <row r="146">
          <cell r="E146" t="str">
            <v>プラグコード</v>
          </cell>
          <cell r="F146" t="str">
            <v>PX52101</v>
          </cell>
          <cell r="G146" t="str">
            <v>数量</v>
          </cell>
          <cell r="H146">
            <v>7130</v>
          </cell>
          <cell r="I146">
            <v>30109</v>
          </cell>
          <cell r="J146">
            <v>7</v>
          </cell>
          <cell r="K146">
            <v>0</v>
          </cell>
          <cell r="L146">
            <v>30116</v>
          </cell>
          <cell r="M146">
            <v>49319</v>
          </cell>
          <cell r="N146">
            <v>0</v>
          </cell>
          <cell r="O146">
            <v>86565</v>
          </cell>
          <cell r="P146" t="str">
            <v>金額</v>
          </cell>
          <cell r="Q146">
            <v>3208500</v>
          </cell>
          <cell r="R146">
            <v>59733662</v>
          </cell>
          <cell r="S146">
            <v>13400</v>
          </cell>
          <cell r="T146">
            <v>0</v>
          </cell>
          <cell r="U146">
            <v>59747062</v>
          </cell>
          <cell r="V146">
            <v>82766716</v>
          </cell>
          <cell r="W146">
            <v>0</v>
          </cell>
          <cell r="X146">
            <v>145722278</v>
          </cell>
          <cell r="Y146" t="str">
            <v xml:space="preserve"> </v>
          </cell>
        </row>
        <row r="147">
          <cell r="E147" t="str">
            <v>プラグコードバラ</v>
          </cell>
          <cell r="F147" t="str">
            <v>PX52126</v>
          </cell>
          <cell r="G147" t="str">
            <v>数量</v>
          </cell>
          <cell r="H147">
            <v>2389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10600</v>
          </cell>
          <cell r="N147">
            <v>0</v>
          </cell>
          <cell r="O147">
            <v>12989</v>
          </cell>
          <cell r="P147" t="str">
            <v>金額</v>
          </cell>
          <cell r="Q147">
            <v>778559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3102260</v>
          </cell>
          <cell r="W147">
            <v>0</v>
          </cell>
          <cell r="X147">
            <v>3880819</v>
          </cell>
          <cell r="Y147" t="str">
            <v xml:space="preserve"> </v>
          </cell>
        </row>
        <row r="148">
          <cell r="E148" t="str">
            <v>パワーケーブル</v>
          </cell>
          <cell r="F148" t="str">
            <v>PX52130</v>
          </cell>
          <cell r="G148" t="str">
            <v>数量</v>
          </cell>
          <cell r="H148">
            <v>0</v>
          </cell>
          <cell r="I148">
            <v>851</v>
          </cell>
          <cell r="J148">
            <v>1</v>
          </cell>
          <cell r="K148">
            <v>3</v>
          </cell>
          <cell r="L148">
            <v>855</v>
          </cell>
          <cell r="M148">
            <v>188</v>
          </cell>
          <cell r="N148">
            <v>0</v>
          </cell>
          <cell r="O148">
            <v>1043</v>
          </cell>
          <cell r="P148" t="str">
            <v>金額</v>
          </cell>
          <cell r="Q148">
            <v>0</v>
          </cell>
          <cell r="R148">
            <v>4748555</v>
          </cell>
          <cell r="S148">
            <v>5600</v>
          </cell>
          <cell r="T148">
            <v>24210</v>
          </cell>
          <cell r="U148">
            <v>4778365</v>
          </cell>
          <cell r="V148">
            <v>1270900</v>
          </cell>
          <cell r="W148">
            <v>0</v>
          </cell>
          <cell r="X148">
            <v>6049265</v>
          </cell>
          <cell r="Y148" t="str">
            <v xml:space="preserve"> </v>
          </cell>
        </row>
        <row r="149">
          <cell r="E149" t="str">
            <v>試作品</v>
          </cell>
          <cell r="F149" t="str">
            <v>PX52191</v>
          </cell>
          <cell r="G149" t="str">
            <v>数量</v>
          </cell>
          <cell r="H149">
            <v>507</v>
          </cell>
          <cell r="I149">
            <v>30</v>
          </cell>
          <cell r="J149">
            <v>0</v>
          </cell>
          <cell r="K149">
            <v>318</v>
          </cell>
          <cell r="L149">
            <v>348</v>
          </cell>
          <cell r="M149">
            <v>101</v>
          </cell>
          <cell r="N149">
            <v>0</v>
          </cell>
          <cell r="O149">
            <v>956</v>
          </cell>
          <cell r="P149" t="str">
            <v>金額</v>
          </cell>
          <cell r="Q149">
            <v>2298000</v>
          </cell>
          <cell r="R149">
            <v>181000</v>
          </cell>
          <cell r="S149">
            <v>0</v>
          </cell>
          <cell r="T149">
            <v>1414005</v>
          </cell>
          <cell r="U149">
            <v>1595005</v>
          </cell>
          <cell r="V149">
            <v>29353</v>
          </cell>
          <cell r="W149">
            <v>0</v>
          </cell>
          <cell r="X149">
            <v>3922358</v>
          </cell>
          <cell r="Y149" t="str">
            <v xml:space="preserve"> </v>
          </cell>
        </row>
        <row r="150">
          <cell r="E150" t="str">
            <v>部　品</v>
          </cell>
          <cell r="F150" t="str">
            <v>PX52195</v>
          </cell>
          <cell r="G150" t="str">
            <v>数量</v>
          </cell>
          <cell r="H150">
            <v>740</v>
          </cell>
          <cell r="I150">
            <v>0</v>
          </cell>
          <cell r="J150">
            <v>0</v>
          </cell>
          <cell r="K150">
            <v>249</v>
          </cell>
          <cell r="L150">
            <v>249</v>
          </cell>
          <cell r="M150">
            <v>90000</v>
          </cell>
          <cell r="N150">
            <v>0</v>
          </cell>
          <cell r="O150">
            <v>90989</v>
          </cell>
          <cell r="P150" t="str">
            <v>金額</v>
          </cell>
          <cell r="Q150">
            <v>267100</v>
          </cell>
          <cell r="R150">
            <v>0</v>
          </cell>
          <cell r="S150">
            <v>0</v>
          </cell>
          <cell r="T150">
            <v>252100</v>
          </cell>
          <cell r="U150">
            <v>252100</v>
          </cell>
          <cell r="V150">
            <v>7640000</v>
          </cell>
          <cell r="W150">
            <v>0</v>
          </cell>
          <cell r="X150">
            <v>8159200</v>
          </cell>
          <cell r="Y150" t="str">
            <v xml:space="preserve"> </v>
          </cell>
        </row>
        <row r="151">
          <cell r="E151" t="str">
            <v>プラグコード</v>
          </cell>
          <cell r="F151" t="str">
            <v>PX521</v>
          </cell>
          <cell r="G151" t="str">
            <v>数量</v>
          </cell>
          <cell r="H151">
            <v>10766</v>
          </cell>
          <cell r="I151">
            <v>30990</v>
          </cell>
          <cell r="J151">
            <v>8</v>
          </cell>
          <cell r="K151">
            <v>570</v>
          </cell>
          <cell r="L151">
            <v>31568</v>
          </cell>
          <cell r="M151">
            <v>150208</v>
          </cell>
          <cell r="N151">
            <v>0</v>
          </cell>
          <cell r="O151">
            <v>192542</v>
          </cell>
          <cell r="P151" t="str">
            <v>金額</v>
          </cell>
          <cell r="Q151">
            <v>6552159</v>
          </cell>
          <cell r="R151">
            <v>64663217</v>
          </cell>
          <cell r="S151">
            <v>19000</v>
          </cell>
          <cell r="T151">
            <v>1690315</v>
          </cell>
          <cell r="U151">
            <v>66372532</v>
          </cell>
          <cell r="V151">
            <v>94809229</v>
          </cell>
          <cell r="W151">
            <v>0</v>
          </cell>
          <cell r="X151">
            <v>167733920</v>
          </cell>
          <cell r="Y151" t="str">
            <v xml:space="preserve"> </v>
          </cell>
        </row>
        <row r="152">
          <cell r="E152" t="str">
            <v>本　体</v>
          </cell>
          <cell r="F152" t="str">
            <v>PX53101</v>
          </cell>
          <cell r="G152" t="str">
            <v>数量</v>
          </cell>
          <cell r="H152">
            <v>838</v>
          </cell>
          <cell r="I152">
            <v>0</v>
          </cell>
          <cell r="J152">
            <v>0</v>
          </cell>
          <cell r="K152">
            <v>582</v>
          </cell>
          <cell r="L152">
            <v>582</v>
          </cell>
          <cell r="M152">
            <v>75</v>
          </cell>
          <cell r="N152">
            <v>0</v>
          </cell>
          <cell r="O152">
            <v>1495</v>
          </cell>
          <cell r="P152" t="str">
            <v>金額</v>
          </cell>
          <cell r="Q152">
            <v>226100</v>
          </cell>
          <cell r="R152">
            <v>0</v>
          </cell>
          <cell r="S152">
            <v>0</v>
          </cell>
          <cell r="T152">
            <v>207360</v>
          </cell>
          <cell r="U152">
            <v>207360</v>
          </cell>
          <cell r="V152">
            <v>22630</v>
          </cell>
          <cell r="W152">
            <v>0</v>
          </cell>
          <cell r="X152">
            <v>456090</v>
          </cell>
          <cell r="Y152" t="str">
            <v xml:space="preserve"> </v>
          </cell>
        </row>
        <row r="153">
          <cell r="E153" t="str">
            <v>グローシグナル</v>
          </cell>
          <cell r="F153" t="str">
            <v>PX531</v>
          </cell>
          <cell r="G153" t="str">
            <v>数量</v>
          </cell>
          <cell r="H153">
            <v>838</v>
          </cell>
          <cell r="I153">
            <v>0</v>
          </cell>
          <cell r="J153">
            <v>0</v>
          </cell>
          <cell r="K153">
            <v>582</v>
          </cell>
          <cell r="L153">
            <v>582</v>
          </cell>
          <cell r="M153">
            <v>75</v>
          </cell>
          <cell r="N153">
            <v>0</v>
          </cell>
          <cell r="O153">
            <v>1495</v>
          </cell>
          <cell r="P153" t="str">
            <v>金額</v>
          </cell>
          <cell r="Q153">
            <v>226100</v>
          </cell>
          <cell r="R153">
            <v>0</v>
          </cell>
          <cell r="S153">
            <v>0</v>
          </cell>
          <cell r="T153">
            <v>207360</v>
          </cell>
          <cell r="U153">
            <v>207360</v>
          </cell>
          <cell r="V153">
            <v>22630</v>
          </cell>
          <cell r="W153">
            <v>0</v>
          </cell>
          <cell r="X153">
            <v>456090</v>
          </cell>
          <cell r="Y153" t="str">
            <v xml:space="preserve"> </v>
          </cell>
        </row>
        <row r="154">
          <cell r="E154" t="str">
            <v>その他</v>
          </cell>
          <cell r="F154" t="str">
            <v>PX59090</v>
          </cell>
          <cell r="G154" t="str">
            <v>数量</v>
          </cell>
          <cell r="H154">
            <v>80</v>
          </cell>
          <cell r="I154">
            <v>5</v>
          </cell>
          <cell r="J154">
            <v>0</v>
          </cell>
          <cell r="K154">
            <v>0</v>
          </cell>
          <cell r="L154">
            <v>5</v>
          </cell>
          <cell r="M154">
            <v>234000</v>
          </cell>
          <cell r="N154">
            <v>0</v>
          </cell>
          <cell r="O154">
            <v>234085</v>
          </cell>
          <cell r="P154" t="str">
            <v>金額</v>
          </cell>
          <cell r="Q154">
            <v>240000</v>
          </cell>
          <cell r="R154">
            <v>25000</v>
          </cell>
          <cell r="S154">
            <v>0</v>
          </cell>
          <cell r="T154">
            <v>0</v>
          </cell>
          <cell r="U154">
            <v>25000</v>
          </cell>
          <cell r="V154">
            <v>93600</v>
          </cell>
          <cell r="W154">
            <v>0</v>
          </cell>
          <cell r="X154">
            <v>358600</v>
          </cell>
          <cell r="Y154" t="str">
            <v xml:space="preserve"> </v>
          </cell>
        </row>
        <row r="155">
          <cell r="E155" t="str">
            <v>その他</v>
          </cell>
          <cell r="F155" t="str">
            <v>PX590</v>
          </cell>
          <cell r="G155" t="str">
            <v>数量</v>
          </cell>
          <cell r="H155">
            <v>80</v>
          </cell>
          <cell r="I155">
            <v>5</v>
          </cell>
          <cell r="J155">
            <v>0</v>
          </cell>
          <cell r="K155">
            <v>0</v>
          </cell>
          <cell r="L155">
            <v>5</v>
          </cell>
          <cell r="M155">
            <v>234000</v>
          </cell>
          <cell r="N155">
            <v>0</v>
          </cell>
          <cell r="O155">
            <v>234085</v>
          </cell>
          <cell r="P155" t="str">
            <v>金額</v>
          </cell>
          <cell r="Q155">
            <v>240000</v>
          </cell>
          <cell r="R155">
            <v>25000</v>
          </cell>
          <cell r="S155">
            <v>0</v>
          </cell>
          <cell r="T155">
            <v>0</v>
          </cell>
          <cell r="U155">
            <v>25000</v>
          </cell>
          <cell r="V155">
            <v>93600</v>
          </cell>
          <cell r="W155">
            <v>0</v>
          </cell>
          <cell r="X155">
            <v>358600</v>
          </cell>
          <cell r="Y155" t="str">
            <v xml:space="preserve"> </v>
          </cell>
        </row>
        <row r="156">
          <cell r="E156" t="str">
            <v>プ事機械設備</v>
          </cell>
          <cell r="F156" t="str">
            <v>PX59501</v>
          </cell>
          <cell r="G156" t="str">
            <v>数量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604</v>
          </cell>
          <cell r="N156">
            <v>0</v>
          </cell>
          <cell r="O156">
            <v>604</v>
          </cell>
          <cell r="P156" t="str">
            <v>金額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11047505</v>
          </cell>
          <cell r="W156">
            <v>0</v>
          </cell>
          <cell r="X156">
            <v>11047505</v>
          </cell>
          <cell r="Y156" t="str">
            <v xml:space="preserve"> </v>
          </cell>
        </row>
        <row r="157">
          <cell r="E157" t="str">
            <v>プ事部品</v>
          </cell>
          <cell r="F157" t="str">
            <v>PX59551</v>
          </cell>
          <cell r="G157" t="str">
            <v>数量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188</v>
          </cell>
          <cell r="N157">
            <v>0</v>
          </cell>
          <cell r="O157">
            <v>188</v>
          </cell>
          <cell r="P157" t="str">
            <v>金額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7395845</v>
          </cell>
          <cell r="W157">
            <v>0</v>
          </cell>
          <cell r="X157">
            <v>7395845</v>
          </cell>
          <cell r="Y157" t="str">
            <v xml:space="preserve"> </v>
          </cell>
        </row>
        <row r="158">
          <cell r="E158" t="str">
            <v>機械設備</v>
          </cell>
          <cell r="F158" t="str">
            <v>PX595</v>
          </cell>
          <cell r="G158" t="str">
            <v>数量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792</v>
          </cell>
          <cell r="N158">
            <v>0</v>
          </cell>
          <cell r="O158">
            <v>792</v>
          </cell>
          <cell r="P158" t="str">
            <v>金額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18443350</v>
          </cell>
          <cell r="W158">
            <v>0</v>
          </cell>
          <cell r="X158">
            <v>18443350</v>
          </cell>
          <cell r="Y158" t="str">
            <v xml:space="preserve"> </v>
          </cell>
        </row>
        <row r="159">
          <cell r="E159" t="str">
            <v>セ事機械設備</v>
          </cell>
          <cell r="F159" t="str">
            <v>PX59601</v>
          </cell>
          <cell r="G159" t="str">
            <v>数量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2</v>
          </cell>
          <cell r="N159">
            <v>0</v>
          </cell>
          <cell r="O159">
            <v>2</v>
          </cell>
          <cell r="P159" t="str">
            <v>金額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70448800</v>
          </cell>
          <cell r="W159">
            <v>0</v>
          </cell>
          <cell r="X159">
            <v>70448800</v>
          </cell>
          <cell r="Y159" t="str">
            <v xml:space="preserve"> </v>
          </cell>
        </row>
        <row r="160">
          <cell r="E160" t="str">
            <v>セ事部品</v>
          </cell>
          <cell r="F160" t="str">
            <v>PX59651</v>
          </cell>
          <cell r="G160" t="str">
            <v>数量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130</v>
          </cell>
          <cell r="N160">
            <v>0</v>
          </cell>
          <cell r="O160">
            <v>130</v>
          </cell>
          <cell r="P160" t="str">
            <v>金額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7050892</v>
          </cell>
          <cell r="W160">
            <v>0</v>
          </cell>
          <cell r="X160">
            <v>7050892</v>
          </cell>
          <cell r="Y160" t="str">
            <v xml:space="preserve"> </v>
          </cell>
        </row>
        <row r="161">
          <cell r="E161" t="str">
            <v>セ事機械設備</v>
          </cell>
          <cell r="F161" t="str">
            <v>PX596</v>
          </cell>
          <cell r="G161" t="str">
            <v>数量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132</v>
          </cell>
          <cell r="N161">
            <v>0</v>
          </cell>
          <cell r="O161">
            <v>132</v>
          </cell>
          <cell r="P161" t="str">
            <v>金額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77499692</v>
          </cell>
          <cell r="W161">
            <v>0</v>
          </cell>
          <cell r="X161">
            <v>77499692</v>
          </cell>
          <cell r="Y161" t="str">
            <v xml:space="preserve"> </v>
          </cell>
        </row>
        <row r="162">
          <cell r="E162" t="str">
            <v>関連品その他</v>
          </cell>
          <cell r="F162" t="str">
            <v>PX5</v>
          </cell>
          <cell r="G162" t="str">
            <v>数量</v>
          </cell>
          <cell r="H162">
            <v>157466</v>
          </cell>
          <cell r="I162">
            <v>35694</v>
          </cell>
          <cell r="J162">
            <v>8</v>
          </cell>
          <cell r="K162">
            <v>7667</v>
          </cell>
          <cell r="L162">
            <v>43369</v>
          </cell>
          <cell r="M162">
            <v>1582946</v>
          </cell>
          <cell r="N162">
            <v>1039880</v>
          </cell>
          <cell r="O162">
            <v>1783781</v>
          </cell>
          <cell r="P162" t="str">
            <v>金額</v>
          </cell>
          <cell r="Q162">
            <v>123285163</v>
          </cell>
          <cell r="R162">
            <v>66845067</v>
          </cell>
          <cell r="S162">
            <v>19000</v>
          </cell>
          <cell r="T162">
            <v>8154576</v>
          </cell>
          <cell r="U162">
            <v>75018643</v>
          </cell>
          <cell r="V162">
            <v>238071099</v>
          </cell>
          <cell r="W162">
            <v>34165230</v>
          </cell>
          <cell r="X162">
            <v>436374905</v>
          </cell>
          <cell r="Y162" t="str">
            <v xml:space="preserve"> </v>
          </cell>
        </row>
        <row r="163">
          <cell r="E163" t="str">
            <v>雨用セット</v>
          </cell>
          <cell r="F163" t="str">
            <v>PX90401</v>
          </cell>
          <cell r="G163" t="str">
            <v>数量</v>
          </cell>
          <cell r="H163">
            <v>0</v>
          </cell>
          <cell r="I163">
            <v>2838</v>
          </cell>
          <cell r="J163">
            <v>150</v>
          </cell>
          <cell r="K163">
            <v>0</v>
          </cell>
          <cell r="L163">
            <v>2988</v>
          </cell>
          <cell r="M163">
            <v>0</v>
          </cell>
          <cell r="N163">
            <v>0</v>
          </cell>
          <cell r="O163">
            <v>2988</v>
          </cell>
          <cell r="P163" t="str">
            <v>金額</v>
          </cell>
          <cell r="Q163">
            <v>0</v>
          </cell>
          <cell r="R163">
            <v>1643725</v>
          </cell>
          <cell r="S163">
            <v>88040</v>
          </cell>
          <cell r="T163">
            <v>0</v>
          </cell>
          <cell r="U163">
            <v>1731765</v>
          </cell>
          <cell r="V163">
            <v>0</v>
          </cell>
          <cell r="W163">
            <v>0</v>
          </cell>
          <cell r="X163">
            <v>1731765</v>
          </cell>
          <cell r="Y163" t="str">
            <v xml:space="preserve"> </v>
          </cell>
        </row>
        <row r="164">
          <cell r="E164" t="str">
            <v>雪用セット</v>
          </cell>
          <cell r="F164" t="str">
            <v>PX90402</v>
          </cell>
          <cell r="G164" t="str">
            <v>数量</v>
          </cell>
          <cell r="H164">
            <v>0</v>
          </cell>
          <cell r="I164">
            <v>36506</v>
          </cell>
          <cell r="J164">
            <v>0</v>
          </cell>
          <cell r="K164">
            <v>1257</v>
          </cell>
          <cell r="L164">
            <v>37763</v>
          </cell>
          <cell r="M164">
            <v>0</v>
          </cell>
          <cell r="N164">
            <v>0</v>
          </cell>
          <cell r="O164">
            <v>37763</v>
          </cell>
          <cell r="P164" t="str">
            <v>金額</v>
          </cell>
          <cell r="Q164">
            <v>0</v>
          </cell>
          <cell r="R164">
            <v>41073615</v>
          </cell>
          <cell r="S164">
            <v>0</v>
          </cell>
          <cell r="T164">
            <v>1150690</v>
          </cell>
          <cell r="U164">
            <v>42224305</v>
          </cell>
          <cell r="V164">
            <v>0</v>
          </cell>
          <cell r="W164">
            <v>0</v>
          </cell>
          <cell r="X164">
            <v>42224305</v>
          </cell>
          <cell r="Y164" t="str">
            <v xml:space="preserve"> </v>
          </cell>
        </row>
        <row r="165">
          <cell r="E165" t="str">
            <v>替ゴム</v>
          </cell>
          <cell r="F165" t="str">
            <v>PX90403</v>
          </cell>
          <cell r="G165" t="str">
            <v>数量</v>
          </cell>
          <cell r="H165">
            <v>0</v>
          </cell>
          <cell r="I165">
            <v>10258</v>
          </cell>
          <cell r="J165">
            <v>0</v>
          </cell>
          <cell r="K165">
            <v>5283</v>
          </cell>
          <cell r="L165">
            <v>15541</v>
          </cell>
          <cell r="M165">
            <v>0</v>
          </cell>
          <cell r="N165">
            <v>0</v>
          </cell>
          <cell r="O165">
            <v>15541</v>
          </cell>
          <cell r="P165" t="str">
            <v>金額</v>
          </cell>
          <cell r="Q165">
            <v>0</v>
          </cell>
          <cell r="R165">
            <v>2213010</v>
          </cell>
          <cell r="S165">
            <v>0</v>
          </cell>
          <cell r="T165">
            <v>947950</v>
          </cell>
          <cell r="U165">
            <v>3160960</v>
          </cell>
          <cell r="V165">
            <v>0</v>
          </cell>
          <cell r="W165">
            <v>0</v>
          </cell>
          <cell r="X165">
            <v>3160960</v>
          </cell>
          <cell r="Y165" t="str">
            <v xml:space="preserve"> </v>
          </cell>
        </row>
        <row r="166">
          <cell r="E166" t="str">
            <v>雨用バルク</v>
          </cell>
          <cell r="F166" t="str">
            <v>PX90405</v>
          </cell>
          <cell r="G166" t="str">
            <v>数量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1000</v>
          </cell>
          <cell r="N166">
            <v>0</v>
          </cell>
          <cell r="O166">
            <v>1000</v>
          </cell>
          <cell r="P166" t="str">
            <v>金額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321000</v>
          </cell>
          <cell r="W166">
            <v>0</v>
          </cell>
          <cell r="X166">
            <v>321000</v>
          </cell>
          <cell r="Y166" t="str">
            <v xml:space="preserve"> </v>
          </cell>
        </row>
        <row r="167">
          <cell r="E167" t="str">
            <v>アダプタクリップ</v>
          </cell>
          <cell r="F167" t="str">
            <v>PX90411</v>
          </cell>
          <cell r="G167" t="str">
            <v>数量</v>
          </cell>
          <cell r="H167">
            <v>0</v>
          </cell>
          <cell r="I167">
            <v>3061</v>
          </cell>
          <cell r="J167">
            <v>0</v>
          </cell>
          <cell r="K167">
            <v>0</v>
          </cell>
          <cell r="L167">
            <v>3061</v>
          </cell>
          <cell r="M167">
            <v>0</v>
          </cell>
          <cell r="N167">
            <v>0</v>
          </cell>
          <cell r="O167">
            <v>3061</v>
          </cell>
          <cell r="P167" t="str">
            <v>金額</v>
          </cell>
          <cell r="Q167">
            <v>0</v>
          </cell>
          <cell r="R167">
            <v>245020</v>
          </cell>
          <cell r="S167">
            <v>0</v>
          </cell>
          <cell r="T167">
            <v>0</v>
          </cell>
          <cell r="U167">
            <v>245020</v>
          </cell>
          <cell r="V167">
            <v>0</v>
          </cell>
          <cell r="W167">
            <v>0</v>
          </cell>
          <cell r="X167">
            <v>245020</v>
          </cell>
          <cell r="Y167" t="str">
            <v xml:space="preserve"> </v>
          </cell>
        </row>
        <row r="168">
          <cell r="E168" t="str">
            <v>ワイパーブレード</v>
          </cell>
          <cell r="F168" t="str">
            <v>PX904</v>
          </cell>
          <cell r="G168" t="str">
            <v>数量</v>
          </cell>
          <cell r="H168">
            <v>0</v>
          </cell>
          <cell r="I168">
            <v>52663</v>
          </cell>
          <cell r="J168">
            <v>150</v>
          </cell>
          <cell r="K168">
            <v>6540</v>
          </cell>
          <cell r="L168">
            <v>59353</v>
          </cell>
          <cell r="M168">
            <v>1000</v>
          </cell>
          <cell r="N168">
            <v>0</v>
          </cell>
          <cell r="O168">
            <v>60353</v>
          </cell>
          <cell r="P168" t="str">
            <v>金額</v>
          </cell>
          <cell r="Q168">
            <v>0</v>
          </cell>
          <cell r="R168">
            <v>45175370</v>
          </cell>
          <cell r="S168">
            <v>88040</v>
          </cell>
          <cell r="T168">
            <v>2098640</v>
          </cell>
          <cell r="U168">
            <v>47362050</v>
          </cell>
          <cell r="V168">
            <v>321000</v>
          </cell>
          <cell r="W168">
            <v>0</v>
          </cell>
          <cell r="X168">
            <v>47683050</v>
          </cell>
          <cell r="Y168" t="str">
            <v xml:space="preserve"> </v>
          </cell>
        </row>
        <row r="169">
          <cell r="E169" t="str">
            <v>標準セット</v>
          </cell>
          <cell r="F169" t="str">
            <v>PX90501</v>
          </cell>
          <cell r="G169" t="str">
            <v>数量</v>
          </cell>
          <cell r="H169">
            <v>0</v>
          </cell>
          <cell r="I169">
            <v>11</v>
          </cell>
          <cell r="J169">
            <v>0</v>
          </cell>
          <cell r="K169">
            <v>0</v>
          </cell>
          <cell r="L169">
            <v>11</v>
          </cell>
          <cell r="M169">
            <v>0</v>
          </cell>
          <cell r="N169">
            <v>0</v>
          </cell>
          <cell r="O169">
            <v>11</v>
          </cell>
          <cell r="P169" t="str">
            <v>金額</v>
          </cell>
          <cell r="Q169">
            <v>0</v>
          </cell>
          <cell r="R169">
            <v>417000</v>
          </cell>
          <cell r="S169">
            <v>0</v>
          </cell>
          <cell r="T169">
            <v>0</v>
          </cell>
          <cell r="U169">
            <v>417000</v>
          </cell>
          <cell r="V169">
            <v>0</v>
          </cell>
          <cell r="W169">
            <v>0</v>
          </cell>
          <cell r="X169">
            <v>417000</v>
          </cell>
          <cell r="Y169" t="str">
            <v xml:space="preserve"> </v>
          </cell>
        </row>
        <row r="170">
          <cell r="E170" t="str">
            <v>付属品単品</v>
          </cell>
          <cell r="F170" t="str">
            <v>PX90504</v>
          </cell>
          <cell r="G170" t="str">
            <v>数量</v>
          </cell>
          <cell r="H170">
            <v>0</v>
          </cell>
          <cell r="I170">
            <v>2</v>
          </cell>
          <cell r="J170">
            <v>0</v>
          </cell>
          <cell r="K170">
            <v>0</v>
          </cell>
          <cell r="L170">
            <v>2</v>
          </cell>
          <cell r="M170">
            <v>0</v>
          </cell>
          <cell r="N170">
            <v>0</v>
          </cell>
          <cell r="O170">
            <v>2</v>
          </cell>
          <cell r="P170" t="str">
            <v>金額</v>
          </cell>
          <cell r="Q170">
            <v>0</v>
          </cell>
          <cell r="R170">
            <v>8000</v>
          </cell>
          <cell r="S170">
            <v>0</v>
          </cell>
          <cell r="T170">
            <v>0</v>
          </cell>
          <cell r="U170">
            <v>8000</v>
          </cell>
          <cell r="V170">
            <v>0</v>
          </cell>
          <cell r="W170">
            <v>0</v>
          </cell>
          <cell r="X170">
            <v>8000</v>
          </cell>
          <cell r="Y170" t="str">
            <v xml:space="preserve"> </v>
          </cell>
        </row>
        <row r="171">
          <cell r="E171" t="str">
            <v>携帯電話</v>
          </cell>
          <cell r="F171" t="str">
            <v>PX905</v>
          </cell>
          <cell r="G171" t="str">
            <v>数量</v>
          </cell>
          <cell r="H171">
            <v>0</v>
          </cell>
          <cell r="I171">
            <v>13</v>
          </cell>
          <cell r="J171">
            <v>0</v>
          </cell>
          <cell r="K171">
            <v>0</v>
          </cell>
          <cell r="L171">
            <v>13</v>
          </cell>
          <cell r="M171">
            <v>0</v>
          </cell>
          <cell r="N171">
            <v>0</v>
          </cell>
          <cell r="O171">
            <v>13</v>
          </cell>
          <cell r="P171" t="str">
            <v>金額</v>
          </cell>
          <cell r="Q171">
            <v>0</v>
          </cell>
          <cell r="R171">
            <v>425000</v>
          </cell>
          <cell r="S171">
            <v>0</v>
          </cell>
          <cell r="T171">
            <v>0</v>
          </cell>
          <cell r="U171">
            <v>425000</v>
          </cell>
          <cell r="V171">
            <v>0</v>
          </cell>
          <cell r="W171">
            <v>0</v>
          </cell>
          <cell r="X171">
            <v>425000</v>
          </cell>
          <cell r="Y171" t="str">
            <v xml:space="preserve"> </v>
          </cell>
        </row>
        <row r="172">
          <cell r="E172" t="str">
            <v>本体セット</v>
          </cell>
          <cell r="F172" t="str">
            <v>PX90901</v>
          </cell>
          <cell r="G172" t="str">
            <v>数量</v>
          </cell>
          <cell r="H172">
            <v>0</v>
          </cell>
          <cell r="I172">
            <v>2</v>
          </cell>
          <cell r="J172">
            <v>0</v>
          </cell>
          <cell r="K172">
            <v>0</v>
          </cell>
          <cell r="L172">
            <v>2</v>
          </cell>
          <cell r="M172">
            <v>0</v>
          </cell>
          <cell r="N172">
            <v>0</v>
          </cell>
          <cell r="O172">
            <v>2</v>
          </cell>
          <cell r="P172" t="str">
            <v>金額</v>
          </cell>
          <cell r="Q172">
            <v>0</v>
          </cell>
          <cell r="R172">
            <v>2340</v>
          </cell>
          <cell r="S172">
            <v>0</v>
          </cell>
          <cell r="T172">
            <v>0</v>
          </cell>
          <cell r="U172">
            <v>2340</v>
          </cell>
          <cell r="V172">
            <v>0</v>
          </cell>
          <cell r="W172">
            <v>0</v>
          </cell>
          <cell r="X172">
            <v>2340</v>
          </cell>
          <cell r="Y172" t="str">
            <v xml:space="preserve"> </v>
          </cell>
        </row>
        <row r="173">
          <cell r="E173" t="str">
            <v>磁気治療器</v>
          </cell>
          <cell r="F173" t="str">
            <v>PX909</v>
          </cell>
          <cell r="G173" t="str">
            <v>数量</v>
          </cell>
          <cell r="H173">
            <v>0</v>
          </cell>
          <cell r="I173">
            <v>2</v>
          </cell>
          <cell r="J173">
            <v>0</v>
          </cell>
          <cell r="K173">
            <v>0</v>
          </cell>
          <cell r="L173">
            <v>2</v>
          </cell>
          <cell r="M173">
            <v>0</v>
          </cell>
          <cell r="N173">
            <v>0</v>
          </cell>
          <cell r="O173">
            <v>2</v>
          </cell>
          <cell r="P173" t="str">
            <v>金額</v>
          </cell>
          <cell r="Q173">
            <v>0</v>
          </cell>
          <cell r="R173">
            <v>2340</v>
          </cell>
          <cell r="S173">
            <v>0</v>
          </cell>
          <cell r="T173">
            <v>0</v>
          </cell>
          <cell r="U173">
            <v>2340</v>
          </cell>
          <cell r="V173">
            <v>0</v>
          </cell>
          <cell r="W173">
            <v>0</v>
          </cell>
          <cell r="X173">
            <v>2340</v>
          </cell>
          <cell r="Y173" t="str">
            <v xml:space="preserve"> </v>
          </cell>
        </row>
        <row r="174">
          <cell r="E174" t="str">
            <v>ツメクリン洗剤</v>
          </cell>
          <cell r="F174" t="str">
            <v>PX91002</v>
          </cell>
          <cell r="G174" t="str">
            <v>数量</v>
          </cell>
          <cell r="H174">
            <v>0</v>
          </cell>
          <cell r="I174">
            <v>6</v>
          </cell>
          <cell r="J174">
            <v>0</v>
          </cell>
          <cell r="K174">
            <v>0</v>
          </cell>
          <cell r="L174">
            <v>6</v>
          </cell>
          <cell r="M174">
            <v>0</v>
          </cell>
          <cell r="N174">
            <v>0</v>
          </cell>
          <cell r="O174">
            <v>6</v>
          </cell>
          <cell r="P174" t="str">
            <v>金額</v>
          </cell>
          <cell r="Q174">
            <v>0</v>
          </cell>
          <cell r="R174">
            <v>7500</v>
          </cell>
          <cell r="S174">
            <v>0</v>
          </cell>
          <cell r="T174">
            <v>0</v>
          </cell>
          <cell r="U174">
            <v>7500</v>
          </cell>
          <cell r="V174">
            <v>0</v>
          </cell>
          <cell r="W174">
            <v>0</v>
          </cell>
          <cell r="X174">
            <v>7500</v>
          </cell>
          <cell r="Y174" t="str">
            <v xml:space="preserve"> </v>
          </cell>
        </row>
        <row r="175">
          <cell r="E175" t="str">
            <v>ケミカル品</v>
          </cell>
          <cell r="F175" t="str">
            <v>PX910</v>
          </cell>
          <cell r="G175" t="str">
            <v>数量</v>
          </cell>
          <cell r="H175">
            <v>0</v>
          </cell>
          <cell r="I175">
            <v>6</v>
          </cell>
          <cell r="J175">
            <v>0</v>
          </cell>
          <cell r="K175">
            <v>0</v>
          </cell>
          <cell r="L175">
            <v>6</v>
          </cell>
          <cell r="M175">
            <v>0</v>
          </cell>
          <cell r="N175">
            <v>0</v>
          </cell>
          <cell r="O175">
            <v>6</v>
          </cell>
          <cell r="P175" t="str">
            <v>金額</v>
          </cell>
          <cell r="Q175">
            <v>0</v>
          </cell>
          <cell r="R175">
            <v>7500</v>
          </cell>
          <cell r="S175">
            <v>0</v>
          </cell>
          <cell r="T175">
            <v>0</v>
          </cell>
          <cell r="U175">
            <v>7500</v>
          </cell>
          <cell r="V175">
            <v>0</v>
          </cell>
          <cell r="W175">
            <v>0</v>
          </cell>
          <cell r="X175">
            <v>7500</v>
          </cell>
          <cell r="Y175" t="str">
            <v xml:space="preserve"> </v>
          </cell>
        </row>
        <row r="176">
          <cell r="E176" t="str">
            <v>ツメクリン</v>
          </cell>
          <cell r="F176" t="str">
            <v>PX91101</v>
          </cell>
          <cell r="G176" t="str">
            <v>数量</v>
          </cell>
          <cell r="H176">
            <v>0</v>
          </cell>
          <cell r="I176">
            <v>301</v>
          </cell>
          <cell r="J176">
            <v>0</v>
          </cell>
          <cell r="K176">
            <v>0</v>
          </cell>
          <cell r="L176">
            <v>301</v>
          </cell>
          <cell r="M176">
            <v>0</v>
          </cell>
          <cell r="N176">
            <v>0</v>
          </cell>
          <cell r="O176">
            <v>301</v>
          </cell>
          <cell r="P176" t="str">
            <v>金額</v>
          </cell>
          <cell r="Q176">
            <v>0</v>
          </cell>
          <cell r="R176">
            <v>324750</v>
          </cell>
          <cell r="S176">
            <v>0</v>
          </cell>
          <cell r="T176">
            <v>0</v>
          </cell>
          <cell r="U176">
            <v>324750</v>
          </cell>
          <cell r="V176">
            <v>0</v>
          </cell>
          <cell r="W176">
            <v>0</v>
          </cell>
          <cell r="X176">
            <v>324750</v>
          </cell>
          <cell r="Y176" t="str">
            <v xml:space="preserve"> </v>
          </cell>
        </row>
        <row r="177">
          <cell r="E177" t="str">
            <v>超音波洗浄器</v>
          </cell>
          <cell r="F177" t="str">
            <v>PX911</v>
          </cell>
          <cell r="G177" t="str">
            <v>数量</v>
          </cell>
          <cell r="H177">
            <v>0</v>
          </cell>
          <cell r="I177">
            <v>301</v>
          </cell>
          <cell r="J177">
            <v>0</v>
          </cell>
          <cell r="K177">
            <v>0</v>
          </cell>
          <cell r="L177">
            <v>301</v>
          </cell>
          <cell r="M177">
            <v>0</v>
          </cell>
          <cell r="N177">
            <v>0</v>
          </cell>
          <cell r="O177">
            <v>301</v>
          </cell>
          <cell r="P177" t="str">
            <v>金額</v>
          </cell>
          <cell r="Q177">
            <v>0</v>
          </cell>
          <cell r="R177">
            <v>324750</v>
          </cell>
          <cell r="S177">
            <v>0</v>
          </cell>
          <cell r="T177">
            <v>0</v>
          </cell>
          <cell r="U177">
            <v>324750</v>
          </cell>
          <cell r="V177">
            <v>0</v>
          </cell>
          <cell r="W177">
            <v>0</v>
          </cell>
          <cell r="X177">
            <v>324750</v>
          </cell>
          <cell r="Y177" t="str">
            <v xml:space="preserve"> </v>
          </cell>
        </row>
        <row r="178">
          <cell r="E178" t="str">
            <v>本体</v>
          </cell>
          <cell r="F178" t="str">
            <v>PX91301</v>
          </cell>
          <cell r="G178" t="str">
            <v>数量</v>
          </cell>
          <cell r="H178">
            <v>0</v>
          </cell>
          <cell r="I178">
            <v>16</v>
          </cell>
          <cell r="J178">
            <v>0</v>
          </cell>
          <cell r="K178">
            <v>26</v>
          </cell>
          <cell r="L178">
            <v>42</v>
          </cell>
          <cell r="M178">
            <v>0</v>
          </cell>
          <cell r="N178">
            <v>0</v>
          </cell>
          <cell r="O178">
            <v>42</v>
          </cell>
          <cell r="P178" t="str">
            <v>金額</v>
          </cell>
          <cell r="Q178">
            <v>0</v>
          </cell>
          <cell r="R178">
            <v>57600</v>
          </cell>
          <cell r="S178">
            <v>0</v>
          </cell>
          <cell r="T178">
            <v>93600</v>
          </cell>
          <cell r="U178">
            <v>151200</v>
          </cell>
          <cell r="V178">
            <v>0</v>
          </cell>
          <cell r="W178">
            <v>0</v>
          </cell>
          <cell r="X178">
            <v>151200</v>
          </cell>
          <cell r="Y178" t="str">
            <v xml:space="preserve"> </v>
          </cell>
        </row>
        <row r="179">
          <cell r="E179" t="str">
            <v>ＢＢライダー</v>
          </cell>
          <cell r="F179" t="str">
            <v>PX913</v>
          </cell>
          <cell r="G179" t="str">
            <v>数量</v>
          </cell>
          <cell r="H179">
            <v>0</v>
          </cell>
          <cell r="I179">
            <v>16</v>
          </cell>
          <cell r="J179">
            <v>0</v>
          </cell>
          <cell r="K179">
            <v>26</v>
          </cell>
          <cell r="L179">
            <v>42</v>
          </cell>
          <cell r="M179">
            <v>0</v>
          </cell>
          <cell r="N179">
            <v>0</v>
          </cell>
          <cell r="O179">
            <v>42</v>
          </cell>
          <cell r="P179" t="str">
            <v>金額</v>
          </cell>
          <cell r="Q179">
            <v>0</v>
          </cell>
          <cell r="R179">
            <v>57600</v>
          </cell>
          <cell r="S179">
            <v>0</v>
          </cell>
          <cell r="T179">
            <v>93600</v>
          </cell>
          <cell r="U179">
            <v>151200</v>
          </cell>
          <cell r="V179">
            <v>0</v>
          </cell>
          <cell r="W179">
            <v>0</v>
          </cell>
          <cell r="X179">
            <v>151200</v>
          </cell>
          <cell r="Y179" t="str">
            <v xml:space="preserve"> </v>
          </cell>
        </row>
        <row r="180">
          <cell r="E180" t="str">
            <v>レギュラータイプ</v>
          </cell>
          <cell r="F180" t="str">
            <v>PX91401</v>
          </cell>
          <cell r="G180" t="str">
            <v>数量</v>
          </cell>
          <cell r="H180">
            <v>0</v>
          </cell>
          <cell r="I180">
            <v>8063</v>
          </cell>
          <cell r="J180">
            <v>0</v>
          </cell>
          <cell r="K180">
            <v>0</v>
          </cell>
          <cell r="L180">
            <v>8063</v>
          </cell>
          <cell r="M180">
            <v>0</v>
          </cell>
          <cell r="N180">
            <v>0</v>
          </cell>
          <cell r="O180">
            <v>8063</v>
          </cell>
          <cell r="P180" t="str">
            <v>金額</v>
          </cell>
          <cell r="Q180">
            <v>0</v>
          </cell>
          <cell r="R180">
            <v>2515110</v>
          </cell>
          <cell r="S180">
            <v>0</v>
          </cell>
          <cell r="T180">
            <v>0</v>
          </cell>
          <cell r="U180">
            <v>2515110</v>
          </cell>
          <cell r="V180">
            <v>0</v>
          </cell>
          <cell r="W180">
            <v>0</v>
          </cell>
          <cell r="X180">
            <v>2515110</v>
          </cell>
          <cell r="Y180" t="str">
            <v xml:space="preserve"> </v>
          </cell>
        </row>
        <row r="181">
          <cell r="E181" t="str">
            <v>スポーツタイプ</v>
          </cell>
          <cell r="F181" t="str">
            <v>PX91402</v>
          </cell>
          <cell r="G181" t="str">
            <v>数量</v>
          </cell>
          <cell r="H181">
            <v>0</v>
          </cell>
          <cell r="I181">
            <v>404</v>
          </cell>
          <cell r="J181">
            <v>0</v>
          </cell>
          <cell r="K181">
            <v>0</v>
          </cell>
          <cell r="L181">
            <v>404</v>
          </cell>
          <cell r="M181">
            <v>0</v>
          </cell>
          <cell r="N181">
            <v>0</v>
          </cell>
          <cell r="O181">
            <v>404</v>
          </cell>
          <cell r="P181" t="str">
            <v>金額</v>
          </cell>
          <cell r="Q181">
            <v>0</v>
          </cell>
          <cell r="R181">
            <v>320160</v>
          </cell>
          <cell r="S181">
            <v>0</v>
          </cell>
          <cell r="T181">
            <v>0</v>
          </cell>
          <cell r="U181">
            <v>320160</v>
          </cell>
          <cell r="V181">
            <v>0</v>
          </cell>
          <cell r="W181">
            <v>0</v>
          </cell>
          <cell r="X181">
            <v>320160</v>
          </cell>
          <cell r="Y181" t="str">
            <v xml:space="preserve"> </v>
          </cell>
        </row>
        <row r="182">
          <cell r="E182" t="str">
            <v>ラジエタキャップ</v>
          </cell>
          <cell r="F182" t="str">
            <v>PX914</v>
          </cell>
          <cell r="G182" t="str">
            <v>数量</v>
          </cell>
          <cell r="H182">
            <v>0</v>
          </cell>
          <cell r="I182">
            <v>8467</v>
          </cell>
          <cell r="J182">
            <v>0</v>
          </cell>
          <cell r="K182">
            <v>0</v>
          </cell>
          <cell r="L182">
            <v>8467</v>
          </cell>
          <cell r="M182">
            <v>0</v>
          </cell>
          <cell r="N182">
            <v>0</v>
          </cell>
          <cell r="O182">
            <v>8467</v>
          </cell>
          <cell r="P182" t="str">
            <v>金額</v>
          </cell>
          <cell r="Q182">
            <v>0</v>
          </cell>
          <cell r="R182">
            <v>2835270</v>
          </cell>
          <cell r="S182">
            <v>0</v>
          </cell>
          <cell r="T182">
            <v>0</v>
          </cell>
          <cell r="U182">
            <v>2835270</v>
          </cell>
          <cell r="V182">
            <v>0</v>
          </cell>
          <cell r="W182">
            <v>0</v>
          </cell>
          <cell r="X182">
            <v>2835270</v>
          </cell>
          <cell r="Y182" t="str">
            <v xml:space="preserve"> </v>
          </cell>
        </row>
        <row r="183">
          <cell r="E183" t="str">
            <v>セット</v>
          </cell>
          <cell r="F183" t="str">
            <v>PX91501</v>
          </cell>
          <cell r="G183" t="str">
            <v>数量</v>
          </cell>
          <cell r="H183">
            <v>1</v>
          </cell>
          <cell r="I183">
            <v>9</v>
          </cell>
          <cell r="J183">
            <v>0</v>
          </cell>
          <cell r="K183">
            <v>0</v>
          </cell>
          <cell r="L183">
            <v>9</v>
          </cell>
          <cell r="M183">
            <v>0</v>
          </cell>
          <cell r="N183">
            <v>0</v>
          </cell>
          <cell r="O183">
            <v>10</v>
          </cell>
          <cell r="P183" t="str">
            <v>金額</v>
          </cell>
          <cell r="Q183">
            <v>107900</v>
          </cell>
          <cell r="R183">
            <v>1013600</v>
          </cell>
          <cell r="S183">
            <v>0</v>
          </cell>
          <cell r="T183">
            <v>0</v>
          </cell>
          <cell r="U183">
            <v>1013600</v>
          </cell>
          <cell r="V183">
            <v>0</v>
          </cell>
          <cell r="W183">
            <v>0</v>
          </cell>
          <cell r="X183">
            <v>1121500</v>
          </cell>
          <cell r="Y183" t="str">
            <v xml:space="preserve"> </v>
          </cell>
        </row>
        <row r="184">
          <cell r="E184" t="str">
            <v>単品</v>
          </cell>
          <cell r="F184" t="str">
            <v>PX91502</v>
          </cell>
          <cell r="G184" t="str">
            <v>数量</v>
          </cell>
          <cell r="H184">
            <v>0</v>
          </cell>
          <cell r="I184">
            <v>16</v>
          </cell>
          <cell r="J184">
            <v>0</v>
          </cell>
          <cell r="K184">
            <v>0</v>
          </cell>
          <cell r="L184">
            <v>16</v>
          </cell>
          <cell r="M184">
            <v>0</v>
          </cell>
          <cell r="N184">
            <v>0</v>
          </cell>
          <cell r="O184">
            <v>16</v>
          </cell>
          <cell r="P184" t="str">
            <v>金額</v>
          </cell>
          <cell r="Q184">
            <v>0</v>
          </cell>
          <cell r="R184">
            <v>388300</v>
          </cell>
          <cell r="S184">
            <v>0</v>
          </cell>
          <cell r="T184">
            <v>0</v>
          </cell>
          <cell r="U184">
            <v>388300</v>
          </cell>
          <cell r="V184">
            <v>0</v>
          </cell>
          <cell r="W184">
            <v>0</v>
          </cell>
          <cell r="X184">
            <v>388300</v>
          </cell>
          <cell r="Y184" t="str">
            <v xml:space="preserve"> </v>
          </cell>
        </row>
        <row r="185">
          <cell r="E185" t="str">
            <v>ＡＦ－ブーストＭ</v>
          </cell>
          <cell r="F185" t="str">
            <v>PX915</v>
          </cell>
          <cell r="G185" t="str">
            <v>数量</v>
          </cell>
          <cell r="H185">
            <v>1</v>
          </cell>
          <cell r="I185">
            <v>25</v>
          </cell>
          <cell r="J185">
            <v>0</v>
          </cell>
          <cell r="K185">
            <v>0</v>
          </cell>
          <cell r="L185">
            <v>25</v>
          </cell>
          <cell r="M185">
            <v>0</v>
          </cell>
          <cell r="N185">
            <v>0</v>
          </cell>
          <cell r="O185">
            <v>26</v>
          </cell>
          <cell r="P185" t="str">
            <v>金額</v>
          </cell>
          <cell r="Q185">
            <v>107900</v>
          </cell>
          <cell r="R185">
            <v>1401900</v>
          </cell>
          <cell r="S185">
            <v>0</v>
          </cell>
          <cell r="T185">
            <v>0</v>
          </cell>
          <cell r="U185">
            <v>1401900</v>
          </cell>
          <cell r="V185">
            <v>0</v>
          </cell>
          <cell r="W185">
            <v>0</v>
          </cell>
          <cell r="X185">
            <v>1509800</v>
          </cell>
          <cell r="Y185" t="str">
            <v xml:space="preserve"> </v>
          </cell>
        </row>
        <row r="186">
          <cell r="E186" t="str">
            <v>仕入商品</v>
          </cell>
          <cell r="F186" t="str">
            <v>PX9</v>
          </cell>
          <cell r="G186" t="str">
            <v>数量</v>
          </cell>
          <cell r="H186">
            <v>1</v>
          </cell>
          <cell r="I186">
            <v>61493</v>
          </cell>
          <cell r="J186">
            <v>150</v>
          </cell>
          <cell r="K186">
            <v>6566</v>
          </cell>
          <cell r="L186">
            <v>68209</v>
          </cell>
          <cell r="M186">
            <v>1000</v>
          </cell>
          <cell r="N186">
            <v>0</v>
          </cell>
          <cell r="O186">
            <v>69210</v>
          </cell>
          <cell r="P186" t="str">
            <v>金額</v>
          </cell>
          <cell r="Q186">
            <v>107900</v>
          </cell>
          <cell r="R186">
            <v>50229730</v>
          </cell>
          <cell r="S186">
            <v>88040</v>
          </cell>
          <cell r="T186">
            <v>2192240</v>
          </cell>
          <cell r="U186">
            <v>52510010</v>
          </cell>
          <cell r="V186">
            <v>321000</v>
          </cell>
          <cell r="W186">
            <v>0</v>
          </cell>
          <cell r="X186">
            <v>52938910</v>
          </cell>
          <cell r="Y186" t="str">
            <v xml:space="preserve"> </v>
          </cell>
        </row>
        <row r="187">
          <cell r="E187" t="str">
            <v>関連品</v>
          </cell>
          <cell r="F187" t="str">
            <v>PX</v>
          </cell>
          <cell r="G187" t="str">
            <v>数量</v>
          </cell>
          <cell r="H187">
            <v>576689</v>
          </cell>
          <cell r="I187">
            <v>97189</v>
          </cell>
          <cell r="J187">
            <v>158</v>
          </cell>
          <cell r="K187">
            <v>40244</v>
          </cell>
          <cell r="L187">
            <v>137591</v>
          </cell>
          <cell r="M187">
            <v>8536212</v>
          </cell>
          <cell r="N187">
            <v>7112854</v>
          </cell>
          <cell r="O187">
            <v>9250492</v>
          </cell>
          <cell r="P187" t="str">
            <v>金額</v>
          </cell>
          <cell r="Q187">
            <v>663164795</v>
          </cell>
          <cell r="R187">
            <v>117200797</v>
          </cell>
          <cell r="S187">
            <v>107040</v>
          </cell>
          <cell r="T187">
            <v>52871217</v>
          </cell>
          <cell r="U187">
            <v>170179054</v>
          </cell>
          <cell r="V187">
            <v>3201161443</v>
          </cell>
          <cell r="W187">
            <v>2684133905</v>
          </cell>
          <cell r="X187">
            <v>4034505292</v>
          </cell>
          <cell r="Y187" t="str">
            <v xml:space="preserve"> </v>
          </cell>
        </row>
        <row r="188">
          <cell r="F188" t="str">
            <v xml:space="preserve"> </v>
          </cell>
          <cell r="G188" t="str">
            <v>数量</v>
          </cell>
          <cell r="H188">
            <v>5630630</v>
          </cell>
          <cell r="I188">
            <v>1004130</v>
          </cell>
          <cell r="J188">
            <v>3647</v>
          </cell>
          <cell r="K188">
            <v>2131263</v>
          </cell>
          <cell r="L188">
            <v>3139040</v>
          </cell>
          <cell r="M188">
            <v>72277594</v>
          </cell>
          <cell r="N188">
            <v>14529912</v>
          </cell>
          <cell r="O188">
            <v>81047264</v>
          </cell>
          <cell r="P188" t="str">
            <v>金額</v>
          </cell>
          <cell r="Q188">
            <v>1231137389</v>
          </cell>
          <cell r="R188">
            <v>394639766</v>
          </cell>
          <cell r="S188">
            <v>962267</v>
          </cell>
          <cell r="T188">
            <v>549351440</v>
          </cell>
          <cell r="U188">
            <v>944953473</v>
          </cell>
          <cell r="V188">
            <v>6200752680</v>
          </cell>
          <cell r="W188">
            <v>3169210610</v>
          </cell>
          <cell r="X188">
            <v>8376843542</v>
          </cell>
          <cell r="Y188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備投資詳細"/>
      <sheetName val="設備追加時のテンプレート"/>
      <sheetName val="リスト"/>
      <sheetName val="データ移植時の注意"/>
      <sheetName val="★記入時注意事項"/>
      <sheetName val="CODE-NAME"/>
      <sheetName val="COA"/>
      <sheetName val="Group Section"/>
      <sheetName val="ｺﾋﾟｰ用（直セ）"/>
      <sheetName val="ｺﾋﾟｰ用（海プ）"/>
      <sheetName val="ｺﾋﾟｰ用（全社）"/>
      <sheetName val="SJEXCE"/>
      <sheetName val="生産進捗表（機械別）（サンプル）"/>
      <sheetName val="Total"/>
      <sheetName val="BEX"/>
      <sheetName val="BIP CIP"/>
      <sheetName val="3165-00"/>
      <sheetName val="sheet1"/>
      <sheetName val="G8D Report"/>
      <sheetName val="KB,MOLD ESTIMATE.00"/>
      <sheetName val="COM"/>
      <sheetName val="IndirectCostAssessment"/>
      <sheetName val="TB"/>
    </sheetNames>
    <sheetDataSet>
      <sheetData sheetId="0" refreshError="1"/>
      <sheetData sheetId="1" refreshError="1"/>
      <sheetData sheetId="2" refreshError="1">
        <row r="1">
          <cell r="C1" t="str">
            <v>サポート_アプリ</v>
          </cell>
        </row>
        <row r="2">
          <cell r="C2" t="str">
            <v>サポート_Steinberg</v>
          </cell>
        </row>
        <row r="3">
          <cell r="C3" t="str">
            <v>サポート_商品開発推進室経費</v>
          </cell>
        </row>
        <row r="4">
          <cell r="C4" t="str">
            <v>技術開発_アンプ音質_SW電源</v>
          </cell>
        </row>
        <row r="5">
          <cell r="C5" t="str">
            <v>CA Series II in US_CMS8</v>
          </cell>
        </row>
        <row r="6">
          <cell r="C6" t="str">
            <v>技術開発_DSP8</v>
          </cell>
        </row>
        <row r="7">
          <cell r="C7" t="str">
            <v>技術開発_Atlantic UI</v>
          </cell>
        </row>
        <row r="8">
          <cell r="C8" t="str">
            <v>技術開発_技術開発G経費</v>
          </cell>
        </row>
        <row r="9">
          <cell r="C9" t="str">
            <v>_PM5D</v>
          </cell>
        </row>
        <row r="10">
          <cell r="C10" t="str">
            <v>_PM5D-RH</v>
          </cell>
        </row>
        <row r="11">
          <cell r="C11" t="str">
            <v>PC-L SERIES_PC2000L</v>
          </cell>
        </row>
        <row r="12">
          <cell r="C12" t="str">
            <v>PC-L SERIES_PC3000L</v>
          </cell>
        </row>
        <row r="13">
          <cell r="C13" t="str">
            <v>PC-L SERIES_PC4000L</v>
          </cell>
        </row>
        <row r="14">
          <cell r="C14" t="str">
            <v>PC-L SERIES_PC5500L</v>
          </cell>
        </row>
        <row r="15">
          <cell r="C15" t="str">
            <v>PC-L SERIES_PC7000L</v>
          </cell>
        </row>
        <row r="16">
          <cell r="C16" t="str">
            <v>PC-N SERIES Additional models_PC2000N</v>
          </cell>
        </row>
        <row r="17">
          <cell r="C17" t="str">
            <v>PC-N SERIES Additional models_PC3300N</v>
          </cell>
        </row>
        <row r="18">
          <cell r="C18" t="str">
            <v>PC-N SERIES Additional models_PC6500N</v>
          </cell>
        </row>
        <row r="19">
          <cell r="C19" t="str">
            <v>CA Series I in US_CA315/95/64</v>
          </cell>
        </row>
        <row r="20">
          <cell r="C20" t="str">
            <v>CA Series I in US_CA300/95/64</v>
          </cell>
        </row>
        <row r="21">
          <cell r="C21" t="str">
            <v>CA Series I in US_CA212H/95/64/99</v>
          </cell>
        </row>
        <row r="22">
          <cell r="C22" t="str">
            <v>CA Series I in US_CA212H/AS</v>
          </cell>
        </row>
        <row r="23">
          <cell r="C23" t="str">
            <v>CA Series I in US_CA215H/95/64/99</v>
          </cell>
        </row>
        <row r="24">
          <cell r="C24" t="str">
            <v>CA Series I in US_CA215H/AS</v>
          </cell>
        </row>
        <row r="25">
          <cell r="C25" t="str">
            <v>CA Series I in US_CA228</v>
          </cell>
        </row>
        <row r="26">
          <cell r="C26" t="str">
            <v>CA Series I in US_CA208</v>
          </cell>
        </row>
        <row r="27">
          <cell r="C27" t="str">
            <v>CA Series I in US_CA224</v>
          </cell>
        </row>
        <row r="28">
          <cell r="C28" t="str">
            <v>CA Series I in US_SW215</v>
          </cell>
        </row>
        <row r="29">
          <cell r="C29" t="str">
            <v>CA Series I in US_SW225</v>
          </cell>
        </row>
        <row r="30">
          <cell r="C30" t="str">
            <v>CA Series I in US_SW218</v>
          </cell>
        </row>
        <row r="31">
          <cell r="C31" t="str">
            <v>CA Series I in US_SW228</v>
          </cell>
        </row>
        <row r="32">
          <cell r="C32" t="str">
            <v>CA Series I in US_CA212/95/64/99</v>
          </cell>
        </row>
        <row r="33">
          <cell r="C33" t="str">
            <v>CA Series I in US_CA215/95/64/99</v>
          </cell>
        </row>
        <row r="34">
          <cell r="C34" t="str">
            <v>CA Series I in US_CAスピーカ金具</v>
          </cell>
        </row>
        <row r="35">
          <cell r="C35" t="str">
            <v>MONACO_MONACO 32ch</v>
          </cell>
        </row>
        <row r="36">
          <cell r="C36" t="str">
            <v>MONACO_MONACO 48ch</v>
          </cell>
        </row>
        <row r="37">
          <cell r="C37" t="str">
            <v>_DA824/96</v>
          </cell>
        </row>
        <row r="38">
          <cell r="C38" t="str">
            <v>_Talisman-C</v>
          </cell>
        </row>
        <row r="39">
          <cell r="C39" t="str">
            <v>_Talisman-SP</v>
          </cell>
        </row>
        <row r="40">
          <cell r="C40" t="str">
            <v>CA Series I in Eu and Japan_</v>
          </cell>
        </row>
        <row r="41">
          <cell r="C41" t="str">
            <v>CA Series II_</v>
          </cell>
        </row>
        <row r="42">
          <cell r="C42" t="str">
            <v>_MY8-ADDA</v>
          </cell>
        </row>
        <row r="43">
          <cell r="C43" t="str">
            <v>_TALISMAN Add Soft 1</v>
          </cell>
        </row>
        <row r="44">
          <cell r="C44" t="str">
            <v>_TALISMAN Add Soft 2</v>
          </cell>
        </row>
        <row r="45">
          <cell r="C45" t="str">
            <v>_Vegas3000 V2.0K</v>
          </cell>
        </row>
        <row r="46">
          <cell r="C46" t="str">
            <v>_DME64N</v>
          </cell>
        </row>
        <row r="47">
          <cell r="C47" t="str">
            <v>_DME24N</v>
          </cell>
        </row>
        <row r="48">
          <cell r="C48" t="str">
            <v>XM SERIES_XM4080</v>
          </cell>
        </row>
        <row r="49">
          <cell r="C49" t="str">
            <v>XM SERIES_XM4180</v>
          </cell>
        </row>
        <row r="50">
          <cell r="C50" t="str">
            <v>_AE041</v>
          </cell>
        </row>
        <row r="51">
          <cell r="C51" t="str">
            <v>_AE051</v>
          </cell>
        </row>
        <row r="52">
          <cell r="C52" t="str">
            <v>XH SERIES_XH180</v>
          </cell>
        </row>
        <row r="53">
          <cell r="C53" t="str">
            <v>_CP1SF</v>
          </cell>
        </row>
        <row r="54">
          <cell r="C54" t="str">
            <v>_CP4SF</v>
          </cell>
        </row>
        <row r="55">
          <cell r="C55" t="str">
            <v>_CP4SW</v>
          </cell>
        </row>
        <row r="56">
          <cell r="C56" t="str">
            <v>_ICP1</v>
          </cell>
        </row>
        <row r="57">
          <cell r="C57" t="str">
            <v>PC-N SERIES Additional models_PC9500N-II</v>
          </cell>
        </row>
        <row r="58">
          <cell r="C58" t="str">
            <v>PC-N SERIES Additional models_PC4800N-II</v>
          </cell>
        </row>
        <row r="59">
          <cell r="C59" t="str">
            <v>_AD8C</v>
          </cell>
        </row>
        <row r="60">
          <cell r="C60" t="str">
            <v>_DA8C</v>
          </cell>
        </row>
        <row r="61">
          <cell r="C61" t="str">
            <v>_ADA44C</v>
          </cell>
        </row>
        <row r="62">
          <cell r="C62" t="str">
            <v>miniYGDAI Series_MY8-AEBB</v>
          </cell>
        </row>
        <row r="63">
          <cell r="C63" t="str">
            <v>_ACOU</v>
          </cell>
        </row>
        <row r="64">
          <cell r="C64" t="str">
            <v>_GPI16N</v>
          </cell>
        </row>
        <row r="65">
          <cell r="C65" t="str">
            <v>PM1D_PM1D V2</v>
          </cell>
        </row>
        <row r="66">
          <cell r="C66" t="str">
            <v>MONACO_MONACO V2</v>
          </cell>
        </row>
        <row r="67">
          <cell r="C67" t="str">
            <v>DMM Series_DMM48</v>
          </cell>
        </row>
        <row r="68">
          <cell r="C68" t="str">
            <v>DMM Series_W-DMM</v>
          </cell>
        </row>
        <row r="69">
          <cell r="C69" t="str">
            <v>DMM Series_DMM-Rack</v>
          </cell>
        </row>
        <row r="70">
          <cell r="C70" t="str">
            <v>SR SERIES_PC12000H</v>
          </cell>
        </row>
        <row r="71">
          <cell r="C71" t="str">
            <v>SR SERIES_PC8000H</v>
          </cell>
        </row>
        <row r="72">
          <cell r="C72" t="str">
            <v>SR SERIES_PC5000H</v>
          </cell>
        </row>
        <row r="73">
          <cell r="C73" t="str">
            <v>SR SERIES_PC3000H</v>
          </cell>
        </row>
        <row r="74">
          <cell r="C74" t="str">
            <v>CA Series I in US_UB212(W)</v>
          </cell>
        </row>
        <row r="75">
          <cell r="C75" t="str">
            <v>CA Series I in US_UB212AS(W)</v>
          </cell>
        </row>
        <row r="76">
          <cell r="C76" t="str">
            <v>CA Series I in US_UB215(W)</v>
          </cell>
        </row>
        <row r="77">
          <cell r="C77" t="str">
            <v>CA Series I in US_UB215AS(W)</v>
          </cell>
        </row>
        <row r="78">
          <cell r="C78" t="str">
            <v>CA Series I in US_UB300(W)</v>
          </cell>
        </row>
        <row r="79">
          <cell r="C79" t="str">
            <v>CA Series I in US_UB228(W)</v>
          </cell>
        </row>
        <row r="80">
          <cell r="C80" t="str">
            <v>CA Series I in US_UB208(W)</v>
          </cell>
        </row>
        <row r="81">
          <cell r="C81" t="str">
            <v>CA Series I in US_UB224(W)</v>
          </cell>
        </row>
        <row r="82">
          <cell r="C82" t="str">
            <v>CA Series I in US_HAF2-212(W)</v>
          </cell>
        </row>
        <row r="83">
          <cell r="C83" t="str">
            <v>CA Series I in US_HAF2-215(W)</v>
          </cell>
        </row>
        <row r="84">
          <cell r="C84" t="str">
            <v>CA Series I in US_HAF2-315(W)</v>
          </cell>
        </row>
        <row r="85">
          <cell r="C85" t="str">
            <v>CA Series I in US_HAF3-212(W)</v>
          </cell>
        </row>
        <row r="86">
          <cell r="C86" t="str">
            <v>CA Series I in US_HAF3-215(W)</v>
          </cell>
        </row>
        <row r="87">
          <cell r="C87" t="str">
            <v>CA Series I in US_HAF3-315(W)</v>
          </cell>
        </row>
        <row r="88">
          <cell r="C88" t="str">
            <v>CA Series I in US_HAF3-18S(W)</v>
          </cell>
        </row>
        <row r="89">
          <cell r="C89" t="str">
            <v>CA Series I in US_VAF2-212(W)</v>
          </cell>
        </row>
        <row r="90">
          <cell r="C90" t="str">
            <v>_MB-MONACO</v>
          </cell>
        </row>
        <row r="91">
          <cell r="C91" t="str">
            <v>_PSL360</v>
          </cell>
        </row>
        <row r="92">
          <cell r="C92" t="str">
            <v>Waves_Y96K</v>
          </cell>
        </row>
        <row r="93">
          <cell r="C93" t="str">
            <v>技術開発_SR Series AMP</v>
          </cell>
        </row>
        <row r="94">
          <cell r="C94" t="str">
            <v>技術開発_DSPX</v>
          </cell>
        </row>
        <row r="95">
          <cell r="C95" t="str">
            <v>技術開発_CA Network</v>
          </cell>
        </row>
        <row r="96">
          <cell r="C96" t="str">
            <v>CA Series I in US_VAF2-215(W)</v>
          </cell>
        </row>
        <row r="97">
          <cell r="C97" t="str">
            <v>CA Series I in US_VAF2-315(W)</v>
          </cell>
        </row>
        <row r="98">
          <cell r="C98" t="str">
            <v>CA Series II in US_CMS4</v>
          </cell>
        </row>
        <row r="99">
          <cell r="C99" t="str">
            <v>CA Series II in US_CMS5</v>
          </cell>
        </row>
        <row r="100">
          <cell r="C100" t="str">
            <v>CA Series II in US_CMS6</v>
          </cell>
        </row>
        <row r="101">
          <cell r="C101" t="str">
            <v>CA Series II in US_CSW8</v>
          </cell>
        </row>
        <row r="102">
          <cell r="C102" t="str">
            <v>CA Series II in US_SMS4</v>
          </cell>
        </row>
        <row r="103">
          <cell r="C103" t="str">
            <v>CA Series II in US_SMS5</v>
          </cell>
        </row>
        <row r="104">
          <cell r="C104" t="str">
            <v>CA Series II in US_SMS6</v>
          </cell>
        </row>
        <row r="105">
          <cell r="C105" t="str">
            <v>miniYGDAI Series_MY16-C II</v>
          </cell>
        </row>
        <row r="106">
          <cell r="C106" t="str">
            <v>DME_Software Update</v>
          </cell>
        </row>
        <row r="107">
          <cell r="C107" t="str">
            <v>Pegasus_Base Frame</v>
          </cell>
        </row>
        <row r="108">
          <cell r="C108" t="str">
            <v>Pegasus_DSPX</v>
          </cell>
        </row>
        <row r="109">
          <cell r="C109" t="str">
            <v>Pegasus_CA Network</v>
          </cell>
        </row>
        <row r="110">
          <cell r="C110" t="str">
            <v>Pegasus_COM</v>
          </cell>
        </row>
        <row r="111">
          <cell r="C111" t="str">
            <v>Pegasus_AI4</v>
          </cell>
        </row>
        <row r="112">
          <cell r="C112" t="str">
            <v>Pegasus_AO4</v>
          </cell>
        </row>
        <row r="113">
          <cell r="C113" t="str">
            <v>Pegasus_AI8</v>
          </cell>
        </row>
        <row r="114">
          <cell r="C114" t="str">
            <v>Pegasus_AO8</v>
          </cell>
        </row>
        <row r="115">
          <cell r="C115" t="str">
            <v>Pegasus_AI4-e</v>
          </cell>
        </row>
        <row r="116">
          <cell r="C116" t="str">
            <v>Pegasus_AO4-e</v>
          </cell>
        </row>
        <row r="117">
          <cell r="C117" t="str">
            <v>Pegasus_AI8-e</v>
          </cell>
        </row>
        <row r="118">
          <cell r="C118" t="str">
            <v>Pegasus_AO8-e</v>
          </cell>
        </row>
        <row r="119">
          <cell r="C119" t="str">
            <v>Pegasus_AIO8-e</v>
          </cell>
        </row>
        <row r="120">
          <cell r="C120" t="str">
            <v>Pegasus_AES/EBU</v>
          </cell>
        </row>
        <row r="121">
          <cell r="C121" t="str">
            <v>Pegasus_CobraNet</v>
          </cell>
        </row>
        <row r="122">
          <cell r="C122" t="str">
            <v>Pegasus_System Designer</v>
          </cell>
        </row>
        <row r="123">
          <cell r="C123" t="str">
            <v>Pegasus_Router512x512</v>
          </cell>
        </row>
        <row r="124">
          <cell r="C124" t="str">
            <v>Pegasus_Router256x256</v>
          </cell>
        </row>
        <row r="125">
          <cell r="C125" t="str">
            <v>Pegasus_Router128x128</v>
          </cell>
        </row>
        <row r="126">
          <cell r="C126" t="str">
            <v>Pegasus_Router64x64</v>
          </cell>
        </row>
        <row r="127">
          <cell r="C127" t="str">
            <v>Pegasus_Digital Snake A</v>
          </cell>
        </row>
        <row r="128">
          <cell r="C128" t="str">
            <v>Pegasus_Digital Snake B</v>
          </cell>
        </row>
        <row r="129">
          <cell r="C129" t="str">
            <v>Pegasus_DME256</v>
          </cell>
        </row>
        <row r="130">
          <cell r="C130" t="str">
            <v>Pegasus_PM2D-192</v>
          </cell>
        </row>
        <row r="131">
          <cell r="C131" t="str">
            <v>Pegasus_PM2D-96</v>
          </cell>
        </row>
        <row r="132">
          <cell r="C132" t="str">
            <v>Pegasus_PM7D</v>
          </cell>
        </row>
        <row r="133">
          <cell r="C133" t="str">
            <v>Pegasus_DM5000</v>
          </cell>
        </row>
        <row r="134">
          <cell r="C134" t="str">
            <v>Pegasus_SHARC</v>
          </cell>
        </row>
        <row r="135">
          <cell r="C135" t="str">
            <v>Pegasus_GPI</v>
          </cell>
        </row>
        <row r="136">
          <cell r="C136" t="str">
            <v>Pegasus_MADI</v>
          </cell>
        </row>
        <row r="137">
          <cell r="C137" t="str">
            <v>Pegasus_EtherSound</v>
          </cell>
        </row>
        <row r="138">
          <cell r="C138" t="str">
            <v>Pegasus_AVIOM</v>
          </cell>
        </row>
        <row r="139">
          <cell r="C139" t="str">
            <v>Pegasus_SuperMac</v>
          </cell>
        </row>
        <row r="140">
          <cell r="C140" t="str">
            <v>Pegasus_Condole PM2D</v>
          </cell>
        </row>
        <row r="141">
          <cell r="C141" t="str">
            <v>Pegasus_Condole PM7D</v>
          </cell>
        </row>
        <row r="142">
          <cell r="C142" t="str">
            <v>Pegasus_Condole DM5000</v>
          </cell>
        </row>
        <row r="143">
          <cell r="C143" t="str">
            <v>サポート_アプリ183</v>
          </cell>
        </row>
        <row r="144">
          <cell r="C144" t="str">
            <v>サポート_Steinberg183</v>
          </cell>
        </row>
        <row r="145">
          <cell r="C145" t="str">
            <v>サポート_アプリ184</v>
          </cell>
        </row>
        <row r="146">
          <cell r="C146" t="str">
            <v>サポート_Steinberg184</v>
          </cell>
        </row>
        <row r="147">
          <cell r="C147" t="str">
            <v>_SP2060</v>
          </cell>
        </row>
        <row r="148">
          <cell r="C148" t="str">
            <v>_</v>
          </cell>
        </row>
        <row r="149">
          <cell r="C149" t="str">
            <v>_</v>
          </cell>
        </row>
        <row r="150">
          <cell r="C150" t="str">
            <v>_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>
        <row r="1">
          <cell r="C1" t="str">
            <v>Section Code (From)</v>
          </cell>
        </row>
      </sheetData>
      <sheetData sheetId="16"/>
      <sheetData sheetId="17" refreshError="1"/>
      <sheetData sheetId="18" refreshError="1"/>
      <sheetData sheetId="19" refreshError="1"/>
      <sheetData sheetId="20">
        <row r="1">
          <cell r="C1" t="str">
            <v>SectionID</v>
          </cell>
        </row>
      </sheetData>
      <sheetData sheetId="21"/>
      <sheetData sheetId="2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  <sheetName val="ｺﾋﾟｰ用（直セ）"/>
      <sheetName val="ｺﾋﾟｰ用（海プ）"/>
      <sheetName val="ｺﾋﾟｰ用（全社）"/>
      <sheetName val="出力②"/>
      <sheetName val="グラフ用"/>
      <sheetName val="Total"/>
      <sheetName val="BEX"/>
      <sheetName val="BIP CIP"/>
      <sheetName val="テーブル"/>
      <sheetName val="開発計画品番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4">
          <cell r="F4" t="str">
            <v>ADM - HR</v>
          </cell>
        </row>
      </sheetData>
      <sheetData sheetId="30"/>
      <sheetData sheetId="31"/>
      <sheetData sheetId="32" refreshError="1"/>
      <sheetData sheetId="3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捗CHECK"/>
      <sheetName val="テーブル"/>
      <sheetName val="支援計画・０４"/>
      <sheetName val="Sheet1"/>
      <sheetName val="直製(集計)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  <sheetData sheetId="3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捗CHECK"/>
      <sheetName val="テーブル"/>
      <sheetName val="支援計画・０４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まとめ"/>
      <sheetName val="予定日別1-6"/>
      <sheetName val="予定日別7-12"/>
      <sheetName val="テーブル"/>
      <sheetName val="KB,MOLD ESTIMATE.00"/>
      <sheetName val="TS Foreman"/>
      <sheetName val="Mapping-cm"/>
      <sheetName val="Competensi Skill'Chaidir"/>
      <sheetName val="TS OP"/>
      <sheetName val="Competensi Skill'Novy A"/>
      <sheetName val="Competensi Skill'M.Mulyadi"/>
      <sheetName val="PK"/>
      <sheetName val="QCC PROGRESS"/>
      <sheetName val="Summary Foreman'FY120"/>
      <sheetName val="Effisiensi,Kousu &amp; PPM (2)"/>
      <sheetName val="CRESULT,FY119"/>
      <sheetName val="Technical Result FY119"/>
      <sheetName val="Grand PA"/>
      <sheetName val="Pn,Kerja Mulyadi"/>
      <sheetName val="PPK.M.Mulyadi"/>
      <sheetName val="COMPETENCY RESULT M.Mulyadi."/>
      <sheetName val="Pn,Kerja Eko"/>
      <sheetName val="PPK.Eko Margiono"/>
      <sheetName val="COMPETENCY RESULT Eko.M"/>
      <sheetName val="Pn,Kerja Suyuti."/>
      <sheetName val="PPK.Suyuti"/>
      <sheetName val="COMPETENCY RESULT Suyuti"/>
      <sheetName val="Pn,Kerja Yusup.E."/>
      <sheetName val="PPK.Yusup Efendi"/>
      <sheetName val="COMPETENCY RESULT Yusup E"/>
      <sheetName val="Pn Basroni"/>
      <sheetName val="PPK.Basroni"/>
      <sheetName val="COMPETENCY RESULT Basroni"/>
      <sheetName val="COMPETENCY RESULT Eka YL"/>
      <sheetName val="COMPETENCY RESULT Dudung A"/>
      <sheetName val="Pn,Kerja Eka"/>
      <sheetName val="Pn,Kerja Dudung"/>
      <sheetName val="Pn,Kerja Surahman,"/>
      <sheetName val="Pn,Kerja Samsul."/>
      <sheetName val="Pn,Kerja Agung mp."/>
      <sheetName val="Pn,Kerja Firman"/>
      <sheetName val="Pn,Kerja Candra A"/>
      <sheetName val="Pn,Kerja Irfan ."/>
      <sheetName val="PPK.Samsul M "/>
      <sheetName val="PPK.Surahman"/>
      <sheetName val="PPK.Agung MP"/>
      <sheetName val="PPK Irfan sw"/>
      <sheetName val="PPK Candra A."/>
      <sheetName val="PPK Firman J."/>
      <sheetName val="COMPETENCY RESULT Samsul.M."/>
      <sheetName val="COMPETENCY RESULT Surahman."/>
      <sheetName val="COMPETENCY RESULT Agung MP"/>
      <sheetName val="COMPETENCY RESULT Firman J"/>
      <sheetName val="COMPETENCY RESULT Irfan SW"/>
      <sheetName val="COMPETENCY RESULT Candra A"/>
      <sheetName val="Pn,Kerja Novy."/>
      <sheetName val="Pn,Kerja Agung R."/>
      <sheetName val="Pn,Kerja Sutriyono."/>
      <sheetName val="Pn,Kerja Agung S."/>
      <sheetName val="Pn,Kerja Wahyu S."/>
      <sheetName val="Pn,Kerja Jefrimar."/>
      <sheetName val="PPK.Novy Aryanto"/>
      <sheetName val="PPK.Agung R"/>
      <sheetName val="PPK.Sutriyono"/>
      <sheetName val="PPK.Agung S"/>
      <sheetName val="PPK.Jefrimar"/>
      <sheetName val="PPK.Wahyu Santoso"/>
      <sheetName val="COMPETENCY RESULT Novy A."/>
      <sheetName val="COMPETENCY RESULT Agung R"/>
      <sheetName val="COMPETENCY RESULT Sutriyono"/>
      <sheetName val="COMPETENCY RESULT Agung S"/>
      <sheetName val="COMPETENCY RESULT Wahyu S"/>
      <sheetName val="COMPETENCY RESULT Jefrimar"/>
      <sheetName val="出力②"/>
      <sheetName val="グラフ用"/>
      <sheetName val="Data"/>
      <sheetName val="支援計画・０４"/>
    </sheetNames>
    <sheetDataSet>
      <sheetData sheetId="0" refreshError="1"/>
      <sheetData sheetId="1" refreshError="1">
        <row r="4">
          <cell r="U4">
            <v>36708</v>
          </cell>
          <cell r="V4">
            <v>36709</v>
          </cell>
          <cell r="W4">
            <v>36710</v>
          </cell>
          <cell r="X4">
            <v>36711</v>
          </cell>
          <cell r="Y4">
            <v>36712</v>
          </cell>
          <cell r="Z4">
            <v>36713</v>
          </cell>
          <cell r="AA4">
            <v>36714</v>
          </cell>
          <cell r="AB4">
            <v>36715</v>
          </cell>
          <cell r="AC4">
            <v>36716</v>
          </cell>
          <cell r="AD4">
            <v>36717</v>
          </cell>
          <cell r="AE4">
            <v>36718</v>
          </cell>
          <cell r="AF4">
            <v>36719</v>
          </cell>
          <cell r="AG4">
            <v>36720</v>
          </cell>
          <cell r="AH4">
            <v>36721</v>
          </cell>
          <cell r="AI4">
            <v>36722</v>
          </cell>
          <cell r="AJ4">
            <v>36723</v>
          </cell>
          <cell r="AK4">
            <v>36724</v>
          </cell>
          <cell r="AL4">
            <v>36725</v>
          </cell>
          <cell r="AM4">
            <v>36726</v>
          </cell>
          <cell r="AN4">
            <v>36727</v>
          </cell>
          <cell r="AO4">
            <v>36728</v>
          </cell>
          <cell r="AP4">
            <v>36729</v>
          </cell>
          <cell r="AQ4">
            <v>36730</v>
          </cell>
          <cell r="AR4">
            <v>36731</v>
          </cell>
          <cell r="AS4">
            <v>36732</v>
          </cell>
          <cell r="AT4">
            <v>36733</v>
          </cell>
          <cell r="AU4">
            <v>36734</v>
          </cell>
          <cell r="AV4">
            <v>36735</v>
          </cell>
          <cell r="AW4">
            <v>36736</v>
          </cell>
          <cell r="AX4">
            <v>36737</v>
          </cell>
          <cell r="AY4">
            <v>36738</v>
          </cell>
          <cell r="AZ4">
            <v>36739</v>
          </cell>
          <cell r="BA4">
            <v>36740</v>
          </cell>
          <cell r="BB4">
            <v>36741</v>
          </cell>
          <cell r="BC4">
            <v>36742</v>
          </cell>
          <cell r="BD4">
            <v>36743</v>
          </cell>
          <cell r="BE4">
            <v>36744</v>
          </cell>
          <cell r="BF4">
            <v>36745</v>
          </cell>
          <cell r="BG4">
            <v>36746</v>
          </cell>
          <cell r="BH4">
            <v>36747</v>
          </cell>
          <cell r="BI4">
            <v>36748</v>
          </cell>
          <cell r="BJ4">
            <v>36749</v>
          </cell>
          <cell r="BK4">
            <v>36750</v>
          </cell>
          <cell r="BL4">
            <v>36751</v>
          </cell>
          <cell r="BM4">
            <v>36752</v>
          </cell>
          <cell r="BN4">
            <v>36753</v>
          </cell>
          <cell r="BO4">
            <v>36754</v>
          </cell>
          <cell r="BP4">
            <v>36755</v>
          </cell>
          <cell r="BQ4">
            <v>36756</v>
          </cell>
          <cell r="BR4">
            <v>36757</v>
          </cell>
          <cell r="BS4">
            <v>36758</v>
          </cell>
          <cell r="BT4">
            <v>36759</v>
          </cell>
          <cell r="BU4">
            <v>36760</v>
          </cell>
          <cell r="BV4">
            <v>36761</v>
          </cell>
          <cell r="BW4">
            <v>36762</v>
          </cell>
          <cell r="BX4">
            <v>36763</v>
          </cell>
          <cell r="BY4">
            <v>36764</v>
          </cell>
          <cell r="BZ4">
            <v>36765</v>
          </cell>
          <cell r="CA4">
            <v>36766</v>
          </cell>
          <cell r="CB4">
            <v>36767</v>
          </cell>
          <cell r="CC4">
            <v>36768</v>
          </cell>
          <cell r="CD4">
            <v>36769</v>
          </cell>
          <cell r="CE4">
            <v>36770</v>
          </cell>
          <cell r="CF4">
            <v>36771</v>
          </cell>
          <cell r="CG4">
            <v>36772</v>
          </cell>
          <cell r="CH4">
            <v>36773</v>
          </cell>
          <cell r="CI4">
            <v>36774</v>
          </cell>
          <cell r="CJ4">
            <v>36775</v>
          </cell>
          <cell r="CK4">
            <v>36776</v>
          </cell>
          <cell r="CL4">
            <v>36777</v>
          </cell>
          <cell r="CM4">
            <v>36778</v>
          </cell>
          <cell r="CN4">
            <v>36779</v>
          </cell>
          <cell r="CO4">
            <v>36780</v>
          </cell>
          <cell r="CP4">
            <v>36781</v>
          </cell>
          <cell r="CQ4">
            <v>36782</v>
          </cell>
          <cell r="CR4">
            <v>36783</v>
          </cell>
          <cell r="CS4">
            <v>36784</v>
          </cell>
          <cell r="CT4">
            <v>36785</v>
          </cell>
          <cell r="CU4">
            <v>36786</v>
          </cell>
          <cell r="CV4">
            <v>36787</v>
          </cell>
          <cell r="CW4">
            <v>36788</v>
          </cell>
          <cell r="CX4">
            <v>36789</v>
          </cell>
          <cell r="CY4">
            <v>36790</v>
          </cell>
          <cell r="CZ4">
            <v>36791</v>
          </cell>
          <cell r="DA4">
            <v>36792</v>
          </cell>
          <cell r="DB4">
            <v>36793</v>
          </cell>
          <cell r="DC4">
            <v>36794</v>
          </cell>
          <cell r="DD4">
            <v>36795</v>
          </cell>
          <cell r="DE4">
            <v>36796</v>
          </cell>
          <cell r="DF4">
            <v>36797</v>
          </cell>
          <cell r="DG4">
            <v>36798</v>
          </cell>
          <cell r="DH4">
            <v>36799</v>
          </cell>
          <cell r="DI4">
            <v>36800</v>
          </cell>
          <cell r="DJ4">
            <v>36801</v>
          </cell>
          <cell r="DK4">
            <v>36802</v>
          </cell>
          <cell r="DL4">
            <v>36803</v>
          </cell>
          <cell r="DM4">
            <v>36804</v>
          </cell>
          <cell r="DN4">
            <v>36805</v>
          </cell>
          <cell r="DO4">
            <v>36806</v>
          </cell>
          <cell r="DP4">
            <v>36807</v>
          </cell>
          <cell r="DQ4">
            <v>36808</v>
          </cell>
          <cell r="DR4">
            <v>36809</v>
          </cell>
          <cell r="DS4">
            <v>36810</v>
          </cell>
          <cell r="DT4">
            <v>36811</v>
          </cell>
          <cell r="DU4">
            <v>36812</v>
          </cell>
          <cell r="DV4">
            <v>36813</v>
          </cell>
          <cell r="DW4">
            <v>36814</v>
          </cell>
          <cell r="DX4">
            <v>36815</v>
          </cell>
          <cell r="DY4">
            <v>36816</v>
          </cell>
          <cell r="DZ4">
            <v>36817</v>
          </cell>
          <cell r="EA4">
            <v>36818</v>
          </cell>
          <cell r="EB4">
            <v>36819</v>
          </cell>
          <cell r="EC4">
            <v>36820</v>
          </cell>
          <cell r="ED4">
            <v>36821</v>
          </cell>
          <cell r="EE4">
            <v>36822</v>
          </cell>
          <cell r="EF4">
            <v>36823</v>
          </cell>
          <cell r="EG4">
            <v>36824</v>
          </cell>
          <cell r="EH4">
            <v>36825</v>
          </cell>
          <cell r="EI4">
            <v>36826</v>
          </cell>
          <cell r="EJ4">
            <v>36827</v>
          </cell>
          <cell r="EK4">
            <v>36828</v>
          </cell>
          <cell r="EL4">
            <v>36829</v>
          </cell>
          <cell r="EM4">
            <v>36830</v>
          </cell>
          <cell r="EN4">
            <v>36831</v>
          </cell>
          <cell r="EO4">
            <v>36832</v>
          </cell>
          <cell r="EP4">
            <v>36833</v>
          </cell>
          <cell r="EQ4">
            <v>36834</v>
          </cell>
          <cell r="ER4">
            <v>36835</v>
          </cell>
          <cell r="ES4">
            <v>36836</v>
          </cell>
          <cell r="ET4">
            <v>36837</v>
          </cell>
          <cell r="EU4">
            <v>36838</v>
          </cell>
          <cell r="EV4">
            <v>36839</v>
          </cell>
          <cell r="EW4">
            <v>36840</v>
          </cell>
          <cell r="EX4">
            <v>36841</v>
          </cell>
          <cell r="EY4">
            <v>36842</v>
          </cell>
          <cell r="EZ4">
            <v>36843</v>
          </cell>
          <cell r="FA4">
            <v>36844</v>
          </cell>
          <cell r="FB4">
            <v>36845</v>
          </cell>
          <cell r="FC4">
            <v>36846</v>
          </cell>
          <cell r="FD4">
            <v>36847</v>
          </cell>
          <cell r="FE4">
            <v>36848</v>
          </cell>
          <cell r="FF4">
            <v>36849</v>
          </cell>
          <cell r="FG4">
            <v>36850</v>
          </cell>
          <cell r="FH4">
            <v>36851</v>
          </cell>
          <cell r="FI4">
            <v>36852</v>
          </cell>
          <cell r="FJ4">
            <v>36853</v>
          </cell>
          <cell r="FK4">
            <v>36854</v>
          </cell>
          <cell r="FL4">
            <v>36855</v>
          </cell>
          <cell r="FM4">
            <v>36856</v>
          </cell>
          <cell r="FN4">
            <v>36857</v>
          </cell>
          <cell r="FO4">
            <v>36858</v>
          </cell>
          <cell r="FP4">
            <v>36859</v>
          </cell>
          <cell r="FQ4">
            <v>36860</v>
          </cell>
          <cell r="FR4">
            <v>36861</v>
          </cell>
          <cell r="FS4">
            <v>36862</v>
          </cell>
          <cell r="FT4">
            <v>36863</v>
          </cell>
          <cell r="FU4">
            <v>36864</v>
          </cell>
          <cell r="FV4">
            <v>36865</v>
          </cell>
          <cell r="FW4">
            <v>36866</v>
          </cell>
          <cell r="FX4">
            <v>36867</v>
          </cell>
          <cell r="FY4">
            <v>36868</v>
          </cell>
          <cell r="FZ4">
            <v>36869</v>
          </cell>
          <cell r="GA4">
            <v>36870</v>
          </cell>
          <cell r="GB4">
            <v>36871</v>
          </cell>
          <cell r="GC4">
            <v>36872</v>
          </cell>
          <cell r="GD4">
            <v>36873</v>
          </cell>
          <cell r="GE4">
            <v>36874</v>
          </cell>
          <cell r="GF4">
            <v>36875</v>
          </cell>
          <cell r="GG4">
            <v>36876</v>
          </cell>
          <cell r="GH4">
            <v>36877</v>
          </cell>
          <cell r="GI4">
            <v>36878</v>
          </cell>
          <cell r="GJ4">
            <v>36879</v>
          </cell>
          <cell r="GK4">
            <v>36880</v>
          </cell>
          <cell r="GL4">
            <v>36881</v>
          </cell>
          <cell r="GM4">
            <v>36882</v>
          </cell>
          <cell r="GN4">
            <v>36883</v>
          </cell>
          <cell r="GO4">
            <v>36884</v>
          </cell>
          <cell r="GP4">
            <v>36885</v>
          </cell>
          <cell r="GQ4">
            <v>36886</v>
          </cell>
          <cell r="GR4">
            <v>36887</v>
          </cell>
          <cell r="GS4">
            <v>36888</v>
          </cell>
          <cell r="GT4">
            <v>36889</v>
          </cell>
          <cell r="GU4">
            <v>36890</v>
          </cell>
          <cell r="GV4">
            <v>36891</v>
          </cell>
        </row>
      </sheetData>
      <sheetData sheetId="2" refreshError="1"/>
      <sheetData sheetId="3" refreshError="1"/>
      <sheetData sheetId="4" refreshError="1"/>
      <sheetData sheetId="5">
        <row r="4">
          <cell r="U4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B,MOLD ESTIMATE.00"/>
      <sheetName val="KB_MOLD ESTIMATE_00"/>
      <sheetName val="予定日別1-6"/>
      <sheetName val="テーブル"/>
      <sheetName val="Sheet1"/>
      <sheetName val="出力②"/>
      <sheetName val="グラフ用"/>
      <sheetName val="G8D Report"/>
    </sheetNames>
    <sheetDataSet>
      <sheetData sheetId="0" refreshError="1">
        <row r="13">
          <cell r="F13">
            <v>1.4</v>
          </cell>
          <cell r="G13">
            <v>1.4</v>
          </cell>
          <cell r="H13">
            <v>1.4</v>
          </cell>
          <cell r="I13">
            <v>1.4</v>
          </cell>
          <cell r="J13">
            <v>0.1</v>
          </cell>
          <cell r="K13">
            <v>0.1</v>
          </cell>
          <cell r="L13">
            <v>0.1</v>
          </cell>
          <cell r="M13">
            <v>0.1</v>
          </cell>
          <cell r="N13">
            <v>0.1</v>
          </cell>
          <cell r="O13">
            <v>0.1</v>
          </cell>
        </row>
      </sheetData>
      <sheetData sheetId="1"/>
      <sheetData sheetId="2" refreshError="1"/>
      <sheetData sheetId="3" refreshError="1"/>
      <sheetData sheetId="4"/>
      <sheetData sheetId="5"/>
      <sheetData sheetId="6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このbookの利用ルール"/>
      <sheetName val="開発計画品番リスト"/>
      <sheetName val="KB,MOLD ESTIMATE.00"/>
      <sheetName val="予定日別1-6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中期計画・９８"/>
      <sheetName val="数値計画"/>
      <sheetName val="原価明細・資金計画"/>
      <sheetName val="製造品目明細"/>
      <sheetName val="要員計画"/>
      <sheetName val="投資計画"/>
      <sheetName val="調達計画"/>
      <sheetName val="スタッフ部門計画"/>
      <sheetName val="人材育成"/>
      <sheetName val="本社支援計画"/>
      <sheetName val="業務計画"/>
      <sheetName val="自立のイメージ"/>
      <sheetName val="Sheet1"/>
      <sheetName val="1998"/>
      <sheetName val="1999"/>
      <sheetName val="2000"/>
      <sheetName val="2001"/>
      <sheetName val="2002"/>
      <sheetName val="データ"/>
      <sheetName val="開発計画品番リスト"/>
      <sheetName val="KB,MOLD ESTIMATE.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FF172-4F7E-4F8C-81F6-B959C5A7DE76}">
  <sheetPr>
    <tabColor rgb="FFFFFF00"/>
  </sheetPr>
  <dimension ref="A1:Q459"/>
  <sheetViews>
    <sheetView zoomScale="85" zoomScaleNormal="85" workbookViewId="0">
      <selection activeCell="G10" sqref="G10"/>
    </sheetView>
  </sheetViews>
  <sheetFormatPr defaultColWidth="8.5703125" defaultRowHeight="15" customHeight="1"/>
  <cols>
    <col min="1" max="1" width="6.85546875" style="72" bestFit="1" customWidth="1"/>
    <col min="2" max="2" width="11.7109375" style="24" bestFit="1" customWidth="1"/>
    <col min="3" max="3" width="25.28515625" style="72" bestFit="1" customWidth="1"/>
    <col min="4" max="4" width="9.85546875" style="25" bestFit="1" customWidth="1"/>
    <col min="5" max="5" width="25.28515625" style="72" bestFit="1" customWidth="1"/>
    <col min="6" max="6" width="8.28515625" style="26" bestFit="1" customWidth="1"/>
    <col min="7" max="7" width="29.5703125" style="72" bestFit="1" customWidth="1"/>
    <col min="8" max="8" width="72.5703125" style="72" bestFit="1" customWidth="1"/>
    <col min="9" max="9" width="17" style="24" bestFit="1" customWidth="1"/>
    <col min="10" max="10" width="14.7109375" style="24" bestFit="1" customWidth="1"/>
    <col min="11" max="11" width="19.5703125" style="71" bestFit="1" customWidth="1"/>
    <col min="12" max="12" width="11.28515625" style="25" bestFit="1" customWidth="1"/>
    <col min="13" max="13" width="15.42578125" style="73" bestFit="1" customWidth="1"/>
    <col min="14" max="14" width="14.7109375" style="74" bestFit="1" customWidth="1"/>
    <col min="15" max="15" width="16.140625" style="75" bestFit="1" customWidth="1"/>
    <col min="16" max="16" width="13" style="26" bestFit="1" customWidth="1"/>
    <col min="17" max="17" width="15.85546875" style="38" bestFit="1" customWidth="1"/>
    <col min="18" max="16384" width="8.5703125" style="24"/>
  </cols>
  <sheetData>
    <row r="1" spans="1:17" s="76" customFormat="1" ht="36" customHeight="1">
      <c r="A1" s="77" t="s">
        <v>343</v>
      </c>
      <c r="B1" s="78" t="s">
        <v>340</v>
      </c>
      <c r="C1" s="77" t="s">
        <v>341</v>
      </c>
      <c r="D1" s="79" t="s">
        <v>338</v>
      </c>
      <c r="E1" s="77" t="s">
        <v>339</v>
      </c>
      <c r="F1" s="78" t="s">
        <v>298</v>
      </c>
      <c r="G1" s="77" t="s">
        <v>297</v>
      </c>
      <c r="H1" s="77" t="s">
        <v>296</v>
      </c>
      <c r="I1" s="78" t="s">
        <v>344</v>
      </c>
      <c r="J1" s="78" t="s">
        <v>2</v>
      </c>
      <c r="K1" s="80" t="s">
        <v>299</v>
      </c>
      <c r="L1" s="79" t="s">
        <v>300</v>
      </c>
      <c r="M1" s="81" t="s">
        <v>301</v>
      </c>
      <c r="N1" s="82" t="s">
        <v>302</v>
      </c>
      <c r="O1" s="77" t="s">
        <v>314</v>
      </c>
      <c r="P1" s="78" t="s">
        <v>342</v>
      </c>
      <c r="Q1" s="83" t="s">
        <v>316</v>
      </c>
    </row>
    <row r="2" spans="1:17" ht="15" customHeight="1">
      <c r="B2" s="25" t="str">
        <f>_xlfn.IFNA(VLOOKUP(C2,Master_Section!$H:$I,2,FALSE),"")</f>
        <v/>
      </c>
      <c r="D2" s="25" t="str">
        <f>_xlfn.IFNA(VLOOKUP(E2,Master_Section!$H:$I,2,FALSE),"")</f>
        <v/>
      </c>
      <c r="F2" s="65" t="str">
        <f>_xlfn.IFNA(VLOOKUP(G2,Master!AE:AF,2,FALSE),"")</f>
        <v/>
      </c>
      <c r="I2" s="24" t="str">
        <f>_xlfn.IFNA(VLOOKUP(D2,Master_Section!$I:$K,2,FALSE),"")</f>
        <v/>
      </c>
      <c r="J2" s="24" t="str">
        <f>_xlfn.IFNA(VLOOKUP(D2,Master_Section!$I:$K,3,FALSE),"")</f>
        <v/>
      </c>
      <c r="L2" s="70" t="str">
        <f>IF(A2&lt;&gt;"CFA",_xlfn.IFNA(VLOOKUP($G2,Master!$AE:$AI,5,0),""),"")</f>
        <v/>
      </c>
      <c r="P2" s="26" t="str">
        <f t="shared" ref="P2:P54" si="0">IF(N2&lt;&gt;"",IF(MONTH(N2)&gt;=4,"FY1"&amp;RIGHT(YEAR(N2)+1,2),"FY1"&amp;RIGHT(YEAR(N2),2)),"")</f>
        <v/>
      </c>
      <c r="Q2" s="37">
        <f t="shared" ref="Q2:Q54" si="1">IF(K2&gt;0&amp;M2&gt;0,K2*M2,"")</f>
        <v>0</v>
      </c>
    </row>
    <row r="3" spans="1:17" ht="15" customHeight="1">
      <c r="B3" s="25" t="str">
        <f>_xlfn.IFNA(VLOOKUP(C3,Master_Section!$H:$I,2,FALSE),"")</f>
        <v/>
      </c>
      <c r="D3" s="25" t="str">
        <f>_xlfn.IFNA(VLOOKUP(E3,Master_Section!$H:$I,2,FALSE),"")</f>
        <v/>
      </c>
      <c r="F3" s="65" t="str">
        <f>_xlfn.IFNA(VLOOKUP(G3,Master!AE:AF,2,FALSE),"")</f>
        <v/>
      </c>
      <c r="I3" s="24" t="str">
        <f>_xlfn.IFNA(VLOOKUP(D3,Master_Section!$I:$K,2,FALSE),"")</f>
        <v/>
      </c>
      <c r="J3" s="24" t="str">
        <f>_xlfn.IFNA(VLOOKUP(D3,Master_Section!$I:$K,3,FALSE),"")</f>
        <v/>
      </c>
      <c r="L3" s="70" t="str">
        <f>IF(A3&lt;&gt;"CFA",_xlfn.IFNA(VLOOKUP($G3,Master!$AE:$AI,5,0),""),"")</f>
        <v/>
      </c>
      <c r="P3" s="26" t="str">
        <f t="shared" si="0"/>
        <v/>
      </c>
      <c r="Q3" s="37">
        <f t="shared" si="1"/>
        <v>0</v>
      </c>
    </row>
    <row r="4" spans="1:17" ht="15" customHeight="1">
      <c r="B4" s="25" t="str">
        <f>_xlfn.IFNA(VLOOKUP(C4,Master_Section!$H:$I,2,FALSE),"")</f>
        <v/>
      </c>
      <c r="D4" s="25" t="str">
        <f>_xlfn.IFNA(VLOOKUP(E4,Master_Section!$H:$I,2,FALSE),"")</f>
        <v/>
      </c>
      <c r="F4" s="65" t="str">
        <f>_xlfn.IFNA(VLOOKUP(G4,Master!AE:AF,2,FALSE),"")</f>
        <v/>
      </c>
      <c r="I4" s="24" t="str">
        <f>_xlfn.IFNA(VLOOKUP(D4,Master_Section!$I:$K,2,FALSE),"")</f>
        <v/>
      </c>
      <c r="J4" s="24" t="str">
        <f>_xlfn.IFNA(VLOOKUP(D4,Master_Section!$I:$K,3,FALSE),"")</f>
        <v/>
      </c>
      <c r="L4" s="70" t="str">
        <f>IF(A4&lt;&gt;"CFA",_xlfn.IFNA(VLOOKUP($G4,Master!$AE:$AI,5,0),""),"")</f>
        <v/>
      </c>
      <c r="P4" s="26" t="str">
        <f t="shared" si="0"/>
        <v/>
      </c>
      <c r="Q4" s="37">
        <f t="shared" si="1"/>
        <v>0</v>
      </c>
    </row>
    <row r="5" spans="1:17" ht="15" customHeight="1">
      <c r="B5" s="25" t="str">
        <f>_xlfn.IFNA(VLOOKUP(C5,Master_Section!$H:$I,2,FALSE),"")</f>
        <v/>
      </c>
      <c r="D5" s="25" t="str">
        <f>_xlfn.IFNA(VLOOKUP(E5,Master_Section!$H:$I,2,FALSE),"")</f>
        <v/>
      </c>
      <c r="F5" s="65" t="str">
        <f>_xlfn.IFNA(VLOOKUP(G5,Master!AE:AF,2,FALSE),"")</f>
        <v/>
      </c>
      <c r="I5" s="24" t="str">
        <f>_xlfn.IFNA(VLOOKUP(D5,Master_Section!$I:$K,2,FALSE),"")</f>
        <v/>
      </c>
      <c r="J5" s="24" t="str">
        <f>_xlfn.IFNA(VLOOKUP(D5,Master_Section!$I:$K,3,FALSE),"")</f>
        <v/>
      </c>
      <c r="L5" s="70" t="str">
        <f>IF(A5&lt;&gt;"CFA",_xlfn.IFNA(VLOOKUP($G5,Master!$AE:$AI,5,0),""),"")</f>
        <v/>
      </c>
      <c r="P5" s="26" t="str">
        <f t="shared" si="0"/>
        <v/>
      </c>
      <c r="Q5" s="37">
        <f t="shared" si="1"/>
        <v>0</v>
      </c>
    </row>
    <row r="6" spans="1:17" ht="15" customHeight="1">
      <c r="B6" s="25" t="str">
        <f>_xlfn.IFNA(VLOOKUP(C6,Master_Section!$H:$I,2,FALSE),"")</f>
        <v/>
      </c>
      <c r="D6" s="25" t="str">
        <f>_xlfn.IFNA(VLOOKUP(E6,Master_Section!$H:$I,2,FALSE),"")</f>
        <v/>
      </c>
      <c r="F6" s="65" t="str">
        <f>_xlfn.IFNA(VLOOKUP(G6,Master!AE:AF,2,FALSE),"")</f>
        <v/>
      </c>
      <c r="I6" s="24" t="str">
        <f>_xlfn.IFNA(VLOOKUP(D6,Master_Section!$I:$K,2,FALSE),"")</f>
        <v/>
      </c>
      <c r="J6" s="24" t="str">
        <f>_xlfn.IFNA(VLOOKUP(D6,Master_Section!$I:$K,3,FALSE),"")</f>
        <v/>
      </c>
      <c r="L6" s="70" t="str">
        <f>IF(A6&lt;&gt;"CFA",_xlfn.IFNA(VLOOKUP($G6,Master!$AE:$AI,5,0),""),"")</f>
        <v/>
      </c>
      <c r="P6" s="26" t="str">
        <f t="shared" si="0"/>
        <v/>
      </c>
      <c r="Q6" s="37">
        <f t="shared" si="1"/>
        <v>0</v>
      </c>
    </row>
    <row r="7" spans="1:17" ht="15" customHeight="1">
      <c r="B7" s="25" t="str">
        <f>_xlfn.IFNA(VLOOKUP(C7,Master_Section!$H:$I,2,FALSE),"")</f>
        <v/>
      </c>
      <c r="D7" s="25" t="str">
        <f>_xlfn.IFNA(VLOOKUP(E7,Master_Section!$H:$I,2,FALSE),"")</f>
        <v/>
      </c>
      <c r="F7" s="65" t="str">
        <f>_xlfn.IFNA(VLOOKUP(G7,Master!AE:AF,2,FALSE),"")</f>
        <v/>
      </c>
      <c r="I7" s="24" t="str">
        <f>_xlfn.IFNA(VLOOKUP(D7,Master_Section!$I:$K,2,FALSE),"")</f>
        <v/>
      </c>
      <c r="J7" s="24" t="str">
        <f>_xlfn.IFNA(VLOOKUP(D7,Master_Section!$I:$K,3,FALSE),"")</f>
        <v/>
      </c>
      <c r="L7" s="70" t="str">
        <f>IF(A7&lt;&gt;"CFA",_xlfn.IFNA(VLOOKUP($G7,Master!$AE:$AI,5,0),""),"")</f>
        <v/>
      </c>
      <c r="P7" s="26" t="str">
        <f t="shared" si="0"/>
        <v/>
      </c>
      <c r="Q7" s="37">
        <f>IF(K7&gt;0&amp;M7&gt;0,K7*M7,"")</f>
        <v>0</v>
      </c>
    </row>
    <row r="8" spans="1:17" ht="15" customHeight="1">
      <c r="B8" s="25" t="str">
        <f>_xlfn.IFNA(VLOOKUP(C8,Master_Section!$H:$I,2,FALSE),"")</f>
        <v/>
      </c>
      <c r="D8" s="25" t="str">
        <f>_xlfn.IFNA(VLOOKUP(E8,Master_Section!$H:$I,2,FALSE),"")</f>
        <v/>
      </c>
      <c r="F8" s="65" t="str">
        <f>_xlfn.IFNA(VLOOKUP(G8,Master!AE:AF,2,FALSE),"")</f>
        <v/>
      </c>
      <c r="I8" s="24" t="str">
        <f>_xlfn.IFNA(VLOOKUP(D8,Master_Section!$I:$K,2,FALSE),"")</f>
        <v/>
      </c>
      <c r="J8" s="24" t="str">
        <f>_xlfn.IFNA(VLOOKUP(D8,Master_Section!$I:$K,3,FALSE),"")</f>
        <v/>
      </c>
      <c r="L8" s="70" t="str">
        <f>IF(A8&lt;&gt;"CFA",_xlfn.IFNA(VLOOKUP($G8,Master!$AE:$AI,5,0),""),"")</f>
        <v/>
      </c>
      <c r="P8" s="26" t="str">
        <f t="shared" si="0"/>
        <v/>
      </c>
      <c r="Q8" s="37">
        <f>IF(K8&gt;0&amp;M8&gt;0,K8*M8,"")</f>
        <v>0</v>
      </c>
    </row>
    <row r="9" spans="1:17" ht="15" customHeight="1">
      <c r="B9" s="25" t="str">
        <f>_xlfn.IFNA(VLOOKUP(C9,Master_Section!$H:$I,2,FALSE),"")</f>
        <v/>
      </c>
      <c r="D9" s="25" t="str">
        <f>_xlfn.IFNA(VLOOKUP(E9,Master_Section!$H:$I,2,FALSE),"")</f>
        <v/>
      </c>
      <c r="F9" s="65" t="str">
        <f>_xlfn.IFNA(VLOOKUP(G9,Master!AE:AF,2,FALSE),"")</f>
        <v/>
      </c>
      <c r="I9" s="24" t="str">
        <f>_xlfn.IFNA(VLOOKUP(D9,Master_Section!$I:$K,2,FALSE),"")</f>
        <v/>
      </c>
      <c r="J9" s="24" t="str">
        <f>_xlfn.IFNA(VLOOKUP(D9,Master_Section!$I:$K,3,FALSE),"")</f>
        <v/>
      </c>
      <c r="L9" s="70" t="str">
        <f>IF(A9&lt;&gt;"CFA",_xlfn.IFNA(VLOOKUP($G9,Master!$AE:$AI,5,0),""),"")</f>
        <v/>
      </c>
      <c r="P9" s="26" t="str">
        <f t="shared" si="0"/>
        <v/>
      </c>
      <c r="Q9" s="37">
        <f>IF(K9&gt;0&amp;M9&gt;0,K9*M9,"")</f>
        <v>0</v>
      </c>
    </row>
    <row r="10" spans="1:17" ht="15" customHeight="1">
      <c r="B10" s="25" t="str">
        <f>_xlfn.IFNA(VLOOKUP(C10,Master_Section!$H:$I,2,FALSE),"")</f>
        <v/>
      </c>
      <c r="D10" s="25" t="str">
        <f>_xlfn.IFNA(VLOOKUP(E10,Master_Section!$H:$I,2,FALSE),"")</f>
        <v/>
      </c>
      <c r="F10" s="65" t="str">
        <f>_xlfn.IFNA(VLOOKUP(G10,Master!AE:AF,2,FALSE),"")</f>
        <v/>
      </c>
      <c r="I10" s="24" t="str">
        <f>_xlfn.IFNA(VLOOKUP(D10,Master_Section!$I:$K,2,FALSE),"")</f>
        <v/>
      </c>
      <c r="J10" s="24" t="str">
        <f>_xlfn.IFNA(VLOOKUP(D10,Master_Section!$I:$K,3,FALSE),"")</f>
        <v/>
      </c>
      <c r="L10" s="70" t="str">
        <f>IF(A10&lt;&gt;"CFA",_xlfn.IFNA(VLOOKUP($G10,Master!$AE:$AI,5,0),""),"")</f>
        <v/>
      </c>
      <c r="P10" s="26" t="str">
        <f t="shared" si="0"/>
        <v/>
      </c>
      <c r="Q10" s="37">
        <f t="shared" si="1"/>
        <v>0</v>
      </c>
    </row>
    <row r="11" spans="1:17" ht="15" customHeight="1">
      <c r="B11" s="25" t="str">
        <f>_xlfn.IFNA(VLOOKUP(C11,Master_Section!$H:$I,2,FALSE),"")</f>
        <v/>
      </c>
      <c r="D11" s="25" t="str">
        <f>_xlfn.IFNA(VLOOKUP(E11,Master_Section!$H:$I,2,FALSE),"")</f>
        <v/>
      </c>
      <c r="F11" s="65" t="str">
        <f>_xlfn.IFNA(VLOOKUP(G11,Master!AE:AF,2,FALSE),"")</f>
        <v/>
      </c>
      <c r="I11" s="24" t="str">
        <f>_xlfn.IFNA(VLOOKUP(D11,Master_Section!$I:$K,2,FALSE),"")</f>
        <v/>
      </c>
      <c r="J11" s="24" t="str">
        <f>_xlfn.IFNA(VLOOKUP(D11,Master_Section!$I:$K,3,FALSE),"")</f>
        <v/>
      </c>
      <c r="L11" s="70" t="str">
        <f>IF(A11&lt;&gt;"CFA",_xlfn.IFNA(VLOOKUP($G11,Master!$AE:$AI,5,0),""),"")</f>
        <v/>
      </c>
      <c r="P11" s="26" t="str">
        <f t="shared" si="0"/>
        <v/>
      </c>
      <c r="Q11" s="37">
        <f t="shared" si="1"/>
        <v>0</v>
      </c>
    </row>
    <row r="12" spans="1:17" ht="15" customHeight="1">
      <c r="B12" s="25" t="str">
        <f>_xlfn.IFNA(VLOOKUP(C12,Master_Section!$H:$I,2,FALSE),"")</f>
        <v/>
      </c>
      <c r="D12" s="25" t="str">
        <f>_xlfn.IFNA(VLOOKUP(E12,Master_Section!$H:$I,2,FALSE),"")</f>
        <v/>
      </c>
      <c r="F12" s="65" t="str">
        <f>_xlfn.IFNA(VLOOKUP(G12,Master!AE:AF,2,FALSE),"")</f>
        <v/>
      </c>
      <c r="I12" s="24" t="str">
        <f>_xlfn.IFNA(VLOOKUP(D12,Master_Section!$I:$K,2,FALSE),"")</f>
        <v/>
      </c>
      <c r="J12" s="24" t="str">
        <f>_xlfn.IFNA(VLOOKUP(D12,Master_Section!$I:$K,3,FALSE),"")</f>
        <v/>
      </c>
      <c r="L12" s="70" t="str">
        <f>IF(A12&lt;&gt;"CFA",_xlfn.IFNA(VLOOKUP($G12,Master!$AE:$AI,5,0),""),"")</f>
        <v/>
      </c>
      <c r="P12" s="26" t="str">
        <f t="shared" si="0"/>
        <v/>
      </c>
      <c r="Q12" s="37">
        <f t="shared" si="1"/>
        <v>0</v>
      </c>
    </row>
    <row r="13" spans="1:17" ht="15" customHeight="1">
      <c r="B13" s="25" t="str">
        <f>_xlfn.IFNA(VLOOKUP(C13,Master_Section!$H:$I,2,FALSE),"")</f>
        <v/>
      </c>
      <c r="D13" s="25" t="str">
        <f>_xlfn.IFNA(VLOOKUP(E13,Master_Section!$H:$I,2,FALSE),"")</f>
        <v/>
      </c>
      <c r="F13" s="65" t="str">
        <f>_xlfn.IFNA(VLOOKUP(G13,Master!AE:AF,2,FALSE),"")</f>
        <v/>
      </c>
      <c r="I13" s="24" t="str">
        <f>_xlfn.IFNA(VLOOKUP(D13,Master_Section!$I:$K,2,FALSE),"")</f>
        <v/>
      </c>
      <c r="J13" s="24" t="str">
        <f>_xlfn.IFNA(VLOOKUP(D13,Master_Section!$I:$K,3,FALSE),"")</f>
        <v/>
      </c>
      <c r="L13" s="70" t="str">
        <f>IF(A13&lt;&gt;"CFA",_xlfn.IFNA(VLOOKUP($G13,Master!$AE:$AI,5,0),""),"")</f>
        <v/>
      </c>
      <c r="P13" s="26" t="str">
        <f t="shared" si="0"/>
        <v/>
      </c>
      <c r="Q13" s="37">
        <f t="shared" si="1"/>
        <v>0</v>
      </c>
    </row>
    <row r="14" spans="1:17" ht="15" customHeight="1">
      <c r="B14" s="25" t="str">
        <f>_xlfn.IFNA(VLOOKUP(C14,Master_Section!$H:$I,2,FALSE),"")</f>
        <v/>
      </c>
      <c r="D14" s="25" t="str">
        <f>_xlfn.IFNA(VLOOKUP(E14,Master_Section!$H:$I,2,FALSE),"")</f>
        <v/>
      </c>
      <c r="F14" s="65" t="str">
        <f>_xlfn.IFNA(VLOOKUP(G14,Master!AE:AF,2,FALSE),"")</f>
        <v/>
      </c>
      <c r="I14" s="24" t="str">
        <f>_xlfn.IFNA(VLOOKUP(D14,Master_Section!$I:$K,2,FALSE),"")</f>
        <v/>
      </c>
      <c r="J14" s="24" t="str">
        <f>_xlfn.IFNA(VLOOKUP(D14,Master_Section!$I:$K,3,FALSE),"")</f>
        <v/>
      </c>
      <c r="L14" s="70" t="str">
        <f>IF(A14&lt;&gt;"CFA",_xlfn.IFNA(VLOOKUP($G14,Master!$AE:$AI,5,0),""),"")</f>
        <v/>
      </c>
      <c r="P14" s="26" t="str">
        <f t="shared" si="0"/>
        <v/>
      </c>
      <c r="Q14" s="37">
        <f t="shared" si="1"/>
        <v>0</v>
      </c>
    </row>
    <row r="15" spans="1:17" ht="15" customHeight="1">
      <c r="B15" s="25" t="str">
        <f>_xlfn.IFNA(VLOOKUP(C15,Master_Section!$H:$I,2,FALSE),"")</f>
        <v/>
      </c>
      <c r="D15" s="25" t="str">
        <f>_xlfn.IFNA(VLOOKUP(E15,Master_Section!$H:$I,2,FALSE),"")</f>
        <v/>
      </c>
      <c r="F15" s="65" t="str">
        <f>_xlfn.IFNA(VLOOKUP(G15,Master!AE:AF,2,FALSE),"")</f>
        <v/>
      </c>
      <c r="I15" s="24" t="str">
        <f>_xlfn.IFNA(VLOOKUP(D15,Master_Section!$I:$K,2,FALSE),"")</f>
        <v/>
      </c>
      <c r="J15" s="24" t="str">
        <f>_xlfn.IFNA(VLOOKUP(D15,Master_Section!$I:$K,3,FALSE),"")</f>
        <v/>
      </c>
      <c r="L15" s="70" t="str">
        <f>IF(A15&lt;&gt;"CFA",_xlfn.IFNA(VLOOKUP($G15,Master!$AE:$AI,5,0),""),"")</f>
        <v/>
      </c>
      <c r="P15" s="26" t="str">
        <f t="shared" si="0"/>
        <v/>
      </c>
      <c r="Q15" s="37">
        <f t="shared" si="1"/>
        <v>0</v>
      </c>
    </row>
    <row r="16" spans="1:17" ht="15" customHeight="1">
      <c r="B16" s="25" t="str">
        <f>_xlfn.IFNA(VLOOKUP(C16,Master_Section!$H:$I,2,FALSE),"")</f>
        <v/>
      </c>
      <c r="D16" s="25" t="str">
        <f>_xlfn.IFNA(VLOOKUP(E16,Master_Section!$H:$I,2,FALSE),"")</f>
        <v/>
      </c>
      <c r="F16" s="65" t="str">
        <f>_xlfn.IFNA(VLOOKUP(G16,Master!AE:AF,2,FALSE),"")</f>
        <v/>
      </c>
      <c r="I16" s="24" t="str">
        <f>_xlfn.IFNA(VLOOKUP(D16,Master_Section!$I:$K,2,FALSE),"")</f>
        <v/>
      </c>
      <c r="J16" s="24" t="str">
        <f>_xlfn.IFNA(VLOOKUP(D16,Master_Section!$I:$K,3,FALSE),"")</f>
        <v/>
      </c>
      <c r="L16" s="70" t="str">
        <f>IF(A16&lt;&gt;"CFA",_xlfn.IFNA(VLOOKUP($G16,Master!$AE:$AI,5,0),""),"")</f>
        <v/>
      </c>
      <c r="P16" s="26" t="str">
        <f t="shared" si="0"/>
        <v/>
      </c>
      <c r="Q16" s="37">
        <f t="shared" si="1"/>
        <v>0</v>
      </c>
    </row>
    <row r="17" spans="2:17" ht="15" customHeight="1">
      <c r="B17" s="25" t="str">
        <f>_xlfn.IFNA(VLOOKUP(C17,Master_Section!$H:$I,2,FALSE),"")</f>
        <v/>
      </c>
      <c r="D17" s="25" t="str">
        <f>_xlfn.IFNA(VLOOKUP(E17,Master_Section!$H:$I,2,FALSE),"")</f>
        <v/>
      </c>
      <c r="F17" s="65" t="str">
        <f>_xlfn.IFNA(VLOOKUP(G17,Master!AE:AF,2,FALSE),"")</f>
        <v/>
      </c>
      <c r="I17" s="24" t="str">
        <f>_xlfn.IFNA(VLOOKUP(D17,Master_Section!$I:$K,2,FALSE),"")</f>
        <v/>
      </c>
      <c r="J17" s="24" t="str">
        <f>_xlfn.IFNA(VLOOKUP(D17,Master_Section!$I:$K,3,FALSE),"")</f>
        <v/>
      </c>
      <c r="L17" s="70" t="str">
        <f>IF(A17&lt;&gt;"CFA",_xlfn.IFNA(VLOOKUP($G17,Master!$AE:$AI,5,0),""),"")</f>
        <v/>
      </c>
      <c r="P17" s="26" t="str">
        <f t="shared" si="0"/>
        <v/>
      </c>
      <c r="Q17" s="37">
        <f t="shared" si="1"/>
        <v>0</v>
      </c>
    </row>
    <row r="18" spans="2:17" ht="15" customHeight="1">
      <c r="B18" s="25" t="str">
        <f>_xlfn.IFNA(VLOOKUP(C18,Master_Section!$H:$I,2,FALSE),"")</f>
        <v/>
      </c>
      <c r="D18" s="25" t="str">
        <f>_xlfn.IFNA(VLOOKUP(E18,Master_Section!$H:$I,2,FALSE),"")</f>
        <v/>
      </c>
      <c r="F18" s="65" t="str">
        <f>_xlfn.IFNA(VLOOKUP(G18,Master!AE:AF,2,FALSE),"")</f>
        <v/>
      </c>
      <c r="I18" s="24" t="str">
        <f>_xlfn.IFNA(VLOOKUP(D18,Master_Section!$I:$K,2,FALSE),"")</f>
        <v/>
      </c>
      <c r="J18" s="24" t="str">
        <f>_xlfn.IFNA(VLOOKUP(D18,Master_Section!$I:$K,3,FALSE),"")</f>
        <v/>
      </c>
      <c r="L18" s="70" t="str">
        <f>IF(A18&lt;&gt;"CFA",_xlfn.IFNA(VLOOKUP($G18,Master!$AE:$AI,5,0),""),"")</f>
        <v/>
      </c>
      <c r="P18" s="26" t="str">
        <f t="shared" si="0"/>
        <v/>
      </c>
      <c r="Q18" s="37">
        <f t="shared" si="1"/>
        <v>0</v>
      </c>
    </row>
    <row r="19" spans="2:17" ht="15" customHeight="1">
      <c r="B19" s="25" t="str">
        <f>_xlfn.IFNA(VLOOKUP(C19,Master_Section!$H:$I,2,FALSE),"")</f>
        <v/>
      </c>
      <c r="D19" s="25" t="str">
        <f>_xlfn.IFNA(VLOOKUP(E19,Master_Section!$H:$I,2,FALSE),"")</f>
        <v/>
      </c>
      <c r="F19" s="65" t="str">
        <f>_xlfn.IFNA(VLOOKUP(G19,Master!AE:AF,2,FALSE),"")</f>
        <v/>
      </c>
      <c r="I19" s="24" t="str">
        <f>_xlfn.IFNA(VLOOKUP(D19,Master_Section!$I:$K,2,FALSE),"")</f>
        <v/>
      </c>
      <c r="J19" s="24" t="str">
        <f>_xlfn.IFNA(VLOOKUP(D19,Master_Section!$I:$K,3,FALSE),"")</f>
        <v/>
      </c>
      <c r="L19" s="70" t="str">
        <f>IF(A19&lt;&gt;"CFA",_xlfn.IFNA(VLOOKUP($G19,Master!$AE:$AI,5,0),""),"")</f>
        <v/>
      </c>
      <c r="P19" s="26" t="str">
        <f t="shared" si="0"/>
        <v/>
      </c>
      <c r="Q19" s="37">
        <f t="shared" si="1"/>
        <v>0</v>
      </c>
    </row>
    <row r="20" spans="2:17" ht="15" customHeight="1">
      <c r="B20" s="25" t="str">
        <f>_xlfn.IFNA(VLOOKUP(C20,Master_Section!$H:$I,2,FALSE),"")</f>
        <v/>
      </c>
      <c r="D20" s="25" t="str">
        <f>_xlfn.IFNA(VLOOKUP(E20,Master_Section!$H:$I,2,FALSE),"")</f>
        <v/>
      </c>
      <c r="F20" s="65" t="str">
        <f>_xlfn.IFNA(VLOOKUP(G20,Master!AE:AF,2,FALSE),"")</f>
        <v/>
      </c>
      <c r="I20" s="24" t="str">
        <f>_xlfn.IFNA(VLOOKUP(D20,Master_Section!$I:$K,2,FALSE),"")</f>
        <v/>
      </c>
      <c r="J20" s="24" t="str">
        <f>_xlfn.IFNA(VLOOKUP(D20,Master_Section!$I:$K,3,FALSE),"")</f>
        <v/>
      </c>
      <c r="L20" s="70" t="str">
        <f>IF(A20&lt;&gt;"CFA",_xlfn.IFNA(VLOOKUP($G20,Master!$AE:$AI,5,0),""),"")</f>
        <v/>
      </c>
      <c r="P20" s="26" t="str">
        <f t="shared" si="0"/>
        <v/>
      </c>
      <c r="Q20" s="37">
        <f t="shared" si="1"/>
        <v>0</v>
      </c>
    </row>
    <row r="21" spans="2:17" ht="15" customHeight="1">
      <c r="B21" s="25" t="str">
        <f>_xlfn.IFNA(VLOOKUP(C21,Master_Section!$H:$I,2,FALSE),"")</f>
        <v/>
      </c>
      <c r="D21" s="25" t="str">
        <f>_xlfn.IFNA(VLOOKUP(E21,Master_Section!$H:$I,2,FALSE),"")</f>
        <v/>
      </c>
      <c r="F21" s="65" t="str">
        <f>_xlfn.IFNA(VLOOKUP(G21,Master!AE:AF,2,FALSE),"")</f>
        <v/>
      </c>
      <c r="I21" s="24" t="str">
        <f>_xlfn.IFNA(VLOOKUP(D21,Master_Section!$I:$K,2,FALSE),"")</f>
        <v/>
      </c>
      <c r="J21" s="24" t="str">
        <f>_xlfn.IFNA(VLOOKUP(D21,Master_Section!$I:$K,3,FALSE),"")</f>
        <v/>
      </c>
      <c r="L21" s="70" t="str">
        <f>IF(A21&lt;&gt;"CFA",_xlfn.IFNA(VLOOKUP($G21,Master!$AE:$AI,5,0),""),"")</f>
        <v/>
      </c>
      <c r="P21" s="26" t="str">
        <f t="shared" si="0"/>
        <v/>
      </c>
      <c r="Q21" s="37">
        <f t="shared" si="1"/>
        <v>0</v>
      </c>
    </row>
    <row r="22" spans="2:17" ht="15" customHeight="1">
      <c r="B22" s="25" t="str">
        <f>_xlfn.IFNA(VLOOKUP(C22,Master_Section!$H:$I,2,FALSE),"")</f>
        <v/>
      </c>
      <c r="D22" s="25" t="str">
        <f>_xlfn.IFNA(VLOOKUP(E22,Master_Section!$H:$I,2,FALSE),"")</f>
        <v/>
      </c>
      <c r="F22" s="65" t="str">
        <f>_xlfn.IFNA(VLOOKUP(G22,Master!AE:AF,2,FALSE),"")</f>
        <v/>
      </c>
      <c r="I22" s="24" t="str">
        <f>_xlfn.IFNA(VLOOKUP(D22,Master_Section!$I:$K,2,FALSE),"")</f>
        <v/>
      </c>
      <c r="J22" s="24" t="str">
        <f>_xlfn.IFNA(VLOOKUP(D22,Master_Section!$I:$K,3,FALSE),"")</f>
        <v/>
      </c>
      <c r="L22" s="70" t="str">
        <f>IF(A22&lt;&gt;"CFA",_xlfn.IFNA(VLOOKUP($G22,Master!$AE:$AI,5,0),""),"")</f>
        <v/>
      </c>
      <c r="P22" s="26" t="str">
        <f t="shared" si="0"/>
        <v/>
      </c>
      <c r="Q22" s="37">
        <f t="shared" si="1"/>
        <v>0</v>
      </c>
    </row>
    <row r="23" spans="2:17" ht="15" customHeight="1">
      <c r="B23" s="25" t="str">
        <f>_xlfn.IFNA(VLOOKUP(C23,Master_Section!$H:$I,2,FALSE),"")</f>
        <v/>
      </c>
      <c r="D23" s="25" t="str">
        <f>_xlfn.IFNA(VLOOKUP(E23,Master_Section!$H:$I,2,FALSE),"")</f>
        <v/>
      </c>
      <c r="F23" s="65" t="str">
        <f>_xlfn.IFNA(VLOOKUP(G23,Master!AE:AF,2,FALSE),"")</f>
        <v/>
      </c>
      <c r="I23" s="24" t="str">
        <f>_xlfn.IFNA(VLOOKUP(D23,Master_Section!$I:$K,2,FALSE),"")</f>
        <v/>
      </c>
      <c r="J23" s="24" t="str">
        <f>_xlfn.IFNA(VLOOKUP(D23,Master_Section!$I:$K,3,FALSE),"")</f>
        <v/>
      </c>
      <c r="L23" s="70" t="str">
        <f>IF(A23&lt;&gt;"CFA",_xlfn.IFNA(VLOOKUP($G23,Master!$AE:$AI,5,0),""),"")</f>
        <v/>
      </c>
      <c r="P23" s="26" t="str">
        <f t="shared" si="0"/>
        <v/>
      </c>
      <c r="Q23" s="37">
        <f t="shared" si="1"/>
        <v>0</v>
      </c>
    </row>
    <row r="24" spans="2:17" ht="15" customHeight="1">
      <c r="B24" s="25" t="str">
        <f>_xlfn.IFNA(VLOOKUP(C24,Master_Section!$H:$I,2,FALSE),"")</f>
        <v/>
      </c>
      <c r="D24" s="25" t="str">
        <f>_xlfn.IFNA(VLOOKUP(E24,Master_Section!$H:$I,2,FALSE),"")</f>
        <v/>
      </c>
      <c r="F24" s="65" t="str">
        <f>_xlfn.IFNA(VLOOKUP(G24,Master!AE:AF,2,FALSE),"")</f>
        <v/>
      </c>
      <c r="I24" s="24" t="str">
        <f>_xlfn.IFNA(VLOOKUP(D24,Master_Section!$I:$K,2,FALSE),"")</f>
        <v/>
      </c>
      <c r="J24" s="24" t="str">
        <f>_xlfn.IFNA(VLOOKUP(D24,Master_Section!$I:$K,3,FALSE),"")</f>
        <v/>
      </c>
      <c r="L24" s="70" t="str">
        <f>IF(A24&lt;&gt;"CFA",_xlfn.IFNA(VLOOKUP($G24,Master!$AE:$AI,5,0),""),"")</f>
        <v/>
      </c>
      <c r="P24" s="26" t="str">
        <f t="shared" si="0"/>
        <v/>
      </c>
      <c r="Q24" s="37">
        <f t="shared" si="1"/>
        <v>0</v>
      </c>
    </row>
    <row r="25" spans="2:17" ht="15" customHeight="1">
      <c r="B25" s="25" t="str">
        <f>_xlfn.IFNA(VLOOKUP(C25,Master_Section!$H:$I,2,FALSE),"")</f>
        <v/>
      </c>
      <c r="D25" s="25" t="str">
        <f>_xlfn.IFNA(VLOOKUP(E25,Master_Section!$H:$I,2,FALSE),"")</f>
        <v/>
      </c>
      <c r="F25" s="65" t="str">
        <f>_xlfn.IFNA(VLOOKUP(G25,Master!AE:AF,2,FALSE),"")</f>
        <v/>
      </c>
      <c r="I25" s="24" t="str">
        <f>_xlfn.IFNA(VLOOKUP(D25,Master_Section!$I:$K,2,FALSE),"")</f>
        <v/>
      </c>
      <c r="J25" s="24" t="str">
        <f>_xlfn.IFNA(VLOOKUP(D25,Master_Section!$I:$K,3,FALSE),"")</f>
        <v/>
      </c>
      <c r="L25" s="70" t="str">
        <f>IF(A25&lt;&gt;"CFA",_xlfn.IFNA(VLOOKUP($G25,Master!$AE:$AI,5,0),""),"")</f>
        <v/>
      </c>
      <c r="P25" s="26" t="str">
        <f t="shared" si="0"/>
        <v/>
      </c>
      <c r="Q25" s="37">
        <f t="shared" si="1"/>
        <v>0</v>
      </c>
    </row>
    <row r="26" spans="2:17" ht="15" customHeight="1">
      <c r="B26" s="25" t="str">
        <f>_xlfn.IFNA(VLOOKUP(C26,Master_Section!$H:$I,2,FALSE),"")</f>
        <v/>
      </c>
      <c r="D26" s="25" t="str">
        <f>_xlfn.IFNA(VLOOKUP(E26,Master_Section!$H:$I,2,FALSE),"")</f>
        <v/>
      </c>
      <c r="F26" s="65" t="str">
        <f>_xlfn.IFNA(VLOOKUP(G26,Master!AE:AF,2,FALSE),"")</f>
        <v/>
      </c>
      <c r="I26" s="24" t="str">
        <f>_xlfn.IFNA(VLOOKUP(D26,Master_Section!$I:$K,2,FALSE),"")</f>
        <v/>
      </c>
      <c r="J26" s="24" t="str">
        <f>_xlfn.IFNA(VLOOKUP(D26,Master_Section!$I:$K,3,FALSE),"")</f>
        <v/>
      </c>
      <c r="L26" s="70" t="str">
        <f>IF(A26&lt;&gt;"CFA",_xlfn.IFNA(VLOOKUP($G26,Master!$AE:$AI,5,0),""),"")</f>
        <v/>
      </c>
      <c r="P26" s="26" t="str">
        <f t="shared" si="0"/>
        <v/>
      </c>
      <c r="Q26" s="37">
        <f t="shared" si="1"/>
        <v>0</v>
      </c>
    </row>
    <row r="27" spans="2:17" ht="15" customHeight="1">
      <c r="B27" s="25" t="str">
        <f>_xlfn.IFNA(VLOOKUP(C27,Master_Section!$H:$I,2,FALSE),"")</f>
        <v/>
      </c>
      <c r="D27" s="25" t="str">
        <f>_xlfn.IFNA(VLOOKUP(E27,Master_Section!$H:$I,2,FALSE),"")</f>
        <v/>
      </c>
      <c r="F27" s="65" t="str">
        <f>_xlfn.IFNA(VLOOKUP(G27,Master!AE:AF,2,FALSE),"")</f>
        <v/>
      </c>
      <c r="I27" s="24" t="str">
        <f>_xlfn.IFNA(VLOOKUP(D27,Master_Section!$I:$K,2,FALSE),"")</f>
        <v/>
      </c>
      <c r="J27" s="24" t="str">
        <f>_xlfn.IFNA(VLOOKUP(D27,Master_Section!$I:$K,3,FALSE),"")</f>
        <v/>
      </c>
      <c r="L27" s="70" t="str">
        <f>IF(A27&lt;&gt;"CFA",_xlfn.IFNA(VLOOKUP($G27,Master!$AE:$AI,5,0),""),"")</f>
        <v/>
      </c>
      <c r="P27" s="26" t="str">
        <f t="shared" si="0"/>
        <v/>
      </c>
      <c r="Q27" s="37">
        <f t="shared" si="1"/>
        <v>0</v>
      </c>
    </row>
    <row r="28" spans="2:17" ht="15" customHeight="1">
      <c r="B28" s="25" t="str">
        <f>_xlfn.IFNA(VLOOKUP(C28,Master_Section!$H:$I,2,FALSE),"")</f>
        <v/>
      </c>
      <c r="D28" s="25" t="str">
        <f>_xlfn.IFNA(VLOOKUP(E28,Master_Section!$H:$I,2,FALSE),"")</f>
        <v/>
      </c>
      <c r="F28" s="65" t="str">
        <f>_xlfn.IFNA(VLOOKUP(G28,Master!AE:AF,2,FALSE),"")</f>
        <v/>
      </c>
      <c r="I28" s="24" t="str">
        <f>_xlfn.IFNA(VLOOKUP(D28,Master_Section!$I:$K,2,FALSE),"")</f>
        <v/>
      </c>
      <c r="J28" s="24" t="str">
        <f>_xlfn.IFNA(VLOOKUP(D28,Master_Section!$I:$K,3,FALSE),"")</f>
        <v/>
      </c>
      <c r="L28" s="70" t="str">
        <f>IF(A28&lt;&gt;"CFA",_xlfn.IFNA(VLOOKUP($G28,Master!$AE:$AI,5,0),""),"")</f>
        <v/>
      </c>
      <c r="P28" s="26" t="str">
        <f t="shared" si="0"/>
        <v/>
      </c>
      <c r="Q28" s="37">
        <f t="shared" si="1"/>
        <v>0</v>
      </c>
    </row>
    <row r="29" spans="2:17" ht="15" customHeight="1">
      <c r="B29" s="25" t="str">
        <f>_xlfn.IFNA(VLOOKUP(C29,Master_Section!$H:$I,2,FALSE),"")</f>
        <v/>
      </c>
      <c r="D29" s="25" t="str">
        <f>_xlfn.IFNA(VLOOKUP(E29,Master_Section!$H:$I,2,FALSE),"")</f>
        <v/>
      </c>
      <c r="F29" s="65" t="str">
        <f>_xlfn.IFNA(VLOOKUP(G29,Master!AE:AF,2,FALSE),"")</f>
        <v/>
      </c>
      <c r="I29" s="24" t="str">
        <f>_xlfn.IFNA(VLOOKUP(D29,Master_Section!$I:$K,2,FALSE),"")</f>
        <v/>
      </c>
      <c r="J29" s="24" t="str">
        <f>_xlfn.IFNA(VLOOKUP(D29,Master_Section!$I:$K,3,FALSE),"")</f>
        <v/>
      </c>
      <c r="L29" s="70" t="str">
        <f>IF(A29&lt;&gt;"CFA",_xlfn.IFNA(VLOOKUP($G29,Master!$AE:$AI,5,0),""),"")</f>
        <v/>
      </c>
      <c r="P29" s="26" t="str">
        <f t="shared" si="0"/>
        <v/>
      </c>
      <c r="Q29" s="37">
        <f t="shared" si="1"/>
        <v>0</v>
      </c>
    </row>
    <row r="30" spans="2:17" ht="15" customHeight="1">
      <c r="B30" s="25" t="str">
        <f>_xlfn.IFNA(VLOOKUP(C30,Master_Section!$H:$I,2,FALSE),"")</f>
        <v/>
      </c>
      <c r="D30" s="25" t="str">
        <f>_xlfn.IFNA(VLOOKUP(E30,Master_Section!$H:$I,2,FALSE),"")</f>
        <v/>
      </c>
      <c r="F30" s="65" t="str">
        <f>_xlfn.IFNA(VLOOKUP(G30,Master!AE:AF,2,FALSE),"")</f>
        <v/>
      </c>
      <c r="I30" s="24" t="str">
        <f>_xlfn.IFNA(VLOOKUP(D30,Master_Section!$I:$K,2,FALSE),"")</f>
        <v/>
      </c>
      <c r="J30" s="24" t="str">
        <f>_xlfn.IFNA(VLOOKUP(D30,Master_Section!$I:$K,3,FALSE),"")</f>
        <v/>
      </c>
      <c r="L30" s="70" t="str">
        <f>IF(A30&lt;&gt;"CFA",_xlfn.IFNA(VLOOKUP($G30,Master!$AE:$AI,5,0),""),"")</f>
        <v/>
      </c>
      <c r="P30" s="26" t="str">
        <f t="shared" si="0"/>
        <v/>
      </c>
      <c r="Q30" s="37">
        <f t="shared" si="1"/>
        <v>0</v>
      </c>
    </row>
    <row r="31" spans="2:17" ht="15" customHeight="1">
      <c r="B31" s="25" t="str">
        <f>_xlfn.IFNA(VLOOKUP(C31,Master_Section!$H:$I,2,FALSE),"")</f>
        <v/>
      </c>
      <c r="D31" s="25" t="str">
        <f>_xlfn.IFNA(VLOOKUP(E31,Master_Section!$H:$I,2,FALSE),"")</f>
        <v/>
      </c>
      <c r="F31" s="65" t="str">
        <f>_xlfn.IFNA(VLOOKUP(G31,Master!AE:AF,2,FALSE),"")</f>
        <v/>
      </c>
      <c r="I31" s="24" t="str">
        <f>_xlfn.IFNA(VLOOKUP(D31,Master_Section!$I:$K,2,FALSE),"")</f>
        <v/>
      </c>
      <c r="J31" s="24" t="str">
        <f>_xlfn.IFNA(VLOOKUP(D31,Master_Section!$I:$K,3,FALSE),"")</f>
        <v/>
      </c>
      <c r="L31" s="70" t="str">
        <f>IF(A31&lt;&gt;"CFA",_xlfn.IFNA(VLOOKUP($G31,Master!$AE:$AI,5,0),""),"")</f>
        <v/>
      </c>
      <c r="P31" s="26" t="str">
        <f t="shared" si="0"/>
        <v/>
      </c>
      <c r="Q31" s="37">
        <f t="shared" si="1"/>
        <v>0</v>
      </c>
    </row>
    <row r="32" spans="2:17" ht="15" customHeight="1">
      <c r="B32" s="25" t="str">
        <f>_xlfn.IFNA(VLOOKUP(C32,Master_Section!$H:$I,2,FALSE),"")</f>
        <v/>
      </c>
      <c r="D32" s="25" t="str">
        <f>_xlfn.IFNA(VLOOKUP(E32,Master_Section!$H:$I,2,FALSE),"")</f>
        <v/>
      </c>
      <c r="F32" s="65" t="str">
        <f>_xlfn.IFNA(VLOOKUP(G32,Master!AE:AF,2,FALSE),"")</f>
        <v/>
      </c>
      <c r="I32" s="24" t="str">
        <f>_xlfn.IFNA(VLOOKUP(D32,Master_Section!$I:$K,2,FALSE),"")</f>
        <v/>
      </c>
      <c r="J32" s="24" t="str">
        <f>_xlfn.IFNA(VLOOKUP(D32,Master_Section!$I:$K,3,FALSE),"")</f>
        <v/>
      </c>
      <c r="L32" s="70" t="str">
        <f>IF(A32&lt;&gt;"CFA",_xlfn.IFNA(VLOOKUP($G32,Master!$AE:$AI,5,0),""),"")</f>
        <v/>
      </c>
      <c r="P32" s="26" t="str">
        <f t="shared" si="0"/>
        <v/>
      </c>
      <c r="Q32" s="37">
        <f t="shared" si="1"/>
        <v>0</v>
      </c>
    </row>
    <row r="33" spans="2:17" ht="15" customHeight="1">
      <c r="B33" s="25" t="str">
        <f>_xlfn.IFNA(VLOOKUP(C33,Master_Section!$H:$I,2,FALSE),"")</f>
        <v/>
      </c>
      <c r="D33" s="25" t="str">
        <f>_xlfn.IFNA(VLOOKUP(E33,Master_Section!$H:$I,2,FALSE),"")</f>
        <v/>
      </c>
      <c r="F33" s="65" t="str">
        <f>_xlfn.IFNA(VLOOKUP(G33,Master!AE:AF,2,FALSE),"")</f>
        <v/>
      </c>
      <c r="I33" s="24" t="str">
        <f>_xlfn.IFNA(VLOOKUP(D33,Master_Section!$I:$K,2,FALSE),"")</f>
        <v/>
      </c>
      <c r="J33" s="24" t="str">
        <f>_xlfn.IFNA(VLOOKUP(D33,Master_Section!$I:$K,3,FALSE),"")</f>
        <v/>
      </c>
      <c r="L33" s="70" t="str">
        <f>IF(A33&lt;&gt;"CFA",_xlfn.IFNA(VLOOKUP($G33,Master!$AE:$AI,5,0),""),"")</f>
        <v/>
      </c>
      <c r="P33" s="26" t="str">
        <f t="shared" si="0"/>
        <v/>
      </c>
      <c r="Q33" s="37">
        <f t="shared" si="1"/>
        <v>0</v>
      </c>
    </row>
    <row r="34" spans="2:17" ht="15" customHeight="1">
      <c r="B34" s="25" t="str">
        <f>_xlfn.IFNA(VLOOKUP(C34,Master_Section!$H:$I,2,FALSE),"")</f>
        <v/>
      </c>
      <c r="D34" s="25" t="str">
        <f>_xlfn.IFNA(VLOOKUP(E34,Master_Section!$H:$I,2,FALSE),"")</f>
        <v/>
      </c>
      <c r="F34" s="65" t="str">
        <f>_xlfn.IFNA(VLOOKUP(G34,Master!AE:AF,2,FALSE),"")</f>
        <v/>
      </c>
      <c r="I34" s="24" t="str">
        <f>_xlfn.IFNA(VLOOKUP(D34,Master_Section!$I:$K,2,FALSE),"")</f>
        <v/>
      </c>
      <c r="J34" s="24" t="str">
        <f>_xlfn.IFNA(VLOOKUP(D34,Master_Section!$I:$K,3,FALSE),"")</f>
        <v/>
      </c>
      <c r="L34" s="70" t="str">
        <f>IF(A34&lt;&gt;"CFA",_xlfn.IFNA(VLOOKUP($G34,Master!$AE:$AI,5,0),""),"")</f>
        <v/>
      </c>
      <c r="P34" s="26" t="str">
        <f t="shared" si="0"/>
        <v/>
      </c>
      <c r="Q34" s="37">
        <f t="shared" si="1"/>
        <v>0</v>
      </c>
    </row>
    <row r="35" spans="2:17" ht="15" customHeight="1">
      <c r="B35" s="25" t="str">
        <f>_xlfn.IFNA(VLOOKUP(C35,Master_Section!$H:$I,2,FALSE),"")</f>
        <v/>
      </c>
      <c r="D35" s="25" t="str">
        <f>_xlfn.IFNA(VLOOKUP(E35,Master_Section!$H:$I,2,FALSE),"")</f>
        <v/>
      </c>
      <c r="F35" s="65" t="str">
        <f>_xlfn.IFNA(VLOOKUP(G35,Master!AE:AF,2,FALSE),"")</f>
        <v/>
      </c>
      <c r="I35" s="24" t="str">
        <f>_xlfn.IFNA(VLOOKUP(D35,Master_Section!$I:$K,2,FALSE),"")</f>
        <v/>
      </c>
      <c r="J35" s="24" t="str">
        <f>_xlfn.IFNA(VLOOKUP(D35,Master_Section!$I:$K,3,FALSE),"")</f>
        <v/>
      </c>
      <c r="L35" s="70" t="str">
        <f>IF(A35&lt;&gt;"CFA",_xlfn.IFNA(VLOOKUP($G35,Master!$AE:$AI,5,0),""),"")</f>
        <v/>
      </c>
      <c r="P35" s="26" t="str">
        <f t="shared" si="0"/>
        <v/>
      </c>
      <c r="Q35" s="37">
        <f t="shared" si="1"/>
        <v>0</v>
      </c>
    </row>
    <row r="36" spans="2:17" ht="15" customHeight="1">
      <c r="B36" s="25" t="str">
        <f>_xlfn.IFNA(VLOOKUP(C36,Master_Section!$H:$I,2,FALSE),"")</f>
        <v/>
      </c>
      <c r="D36" s="25" t="str">
        <f>_xlfn.IFNA(VLOOKUP(E36,Master_Section!$H:$I,2,FALSE),"")</f>
        <v/>
      </c>
      <c r="F36" s="65" t="str">
        <f>_xlfn.IFNA(VLOOKUP(G36,Master!AE:AF,2,FALSE),"")</f>
        <v/>
      </c>
      <c r="I36" s="24" t="str">
        <f>_xlfn.IFNA(VLOOKUP(D36,Master_Section!$I:$K,2,FALSE),"")</f>
        <v/>
      </c>
      <c r="J36" s="24" t="str">
        <f>_xlfn.IFNA(VLOOKUP(D36,Master_Section!$I:$K,3,FALSE),"")</f>
        <v/>
      </c>
      <c r="L36" s="70" t="str">
        <f>IF(A36&lt;&gt;"CFA",_xlfn.IFNA(VLOOKUP($G36,Master!$AE:$AI,5,0),""),"")</f>
        <v/>
      </c>
      <c r="P36" s="26" t="str">
        <f t="shared" si="0"/>
        <v/>
      </c>
      <c r="Q36" s="37">
        <f t="shared" si="1"/>
        <v>0</v>
      </c>
    </row>
    <row r="37" spans="2:17" ht="15" customHeight="1">
      <c r="B37" s="25" t="str">
        <f>_xlfn.IFNA(VLOOKUP(C37,Master_Section!$H:$I,2,FALSE),"")</f>
        <v/>
      </c>
      <c r="D37" s="25" t="str">
        <f>_xlfn.IFNA(VLOOKUP(E37,Master_Section!$H:$I,2,FALSE),"")</f>
        <v/>
      </c>
      <c r="F37" s="65" t="str">
        <f>_xlfn.IFNA(VLOOKUP(G37,Master!AE:AF,2,FALSE),"")</f>
        <v/>
      </c>
      <c r="I37" s="24" t="str">
        <f>_xlfn.IFNA(VLOOKUP(D37,Master_Section!$I:$K,2,FALSE),"")</f>
        <v/>
      </c>
      <c r="J37" s="24" t="str">
        <f>_xlfn.IFNA(VLOOKUP(D37,Master_Section!$I:$K,3,FALSE),"")</f>
        <v/>
      </c>
      <c r="L37" s="70" t="str">
        <f>IF(A37&lt;&gt;"CFA",_xlfn.IFNA(VLOOKUP($G37,Master!$AE:$AI,5,0),""),"")</f>
        <v/>
      </c>
      <c r="P37" s="26" t="str">
        <f t="shared" si="0"/>
        <v/>
      </c>
      <c r="Q37" s="37">
        <f t="shared" si="1"/>
        <v>0</v>
      </c>
    </row>
    <row r="38" spans="2:17" ht="15" customHeight="1">
      <c r="B38" s="25" t="str">
        <f>_xlfn.IFNA(VLOOKUP(C38,Master_Section!$H:$I,2,FALSE),"")</f>
        <v/>
      </c>
      <c r="D38" s="25" t="str">
        <f>_xlfn.IFNA(VLOOKUP(E38,Master_Section!$H:$I,2,FALSE),"")</f>
        <v/>
      </c>
      <c r="F38" s="65" t="str">
        <f>_xlfn.IFNA(VLOOKUP(G38,Master!AE:AF,2,FALSE),"")</f>
        <v/>
      </c>
      <c r="I38" s="24" t="str">
        <f>_xlfn.IFNA(VLOOKUP(D38,Master_Section!$I:$K,2,FALSE),"")</f>
        <v/>
      </c>
      <c r="J38" s="24" t="str">
        <f>_xlfn.IFNA(VLOOKUP(D38,Master_Section!$I:$K,3,FALSE),"")</f>
        <v/>
      </c>
      <c r="L38" s="70" t="str">
        <f>IF(A38&lt;&gt;"CFA",_xlfn.IFNA(VLOOKUP($G38,Master!$AE:$AI,5,0),""),"")</f>
        <v/>
      </c>
      <c r="P38" s="26" t="str">
        <f t="shared" si="0"/>
        <v/>
      </c>
      <c r="Q38" s="37">
        <f t="shared" si="1"/>
        <v>0</v>
      </c>
    </row>
    <row r="39" spans="2:17" ht="15" customHeight="1">
      <c r="B39" s="25" t="str">
        <f>_xlfn.IFNA(VLOOKUP(C39,Master_Section!$H:$I,2,FALSE),"")</f>
        <v/>
      </c>
      <c r="D39" s="25" t="str">
        <f>_xlfn.IFNA(VLOOKUP(E39,Master_Section!$H:$I,2,FALSE),"")</f>
        <v/>
      </c>
      <c r="F39" s="65" t="str">
        <f>_xlfn.IFNA(VLOOKUP(G39,Master!AE:AF,2,FALSE),"")</f>
        <v/>
      </c>
      <c r="I39" s="24" t="str">
        <f>_xlfn.IFNA(VLOOKUP(D39,Master_Section!$I:$K,2,FALSE),"")</f>
        <v/>
      </c>
      <c r="J39" s="24" t="str">
        <f>_xlfn.IFNA(VLOOKUP(D39,Master_Section!$I:$K,3,FALSE),"")</f>
        <v/>
      </c>
      <c r="L39" s="70" t="str">
        <f>IF(A39&lt;&gt;"CFA",_xlfn.IFNA(VLOOKUP($G39,Master!$AE:$AI,5,0),""),"")</f>
        <v/>
      </c>
      <c r="P39" s="26" t="str">
        <f t="shared" si="0"/>
        <v/>
      </c>
      <c r="Q39" s="37">
        <f t="shared" si="1"/>
        <v>0</v>
      </c>
    </row>
    <row r="40" spans="2:17" ht="15" customHeight="1">
      <c r="B40" s="25" t="str">
        <f>_xlfn.IFNA(VLOOKUP(C40,Master_Section!$H:$I,2,FALSE),"")</f>
        <v/>
      </c>
      <c r="D40" s="25" t="str">
        <f>_xlfn.IFNA(VLOOKUP(E40,Master_Section!$H:$I,2,FALSE),"")</f>
        <v/>
      </c>
      <c r="F40" s="65" t="str">
        <f>_xlfn.IFNA(VLOOKUP(G40,Master!AE:AF,2,FALSE),"")</f>
        <v/>
      </c>
      <c r="I40" s="24" t="str">
        <f>_xlfn.IFNA(VLOOKUP(D40,Master_Section!$I:$K,2,FALSE),"")</f>
        <v/>
      </c>
      <c r="J40" s="24" t="str">
        <f>_xlfn.IFNA(VLOOKUP(D40,Master_Section!$I:$K,3,FALSE),"")</f>
        <v/>
      </c>
      <c r="L40" s="70" t="str">
        <f>IF(A40&lt;&gt;"CFA",_xlfn.IFNA(VLOOKUP($G40,Master!$AE:$AI,5,0),""),"")</f>
        <v/>
      </c>
      <c r="P40" s="26" t="str">
        <f t="shared" si="0"/>
        <v/>
      </c>
      <c r="Q40" s="37">
        <f t="shared" si="1"/>
        <v>0</v>
      </c>
    </row>
    <row r="41" spans="2:17" ht="15" customHeight="1">
      <c r="B41" s="25" t="str">
        <f>_xlfn.IFNA(VLOOKUP(C41,Master_Section!$H:$I,2,FALSE),"")</f>
        <v/>
      </c>
      <c r="D41" s="25" t="str">
        <f>_xlfn.IFNA(VLOOKUP(E41,Master_Section!$H:$I,2,FALSE),"")</f>
        <v/>
      </c>
      <c r="F41" s="65" t="str">
        <f>_xlfn.IFNA(VLOOKUP(G41,Master!AE:AF,2,FALSE),"")</f>
        <v/>
      </c>
      <c r="I41" s="24" t="str">
        <f>_xlfn.IFNA(VLOOKUP(D41,Master_Section!$I:$K,2,FALSE),"")</f>
        <v/>
      </c>
      <c r="J41" s="24" t="str">
        <f>_xlfn.IFNA(VLOOKUP(D41,Master_Section!$I:$K,3,FALSE),"")</f>
        <v/>
      </c>
      <c r="L41" s="70" t="str">
        <f>IF(A41&lt;&gt;"CFA",_xlfn.IFNA(VLOOKUP($G41,Master!$AE:$AI,5,0),""),"")</f>
        <v/>
      </c>
      <c r="P41" s="26" t="str">
        <f t="shared" si="0"/>
        <v/>
      </c>
      <c r="Q41" s="37">
        <f t="shared" si="1"/>
        <v>0</v>
      </c>
    </row>
    <row r="42" spans="2:17" ht="15" customHeight="1">
      <c r="B42" s="25" t="str">
        <f>_xlfn.IFNA(VLOOKUP(C42,Master_Section!$H:$I,2,FALSE),"")</f>
        <v/>
      </c>
      <c r="D42" s="25" t="str">
        <f>_xlfn.IFNA(VLOOKUP(E42,Master_Section!$H:$I,2,FALSE),"")</f>
        <v/>
      </c>
      <c r="F42" s="65" t="str">
        <f>_xlfn.IFNA(VLOOKUP(G42,Master!AE:AF,2,FALSE),"")</f>
        <v/>
      </c>
      <c r="I42" s="24" t="str">
        <f>_xlfn.IFNA(VLOOKUP(D42,Master_Section!$I:$K,2,FALSE),"")</f>
        <v/>
      </c>
      <c r="J42" s="24" t="str">
        <f>_xlfn.IFNA(VLOOKUP(D42,Master_Section!$I:$K,3,FALSE),"")</f>
        <v/>
      </c>
      <c r="L42" s="70" t="str">
        <f>IF(A42&lt;&gt;"CFA",_xlfn.IFNA(VLOOKUP($G42,Master!$AE:$AI,5,0),""),"")</f>
        <v/>
      </c>
      <c r="P42" s="26" t="str">
        <f t="shared" si="0"/>
        <v/>
      </c>
      <c r="Q42" s="37">
        <f t="shared" si="1"/>
        <v>0</v>
      </c>
    </row>
    <row r="43" spans="2:17" ht="15" customHeight="1">
      <c r="B43" s="25" t="str">
        <f>_xlfn.IFNA(VLOOKUP(C43,Master_Section!$H:$I,2,FALSE),"")</f>
        <v/>
      </c>
      <c r="D43" s="25" t="str">
        <f>_xlfn.IFNA(VLOOKUP(E43,Master_Section!$H:$I,2,FALSE),"")</f>
        <v/>
      </c>
      <c r="F43" s="65" t="str">
        <f>_xlfn.IFNA(VLOOKUP(G43,Master!AE:AF,2,FALSE),"")</f>
        <v/>
      </c>
      <c r="I43" s="24" t="str">
        <f>_xlfn.IFNA(VLOOKUP(D43,Master_Section!$I:$K,2,FALSE),"")</f>
        <v/>
      </c>
      <c r="J43" s="24" t="str">
        <f>_xlfn.IFNA(VLOOKUP(D43,Master_Section!$I:$K,3,FALSE),"")</f>
        <v/>
      </c>
      <c r="L43" s="70" t="str">
        <f>IF(A43&lt;&gt;"CFA",_xlfn.IFNA(VLOOKUP($G43,Master!$AE:$AI,5,0),""),"")</f>
        <v/>
      </c>
      <c r="P43" s="26" t="str">
        <f t="shared" si="0"/>
        <v/>
      </c>
      <c r="Q43" s="37">
        <f t="shared" si="1"/>
        <v>0</v>
      </c>
    </row>
    <row r="44" spans="2:17" ht="15" customHeight="1">
      <c r="B44" s="25" t="str">
        <f>_xlfn.IFNA(VLOOKUP(C44,Master_Section!$H:$I,2,FALSE),"")</f>
        <v/>
      </c>
      <c r="D44" s="25" t="str">
        <f>_xlfn.IFNA(VLOOKUP(E44,Master_Section!$H:$I,2,FALSE),"")</f>
        <v/>
      </c>
      <c r="F44" s="65" t="str">
        <f>_xlfn.IFNA(VLOOKUP(G44,Master!AE:AF,2,FALSE),"")</f>
        <v/>
      </c>
      <c r="I44" s="24" t="str">
        <f>_xlfn.IFNA(VLOOKUP(D44,Master_Section!$I:$K,2,FALSE),"")</f>
        <v/>
      </c>
      <c r="J44" s="24" t="str">
        <f>_xlfn.IFNA(VLOOKUP(D44,Master_Section!$I:$K,3,FALSE),"")</f>
        <v/>
      </c>
      <c r="L44" s="70" t="str">
        <f>IF(A44&lt;&gt;"CFA",_xlfn.IFNA(VLOOKUP($G44,Master!$AE:$AI,5,0),""),"")</f>
        <v/>
      </c>
      <c r="P44" s="26" t="str">
        <f t="shared" si="0"/>
        <v/>
      </c>
      <c r="Q44" s="37">
        <f t="shared" si="1"/>
        <v>0</v>
      </c>
    </row>
    <row r="45" spans="2:17" ht="15" customHeight="1">
      <c r="B45" s="25" t="str">
        <f>_xlfn.IFNA(VLOOKUP(C45,Master_Section!$H:$I,2,FALSE),"")</f>
        <v/>
      </c>
      <c r="D45" s="25" t="str">
        <f>_xlfn.IFNA(VLOOKUP(E45,Master_Section!$H:$I,2,FALSE),"")</f>
        <v/>
      </c>
      <c r="F45" s="65" t="str">
        <f>_xlfn.IFNA(VLOOKUP(G45,Master!AE:AF,2,FALSE),"")</f>
        <v/>
      </c>
      <c r="I45" s="24" t="str">
        <f>_xlfn.IFNA(VLOOKUP(D45,Master_Section!$I:$K,2,FALSE),"")</f>
        <v/>
      </c>
      <c r="J45" s="24" t="str">
        <f>_xlfn.IFNA(VLOOKUP(D45,Master_Section!$I:$K,3,FALSE),"")</f>
        <v/>
      </c>
      <c r="L45" s="70" t="str">
        <f>IF(A45&lt;&gt;"CFA",_xlfn.IFNA(VLOOKUP($G45,Master!$AE:$AI,5,0),""),"")</f>
        <v/>
      </c>
      <c r="P45" s="26" t="str">
        <f t="shared" si="0"/>
        <v/>
      </c>
      <c r="Q45" s="37">
        <f t="shared" si="1"/>
        <v>0</v>
      </c>
    </row>
    <row r="46" spans="2:17" ht="15" customHeight="1">
      <c r="B46" s="25" t="str">
        <f>_xlfn.IFNA(VLOOKUP(C46,Master_Section!$H:$I,2,FALSE),"")</f>
        <v/>
      </c>
      <c r="D46" s="25" t="str">
        <f>_xlfn.IFNA(VLOOKUP(E46,Master_Section!$H:$I,2,FALSE),"")</f>
        <v/>
      </c>
      <c r="F46" s="65" t="str">
        <f>_xlfn.IFNA(VLOOKUP(G46,Master!AE:AF,2,FALSE),"")</f>
        <v/>
      </c>
      <c r="I46" s="24" t="str">
        <f>_xlfn.IFNA(VLOOKUP(D46,Master_Section!$I:$K,2,FALSE),"")</f>
        <v/>
      </c>
      <c r="J46" s="24" t="str">
        <f>_xlfn.IFNA(VLOOKUP(D46,Master_Section!$I:$K,3,FALSE),"")</f>
        <v/>
      </c>
      <c r="L46" s="70" t="str">
        <f>IF(A46&lt;&gt;"CFA",_xlfn.IFNA(VLOOKUP($G46,Master!$AE:$AI,5,0),""),"")</f>
        <v/>
      </c>
      <c r="P46" s="26" t="str">
        <f t="shared" si="0"/>
        <v/>
      </c>
      <c r="Q46" s="37">
        <f t="shared" si="1"/>
        <v>0</v>
      </c>
    </row>
    <row r="47" spans="2:17" ht="15" customHeight="1">
      <c r="B47" s="25" t="str">
        <f>_xlfn.IFNA(VLOOKUP(C47,Master_Section!$H:$I,2,FALSE),"")</f>
        <v/>
      </c>
      <c r="D47" s="25" t="str">
        <f>_xlfn.IFNA(VLOOKUP(E47,Master_Section!$H:$I,2,FALSE),"")</f>
        <v/>
      </c>
      <c r="F47" s="65" t="str">
        <f>_xlfn.IFNA(VLOOKUP(G47,Master!AE:AF,2,FALSE),"")</f>
        <v/>
      </c>
      <c r="I47" s="24" t="str">
        <f>_xlfn.IFNA(VLOOKUP(D47,Master_Section!$I:$K,2,FALSE),"")</f>
        <v/>
      </c>
      <c r="J47" s="24" t="str">
        <f>_xlfn.IFNA(VLOOKUP(D47,Master_Section!$I:$K,3,FALSE),"")</f>
        <v/>
      </c>
      <c r="L47" s="70" t="str">
        <f>IF(A47&lt;&gt;"CFA",_xlfn.IFNA(VLOOKUP($G47,Master!$AE:$AI,5,0),""),"")</f>
        <v/>
      </c>
      <c r="P47" s="26" t="str">
        <f t="shared" si="0"/>
        <v/>
      </c>
      <c r="Q47" s="37">
        <f t="shared" si="1"/>
        <v>0</v>
      </c>
    </row>
    <row r="48" spans="2:17" ht="15" customHeight="1">
      <c r="B48" s="25" t="str">
        <f>_xlfn.IFNA(VLOOKUP(C48,Master_Section!$H:$I,2,FALSE),"")</f>
        <v/>
      </c>
      <c r="D48" s="25" t="str">
        <f>_xlfn.IFNA(VLOOKUP(E48,Master_Section!$H:$I,2,FALSE),"")</f>
        <v/>
      </c>
      <c r="F48" s="65" t="str">
        <f>_xlfn.IFNA(VLOOKUP(G48,Master!AE:AF,2,FALSE),"")</f>
        <v/>
      </c>
      <c r="I48" s="24" t="str">
        <f>_xlfn.IFNA(VLOOKUP(D48,Master_Section!$I:$K,2,FALSE),"")</f>
        <v/>
      </c>
      <c r="J48" s="24" t="str">
        <f>_xlfn.IFNA(VLOOKUP(D48,Master_Section!$I:$K,3,FALSE),"")</f>
        <v/>
      </c>
      <c r="L48" s="70" t="str">
        <f>IF(A48&lt;&gt;"CFA",_xlfn.IFNA(VLOOKUP($G48,Master!$AE:$AI,5,0),""),"")</f>
        <v/>
      </c>
      <c r="P48" s="26" t="str">
        <f t="shared" si="0"/>
        <v/>
      </c>
      <c r="Q48" s="37">
        <f t="shared" si="1"/>
        <v>0</v>
      </c>
    </row>
    <row r="49" spans="2:17" ht="15" customHeight="1">
      <c r="B49" s="25" t="str">
        <f>_xlfn.IFNA(VLOOKUP(C49,Master_Section!$H:$I,2,FALSE),"")</f>
        <v/>
      </c>
      <c r="D49" s="25" t="str">
        <f>_xlfn.IFNA(VLOOKUP(E49,Master_Section!$H:$I,2,FALSE),"")</f>
        <v/>
      </c>
      <c r="F49" s="65" t="str">
        <f>_xlfn.IFNA(VLOOKUP(G49,Master!AE:AF,2,FALSE),"")</f>
        <v/>
      </c>
      <c r="I49" s="24" t="str">
        <f>_xlfn.IFNA(VLOOKUP(D49,Master_Section!$I:$K,2,FALSE),"")</f>
        <v/>
      </c>
      <c r="J49" s="24" t="str">
        <f>_xlfn.IFNA(VLOOKUP(D49,Master_Section!$I:$K,3,FALSE),"")</f>
        <v/>
      </c>
      <c r="L49" s="70" t="str">
        <f>IF(A49&lt;&gt;"CFA",_xlfn.IFNA(VLOOKUP($G49,Master!$AE:$AI,5,0),""),"")</f>
        <v/>
      </c>
      <c r="P49" s="26" t="str">
        <f t="shared" si="0"/>
        <v/>
      </c>
      <c r="Q49" s="37">
        <f t="shared" si="1"/>
        <v>0</v>
      </c>
    </row>
    <row r="50" spans="2:17" ht="15" customHeight="1">
      <c r="B50" s="25" t="str">
        <f>_xlfn.IFNA(VLOOKUP(C50,Master_Section!$H:$I,2,FALSE),"")</f>
        <v/>
      </c>
      <c r="D50" s="25" t="str">
        <f>_xlfn.IFNA(VLOOKUP(E50,Master_Section!$H:$I,2,FALSE),"")</f>
        <v/>
      </c>
      <c r="F50" s="65" t="str">
        <f>_xlfn.IFNA(VLOOKUP(G50,Master!AE:AF,2,FALSE),"")</f>
        <v/>
      </c>
      <c r="I50" s="24" t="str">
        <f>_xlfn.IFNA(VLOOKUP(D50,Master_Section!$I:$K,2,FALSE),"")</f>
        <v/>
      </c>
      <c r="J50" s="24" t="str">
        <f>_xlfn.IFNA(VLOOKUP(D50,Master_Section!$I:$K,3,FALSE),"")</f>
        <v/>
      </c>
      <c r="L50" s="70" t="str">
        <f>IF(A50&lt;&gt;"CFA",_xlfn.IFNA(VLOOKUP($G50,Master!$AE:$AI,5,0),""),"")</f>
        <v/>
      </c>
      <c r="P50" s="26" t="str">
        <f t="shared" si="0"/>
        <v/>
      </c>
      <c r="Q50" s="37">
        <f t="shared" si="1"/>
        <v>0</v>
      </c>
    </row>
    <row r="51" spans="2:17" ht="15" customHeight="1">
      <c r="B51" s="25" t="str">
        <f>_xlfn.IFNA(VLOOKUP(C51,Master_Section!$H:$I,2,FALSE),"")</f>
        <v/>
      </c>
      <c r="D51" s="25" t="str">
        <f>_xlfn.IFNA(VLOOKUP(E51,Master_Section!$H:$I,2,FALSE),"")</f>
        <v/>
      </c>
      <c r="F51" s="65" t="str">
        <f>_xlfn.IFNA(VLOOKUP(G51,Master!AE:AF,2,FALSE),"")</f>
        <v/>
      </c>
      <c r="I51" s="24" t="str">
        <f>_xlfn.IFNA(VLOOKUP(D51,Master_Section!$I:$K,2,FALSE),"")</f>
        <v/>
      </c>
      <c r="J51" s="24" t="str">
        <f>_xlfn.IFNA(VLOOKUP(D51,Master_Section!$I:$K,3,FALSE),"")</f>
        <v/>
      </c>
      <c r="L51" s="70" t="str">
        <f>IF(A51&lt;&gt;"CFA",_xlfn.IFNA(VLOOKUP($G51,Master!$AE:$AI,5,0),""),"")</f>
        <v/>
      </c>
      <c r="P51" s="26" t="str">
        <f t="shared" si="0"/>
        <v/>
      </c>
      <c r="Q51" s="37">
        <f t="shared" si="1"/>
        <v>0</v>
      </c>
    </row>
    <row r="52" spans="2:17" ht="15" customHeight="1">
      <c r="B52" s="25" t="str">
        <f>_xlfn.IFNA(VLOOKUP(C52,Master_Section!$H:$I,2,FALSE),"")</f>
        <v/>
      </c>
      <c r="D52" s="25" t="str">
        <f>_xlfn.IFNA(VLOOKUP(E52,Master_Section!$H:$I,2,FALSE),"")</f>
        <v/>
      </c>
      <c r="F52" s="65" t="str">
        <f>_xlfn.IFNA(VLOOKUP(G52,Master!AE:AF,2,FALSE),"")</f>
        <v/>
      </c>
      <c r="I52" s="24" t="str">
        <f>_xlfn.IFNA(VLOOKUP(D52,Master_Section!$I:$K,2,FALSE),"")</f>
        <v/>
      </c>
      <c r="J52" s="24" t="str">
        <f>_xlfn.IFNA(VLOOKUP(D52,Master_Section!$I:$K,3,FALSE),"")</f>
        <v/>
      </c>
      <c r="L52" s="70" t="str">
        <f>IF(A52&lt;&gt;"CFA",_xlfn.IFNA(VLOOKUP($G52,Master!$AE:$AI,5,0),""),"")</f>
        <v/>
      </c>
      <c r="P52" s="26" t="str">
        <f t="shared" si="0"/>
        <v/>
      </c>
      <c r="Q52" s="37">
        <f t="shared" si="1"/>
        <v>0</v>
      </c>
    </row>
    <row r="53" spans="2:17" ht="15" customHeight="1">
      <c r="B53" s="25" t="str">
        <f>_xlfn.IFNA(VLOOKUP(C53,Master_Section!$H:$I,2,FALSE),"")</f>
        <v/>
      </c>
      <c r="D53" s="25" t="str">
        <f>_xlfn.IFNA(VLOOKUP(E53,Master_Section!$H:$I,2,FALSE),"")</f>
        <v/>
      </c>
      <c r="F53" s="65" t="str">
        <f>_xlfn.IFNA(VLOOKUP(G53,Master!AE:AF,2,FALSE),"")</f>
        <v/>
      </c>
      <c r="I53" s="24" t="str">
        <f>_xlfn.IFNA(VLOOKUP(D53,Master_Section!$I:$K,2,FALSE),"")</f>
        <v/>
      </c>
      <c r="J53" s="24" t="str">
        <f>_xlfn.IFNA(VLOOKUP(D53,Master_Section!$I:$K,3,FALSE),"")</f>
        <v/>
      </c>
      <c r="L53" s="70" t="str">
        <f>IF(A53&lt;&gt;"CFA",_xlfn.IFNA(VLOOKUP($G53,Master!$AE:$AI,5,0),""),"")</f>
        <v/>
      </c>
      <c r="P53" s="26" t="str">
        <f t="shared" si="0"/>
        <v/>
      </c>
      <c r="Q53" s="37">
        <f t="shared" si="1"/>
        <v>0</v>
      </c>
    </row>
    <row r="54" spans="2:17" ht="15" customHeight="1">
      <c r="B54" s="25" t="str">
        <f>_xlfn.IFNA(VLOOKUP(C54,Master_Section!$H:$I,2,FALSE),"")</f>
        <v/>
      </c>
      <c r="D54" s="25" t="str">
        <f>_xlfn.IFNA(VLOOKUP(E54,Master_Section!$H:$I,2,FALSE),"")</f>
        <v/>
      </c>
      <c r="F54" s="65" t="str">
        <f>_xlfn.IFNA(VLOOKUP(G54,Master!AE:AF,2,FALSE),"")</f>
        <v/>
      </c>
      <c r="I54" s="24" t="str">
        <f>_xlfn.IFNA(VLOOKUP(D54,Master_Section!$I:$K,2,FALSE),"")</f>
        <v/>
      </c>
      <c r="J54" s="24" t="str">
        <f>_xlfn.IFNA(VLOOKUP(D54,Master_Section!$I:$K,3,FALSE),"")</f>
        <v/>
      </c>
      <c r="L54" s="70" t="str">
        <f>IF(A54&lt;&gt;"CFA",_xlfn.IFNA(VLOOKUP($G54,Master!$AE:$AI,5,0),""),"")</f>
        <v/>
      </c>
      <c r="P54" s="26" t="str">
        <f t="shared" si="0"/>
        <v/>
      </c>
      <c r="Q54" s="37">
        <f t="shared" si="1"/>
        <v>0</v>
      </c>
    </row>
    <row r="55" spans="2:17" ht="15" customHeight="1">
      <c r="B55" s="25" t="str">
        <f>_xlfn.IFNA(VLOOKUP(C55,Master_Section!$H:$I,2,FALSE),"")</f>
        <v/>
      </c>
      <c r="D55" s="25" t="str">
        <f>_xlfn.IFNA(VLOOKUP(E55,Master_Section!$H:$I,2,FALSE),"")</f>
        <v/>
      </c>
      <c r="F55" s="65" t="str">
        <f>_xlfn.IFNA(VLOOKUP(G55,Master!AE:AF,2,FALSE),"")</f>
        <v/>
      </c>
      <c r="I55" s="24" t="str">
        <f>_xlfn.IFNA(VLOOKUP(D55,Master_Section!$I:$K,2,FALSE),"")</f>
        <v/>
      </c>
      <c r="J55" s="24" t="str">
        <f>_xlfn.IFNA(VLOOKUP(D55,Master_Section!$I:$K,3,FALSE),"")</f>
        <v/>
      </c>
      <c r="L55" s="70" t="str">
        <f>IF(A55&lt;&gt;"CFA",_xlfn.IFNA(VLOOKUP($G55,Master!$AE:$AI,5,0),""),"")</f>
        <v/>
      </c>
      <c r="P55" s="26" t="str">
        <f t="shared" ref="P55:P118" si="2">IF(N55&lt;&gt;"",IF(MONTH(N55)&gt;=4,"FY1"&amp;RIGHT(YEAR(N55)+1,2),"FY1"&amp;RIGHT(YEAR(N55),2)),"")</f>
        <v/>
      </c>
      <c r="Q55" s="37">
        <f t="shared" ref="Q55:Q118" si="3">IF(K55&gt;0&amp;M55&gt;0,K55*M55,"")</f>
        <v>0</v>
      </c>
    </row>
    <row r="56" spans="2:17" ht="15" customHeight="1">
      <c r="B56" s="25" t="str">
        <f>_xlfn.IFNA(VLOOKUP(C56,Master_Section!$H:$I,2,FALSE),"")</f>
        <v/>
      </c>
      <c r="D56" s="25" t="str">
        <f>_xlfn.IFNA(VLOOKUP(E56,Master_Section!$H:$I,2,FALSE),"")</f>
        <v/>
      </c>
      <c r="F56" s="65" t="str">
        <f>_xlfn.IFNA(VLOOKUP(G56,Master!AE:AF,2,FALSE),"")</f>
        <v/>
      </c>
      <c r="I56" s="24" t="str">
        <f>_xlfn.IFNA(VLOOKUP(D56,Master_Section!$I:$K,2,FALSE),"")</f>
        <v/>
      </c>
      <c r="J56" s="24" t="str">
        <f>_xlfn.IFNA(VLOOKUP(D56,Master_Section!$I:$K,3,FALSE),"")</f>
        <v/>
      </c>
      <c r="L56" s="70" t="str">
        <f>IF(A56&lt;&gt;"CFA",_xlfn.IFNA(VLOOKUP($G56,Master!$AE:$AI,5,0),""),"")</f>
        <v/>
      </c>
      <c r="P56" s="26" t="str">
        <f t="shared" si="2"/>
        <v/>
      </c>
      <c r="Q56" s="37">
        <f t="shared" si="3"/>
        <v>0</v>
      </c>
    </row>
    <row r="57" spans="2:17" ht="15" customHeight="1">
      <c r="B57" s="25" t="str">
        <f>_xlfn.IFNA(VLOOKUP(C57,Master_Section!$H:$I,2,FALSE),"")</f>
        <v/>
      </c>
      <c r="D57" s="25" t="str">
        <f>_xlfn.IFNA(VLOOKUP(E57,Master_Section!$H:$I,2,FALSE),"")</f>
        <v/>
      </c>
      <c r="F57" s="65" t="str">
        <f>_xlfn.IFNA(VLOOKUP(G57,Master!AE:AF,2,FALSE),"")</f>
        <v/>
      </c>
      <c r="I57" s="24" t="str">
        <f>_xlfn.IFNA(VLOOKUP(D57,Master_Section!$I:$K,2,FALSE),"")</f>
        <v/>
      </c>
      <c r="J57" s="24" t="str">
        <f>_xlfn.IFNA(VLOOKUP(D57,Master_Section!$I:$K,3,FALSE),"")</f>
        <v/>
      </c>
      <c r="L57" s="70" t="str">
        <f>IF(A57&lt;&gt;"CFA",_xlfn.IFNA(VLOOKUP($G57,Master!$AE:$AI,5,0),""),"")</f>
        <v/>
      </c>
      <c r="P57" s="26" t="str">
        <f t="shared" si="2"/>
        <v/>
      </c>
      <c r="Q57" s="37">
        <f t="shared" si="3"/>
        <v>0</v>
      </c>
    </row>
    <row r="58" spans="2:17" ht="15" customHeight="1">
      <c r="B58" s="25" t="str">
        <f>_xlfn.IFNA(VLOOKUP(C58,Master_Section!$H:$I,2,FALSE),"")</f>
        <v/>
      </c>
      <c r="D58" s="25" t="str">
        <f>_xlfn.IFNA(VLOOKUP(E58,Master_Section!$H:$I,2,FALSE),"")</f>
        <v/>
      </c>
      <c r="F58" s="65" t="str">
        <f>_xlfn.IFNA(VLOOKUP(G58,Master!AE:AF,2,FALSE),"")</f>
        <v/>
      </c>
      <c r="I58" s="24" t="str">
        <f>_xlfn.IFNA(VLOOKUP(D58,Master_Section!$I:$K,2,FALSE),"")</f>
        <v/>
      </c>
      <c r="J58" s="24" t="str">
        <f>_xlfn.IFNA(VLOOKUP(D58,Master_Section!$I:$K,3,FALSE),"")</f>
        <v/>
      </c>
      <c r="L58" s="70" t="str">
        <f>IF(A58&lt;&gt;"CFA",_xlfn.IFNA(VLOOKUP($G58,Master!$AE:$AI,5,0),""),"")</f>
        <v/>
      </c>
      <c r="P58" s="26" t="str">
        <f t="shared" si="2"/>
        <v/>
      </c>
      <c r="Q58" s="37">
        <f t="shared" si="3"/>
        <v>0</v>
      </c>
    </row>
    <row r="59" spans="2:17" ht="15" customHeight="1">
      <c r="B59" s="25" t="str">
        <f>_xlfn.IFNA(VLOOKUP(C59,Master_Section!$H:$I,2,FALSE),"")</f>
        <v/>
      </c>
      <c r="D59" s="25" t="str">
        <f>_xlfn.IFNA(VLOOKUP(E59,Master_Section!$H:$I,2,FALSE),"")</f>
        <v/>
      </c>
      <c r="F59" s="65" t="str">
        <f>_xlfn.IFNA(VLOOKUP(G59,Master!AE:AF,2,FALSE),"")</f>
        <v/>
      </c>
      <c r="I59" s="24" t="str">
        <f>_xlfn.IFNA(VLOOKUP(D59,Master_Section!$I:$K,2,FALSE),"")</f>
        <v/>
      </c>
      <c r="J59" s="24" t="str">
        <f>_xlfn.IFNA(VLOOKUP(D59,Master_Section!$I:$K,3,FALSE),"")</f>
        <v/>
      </c>
      <c r="L59" s="70" t="str">
        <f>IF(A59&lt;&gt;"CFA",_xlfn.IFNA(VLOOKUP($G59,Master!$AE:$AI,5,0),""),"")</f>
        <v/>
      </c>
      <c r="P59" s="26" t="str">
        <f t="shared" si="2"/>
        <v/>
      </c>
      <c r="Q59" s="37">
        <f t="shared" si="3"/>
        <v>0</v>
      </c>
    </row>
    <row r="60" spans="2:17" ht="15" customHeight="1">
      <c r="B60" s="25" t="str">
        <f>_xlfn.IFNA(VLOOKUP(C60,Master_Section!$H:$I,2,FALSE),"")</f>
        <v/>
      </c>
      <c r="D60" s="25" t="str">
        <f>_xlfn.IFNA(VLOOKUP(E60,Master_Section!$H:$I,2,FALSE),"")</f>
        <v/>
      </c>
      <c r="F60" s="65" t="str">
        <f>_xlfn.IFNA(VLOOKUP(G60,Master!AE:AF,2,FALSE),"")</f>
        <v/>
      </c>
      <c r="I60" s="24" t="str">
        <f>_xlfn.IFNA(VLOOKUP(D60,Master_Section!$I:$K,2,FALSE),"")</f>
        <v/>
      </c>
      <c r="J60" s="24" t="str">
        <f>_xlfn.IFNA(VLOOKUP(D60,Master_Section!$I:$K,3,FALSE),"")</f>
        <v/>
      </c>
      <c r="L60" s="70" t="str">
        <f>IF(A60&lt;&gt;"CFA",_xlfn.IFNA(VLOOKUP($G60,Master!$AE:$AI,5,0),""),"")</f>
        <v/>
      </c>
      <c r="P60" s="26" t="str">
        <f t="shared" si="2"/>
        <v/>
      </c>
      <c r="Q60" s="37">
        <f t="shared" si="3"/>
        <v>0</v>
      </c>
    </row>
    <row r="61" spans="2:17" ht="15" customHeight="1">
      <c r="B61" s="25" t="str">
        <f>_xlfn.IFNA(VLOOKUP(C61,Master_Section!$H:$I,2,FALSE),"")</f>
        <v/>
      </c>
      <c r="D61" s="25" t="str">
        <f>_xlfn.IFNA(VLOOKUP(E61,Master_Section!$H:$I,2,FALSE),"")</f>
        <v/>
      </c>
      <c r="F61" s="65" t="str">
        <f>_xlfn.IFNA(VLOOKUP(G61,Master!AE:AF,2,FALSE),"")</f>
        <v/>
      </c>
      <c r="I61" s="24" t="str">
        <f>_xlfn.IFNA(VLOOKUP(D61,Master_Section!$I:$K,2,FALSE),"")</f>
        <v/>
      </c>
      <c r="J61" s="24" t="str">
        <f>_xlfn.IFNA(VLOOKUP(D61,Master_Section!$I:$K,3,FALSE),"")</f>
        <v/>
      </c>
      <c r="L61" s="70" t="str">
        <f>IF(A61&lt;&gt;"CFA",_xlfn.IFNA(VLOOKUP($G61,Master!$AE:$AI,5,0),""),"")</f>
        <v/>
      </c>
      <c r="P61" s="26" t="str">
        <f t="shared" si="2"/>
        <v/>
      </c>
      <c r="Q61" s="37">
        <f t="shared" si="3"/>
        <v>0</v>
      </c>
    </row>
    <row r="62" spans="2:17" ht="15" customHeight="1">
      <c r="B62" s="25" t="str">
        <f>_xlfn.IFNA(VLOOKUP(C62,Master_Section!$H:$I,2,FALSE),"")</f>
        <v/>
      </c>
      <c r="D62" s="25" t="str">
        <f>_xlfn.IFNA(VLOOKUP(E62,Master_Section!$H:$I,2,FALSE),"")</f>
        <v/>
      </c>
      <c r="F62" s="65" t="str">
        <f>_xlfn.IFNA(VLOOKUP(G62,Master!AE:AF,2,FALSE),"")</f>
        <v/>
      </c>
      <c r="I62" s="24" t="str">
        <f>_xlfn.IFNA(VLOOKUP(D62,Master_Section!$I:$K,2,FALSE),"")</f>
        <v/>
      </c>
      <c r="J62" s="24" t="str">
        <f>_xlfn.IFNA(VLOOKUP(D62,Master_Section!$I:$K,3,FALSE),"")</f>
        <v/>
      </c>
      <c r="L62" s="70" t="str">
        <f>IF(A62&lt;&gt;"CFA",_xlfn.IFNA(VLOOKUP($G62,Master!$AE:$AI,5,0),""),"")</f>
        <v/>
      </c>
      <c r="P62" s="26" t="str">
        <f t="shared" si="2"/>
        <v/>
      </c>
      <c r="Q62" s="37">
        <f t="shared" si="3"/>
        <v>0</v>
      </c>
    </row>
    <row r="63" spans="2:17" ht="15" customHeight="1">
      <c r="B63" s="25" t="str">
        <f>_xlfn.IFNA(VLOOKUP(C63,Master_Section!$H:$I,2,FALSE),"")</f>
        <v/>
      </c>
      <c r="D63" s="25" t="str">
        <f>_xlfn.IFNA(VLOOKUP(E63,Master_Section!$H:$I,2,FALSE),"")</f>
        <v/>
      </c>
      <c r="F63" s="65" t="str">
        <f>_xlfn.IFNA(VLOOKUP(G63,Master!AE:AF,2,FALSE),"")</f>
        <v/>
      </c>
      <c r="I63" s="24" t="str">
        <f>_xlfn.IFNA(VLOOKUP(D63,Master_Section!$I:$K,2,FALSE),"")</f>
        <v/>
      </c>
      <c r="J63" s="24" t="str">
        <f>_xlfn.IFNA(VLOOKUP(D63,Master_Section!$I:$K,3,FALSE),"")</f>
        <v/>
      </c>
      <c r="L63" s="70" t="str">
        <f>IF(A63&lt;&gt;"CFA",_xlfn.IFNA(VLOOKUP($G63,Master!$AE:$AI,5,0),""),"")</f>
        <v/>
      </c>
      <c r="P63" s="26" t="str">
        <f t="shared" si="2"/>
        <v/>
      </c>
      <c r="Q63" s="37">
        <f t="shared" si="3"/>
        <v>0</v>
      </c>
    </row>
    <row r="64" spans="2:17" ht="15" customHeight="1">
      <c r="B64" s="25" t="str">
        <f>_xlfn.IFNA(VLOOKUP(C64,Master_Section!$H:$I,2,FALSE),"")</f>
        <v/>
      </c>
      <c r="D64" s="25" t="str">
        <f>_xlfn.IFNA(VLOOKUP(E64,Master_Section!$H:$I,2,FALSE),"")</f>
        <v/>
      </c>
      <c r="F64" s="65" t="str">
        <f>_xlfn.IFNA(VLOOKUP(G64,Master!AE:AF,2,FALSE),"")</f>
        <v/>
      </c>
      <c r="I64" s="24" t="str">
        <f>_xlfn.IFNA(VLOOKUP(D64,Master_Section!$I:$K,2,FALSE),"")</f>
        <v/>
      </c>
      <c r="J64" s="24" t="str">
        <f>_xlfn.IFNA(VLOOKUP(D64,Master_Section!$I:$K,3,FALSE),"")</f>
        <v/>
      </c>
      <c r="L64" s="70" t="str">
        <f>IF(A64&lt;&gt;"CFA",_xlfn.IFNA(VLOOKUP($G64,Master!$AE:$AI,5,0),""),"")</f>
        <v/>
      </c>
      <c r="P64" s="26" t="str">
        <f t="shared" si="2"/>
        <v/>
      </c>
      <c r="Q64" s="37">
        <f t="shared" si="3"/>
        <v>0</v>
      </c>
    </row>
    <row r="65" spans="2:17" ht="15" customHeight="1">
      <c r="B65" s="25" t="str">
        <f>_xlfn.IFNA(VLOOKUP(C65,Master_Section!$H:$I,2,FALSE),"")</f>
        <v/>
      </c>
      <c r="D65" s="25" t="str">
        <f>_xlfn.IFNA(VLOOKUP(E65,Master_Section!$H:$I,2,FALSE),"")</f>
        <v/>
      </c>
      <c r="F65" s="65" t="str">
        <f>_xlfn.IFNA(VLOOKUP(G65,Master!AE:AF,2,FALSE),"")</f>
        <v/>
      </c>
      <c r="I65" s="24" t="str">
        <f>_xlfn.IFNA(VLOOKUP(D65,Master_Section!$I:$K,2,FALSE),"")</f>
        <v/>
      </c>
      <c r="J65" s="24" t="str">
        <f>_xlfn.IFNA(VLOOKUP(D65,Master_Section!$I:$K,3,FALSE),"")</f>
        <v/>
      </c>
      <c r="L65" s="70" t="str">
        <f>IF(A65&lt;&gt;"CFA",_xlfn.IFNA(VLOOKUP($G65,Master!$AE:$AI,5,0),""),"")</f>
        <v/>
      </c>
      <c r="P65" s="26" t="str">
        <f t="shared" si="2"/>
        <v/>
      </c>
      <c r="Q65" s="37">
        <f t="shared" si="3"/>
        <v>0</v>
      </c>
    </row>
    <row r="66" spans="2:17" ht="15" customHeight="1">
      <c r="B66" s="25" t="str">
        <f>_xlfn.IFNA(VLOOKUP(C66,Master_Section!$H:$I,2,FALSE),"")</f>
        <v/>
      </c>
      <c r="D66" s="25" t="str">
        <f>_xlfn.IFNA(VLOOKUP(E66,Master_Section!$H:$I,2,FALSE),"")</f>
        <v/>
      </c>
      <c r="F66" s="65" t="str">
        <f>_xlfn.IFNA(VLOOKUP(G66,Master!AE:AF,2,FALSE),"")</f>
        <v/>
      </c>
      <c r="I66" s="24" t="str">
        <f>_xlfn.IFNA(VLOOKUP(D66,Master_Section!$I:$K,2,FALSE),"")</f>
        <v/>
      </c>
      <c r="J66" s="24" t="str">
        <f>_xlfn.IFNA(VLOOKUP(D66,Master_Section!$I:$K,3,FALSE),"")</f>
        <v/>
      </c>
      <c r="L66" s="70" t="str">
        <f>IF(A66&lt;&gt;"CFA",_xlfn.IFNA(VLOOKUP($G66,Master!$AE:$AI,5,0),""),"")</f>
        <v/>
      </c>
      <c r="P66" s="26" t="str">
        <f t="shared" si="2"/>
        <v/>
      </c>
      <c r="Q66" s="37">
        <f t="shared" si="3"/>
        <v>0</v>
      </c>
    </row>
    <row r="67" spans="2:17" ht="15" customHeight="1">
      <c r="B67" s="25" t="str">
        <f>_xlfn.IFNA(VLOOKUP(C67,Master_Section!$H:$I,2,FALSE),"")</f>
        <v/>
      </c>
      <c r="D67" s="25" t="str">
        <f>_xlfn.IFNA(VLOOKUP(E67,Master_Section!$H:$I,2,FALSE),"")</f>
        <v/>
      </c>
      <c r="F67" s="65" t="str">
        <f>_xlfn.IFNA(VLOOKUP(G67,Master!AE:AF,2,FALSE),"")</f>
        <v/>
      </c>
      <c r="I67" s="24" t="str">
        <f>_xlfn.IFNA(VLOOKUP(D67,Master_Section!$I:$K,2,FALSE),"")</f>
        <v/>
      </c>
      <c r="J67" s="24" t="str">
        <f>_xlfn.IFNA(VLOOKUP(D67,Master_Section!$I:$K,3,FALSE),"")</f>
        <v/>
      </c>
      <c r="L67" s="70" t="str">
        <f>IF(A67&lt;&gt;"CFA",_xlfn.IFNA(VLOOKUP($G67,Master!$AE:$AI,5,0),""),"")</f>
        <v/>
      </c>
      <c r="P67" s="26" t="str">
        <f t="shared" si="2"/>
        <v/>
      </c>
      <c r="Q67" s="37">
        <f t="shared" si="3"/>
        <v>0</v>
      </c>
    </row>
    <row r="68" spans="2:17" ht="15" customHeight="1">
      <c r="B68" s="25" t="str">
        <f>_xlfn.IFNA(VLOOKUP(C68,Master_Section!$H:$I,2,FALSE),"")</f>
        <v/>
      </c>
      <c r="D68" s="25" t="str">
        <f>_xlfn.IFNA(VLOOKUP(E68,Master_Section!$H:$I,2,FALSE),"")</f>
        <v/>
      </c>
      <c r="F68" s="65" t="str">
        <f>_xlfn.IFNA(VLOOKUP(G68,Master!AE:AF,2,FALSE),"")</f>
        <v/>
      </c>
      <c r="I68" s="24" t="str">
        <f>_xlfn.IFNA(VLOOKUP(D68,Master_Section!$I:$K,2,FALSE),"")</f>
        <v/>
      </c>
      <c r="J68" s="24" t="str">
        <f>_xlfn.IFNA(VLOOKUP(D68,Master_Section!$I:$K,3,FALSE),"")</f>
        <v/>
      </c>
      <c r="L68" s="70" t="str">
        <f>IF(A68&lt;&gt;"CFA",_xlfn.IFNA(VLOOKUP($G68,Master!$AE:$AI,5,0),""),"")</f>
        <v/>
      </c>
      <c r="P68" s="26" t="str">
        <f t="shared" si="2"/>
        <v/>
      </c>
      <c r="Q68" s="37">
        <f t="shared" si="3"/>
        <v>0</v>
      </c>
    </row>
    <row r="69" spans="2:17" ht="15" customHeight="1">
      <c r="B69" s="25" t="str">
        <f>_xlfn.IFNA(VLOOKUP(C69,Master_Section!$H:$I,2,FALSE),"")</f>
        <v/>
      </c>
      <c r="D69" s="25" t="str">
        <f>_xlfn.IFNA(VLOOKUP(E69,Master_Section!$H:$I,2,FALSE),"")</f>
        <v/>
      </c>
      <c r="F69" s="65" t="str">
        <f>_xlfn.IFNA(VLOOKUP(G69,Master!AE:AF,2,FALSE),"")</f>
        <v/>
      </c>
      <c r="I69" s="24" t="str">
        <f>_xlfn.IFNA(VLOOKUP(D69,Master_Section!$I:$K,2,FALSE),"")</f>
        <v/>
      </c>
      <c r="J69" s="24" t="str">
        <f>_xlfn.IFNA(VLOOKUP(D69,Master_Section!$I:$K,3,FALSE),"")</f>
        <v/>
      </c>
      <c r="L69" s="70" t="str">
        <f>IF(A69&lt;&gt;"CFA",_xlfn.IFNA(VLOOKUP($G69,Master!$AE:$AI,5,0),""),"")</f>
        <v/>
      </c>
      <c r="P69" s="26" t="str">
        <f t="shared" si="2"/>
        <v/>
      </c>
      <c r="Q69" s="37">
        <f t="shared" si="3"/>
        <v>0</v>
      </c>
    </row>
    <row r="70" spans="2:17" ht="15" customHeight="1">
      <c r="B70" s="25" t="str">
        <f>_xlfn.IFNA(VLOOKUP(C70,Master_Section!$H:$I,2,FALSE),"")</f>
        <v/>
      </c>
      <c r="D70" s="25" t="str">
        <f>_xlfn.IFNA(VLOOKUP(E70,Master_Section!$H:$I,2,FALSE),"")</f>
        <v/>
      </c>
      <c r="F70" s="65" t="str">
        <f>_xlfn.IFNA(VLOOKUP(G70,Master!AE:AF,2,FALSE),"")</f>
        <v/>
      </c>
      <c r="I70" s="24" t="str">
        <f>_xlfn.IFNA(VLOOKUP(D70,Master_Section!$I:$K,2,FALSE),"")</f>
        <v/>
      </c>
      <c r="J70" s="24" t="str">
        <f>_xlfn.IFNA(VLOOKUP(D70,Master_Section!$I:$K,3,FALSE),"")</f>
        <v/>
      </c>
      <c r="L70" s="70" t="str">
        <f>IF(A70&lt;&gt;"CFA",_xlfn.IFNA(VLOOKUP($G70,Master!$AE:$AI,5,0),""),"")</f>
        <v/>
      </c>
      <c r="P70" s="26" t="str">
        <f t="shared" si="2"/>
        <v/>
      </c>
      <c r="Q70" s="37">
        <f t="shared" si="3"/>
        <v>0</v>
      </c>
    </row>
    <row r="71" spans="2:17" ht="15" customHeight="1">
      <c r="B71" s="25" t="str">
        <f>_xlfn.IFNA(VLOOKUP(C71,Master_Section!$H:$I,2,FALSE),"")</f>
        <v/>
      </c>
      <c r="D71" s="25" t="str">
        <f>_xlfn.IFNA(VLOOKUP(E71,Master_Section!$H:$I,2,FALSE),"")</f>
        <v/>
      </c>
      <c r="F71" s="65" t="str">
        <f>_xlfn.IFNA(VLOOKUP(G71,Master!AE:AF,2,FALSE),"")</f>
        <v/>
      </c>
      <c r="I71" s="24" t="str">
        <f>_xlfn.IFNA(VLOOKUP(D71,Master_Section!$I:$K,2,FALSE),"")</f>
        <v/>
      </c>
      <c r="J71" s="24" t="str">
        <f>_xlfn.IFNA(VLOOKUP(D71,Master_Section!$I:$K,3,FALSE),"")</f>
        <v/>
      </c>
      <c r="L71" s="70" t="str">
        <f>IF(A71&lt;&gt;"CFA",_xlfn.IFNA(VLOOKUP($G71,Master!$AE:$AI,5,0),""),"")</f>
        <v/>
      </c>
      <c r="P71" s="26" t="str">
        <f t="shared" si="2"/>
        <v/>
      </c>
      <c r="Q71" s="37">
        <f t="shared" si="3"/>
        <v>0</v>
      </c>
    </row>
    <row r="72" spans="2:17" ht="15" customHeight="1">
      <c r="B72" s="25" t="str">
        <f>_xlfn.IFNA(VLOOKUP(C72,Master_Section!$H:$I,2,FALSE),"")</f>
        <v/>
      </c>
      <c r="D72" s="25" t="str">
        <f>_xlfn.IFNA(VLOOKUP(E72,Master_Section!$H:$I,2,FALSE),"")</f>
        <v/>
      </c>
      <c r="F72" s="65" t="str">
        <f>_xlfn.IFNA(VLOOKUP(G72,Master!AE:AF,2,FALSE),"")</f>
        <v/>
      </c>
      <c r="I72" s="24" t="str">
        <f>_xlfn.IFNA(VLOOKUP(D72,Master_Section!$I:$K,2,FALSE),"")</f>
        <v/>
      </c>
      <c r="J72" s="24" t="str">
        <f>_xlfn.IFNA(VLOOKUP(D72,Master_Section!$I:$K,3,FALSE),"")</f>
        <v/>
      </c>
      <c r="L72" s="70" t="str">
        <f>IF(A72&lt;&gt;"CFA",_xlfn.IFNA(VLOOKUP($G72,Master!$AE:$AI,5,0),""),"")</f>
        <v/>
      </c>
      <c r="P72" s="26" t="str">
        <f t="shared" si="2"/>
        <v/>
      </c>
      <c r="Q72" s="37">
        <f t="shared" si="3"/>
        <v>0</v>
      </c>
    </row>
    <row r="73" spans="2:17" ht="15" customHeight="1">
      <c r="B73" s="25" t="str">
        <f>_xlfn.IFNA(VLOOKUP(C73,Master_Section!$H:$I,2,FALSE),"")</f>
        <v/>
      </c>
      <c r="D73" s="25" t="str">
        <f>_xlfn.IFNA(VLOOKUP(E73,Master_Section!$H:$I,2,FALSE),"")</f>
        <v/>
      </c>
      <c r="F73" s="65" t="str">
        <f>_xlfn.IFNA(VLOOKUP(G73,Master!AE:AF,2,FALSE),"")</f>
        <v/>
      </c>
      <c r="I73" s="24" t="str">
        <f>_xlfn.IFNA(VLOOKUP(D73,Master_Section!$I:$K,2,FALSE),"")</f>
        <v/>
      </c>
      <c r="J73" s="24" t="str">
        <f>_xlfn.IFNA(VLOOKUP(D73,Master_Section!$I:$K,3,FALSE),"")</f>
        <v/>
      </c>
      <c r="L73" s="70" t="str">
        <f>IF(A73&lt;&gt;"CFA",_xlfn.IFNA(VLOOKUP($G73,Master!$AE:$AI,5,0),""),"")</f>
        <v/>
      </c>
      <c r="P73" s="26" t="str">
        <f t="shared" si="2"/>
        <v/>
      </c>
      <c r="Q73" s="37">
        <f t="shared" si="3"/>
        <v>0</v>
      </c>
    </row>
    <row r="74" spans="2:17" ht="15" customHeight="1">
      <c r="B74" s="25" t="str">
        <f>_xlfn.IFNA(VLOOKUP(C74,Master_Section!$H:$I,2,FALSE),"")</f>
        <v/>
      </c>
      <c r="D74" s="25" t="str">
        <f>_xlfn.IFNA(VLOOKUP(E74,Master_Section!$H:$I,2,FALSE),"")</f>
        <v/>
      </c>
      <c r="F74" s="65" t="str">
        <f>_xlfn.IFNA(VLOOKUP(G74,Master!AE:AF,2,FALSE),"")</f>
        <v/>
      </c>
      <c r="I74" s="24" t="str">
        <f>_xlfn.IFNA(VLOOKUP(D74,Master_Section!$I:$K,2,FALSE),"")</f>
        <v/>
      </c>
      <c r="J74" s="24" t="str">
        <f>_xlfn.IFNA(VLOOKUP(D74,Master_Section!$I:$K,3,FALSE),"")</f>
        <v/>
      </c>
      <c r="L74" s="70" t="str">
        <f>IF(A74&lt;&gt;"CFA",_xlfn.IFNA(VLOOKUP($G74,Master!$AE:$AI,5,0),""),"")</f>
        <v/>
      </c>
      <c r="P74" s="26" t="str">
        <f t="shared" si="2"/>
        <v/>
      </c>
      <c r="Q74" s="37">
        <f t="shared" si="3"/>
        <v>0</v>
      </c>
    </row>
    <row r="75" spans="2:17" ht="15" customHeight="1">
      <c r="B75" s="25" t="str">
        <f>_xlfn.IFNA(VLOOKUP(C75,Master_Section!$H:$I,2,FALSE),"")</f>
        <v/>
      </c>
      <c r="D75" s="25" t="str">
        <f>_xlfn.IFNA(VLOOKUP(E75,Master_Section!$H:$I,2,FALSE),"")</f>
        <v/>
      </c>
      <c r="F75" s="65" t="str">
        <f>_xlfn.IFNA(VLOOKUP(G75,Master!AE:AF,2,FALSE),"")</f>
        <v/>
      </c>
      <c r="I75" s="24" t="str">
        <f>_xlfn.IFNA(VLOOKUP(D75,Master_Section!$I:$K,2,FALSE),"")</f>
        <v/>
      </c>
      <c r="J75" s="24" t="str">
        <f>_xlfn.IFNA(VLOOKUP(D75,Master_Section!$I:$K,3,FALSE),"")</f>
        <v/>
      </c>
      <c r="L75" s="70" t="str">
        <f>IF(A75&lt;&gt;"CFA",_xlfn.IFNA(VLOOKUP($G75,Master!$AE:$AI,5,0),""),"")</f>
        <v/>
      </c>
      <c r="P75" s="26" t="str">
        <f t="shared" si="2"/>
        <v/>
      </c>
      <c r="Q75" s="37">
        <f t="shared" si="3"/>
        <v>0</v>
      </c>
    </row>
    <row r="76" spans="2:17" ht="15" customHeight="1">
      <c r="B76" s="25" t="str">
        <f>_xlfn.IFNA(VLOOKUP(C76,Master_Section!$H:$I,2,FALSE),"")</f>
        <v/>
      </c>
      <c r="D76" s="25" t="str">
        <f>_xlfn.IFNA(VLOOKUP(E76,Master_Section!$H:$I,2,FALSE),"")</f>
        <v/>
      </c>
      <c r="F76" s="65" t="str">
        <f>_xlfn.IFNA(VLOOKUP(G76,Master!AE:AF,2,FALSE),"")</f>
        <v/>
      </c>
      <c r="I76" s="24" t="str">
        <f>_xlfn.IFNA(VLOOKUP(D76,Master_Section!$I:$K,2,FALSE),"")</f>
        <v/>
      </c>
      <c r="J76" s="24" t="str">
        <f>_xlfn.IFNA(VLOOKUP(D76,Master_Section!$I:$K,3,FALSE),"")</f>
        <v/>
      </c>
      <c r="L76" s="70" t="str">
        <f>IF(A76&lt;&gt;"CFA",_xlfn.IFNA(VLOOKUP($G76,Master!$AE:$AI,5,0),""),"")</f>
        <v/>
      </c>
      <c r="P76" s="26" t="str">
        <f t="shared" si="2"/>
        <v/>
      </c>
      <c r="Q76" s="37">
        <f t="shared" si="3"/>
        <v>0</v>
      </c>
    </row>
    <row r="77" spans="2:17" ht="15" customHeight="1">
      <c r="B77" s="25" t="str">
        <f>_xlfn.IFNA(VLOOKUP(C77,Master_Section!$H:$I,2,FALSE),"")</f>
        <v/>
      </c>
      <c r="D77" s="25" t="str">
        <f>_xlfn.IFNA(VLOOKUP(E77,Master_Section!$H:$I,2,FALSE),"")</f>
        <v/>
      </c>
      <c r="F77" s="65" t="str">
        <f>_xlfn.IFNA(VLOOKUP(G77,Master!AE:AF,2,FALSE),"")</f>
        <v/>
      </c>
      <c r="I77" s="24" t="str">
        <f>_xlfn.IFNA(VLOOKUP(D77,Master_Section!$I:$K,2,FALSE),"")</f>
        <v/>
      </c>
      <c r="J77" s="24" t="str">
        <f>_xlfn.IFNA(VLOOKUP(D77,Master_Section!$I:$K,3,FALSE),"")</f>
        <v/>
      </c>
      <c r="L77" s="70" t="str">
        <f>IF(A77&lt;&gt;"CFA",_xlfn.IFNA(VLOOKUP($G77,Master!$AE:$AI,5,0),""),"")</f>
        <v/>
      </c>
      <c r="P77" s="26" t="str">
        <f t="shared" si="2"/>
        <v/>
      </c>
      <c r="Q77" s="37">
        <f t="shared" si="3"/>
        <v>0</v>
      </c>
    </row>
    <row r="78" spans="2:17" ht="15" customHeight="1">
      <c r="B78" s="25" t="str">
        <f>_xlfn.IFNA(VLOOKUP(C78,Master_Section!$H:$I,2,FALSE),"")</f>
        <v/>
      </c>
      <c r="D78" s="25" t="str">
        <f>_xlfn.IFNA(VLOOKUP(E78,Master_Section!$H:$I,2,FALSE),"")</f>
        <v/>
      </c>
      <c r="F78" s="65" t="str">
        <f>_xlfn.IFNA(VLOOKUP(G78,Master!AE:AF,2,FALSE),"")</f>
        <v/>
      </c>
      <c r="I78" s="24" t="str">
        <f>_xlfn.IFNA(VLOOKUP(D78,Master_Section!$I:$K,2,FALSE),"")</f>
        <v/>
      </c>
      <c r="J78" s="24" t="str">
        <f>_xlfn.IFNA(VLOOKUP(D78,Master_Section!$I:$K,3,FALSE),"")</f>
        <v/>
      </c>
      <c r="L78" s="70" t="str">
        <f>IF(A78&lt;&gt;"CFA",_xlfn.IFNA(VLOOKUP($G78,Master!$AE:$AI,5,0),""),"")</f>
        <v/>
      </c>
      <c r="P78" s="26" t="str">
        <f t="shared" si="2"/>
        <v/>
      </c>
      <c r="Q78" s="37">
        <f t="shared" si="3"/>
        <v>0</v>
      </c>
    </row>
    <row r="79" spans="2:17" ht="15" customHeight="1">
      <c r="B79" s="25" t="str">
        <f>_xlfn.IFNA(VLOOKUP(C79,Master_Section!$H:$I,2,FALSE),"")</f>
        <v/>
      </c>
      <c r="D79" s="25" t="str">
        <f>_xlfn.IFNA(VLOOKUP(E79,Master_Section!$H:$I,2,FALSE),"")</f>
        <v/>
      </c>
      <c r="F79" s="65" t="str">
        <f>_xlfn.IFNA(VLOOKUP(G79,Master!AE:AF,2,FALSE),"")</f>
        <v/>
      </c>
      <c r="I79" s="24" t="str">
        <f>_xlfn.IFNA(VLOOKUP(D79,Master_Section!$I:$K,2,FALSE),"")</f>
        <v/>
      </c>
      <c r="J79" s="24" t="str">
        <f>_xlfn.IFNA(VLOOKUP(D79,Master_Section!$I:$K,3,FALSE),"")</f>
        <v/>
      </c>
      <c r="L79" s="70" t="str">
        <f>IF(A79&lt;&gt;"CFA",_xlfn.IFNA(VLOOKUP($G79,Master!$AE:$AI,5,0),""),"")</f>
        <v/>
      </c>
      <c r="P79" s="26" t="str">
        <f t="shared" si="2"/>
        <v/>
      </c>
      <c r="Q79" s="37">
        <f t="shared" si="3"/>
        <v>0</v>
      </c>
    </row>
    <row r="80" spans="2:17" ht="15" customHeight="1">
      <c r="B80" s="25" t="str">
        <f>_xlfn.IFNA(VLOOKUP(C80,Master_Section!$H:$I,2,FALSE),"")</f>
        <v/>
      </c>
      <c r="D80" s="25" t="str">
        <f>_xlfn.IFNA(VLOOKUP(E80,Master_Section!$H:$I,2,FALSE),"")</f>
        <v/>
      </c>
      <c r="F80" s="65" t="str">
        <f>_xlfn.IFNA(VLOOKUP(G80,Master!AE:AF,2,FALSE),"")</f>
        <v/>
      </c>
      <c r="I80" s="24" t="str">
        <f>_xlfn.IFNA(VLOOKUP(D80,Master_Section!$I:$K,2,FALSE),"")</f>
        <v/>
      </c>
      <c r="J80" s="24" t="str">
        <f>_xlfn.IFNA(VLOOKUP(D80,Master_Section!$I:$K,3,FALSE),"")</f>
        <v/>
      </c>
      <c r="L80" s="70" t="str">
        <f>IF(A80&lt;&gt;"CFA",_xlfn.IFNA(VLOOKUP($G80,Master!$AE:$AI,5,0),""),"")</f>
        <v/>
      </c>
      <c r="P80" s="26" t="str">
        <f t="shared" si="2"/>
        <v/>
      </c>
      <c r="Q80" s="37">
        <f t="shared" si="3"/>
        <v>0</v>
      </c>
    </row>
    <row r="81" spans="2:17" ht="15" customHeight="1">
      <c r="B81" s="25" t="str">
        <f>_xlfn.IFNA(VLOOKUP(C81,Master_Section!$H:$I,2,FALSE),"")</f>
        <v/>
      </c>
      <c r="D81" s="25" t="str">
        <f>_xlfn.IFNA(VLOOKUP(E81,Master_Section!$H:$I,2,FALSE),"")</f>
        <v/>
      </c>
      <c r="F81" s="65" t="str">
        <f>_xlfn.IFNA(VLOOKUP(G81,Master!AE:AF,2,FALSE),"")</f>
        <v/>
      </c>
      <c r="I81" s="24" t="str">
        <f>_xlfn.IFNA(VLOOKUP(D81,Master_Section!$I:$K,2,FALSE),"")</f>
        <v/>
      </c>
      <c r="J81" s="24" t="str">
        <f>_xlfn.IFNA(VLOOKUP(D81,Master_Section!$I:$K,3,FALSE),"")</f>
        <v/>
      </c>
      <c r="L81" s="70" t="str">
        <f>IF(A81&lt;&gt;"CFA",_xlfn.IFNA(VLOOKUP($G81,Master!$AE:$AI,5,0),""),"")</f>
        <v/>
      </c>
      <c r="P81" s="26" t="str">
        <f t="shared" si="2"/>
        <v/>
      </c>
      <c r="Q81" s="37">
        <f t="shared" si="3"/>
        <v>0</v>
      </c>
    </row>
    <row r="82" spans="2:17" ht="15" customHeight="1">
      <c r="B82" s="25" t="str">
        <f>_xlfn.IFNA(VLOOKUP(C82,Master_Section!$H:$I,2,FALSE),"")</f>
        <v/>
      </c>
      <c r="D82" s="25" t="str">
        <f>_xlfn.IFNA(VLOOKUP(E82,Master_Section!$H:$I,2,FALSE),"")</f>
        <v/>
      </c>
      <c r="F82" s="65" t="str">
        <f>_xlfn.IFNA(VLOOKUP(G82,Master!AE:AF,2,FALSE),"")</f>
        <v/>
      </c>
      <c r="I82" s="24" t="str">
        <f>_xlfn.IFNA(VLOOKUP(D82,Master_Section!$I:$K,2,FALSE),"")</f>
        <v/>
      </c>
      <c r="J82" s="24" t="str">
        <f>_xlfn.IFNA(VLOOKUP(D82,Master_Section!$I:$K,3,FALSE),"")</f>
        <v/>
      </c>
      <c r="L82" s="70" t="str">
        <f>IF(A82&lt;&gt;"CFA",_xlfn.IFNA(VLOOKUP($G82,Master!$AE:$AI,5,0),""),"")</f>
        <v/>
      </c>
      <c r="P82" s="26" t="str">
        <f t="shared" si="2"/>
        <v/>
      </c>
      <c r="Q82" s="37">
        <f t="shared" si="3"/>
        <v>0</v>
      </c>
    </row>
    <row r="83" spans="2:17" ht="15" customHeight="1">
      <c r="B83" s="25" t="str">
        <f>_xlfn.IFNA(VLOOKUP(C83,Master_Section!$H:$I,2,FALSE),"")</f>
        <v/>
      </c>
      <c r="D83" s="25" t="str">
        <f>_xlfn.IFNA(VLOOKUP(E83,Master_Section!$H:$I,2,FALSE),"")</f>
        <v/>
      </c>
      <c r="F83" s="65" t="str">
        <f>_xlfn.IFNA(VLOOKUP(G83,Master!AE:AF,2,FALSE),"")</f>
        <v/>
      </c>
      <c r="I83" s="24" t="str">
        <f>_xlfn.IFNA(VLOOKUP(D83,Master_Section!$I:$K,2,FALSE),"")</f>
        <v/>
      </c>
      <c r="J83" s="24" t="str">
        <f>_xlfn.IFNA(VLOOKUP(D83,Master_Section!$I:$K,3,FALSE),"")</f>
        <v/>
      </c>
      <c r="L83" s="70" t="str">
        <f>IF(A83&lt;&gt;"CFA",_xlfn.IFNA(VLOOKUP($G83,Master!$AE:$AI,5,0),""),"")</f>
        <v/>
      </c>
      <c r="P83" s="26" t="str">
        <f t="shared" si="2"/>
        <v/>
      </c>
      <c r="Q83" s="37">
        <f t="shared" si="3"/>
        <v>0</v>
      </c>
    </row>
    <row r="84" spans="2:17" ht="15" customHeight="1">
      <c r="B84" s="25" t="str">
        <f>_xlfn.IFNA(VLOOKUP(C84,Master_Section!$H:$I,2,FALSE),"")</f>
        <v/>
      </c>
      <c r="D84" s="25" t="str">
        <f>_xlfn.IFNA(VLOOKUP(E84,Master_Section!$H:$I,2,FALSE),"")</f>
        <v/>
      </c>
      <c r="F84" s="65" t="str">
        <f>_xlfn.IFNA(VLOOKUP(G84,Master!AE:AF,2,FALSE),"")</f>
        <v/>
      </c>
      <c r="I84" s="24" t="str">
        <f>_xlfn.IFNA(VLOOKUP(D84,Master_Section!$I:$K,2,FALSE),"")</f>
        <v/>
      </c>
      <c r="J84" s="24" t="str">
        <f>_xlfn.IFNA(VLOOKUP(D84,Master_Section!$I:$K,3,FALSE),"")</f>
        <v/>
      </c>
      <c r="L84" s="70" t="str">
        <f>IF(A84&lt;&gt;"CFA",_xlfn.IFNA(VLOOKUP($G84,Master!$AE:$AI,5,0),""),"")</f>
        <v/>
      </c>
      <c r="P84" s="26" t="str">
        <f t="shared" si="2"/>
        <v/>
      </c>
      <c r="Q84" s="37">
        <f t="shared" si="3"/>
        <v>0</v>
      </c>
    </row>
    <row r="85" spans="2:17" ht="15" customHeight="1">
      <c r="B85" s="25" t="str">
        <f>_xlfn.IFNA(VLOOKUP(C85,Master_Section!$H:$I,2,FALSE),"")</f>
        <v/>
      </c>
      <c r="D85" s="25" t="str">
        <f>_xlfn.IFNA(VLOOKUP(E85,Master_Section!$H:$I,2,FALSE),"")</f>
        <v/>
      </c>
      <c r="F85" s="65" t="str">
        <f>_xlfn.IFNA(VLOOKUP(G85,Master!AE:AF,2,FALSE),"")</f>
        <v/>
      </c>
      <c r="I85" s="24" t="str">
        <f>_xlfn.IFNA(VLOOKUP(D85,Master_Section!$I:$K,2,FALSE),"")</f>
        <v/>
      </c>
      <c r="J85" s="24" t="str">
        <f>_xlfn.IFNA(VLOOKUP(D85,Master_Section!$I:$K,3,FALSE),"")</f>
        <v/>
      </c>
      <c r="L85" s="70" t="str">
        <f>IF(A85&lt;&gt;"CFA",_xlfn.IFNA(VLOOKUP($G85,Master!$AE:$AI,5,0),""),"")</f>
        <v/>
      </c>
      <c r="P85" s="26" t="str">
        <f t="shared" si="2"/>
        <v/>
      </c>
      <c r="Q85" s="37">
        <f t="shared" si="3"/>
        <v>0</v>
      </c>
    </row>
    <row r="86" spans="2:17" ht="15" customHeight="1">
      <c r="B86" s="25" t="str">
        <f>_xlfn.IFNA(VLOOKUP(C86,Master_Section!$H:$I,2,FALSE),"")</f>
        <v/>
      </c>
      <c r="D86" s="25" t="str">
        <f>_xlfn.IFNA(VLOOKUP(E86,Master_Section!$H:$I,2,FALSE),"")</f>
        <v/>
      </c>
      <c r="F86" s="65" t="str">
        <f>_xlfn.IFNA(VLOOKUP(G86,Master!AE:AF,2,FALSE),"")</f>
        <v/>
      </c>
      <c r="I86" s="24" t="str">
        <f>_xlfn.IFNA(VLOOKUP(D86,Master_Section!$I:$K,2,FALSE),"")</f>
        <v/>
      </c>
      <c r="J86" s="24" t="str">
        <f>_xlfn.IFNA(VLOOKUP(D86,Master_Section!$I:$K,3,FALSE),"")</f>
        <v/>
      </c>
      <c r="L86" s="70" t="str">
        <f>IF(A86&lt;&gt;"CFA",_xlfn.IFNA(VLOOKUP($G86,Master!$AE:$AI,5,0),""),"")</f>
        <v/>
      </c>
      <c r="P86" s="26" t="str">
        <f t="shared" si="2"/>
        <v/>
      </c>
      <c r="Q86" s="37">
        <f t="shared" si="3"/>
        <v>0</v>
      </c>
    </row>
    <row r="87" spans="2:17" ht="15" customHeight="1">
      <c r="B87" s="25" t="str">
        <f>_xlfn.IFNA(VLOOKUP(C87,Master_Section!$H:$I,2,FALSE),"")</f>
        <v/>
      </c>
      <c r="D87" s="25" t="str">
        <f>_xlfn.IFNA(VLOOKUP(E87,Master_Section!$H:$I,2,FALSE),"")</f>
        <v/>
      </c>
      <c r="F87" s="65" t="str">
        <f>_xlfn.IFNA(VLOOKUP(G87,Master!AE:AF,2,FALSE),"")</f>
        <v/>
      </c>
      <c r="I87" s="24" t="str">
        <f>_xlfn.IFNA(VLOOKUP(D87,Master_Section!$I:$K,2,FALSE),"")</f>
        <v/>
      </c>
      <c r="J87" s="24" t="str">
        <f>_xlfn.IFNA(VLOOKUP(D87,Master_Section!$I:$K,3,FALSE),"")</f>
        <v/>
      </c>
      <c r="L87" s="70" t="str">
        <f>IF(A87&lt;&gt;"CFA",_xlfn.IFNA(VLOOKUP($G87,Master!$AE:$AI,5,0),""),"")</f>
        <v/>
      </c>
      <c r="P87" s="26" t="str">
        <f t="shared" si="2"/>
        <v/>
      </c>
      <c r="Q87" s="37">
        <f t="shared" si="3"/>
        <v>0</v>
      </c>
    </row>
    <row r="88" spans="2:17" ht="15" customHeight="1">
      <c r="B88" s="25" t="str">
        <f>_xlfn.IFNA(VLOOKUP(C88,Master_Section!$H:$I,2,FALSE),"")</f>
        <v/>
      </c>
      <c r="D88" s="25" t="str">
        <f>_xlfn.IFNA(VLOOKUP(E88,Master_Section!$H:$I,2,FALSE),"")</f>
        <v/>
      </c>
      <c r="F88" s="65" t="str">
        <f>_xlfn.IFNA(VLOOKUP(G88,Master!AE:AF,2,FALSE),"")</f>
        <v/>
      </c>
      <c r="I88" s="24" t="str">
        <f>_xlfn.IFNA(VLOOKUP(D88,Master_Section!$I:$K,2,FALSE),"")</f>
        <v/>
      </c>
      <c r="J88" s="24" t="str">
        <f>_xlfn.IFNA(VLOOKUP(D88,Master_Section!$I:$K,3,FALSE),"")</f>
        <v/>
      </c>
      <c r="L88" s="70" t="str">
        <f>IF(A88&lt;&gt;"CFA",_xlfn.IFNA(VLOOKUP($G88,Master!$AE:$AI,5,0),""),"")</f>
        <v/>
      </c>
      <c r="P88" s="26" t="str">
        <f t="shared" si="2"/>
        <v/>
      </c>
      <c r="Q88" s="37">
        <f t="shared" si="3"/>
        <v>0</v>
      </c>
    </row>
    <row r="89" spans="2:17" ht="15" customHeight="1">
      <c r="B89" s="25" t="str">
        <f>_xlfn.IFNA(VLOOKUP(C89,Master_Section!$H:$I,2,FALSE),"")</f>
        <v/>
      </c>
      <c r="D89" s="25" t="str">
        <f>_xlfn.IFNA(VLOOKUP(E89,Master_Section!$H:$I,2,FALSE),"")</f>
        <v/>
      </c>
      <c r="F89" s="65" t="str">
        <f>_xlfn.IFNA(VLOOKUP(G89,Master!AE:AF,2,FALSE),"")</f>
        <v/>
      </c>
      <c r="I89" s="24" t="str">
        <f>_xlfn.IFNA(VLOOKUP(D89,Master_Section!$I:$K,2,FALSE),"")</f>
        <v/>
      </c>
      <c r="J89" s="24" t="str">
        <f>_xlfn.IFNA(VLOOKUP(D89,Master_Section!$I:$K,3,FALSE),"")</f>
        <v/>
      </c>
      <c r="L89" s="70" t="str">
        <f>IF(A89&lt;&gt;"CFA",_xlfn.IFNA(VLOOKUP($G89,Master!$AE:$AI,5,0),""),"")</f>
        <v/>
      </c>
      <c r="P89" s="26" t="str">
        <f t="shared" si="2"/>
        <v/>
      </c>
      <c r="Q89" s="37">
        <f t="shared" si="3"/>
        <v>0</v>
      </c>
    </row>
    <row r="90" spans="2:17" ht="15" customHeight="1">
      <c r="B90" s="25" t="str">
        <f>_xlfn.IFNA(VLOOKUP(C90,Master_Section!$H:$I,2,FALSE),"")</f>
        <v/>
      </c>
      <c r="D90" s="25" t="str">
        <f>_xlfn.IFNA(VLOOKUP(E90,Master_Section!$H:$I,2,FALSE),"")</f>
        <v/>
      </c>
      <c r="F90" s="65" t="str">
        <f>_xlfn.IFNA(VLOOKUP(G90,Master!AE:AF,2,FALSE),"")</f>
        <v/>
      </c>
      <c r="I90" s="24" t="str">
        <f>_xlfn.IFNA(VLOOKUP(D90,Master_Section!$I:$K,2,FALSE),"")</f>
        <v/>
      </c>
      <c r="J90" s="24" t="str">
        <f>_xlfn.IFNA(VLOOKUP(D90,Master_Section!$I:$K,3,FALSE),"")</f>
        <v/>
      </c>
      <c r="L90" s="70" t="str">
        <f>IF(A90&lt;&gt;"CFA",_xlfn.IFNA(VLOOKUP($G90,Master!$AE:$AI,5,0),""),"")</f>
        <v/>
      </c>
      <c r="P90" s="26" t="str">
        <f t="shared" si="2"/>
        <v/>
      </c>
      <c r="Q90" s="37">
        <f t="shared" si="3"/>
        <v>0</v>
      </c>
    </row>
    <row r="91" spans="2:17" ht="15" customHeight="1">
      <c r="B91" s="25" t="str">
        <f>_xlfn.IFNA(VLOOKUP(C91,Master_Section!$H:$I,2,FALSE),"")</f>
        <v/>
      </c>
      <c r="D91" s="25" t="str">
        <f>_xlfn.IFNA(VLOOKUP(E91,Master_Section!$H:$I,2,FALSE),"")</f>
        <v/>
      </c>
      <c r="F91" s="65" t="str">
        <f>_xlfn.IFNA(VLOOKUP(G91,Master!AE:AF,2,FALSE),"")</f>
        <v/>
      </c>
      <c r="I91" s="24" t="str">
        <f>_xlfn.IFNA(VLOOKUP(D91,Master_Section!$I:$K,2,FALSE),"")</f>
        <v/>
      </c>
      <c r="J91" s="24" t="str">
        <f>_xlfn.IFNA(VLOOKUP(D91,Master_Section!$I:$K,3,FALSE),"")</f>
        <v/>
      </c>
      <c r="L91" s="70" t="str">
        <f>IF(A91&lt;&gt;"CFA",_xlfn.IFNA(VLOOKUP($G91,Master!$AE:$AI,5,0),""),"")</f>
        <v/>
      </c>
      <c r="P91" s="26" t="str">
        <f t="shared" si="2"/>
        <v/>
      </c>
      <c r="Q91" s="37">
        <f t="shared" si="3"/>
        <v>0</v>
      </c>
    </row>
    <row r="92" spans="2:17" ht="15" customHeight="1">
      <c r="B92" s="25" t="str">
        <f>_xlfn.IFNA(VLOOKUP(C92,Master_Section!$H:$I,2,FALSE),"")</f>
        <v/>
      </c>
      <c r="D92" s="25" t="str">
        <f>_xlfn.IFNA(VLOOKUP(E92,Master_Section!$H:$I,2,FALSE),"")</f>
        <v/>
      </c>
      <c r="F92" s="65" t="str">
        <f>_xlfn.IFNA(VLOOKUP(G92,Master!AE:AF,2,FALSE),"")</f>
        <v/>
      </c>
      <c r="I92" s="24" t="str">
        <f>_xlfn.IFNA(VLOOKUP(D92,Master_Section!$I:$K,2,FALSE),"")</f>
        <v/>
      </c>
      <c r="J92" s="24" t="str">
        <f>_xlfn.IFNA(VLOOKUP(D92,Master_Section!$I:$K,3,FALSE),"")</f>
        <v/>
      </c>
      <c r="L92" s="70" t="str">
        <f>IF(A92&lt;&gt;"CFA",_xlfn.IFNA(VLOOKUP($G92,Master!$AE:$AI,5,0),""),"")</f>
        <v/>
      </c>
      <c r="P92" s="26" t="str">
        <f t="shared" si="2"/>
        <v/>
      </c>
      <c r="Q92" s="37">
        <f t="shared" si="3"/>
        <v>0</v>
      </c>
    </row>
    <row r="93" spans="2:17" ht="15" customHeight="1">
      <c r="B93" s="25" t="str">
        <f>_xlfn.IFNA(VLOOKUP(C93,Master_Section!$H:$I,2,FALSE),"")</f>
        <v/>
      </c>
      <c r="D93" s="25" t="str">
        <f>_xlfn.IFNA(VLOOKUP(E93,Master_Section!$H:$I,2,FALSE),"")</f>
        <v/>
      </c>
      <c r="F93" s="65" t="str">
        <f>_xlfn.IFNA(VLOOKUP(G93,Master!AE:AF,2,FALSE),"")</f>
        <v/>
      </c>
      <c r="I93" s="24" t="str">
        <f>_xlfn.IFNA(VLOOKUP(D93,Master_Section!$I:$K,2,FALSE),"")</f>
        <v/>
      </c>
      <c r="J93" s="24" t="str">
        <f>_xlfn.IFNA(VLOOKUP(D93,Master_Section!$I:$K,3,FALSE),"")</f>
        <v/>
      </c>
      <c r="L93" s="70" t="str">
        <f>IF(A93&lt;&gt;"CFA",_xlfn.IFNA(VLOOKUP($G93,Master!$AE:$AI,5,0),""),"")</f>
        <v/>
      </c>
      <c r="P93" s="26" t="str">
        <f t="shared" si="2"/>
        <v/>
      </c>
      <c r="Q93" s="37">
        <f t="shared" si="3"/>
        <v>0</v>
      </c>
    </row>
    <row r="94" spans="2:17" ht="15" customHeight="1">
      <c r="B94" s="25" t="str">
        <f>_xlfn.IFNA(VLOOKUP(C94,Master_Section!$H:$I,2,FALSE),"")</f>
        <v/>
      </c>
      <c r="D94" s="25" t="str">
        <f>_xlfn.IFNA(VLOOKUP(E94,Master_Section!$H:$I,2,FALSE),"")</f>
        <v/>
      </c>
      <c r="F94" s="65" t="str">
        <f>_xlfn.IFNA(VLOOKUP(G94,Master!AE:AF,2,FALSE),"")</f>
        <v/>
      </c>
      <c r="I94" s="24" t="str">
        <f>_xlfn.IFNA(VLOOKUP(D94,Master_Section!$I:$K,2,FALSE),"")</f>
        <v/>
      </c>
      <c r="J94" s="24" t="str">
        <f>_xlfn.IFNA(VLOOKUP(D94,Master_Section!$I:$K,3,FALSE),"")</f>
        <v/>
      </c>
      <c r="L94" s="70" t="str">
        <f>IF(A94&lt;&gt;"CFA",_xlfn.IFNA(VLOOKUP($G94,Master!$AE:$AI,5,0),""),"")</f>
        <v/>
      </c>
      <c r="P94" s="26" t="str">
        <f t="shared" si="2"/>
        <v/>
      </c>
      <c r="Q94" s="37">
        <f t="shared" si="3"/>
        <v>0</v>
      </c>
    </row>
    <row r="95" spans="2:17" ht="15" customHeight="1">
      <c r="B95" s="25" t="str">
        <f>_xlfn.IFNA(VLOOKUP(C95,Master_Section!$H:$I,2,FALSE),"")</f>
        <v/>
      </c>
      <c r="D95" s="25" t="str">
        <f>_xlfn.IFNA(VLOOKUP(E95,Master_Section!$H:$I,2,FALSE),"")</f>
        <v/>
      </c>
      <c r="F95" s="65" t="str">
        <f>_xlfn.IFNA(VLOOKUP(G95,Master!AE:AF,2,FALSE),"")</f>
        <v/>
      </c>
      <c r="I95" s="24" t="str">
        <f>_xlfn.IFNA(VLOOKUP(D95,Master_Section!$I:$K,2,FALSE),"")</f>
        <v/>
      </c>
      <c r="J95" s="24" t="str">
        <f>_xlfn.IFNA(VLOOKUP(D95,Master_Section!$I:$K,3,FALSE),"")</f>
        <v/>
      </c>
      <c r="L95" s="70" t="str">
        <f>IF(A95&lt;&gt;"CFA",_xlfn.IFNA(VLOOKUP($G95,Master!$AE:$AI,5,0),""),"")</f>
        <v/>
      </c>
      <c r="P95" s="26" t="str">
        <f t="shared" si="2"/>
        <v/>
      </c>
      <c r="Q95" s="37">
        <f t="shared" si="3"/>
        <v>0</v>
      </c>
    </row>
    <row r="96" spans="2:17" ht="15" customHeight="1">
      <c r="B96" s="25" t="str">
        <f>_xlfn.IFNA(VLOOKUP(C96,Master_Section!$H:$I,2,FALSE),"")</f>
        <v/>
      </c>
      <c r="D96" s="25" t="str">
        <f>_xlfn.IFNA(VLOOKUP(E96,Master_Section!$H:$I,2,FALSE),"")</f>
        <v/>
      </c>
      <c r="F96" s="65" t="str">
        <f>_xlfn.IFNA(VLOOKUP(G96,Master!AE:AF,2,FALSE),"")</f>
        <v/>
      </c>
      <c r="I96" s="24" t="str">
        <f>_xlfn.IFNA(VLOOKUP(D96,Master_Section!$I:$K,2,FALSE),"")</f>
        <v/>
      </c>
      <c r="J96" s="24" t="str">
        <f>_xlfn.IFNA(VLOOKUP(D96,Master_Section!$I:$K,3,FALSE),"")</f>
        <v/>
      </c>
      <c r="L96" s="70" t="str">
        <f>IF(A96&lt;&gt;"CFA",_xlfn.IFNA(VLOOKUP($G96,Master!$AE:$AI,5,0),""),"")</f>
        <v/>
      </c>
      <c r="P96" s="26" t="str">
        <f t="shared" si="2"/>
        <v/>
      </c>
      <c r="Q96" s="37">
        <f t="shared" si="3"/>
        <v>0</v>
      </c>
    </row>
    <row r="97" spans="2:17" ht="15" customHeight="1">
      <c r="B97" s="25" t="str">
        <f>_xlfn.IFNA(VLOOKUP(C97,Master_Section!$H:$I,2,FALSE),"")</f>
        <v/>
      </c>
      <c r="D97" s="25" t="str">
        <f>_xlfn.IFNA(VLOOKUP(E97,Master_Section!$H:$I,2,FALSE),"")</f>
        <v/>
      </c>
      <c r="F97" s="65" t="str">
        <f>_xlfn.IFNA(VLOOKUP(G97,Master!AE:AF,2,FALSE),"")</f>
        <v/>
      </c>
      <c r="I97" s="24" t="str">
        <f>_xlfn.IFNA(VLOOKUP(D97,Master_Section!$I:$K,2,FALSE),"")</f>
        <v/>
      </c>
      <c r="J97" s="24" t="str">
        <f>_xlfn.IFNA(VLOOKUP(D97,Master_Section!$I:$K,3,FALSE),"")</f>
        <v/>
      </c>
      <c r="L97" s="70" t="str">
        <f>IF(A97&lt;&gt;"CFA",_xlfn.IFNA(VLOOKUP($G97,Master!$AE:$AI,5,0),""),"")</f>
        <v/>
      </c>
      <c r="P97" s="26" t="str">
        <f t="shared" si="2"/>
        <v/>
      </c>
      <c r="Q97" s="37">
        <f t="shared" si="3"/>
        <v>0</v>
      </c>
    </row>
    <row r="98" spans="2:17" ht="15" customHeight="1">
      <c r="B98" s="25" t="str">
        <f>_xlfn.IFNA(VLOOKUP(C98,Master_Section!$H:$I,2,FALSE),"")</f>
        <v/>
      </c>
      <c r="D98" s="25" t="str">
        <f>_xlfn.IFNA(VLOOKUP(E98,Master_Section!$H:$I,2,FALSE),"")</f>
        <v/>
      </c>
      <c r="F98" s="65" t="str">
        <f>_xlfn.IFNA(VLOOKUP(G98,Master!AE:AF,2,FALSE),"")</f>
        <v/>
      </c>
      <c r="I98" s="24" t="str">
        <f>_xlfn.IFNA(VLOOKUP(D98,Master_Section!$I:$K,2,FALSE),"")</f>
        <v/>
      </c>
      <c r="J98" s="24" t="str">
        <f>_xlfn.IFNA(VLOOKUP(D98,Master_Section!$I:$K,3,FALSE),"")</f>
        <v/>
      </c>
      <c r="L98" s="70" t="str">
        <f>IF(A98&lt;&gt;"CFA",_xlfn.IFNA(VLOOKUP($G98,Master!$AE:$AI,5,0),""),"")</f>
        <v/>
      </c>
      <c r="P98" s="26" t="str">
        <f t="shared" si="2"/>
        <v/>
      </c>
      <c r="Q98" s="37">
        <f t="shared" si="3"/>
        <v>0</v>
      </c>
    </row>
    <row r="99" spans="2:17" ht="15" customHeight="1">
      <c r="B99" s="25" t="str">
        <f>_xlfn.IFNA(VLOOKUP(C99,Master_Section!$H:$I,2,FALSE),"")</f>
        <v/>
      </c>
      <c r="D99" s="25" t="str">
        <f>_xlfn.IFNA(VLOOKUP(E99,Master_Section!$H:$I,2,FALSE),"")</f>
        <v/>
      </c>
      <c r="F99" s="65" t="str">
        <f>_xlfn.IFNA(VLOOKUP(G99,Master!AE:AF,2,FALSE),"")</f>
        <v/>
      </c>
      <c r="I99" s="24" t="str">
        <f>_xlfn.IFNA(VLOOKUP(D99,Master_Section!$I:$K,2,FALSE),"")</f>
        <v/>
      </c>
      <c r="J99" s="24" t="str">
        <f>_xlfn.IFNA(VLOOKUP(D99,Master_Section!$I:$K,3,FALSE),"")</f>
        <v/>
      </c>
      <c r="L99" s="70" t="str">
        <f>IF(A99&lt;&gt;"CFA",_xlfn.IFNA(VLOOKUP($G99,Master!$AE:$AI,5,0),""),"")</f>
        <v/>
      </c>
      <c r="P99" s="26" t="str">
        <f t="shared" si="2"/>
        <v/>
      </c>
      <c r="Q99" s="37">
        <f t="shared" si="3"/>
        <v>0</v>
      </c>
    </row>
    <row r="100" spans="2:17" ht="15" customHeight="1">
      <c r="B100" s="25" t="str">
        <f>_xlfn.IFNA(VLOOKUP(C100,Master_Section!$H:$I,2,FALSE),"")</f>
        <v/>
      </c>
      <c r="D100" s="25" t="str">
        <f>_xlfn.IFNA(VLOOKUP(E100,Master_Section!$H:$I,2,FALSE),"")</f>
        <v/>
      </c>
      <c r="F100" s="65" t="str">
        <f>_xlfn.IFNA(VLOOKUP(G100,Master!AE:AF,2,FALSE),"")</f>
        <v/>
      </c>
      <c r="I100" s="24" t="str">
        <f>_xlfn.IFNA(VLOOKUP(D100,Master_Section!$I:$K,2,FALSE),"")</f>
        <v/>
      </c>
      <c r="J100" s="24" t="str">
        <f>_xlfn.IFNA(VLOOKUP(D100,Master_Section!$I:$K,3,FALSE),"")</f>
        <v/>
      </c>
      <c r="L100" s="70" t="str">
        <f>IF(A100&lt;&gt;"CFA",_xlfn.IFNA(VLOOKUP($G100,Master!$AE:$AI,5,0),""),"")</f>
        <v/>
      </c>
      <c r="P100" s="26" t="str">
        <f t="shared" si="2"/>
        <v/>
      </c>
      <c r="Q100" s="37">
        <f t="shared" si="3"/>
        <v>0</v>
      </c>
    </row>
    <row r="101" spans="2:17" ht="15" customHeight="1">
      <c r="B101" s="25" t="str">
        <f>_xlfn.IFNA(VLOOKUP(C101,Master_Section!$H:$I,2,FALSE),"")</f>
        <v/>
      </c>
      <c r="D101" s="25" t="str">
        <f>_xlfn.IFNA(VLOOKUP(E101,Master_Section!$H:$I,2,FALSE),"")</f>
        <v/>
      </c>
      <c r="F101" s="65" t="str">
        <f>_xlfn.IFNA(VLOOKUP(G101,Master!AE:AF,2,FALSE),"")</f>
        <v/>
      </c>
      <c r="I101" s="24" t="str">
        <f>_xlfn.IFNA(VLOOKUP(D101,Master_Section!$I:$K,2,FALSE),"")</f>
        <v/>
      </c>
      <c r="J101" s="24" t="str">
        <f>_xlfn.IFNA(VLOOKUP(D101,Master_Section!$I:$K,3,FALSE),"")</f>
        <v/>
      </c>
      <c r="L101" s="70" t="str">
        <f>IF(A101&lt;&gt;"CFA",_xlfn.IFNA(VLOOKUP($G101,Master!$AE:$AI,5,0),""),"")</f>
        <v/>
      </c>
      <c r="P101" s="26" t="str">
        <f t="shared" si="2"/>
        <v/>
      </c>
      <c r="Q101" s="37">
        <f t="shared" si="3"/>
        <v>0</v>
      </c>
    </row>
    <row r="102" spans="2:17" ht="15" customHeight="1">
      <c r="B102" s="25" t="str">
        <f>_xlfn.IFNA(VLOOKUP(C102,Master_Section!$H:$I,2,FALSE),"")</f>
        <v/>
      </c>
      <c r="D102" s="25" t="str">
        <f>_xlfn.IFNA(VLOOKUP(E102,Master_Section!$H:$I,2,FALSE),"")</f>
        <v/>
      </c>
      <c r="F102" s="65" t="str">
        <f>_xlfn.IFNA(VLOOKUP(G102,Master!AE:AF,2,FALSE),"")</f>
        <v/>
      </c>
      <c r="I102" s="24" t="str">
        <f>_xlfn.IFNA(VLOOKUP(D102,Master_Section!$I:$K,2,FALSE),"")</f>
        <v/>
      </c>
      <c r="J102" s="24" t="str">
        <f>_xlfn.IFNA(VLOOKUP(D102,Master_Section!$I:$K,3,FALSE),"")</f>
        <v/>
      </c>
      <c r="L102" s="70" t="str">
        <f>IF(A102&lt;&gt;"CFA",_xlfn.IFNA(VLOOKUP($G102,Master!$AE:$AI,5,0),""),"")</f>
        <v/>
      </c>
      <c r="P102" s="26" t="str">
        <f t="shared" si="2"/>
        <v/>
      </c>
      <c r="Q102" s="37">
        <f t="shared" si="3"/>
        <v>0</v>
      </c>
    </row>
    <row r="103" spans="2:17" ht="15" customHeight="1">
      <c r="B103" s="25" t="str">
        <f>_xlfn.IFNA(VLOOKUP(C103,Master_Section!$H:$I,2,FALSE),"")</f>
        <v/>
      </c>
      <c r="D103" s="25" t="str">
        <f>_xlfn.IFNA(VLOOKUP(E103,Master_Section!$H:$I,2,FALSE),"")</f>
        <v/>
      </c>
      <c r="F103" s="65" t="str">
        <f>_xlfn.IFNA(VLOOKUP(G103,Master!AE:AF,2,FALSE),"")</f>
        <v/>
      </c>
      <c r="I103" s="24" t="str">
        <f>_xlfn.IFNA(VLOOKUP(D103,Master_Section!$I:$K,2,FALSE),"")</f>
        <v/>
      </c>
      <c r="J103" s="24" t="str">
        <f>_xlfn.IFNA(VLOOKUP(D103,Master_Section!$I:$K,3,FALSE),"")</f>
        <v/>
      </c>
      <c r="L103" s="70" t="str">
        <f>IF(A103&lt;&gt;"CFA",_xlfn.IFNA(VLOOKUP($G103,Master!$AE:$AI,5,0),""),"")</f>
        <v/>
      </c>
      <c r="P103" s="26" t="str">
        <f t="shared" si="2"/>
        <v/>
      </c>
      <c r="Q103" s="37">
        <f t="shared" si="3"/>
        <v>0</v>
      </c>
    </row>
    <row r="104" spans="2:17" ht="15" customHeight="1">
      <c r="B104" s="25" t="str">
        <f>_xlfn.IFNA(VLOOKUP(C104,Master_Section!$H:$I,2,FALSE),"")</f>
        <v/>
      </c>
      <c r="D104" s="25" t="str">
        <f>_xlfn.IFNA(VLOOKUP(E104,Master_Section!$H:$I,2,FALSE),"")</f>
        <v/>
      </c>
      <c r="F104" s="65" t="str">
        <f>_xlfn.IFNA(VLOOKUP(G104,Master!AE:AF,2,FALSE),"")</f>
        <v/>
      </c>
      <c r="I104" s="24" t="str">
        <f>_xlfn.IFNA(VLOOKUP(D104,Master_Section!$I:$K,2,FALSE),"")</f>
        <v/>
      </c>
      <c r="J104" s="24" t="str">
        <f>_xlfn.IFNA(VLOOKUP(D104,Master_Section!$I:$K,3,FALSE),"")</f>
        <v/>
      </c>
      <c r="L104" s="70" t="str">
        <f>IF(A104&lt;&gt;"CFA",_xlfn.IFNA(VLOOKUP($G104,Master!$AE:$AI,5,0),""),"")</f>
        <v/>
      </c>
      <c r="P104" s="26" t="str">
        <f t="shared" si="2"/>
        <v/>
      </c>
      <c r="Q104" s="37">
        <f t="shared" si="3"/>
        <v>0</v>
      </c>
    </row>
    <row r="105" spans="2:17" ht="15" customHeight="1">
      <c r="B105" s="25" t="str">
        <f>_xlfn.IFNA(VLOOKUP(C105,Master_Section!$H:$I,2,FALSE),"")</f>
        <v/>
      </c>
      <c r="D105" s="25" t="str">
        <f>_xlfn.IFNA(VLOOKUP(E105,Master_Section!$H:$I,2,FALSE),"")</f>
        <v/>
      </c>
      <c r="F105" s="65" t="str">
        <f>_xlfn.IFNA(VLOOKUP(G105,Master!AE:AF,2,FALSE),"")</f>
        <v/>
      </c>
      <c r="I105" s="24" t="str">
        <f>_xlfn.IFNA(VLOOKUP(D105,Master_Section!$I:$K,2,FALSE),"")</f>
        <v/>
      </c>
      <c r="J105" s="24" t="str">
        <f>_xlfn.IFNA(VLOOKUP(D105,Master_Section!$I:$K,3,FALSE),"")</f>
        <v/>
      </c>
      <c r="L105" s="70" t="str">
        <f>IF(A105&lt;&gt;"CFA",_xlfn.IFNA(VLOOKUP($G105,Master!$AE:$AI,5,0),""),"")</f>
        <v/>
      </c>
      <c r="P105" s="26" t="str">
        <f t="shared" si="2"/>
        <v/>
      </c>
      <c r="Q105" s="37">
        <f t="shared" si="3"/>
        <v>0</v>
      </c>
    </row>
    <row r="106" spans="2:17" ht="15" customHeight="1">
      <c r="B106" s="25" t="str">
        <f>_xlfn.IFNA(VLOOKUP(C106,Master_Section!$H:$I,2,FALSE),"")</f>
        <v/>
      </c>
      <c r="D106" s="25" t="str">
        <f>_xlfn.IFNA(VLOOKUP(E106,Master_Section!$H:$I,2,FALSE),"")</f>
        <v/>
      </c>
      <c r="F106" s="65" t="str">
        <f>_xlfn.IFNA(VLOOKUP(G106,Master!AE:AF,2,FALSE),"")</f>
        <v/>
      </c>
      <c r="I106" s="24" t="str">
        <f>_xlfn.IFNA(VLOOKUP(D106,Master_Section!$I:$K,2,FALSE),"")</f>
        <v/>
      </c>
      <c r="J106" s="24" t="str">
        <f>_xlfn.IFNA(VLOOKUP(D106,Master_Section!$I:$K,3,FALSE),"")</f>
        <v/>
      </c>
      <c r="L106" s="70" t="str">
        <f>IF(A106&lt;&gt;"CFA",_xlfn.IFNA(VLOOKUP($G106,Master!$AE:$AI,5,0),""),"")</f>
        <v/>
      </c>
      <c r="P106" s="26" t="str">
        <f t="shared" si="2"/>
        <v/>
      </c>
      <c r="Q106" s="37">
        <f t="shared" si="3"/>
        <v>0</v>
      </c>
    </row>
    <row r="107" spans="2:17" ht="15" customHeight="1">
      <c r="B107" s="25" t="str">
        <f>_xlfn.IFNA(VLOOKUP(C107,Master_Section!$H:$I,2,FALSE),"")</f>
        <v/>
      </c>
      <c r="D107" s="25" t="str">
        <f>_xlfn.IFNA(VLOOKUP(E107,Master_Section!$H:$I,2,FALSE),"")</f>
        <v/>
      </c>
      <c r="F107" s="65" t="str">
        <f>_xlfn.IFNA(VLOOKUP(G107,Master!AE:AF,2,FALSE),"")</f>
        <v/>
      </c>
      <c r="I107" s="24" t="str">
        <f>_xlfn.IFNA(VLOOKUP(D107,Master_Section!$I:$K,2,FALSE),"")</f>
        <v/>
      </c>
      <c r="J107" s="24" t="str">
        <f>_xlfn.IFNA(VLOOKUP(D107,Master_Section!$I:$K,3,FALSE),"")</f>
        <v/>
      </c>
      <c r="L107" s="70" t="str">
        <f>IF(A107&lt;&gt;"CFA",_xlfn.IFNA(VLOOKUP($G107,Master!$AE:$AI,5,0),""),"")</f>
        <v/>
      </c>
      <c r="P107" s="26" t="str">
        <f t="shared" si="2"/>
        <v/>
      </c>
      <c r="Q107" s="37">
        <f t="shared" si="3"/>
        <v>0</v>
      </c>
    </row>
    <row r="108" spans="2:17" ht="15" customHeight="1">
      <c r="B108" s="25" t="str">
        <f>_xlfn.IFNA(VLOOKUP(C108,Master_Section!$H:$I,2,FALSE),"")</f>
        <v/>
      </c>
      <c r="D108" s="25" t="str">
        <f>_xlfn.IFNA(VLOOKUP(E108,Master_Section!$H:$I,2,FALSE),"")</f>
        <v/>
      </c>
      <c r="F108" s="65" t="str">
        <f>_xlfn.IFNA(VLOOKUP(G108,Master!AE:AF,2,FALSE),"")</f>
        <v/>
      </c>
      <c r="I108" s="24" t="str">
        <f>_xlfn.IFNA(VLOOKUP(D108,Master_Section!$I:$K,2,FALSE),"")</f>
        <v/>
      </c>
      <c r="J108" s="24" t="str">
        <f>_xlfn.IFNA(VLOOKUP(D108,Master_Section!$I:$K,3,FALSE),"")</f>
        <v/>
      </c>
      <c r="L108" s="70" t="str">
        <f>IF(A108&lt;&gt;"CFA",_xlfn.IFNA(VLOOKUP($G108,Master!$AE:$AI,5,0),""),"")</f>
        <v/>
      </c>
      <c r="P108" s="26" t="str">
        <f t="shared" si="2"/>
        <v/>
      </c>
      <c r="Q108" s="37">
        <f t="shared" si="3"/>
        <v>0</v>
      </c>
    </row>
    <row r="109" spans="2:17" ht="15" customHeight="1">
      <c r="B109" s="25" t="str">
        <f>_xlfn.IFNA(VLOOKUP(C109,Master_Section!$H:$I,2,FALSE),"")</f>
        <v/>
      </c>
      <c r="D109" s="25" t="str">
        <f>_xlfn.IFNA(VLOOKUP(E109,Master_Section!$H:$I,2,FALSE),"")</f>
        <v/>
      </c>
      <c r="F109" s="65" t="str">
        <f>_xlfn.IFNA(VLOOKUP(G109,Master!AE:AF,2,FALSE),"")</f>
        <v/>
      </c>
      <c r="I109" s="24" t="str">
        <f>_xlfn.IFNA(VLOOKUP(D109,Master_Section!$I:$K,2,FALSE),"")</f>
        <v/>
      </c>
      <c r="J109" s="24" t="str">
        <f>_xlfn.IFNA(VLOOKUP(D109,Master_Section!$I:$K,3,FALSE),"")</f>
        <v/>
      </c>
      <c r="L109" s="70" t="str">
        <f>IF(A109&lt;&gt;"CFA",_xlfn.IFNA(VLOOKUP($G109,Master!$AE:$AI,5,0),""),"")</f>
        <v/>
      </c>
      <c r="P109" s="26" t="str">
        <f t="shared" si="2"/>
        <v/>
      </c>
      <c r="Q109" s="37">
        <f t="shared" si="3"/>
        <v>0</v>
      </c>
    </row>
    <row r="110" spans="2:17" ht="15" customHeight="1">
      <c r="B110" s="25" t="str">
        <f>_xlfn.IFNA(VLOOKUP(C110,Master_Section!$H:$I,2,FALSE),"")</f>
        <v/>
      </c>
      <c r="D110" s="25" t="str">
        <f>_xlfn.IFNA(VLOOKUP(E110,Master_Section!$H:$I,2,FALSE),"")</f>
        <v/>
      </c>
      <c r="F110" s="65" t="str">
        <f>_xlfn.IFNA(VLOOKUP(G110,Master!AE:AF,2,FALSE),"")</f>
        <v/>
      </c>
      <c r="I110" s="24" t="str">
        <f>_xlfn.IFNA(VLOOKUP(D110,Master_Section!$I:$K,2,FALSE),"")</f>
        <v/>
      </c>
      <c r="J110" s="24" t="str">
        <f>_xlfn.IFNA(VLOOKUP(D110,Master_Section!$I:$K,3,FALSE),"")</f>
        <v/>
      </c>
      <c r="L110" s="70" t="str">
        <f>IF(A110&lt;&gt;"CFA",_xlfn.IFNA(VLOOKUP($G110,Master!$AE:$AI,5,0),""),"")</f>
        <v/>
      </c>
      <c r="P110" s="26" t="str">
        <f t="shared" si="2"/>
        <v/>
      </c>
      <c r="Q110" s="37">
        <f t="shared" si="3"/>
        <v>0</v>
      </c>
    </row>
    <row r="111" spans="2:17" ht="15" customHeight="1">
      <c r="B111" s="25" t="str">
        <f>_xlfn.IFNA(VLOOKUP(C111,Master_Section!$H:$I,2,FALSE),"")</f>
        <v/>
      </c>
      <c r="D111" s="25" t="str">
        <f>_xlfn.IFNA(VLOOKUP(E111,Master_Section!$H:$I,2,FALSE),"")</f>
        <v/>
      </c>
      <c r="F111" s="65" t="str">
        <f>_xlfn.IFNA(VLOOKUP(G111,Master!AE:AF,2,FALSE),"")</f>
        <v/>
      </c>
      <c r="I111" s="24" t="str">
        <f>_xlfn.IFNA(VLOOKUP(D111,Master_Section!$I:$K,2,FALSE),"")</f>
        <v/>
      </c>
      <c r="J111" s="24" t="str">
        <f>_xlfn.IFNA(VLOOKUP(D111,Master_Section!$I:$K,3,FALSE),"")</f>
        <v/>
      </c>
      <c r="L111" s="70" t="str">
        <f>IF(A111&lt;&gt;"CFA",_xlfn.IFNA(VLOOKUP($G111,Master!$AE:$AI,5,0),""),"")</f>
        <v/>
      </c>
      <c r="P111" s="26" t="str">
        <f t="shared" si="2"/>
        <v/>
      </c>
      <c r="Q111" s="37">
        <f t="shared" si="3"/>
        <v>0</v>
      </c>
    </row>
    <row r="112" spans="2:17" ht="15" customHeight="1">
      <c r="B112" s="25" t="str">
        <f>_xlfn.IFNA(VLOOKUP(C112,Master_Section!$H:$I,2,FALSE),"")</f>
        <v/>
      </c>
      <c r="D112" s="25" t="str">
        <f>_xlfn.IFNA(VLOOKUP(E112,Master_Section!$H:$I,2,FALSE),"")</f>
        <v/>
      </c>
      <c r="F112" s="65" t="str">
        <f>_xlfn.IFNA(VLOOKUP(G112,Master!AE:AF,2,FALSE),"")</f>
        <v/>
      </c>
      <c r="I112" s="24" t="str">
        <f>_xlfn.IFNA(VLOOKUP(D112,Master_Section!$I:$K,2,FALSE),"")</f>
        <v/>
      </c>
      <c r="J112" s="24" t="str">
        <f>_xlfn.IFNA(VLOOKUP(D112,Master_Section!$I:$K,3,FALSE),"")</f>
        <v/>
      </c>
      <c r="L112" s="70" t="str">
        <f>IF(A112&lt;&gt;"CFA",_xlfn.IFNA(VLOOKUP($G112,Master!$AE:$AI,5,0),""),"")</f>
        <v/>
      </c>
      <c r="P112" s="26" t="str">
        <f t="shared" si="2"/>
        <v/>
      </c>
      <c r="Q112" s="37">
        <f t="shared" si="3"/>
        <v>0</v>
      </c>
    </row>
    <row r="113" spans="2:17" ht="15" customHeight="1">
      <c r="B113" s="25" t="str">
        <f>_xlfn.IFNA(VLOOKUP(C113,Master_Section!$H:$I,2,FALSE),"")</f>
        <v/>
      </c>
      <c r="D113" s="25" t="str">
        <f>_xlfn.IFNA(VLOOKUP(E113,Master_Section!$H:$I,2,FALSE),"")</f>
        <v/>
      </c>
      <c r="F113" s="65" t="str">
        <f>_xlfn.IFNA(VLOOKUP(G113,Master!AE:AF,2,FALSE),"")</f>
        <v/>
      </c>
      <c r="I113" s="24" t="str">
        <f>_xlfn.IFNA(VLOOKUP(D113,Master_Section!$I:$K,2,FALSE),"")</f>
        <v/>
      </c>
      <c r="J113" s="24" t="str">
        <f>_xlfn.IFNA(VLOOKUP(D113,Master_Section!$I:$K,3,FALSE),"")</f>
        <v/>
      </c>
      <c r="L113" s="70" t="str">
        <f>IF(A113&lt;&gt;"CFA",_xlfn.IFNA(VLOOKUP($G113,Master!$AE:$AI,5,0),""),"")</f>
        <v/>
      </c>
      <c r="P113" s="26" t="str">
        <f t="shared" si="2"/>
        <v/>
      </c>
      <c r="Q113" s="37">
        <f t="shared" si="3"/>
        <v>0</v>
      </c>
    </row>
    <row r="114" spans="2:17" ht="15" customHeight="1">
      <c r="B114" s="25" t="str">
        <f>_xlfn.IFNA(VLOOKUP(C114,Master_Section!$H:$I,2,FALSE),"")</f>
        <v/>
      </c>
      <c r="D114" s="25" t="str">
        <f>_xlfn.IFNA(VLOOKUP(E114,Master_Section!$H:$I,2,FALSE),"")</f>
        <v/>
      </c>
      <c r="F114" s="65" t="str">
        <f>_xlfn.IFNA(VLOOKUP(G114,Master!AE:AF,2,FALSE),"")</f>
        <v/>
      </c>
      <c r="I114" s="24" t="str">
        <f>_xlfn.IFNA(VLOOKUP(D114,Master_Section!$I:$K,2,FALSE),"")</f>
        <v/>
      </c>
      <c r="J114" s="24" t="str">
        <f>_xlfn.IFNA(VLOOKUP(D114,Master_Section!$I:$K,3,FALSE),"")</f>
        <v/>
      </c>
      <c r="L114" s="70" t="str">
        <f>IF(A114&lt;&gt;"CFA",_xlfn.IFNA(VLOOKUP($G114,Master!$AE:$AI,5,0),""),"")</f>
        <v/>
      </c>
      <c r="P114" s="26" t="str">
        <f t="shared" si="2"/>
        <v/>
      </c>
      <c r="Q114" s="37">
        <f t="shared" si="3"/>
        <v>0</v>
      </c>
    </row>
    <row r="115" spans="2:17" ht="15" customHeight="1">
      <c r="B115" s="25" t="str">
        <f>_xlfn.IFNA(VLOOKUP(C115,Master_Section!$H:$I,2,FALSE),"")</f>
        <v/>
      </c>
      <c r="D115" s="25" t="str">
        <f>_xlfn.IFNA(VLOOKUP(E115,Master_Section!$H:$I,2,FALSE),"")</f>
        <v/>
      </c>
      <c r="F115" s="65" t="str">
        <f>_xlfn.IFNA(VLOOKUP(G115,Master!AE:AF,2,FALSE),"")</f>
        <v/>
      </c>
      <c r="I115" s="24" t="str">
        <f>_xlfn.IFNA(VLOOKUP(D115,Master_Section!$I:$K,2,FALSE),"")</f>
        <v/>
      </c>
      <c r="J115" s="24" t="str">
        <f>_xlfn.IFNA(VLOOKUP(D115,Master_Section!$I:$K,3,FALSE),"")</f>
        <v/>
      </c>
      <c r="L115" s="70" t="str">
        <f>IF(A115&lt;&gt;"CFA",_xlfn.IFNA(VLOOKUP($G115,Master!$AE:$AI,5,0),""),"")</f>
        <v/>
      </c>
      <c r="P115" s="26" t="str">
        <f t="shared" si="2"/>
        <v/>
      </c>
      <c r="Q115" s="37">
        <f t="shared" si="3"/>
        <v>0</v>
      </c>
    </row>
    <row r="116" spans="2:17" ht="15" customHeight="1">
      <c r="B116" s="25" t="str">
        <f>_xlfn.IFNA(VLOOKUP(C116,Master_Section!$H:$I,2,FALSE),"")</f>
        <v/>
      </c>
      <c r="D116" s="25" t="str">
        <f>_xlfn.IFNA(VLOOKUP(E116,Master_Section!$H:$I,2,FALSE),"")</f>
        <v/>
      </c>
      <c r="F116" s="65" t="str">
        <f>_xlfn.IFNA(VLOOKUP(G116,Master!AE:AF,2,FALSE),"")</f>
        <v/>
      </c>
      <c r="I116" s="24" t="str">
        <f>_xlfn.IFNA(VLOOKUP(D116,Master_Section!$I:$K,2,FALSE),"")</f>
        <v/>
      </c>
      <c r="J116" s="24" t="str">
        <f>_xlfn.IFNA(VLOOKUP(D116,Master_Section!$I:$K,3,FALSE),"")</f>
        <v/>
      </c>
      <c r="L116" s="70" t="str">
        <f>IF(A116&lt;&gt;"CFA",_xlfn.IFNA(VLOOKUP($G116,Master!$AE:$AI,5,0),""),"")</f>
        <v/>
      </c>
      <c r="P116" s="26" t="str">
        <f t="shared" si="2"/>
        <v/>
      </c>
      <c r="Q116" s="37">
        <f t="shared" si="3"/>
        <v>0</v>
      </c>
    </row>
    <row r="117" spans="2:17" ht="15" customHeight="1">
      <c r="B117" s="25" t="str">
        <f>_xlfn.IFNA(VLOOKUP(C117,Master_Section!$H:$I,2,FALSE),"")</f>
        <v/>
      </c>
      <c r="D117" s="25" t="str">
        <f>_xlfn.IFNA(VLOOKUP(E117,Master_Section!$H:$I,2,FALSE),"")</f>
        <v/>
      </c>
      <c r="F117" s="65" t="str">
        <f>_xlfn.IFNA(VLOOKUP(G117,Master!AE:AF,2,FALSE),"")</f>
        <v/>
      </c>
      <c r="I117" s="24" t="str">
        <f>_xlfn.IFNA(VLOOKUP(D117,Master_Section!$I:$K,2,FALSE),"")</f>
        <v/>
      </c>
      <c r="J117" s="24" t="str">
        <f>_xlfn.IFNA(VLOOKUP(D117,Master_Section!$I:$K,3,FALSE),"")</f>
        <v/>
      </c>
      <c r="L117" s="70" t="str">
        <f>IF(A117&lt;&gt;"CFA",_xlfn.IFNA(VLOOKUP($G117,Master!$AE:$AI,5,0),""),"")</f>
        <v/>
      </c>
      <c r="P117" s="26" t="str">
        <f t="shared" si="2"/>
        <v/>
      </c>
      <c r="Q117" s="37">
        <f t="shared" si="3"/>
        <v>0</v>
      </c>
    </row>
    <row r="118" spans="2:17" ht="15" customHeight="1">
      <c r="B118" s="25" t="str">
        <f>_xlfn.IFNA(VLOOKUP(C118,Master_Section!$H:$I,2,FALSE),"")</f>
        <v/>
      </c>
      <c r="D118" s="25" t="str">
        <f>_xlfn.IFNA(VLOOKUP(E118,Master_Section!$H:$I,2,FALSE),"")</f>
        <v/>
      </c>
      <c r="F118" s="65" t="str">
        <f>_xlfn.IFNA(VLOOKUP(G118,Master!AE:AF,2,FALSE),"")</f>
        <v/>
      </c>
      <c r="I118" s="24" t="str">
        <f>_xlfn.IFNA(VLOOKUP(D118,Master_Section!$I:$K,2,FALSE),"")</f>
        <v/>
      </c>
      <c r="J118" s="24" t="str">
        <f>_xlfn.IFNA(VLOOKUP(D118,Master_Section!$I:$K,3,FALSE),"")</f>
        <v/>
      </c>
      <c r="L118" s="70" t="str">
        <f>IF(A118&lt;&gt;"CFA",_xlfn.IFNA(VLOOKUP($G118,Master!$AE:$AI,5,0),""),"")</f>
        <v/>
      </c>
      <c r="P118" s="26" t="str">
        <f t="shared" si="2"/>
        <v/>
      </c>
      <c r="Q118" s="37">
        <f t="shared" si="3"/>
        <v>0</v>
      </c>
    </row>
    <row r="119" spans="2:17" ht="15" customHeight="1">
      <c r="B119" s="25" t="str">
        <f>_xlfn.IFNA(VLOOKUP(C119,Master_Section!$H:$I,2,FALSE),"")</f>
        <v/>
      </c>
      <c r="D119" s="25" t="str">
        <f>_xlfn.IFNA(VLOOKUP(E119,Master_Section!$H:$I,2,FALSE),"")</f>
        <v/>
      </c>
      <c r="F119" s="65" t="str">
        <f>_xlfn.IFNA(VLOOKUP(G119,Master!AE:AF,2,FALSE),"")</f>
        <v/>
      </c>
      <c r="I119" s="24" t="str">
        <f>_xlfn.IFNA(VLOOKUP(D119,Master_Section!$I:$K,2,FALSE),"")</f>
        <v/>
      </c>
      <c r="J119" s="24" t="str">
        <f>_xlfn.IFNA(VLOOKUP(D119,Master_Section!$I:$K,3,FALSE),"")</f>
        <v/>
      </c>
      <c r="L119" s="70" t="str">
        <f>IF(A119&lt;&gt;"CFA",_xlfn.IFNA(VLOOKUP($G119,Master!$AE:$AI,5,0),""),"")</f>
        <v/>
      </c>
      <c r="P119" s="26" t="str">
        <f t="shared" ref="P119:P182" si="4">IF(N119&lt;&gt;"",IF(MONTH(N119)&gt;=4,"FY1"&amp;RIGHT(YEAR(N119)+1,2),"FY1"&amp;RIGHT(YEAR(N119),2)),"")</f>
        <v/>
      </c>
      <c r="Q119" s="37">
        <f t="shared" ref="Q119:Q182" si="5">IF(K119&gt;0&amp;M119&gt;0,K119*M119,"")</f>
        <v>0</v>
      </c>
    </row>
    <row r="120" spans="2:17" ht="15" customHeight="1">
      <c r="B120" s="25" t="str">
        <f>_xlfn.IFNA(VLOOKUP(C120,Master_Section!$H:$I,2,FALSE),"")</f>
        <v/>
      </c>
      <c r="D120" s="25" t="str">
        <f>_xlfn.IFNA(VLOOKUP(E120,Master_Section!$H:$I,2,FALSE),"")</f>
        <v/>
      </c>
      <c r="F120" s="65" t="str">
        <f>_xlfn.IFNA(VLOOKUP(G120,Master!AE:AF,2,FALSE),"")</f>
        <v/>
      </c>
      <c r="I120" s="24" t="str">
        <f>_xlfn.IFNA(VLOOKUP(D120,Master_Section!$I:$K,2,FALSE),"")</f>
        <v/>
      </c>
      <c r="J120" s="24" t="str">
        <f>_xlfn.IFNA(VLOOKUP(D120,Master_Section!$I:$K,3,FALSE),"")</f>
        <v/>
      </c>
      <c r="L120" s="70" t="str">
        <f>IF(A120&lt;&gt;"CFA",_xlfn.IFNA(VLOOKUP($G120,Master!$AE:$AI,5,0),""),"")</f>
        <v/>
      </c>
      <c r="P120" s="26" t="str">
        <f t="shared" si="4"/>
        <v/>
      </c>
      <c r="Q120" s="37">
        <f t="shared" si="5"/>
        <v>0</v>
      </c>
    </row>
    <row r="121" spans="2:17" ht="15" customHeight="1">
      <c r="B121" s="25" t="str">
        <f>_xlfn.IFNA(VLOOKUP(C121,Master_Section!$H:$I,2,FALSE),"")</f>
        <v/>
      </c>
      <c r="D121" s="25" t="str">
        <f>_xlfn.IFNA(VLOOKUP(E121,Master_Section!$H:$I,2,FALSE),"")</f>
        <v/>
      </c>
      <c r="F121" s="65" t="str">
        <f>_xlfn.IFNA(VLOOKUP(G121,Master!AE:AF,2,FALSE),"")</f>
        <v/>
      </c>
      <c r="I121" s="24" t="str">
        <f>_xlfn.IFNA(VLOOKUP(D121,Master_Section!$I:$K,2,FALSE),"")</f>
        <v/>
      </c>
      <c r="J121" s="24" t="str">
        <f>_xlfn.IFNA(VLOOKUP(D121,Master_Section!$I:$K,3,FALSE),"")</f>
        <v/>
      </c>
      <c r="L121" s="70" t="str">
        <f>IF(A121&lt;&gt;"CFA",_xlfn.IFNA(VLOOKUP($G121,Master!$AE:$AI,5,0),""),"")</f>
        <v/>
      </c>
      <c r="P121" s="26" t="str">
        <f t="shared" si="4"/>
        <v/>
      </c>
      <c r="Q121" s="37">
        <f t="shared" si="5"/>
        <v>0</v>
      </c>
    </row>
    <row r="122" spans="2:17" ht="15" customHeight="1">
      <c r="B122" s="25" t="str">
        <f>_xlfn.IFNA(VLOOKUP(C122,Master_Section!$H:$I,2,FALSE),"")</f>
        <v/>
      </c>
      <c r="D122" s="25" t="str">
        <f>_xlfn.IFNA(VLOOKUP(E122,Master_Section!$H:$I,2,FALSE),"")</f>
        <v/>
      </c>
      <c r="F122" s="65" t="str">
        <f>_xlfn.IFNA(VLOOKUP(G122,Master!AE:AF,2,FALSE),"")</f>
        <v/>
      </c>
      <c r="I122" s="24" t="str">
        <f>_xlfn.IFNA(VLOOKUP(D122,Master_Section!$I:$K,2,FALSE),"")</f>
        <v/>
      </c>
      <c r="J122" s="24" t="str">
        <f>_xlfn.IFNA(VLOOKUP(D122,Master_Section!$I:$K,3,FALSE),"")</f>
        <v/>
      </c>
      <c r="L122" s="70" t="str">
        <f>IF(A122&lt;&gt;"CFA",_xlfn.IFNA(VLOOKUP($G122,Master!$AE:$AI,5,0),""),"")</f>
        <v/>
      </c>
      <c r="P122" s="26" t="str">
        <f t="shared" si="4"/>
        <v/>
      </c>
      <c r="Q122" s="37">
        <f t="shared" si="5"/>
        <v>0</v>
      </c>
    </row>
    <row r="123" spans="2:17" ht="15" customHeight="1">
      <c r="B123" s="25" t="str">
        <f>_xlfn.IFNA(VLOOKUP(C123,Master_Section!$H:$I,2,FALSE),"")</f>
        <v/>
      </c>
      <c r="D123" s="25" t="str">
        <f>_xlfn.IFNA(VLOOKUP(E123,Master_Section!$H:$I,2,FALSE),"")</f>
        <v/>
      </c>
      <c r="F123" s="65" t="str">
        <f>_xlfn.IFNA(VLOOKUP(G123,Master!AE:AF,2,FALSE),"")</f>
        <v/>
      </c>
      <c r="I123" s="24" t="str">
        <f>_xlfn.IFNA(VLOOKUP(D123,Master_Section!$I:$K,2,FALSE),"")</f>
        <v/>
      </c>
      <c r="J123" s="24" t="str">
        <f>_xlfn.IFNA(VLOOKUP(D123,Master_Section!$I:$K,3,FALSE),"")</f>
        <v/>
      </c>
      <c r="L123" s="70" t="str">
        <f>IF(A123&lt;&gt;"CFA",_xlfn.IFNA(VLOOKUP($G123,Master!$AE:$AI,5,0),""),"")</f>
        <v/>
      </c>
      <c r="P123" s="26" t="str">
        <f t="shared" si="4"/>
        <v/>
      </c>
      <c r="Q123" s="37">
        <f t="shared" si="5"/>
        <v>0</v>
      </c>
    </row>
    <row r="124" spans="2:17" ht="15" customHeight="1">
      <c r="B124" s="25" t="str">
        <f>_xlfn.IFNA(VLOOKUP(C124,Master_Section!$H:$I,2,FALSE),"")</f>
        <v/>
      </c>
      <c r="D124" s="25" t="str">
        <f>_xlfn.IFNA(VLOOKUP(E124,Master_Section!$H:$I,2,FALSE),"")</f>
        <v/>
      </c>
      <c r="F124" s="65" t="str">
        <f>_xlfn.IFNA(VLOOKUP(G124,Master!AE:AF,2,FALSE),"")</f>
        <v/>
      </c>
      <c r="I124" s="24" t="str">
        <f>_xlfn.IFNA(VLOOKUP(D124,Master_Section!$I:$K,2,FALSE),"")</f>
        <v/>
      </c>
      <c r="J124" s="24" t="str">
        <f>_xlfn.IFNA(VLOOKUP(D124,Master_Section!$I:$K,3,FALSE),"")</f>
        <v/>
      </c>
      <c r="L124" s="70" t="str">
        <f>IF(A124&lt;&gt;"CFA",_xlfn.IFNA(VLOOKUP($G124,Master!$AE:$AI,5,0),""),"")</f>
        <v/>
      </c>
      <c r="P124" s="26" t="str">
        <f t="shared" si="4"/>
        <v/>
      </c>
      <c r="Q124" s="37">
        <f t="shared" si="5"/>
        <v>0</v>
      </c>
    </row>
    <row r="125" spans="2:17" ht="15" customHeight="1">
      <c r="B125" s="25" t="str">
        <f>_xlfn.IFNA(VLOOKUP(C125,Master_Section!$H:$I,2,FALSE),"")</f>
        <v/>
      </c>
      <c r="D125" s="25" t="str">
        <f>_xlfn.IFNA(VLOOKUP(E125,Master_Section!$H:$I,2,FALSE),"")</f>
        <v/>
      </c>
      <c r="F125" s="65" t="str">
        <f>_xlfn.IFNA(VLOOKUP(G125,Master!AE:AF,2,FALSE),"")</f>
        <v/>
      </c>
      <c r="I125" s="24" t="str">
        <f>_xlfn.IFNA(VLOOKUP(D125,Master_Section!$I:$K,2,FALSE),"")</f>
        <v/>
      </c>
      <c r="J125" s="24" t="str">
        <f>_xlfn.IFNA(VLOOKUP(D125,Master_Section!$I:$K,3,FALSE),"")</f>
        <v/>
      </c>
      <c r="L125" s="70" t="str">
        <f>IF(A125&lt;&gt;"CFA",_xlfn.IFNA(VLOOKUP($G125,Master!$AE:$AI,5,0),""),"")</f>
        <v/>
      </c>
      <c r="P125" s="26" t="str">
        <f t="shared" si="4"/>
        <v/>
      </c>
      <c r="Q125" s="37">
        <f t="shared" si="5"/>
        <v>0</v>
      </c>
    </row>
    <row r="126" spans="2:17" ht="15" customHeight="1">
      <c r="B126" s="25" t="str">
        <f>_xlfn.IFNA(VLOOKUP(C126,Master_Section!$H:$I,2,FALSE),"")</f>
        <v/>
      </c>
      <c r="D126" s="25" t="str">
        <f>_xlfn.IFNA(VLOOKUP(E126,Master_Section!$H:$I,2,FALSE),"")</f>
        <v/>
      </c>
      <c r="F126" s="65" t="str">
        <f>_xlfn.IFNA(VLOOKUP(G126,Master!AE:AF,2,FALSE),"")</f>
        <v/>
      </c>
      <c r="I126" s="24" t="str">
        <f>_xlfn.IFNA(VLOOKUP(D126,Master_Section!$I:$K,2,FALSE),"")</f>
        <v/>
      </c>
      <c r="J126" s="24" t="str">
        <f>_xlfn.IFNA(VLOOKUP(D126,Master_Section!$I:$K,3,FALSE),"")</f>
        <v/>
      </c>
      <c r="L126" s="70" t="str">
        <f>IF(A126&lt;&gt;"CFA",_xlfn.IFNA(VLOOKUP($G126,Master!$AE:$AI,5,0),""),"")</f>
        <v/>
      </c>
      <c r="P126" s="26" t="str">
        <f t="shared" si="4"/>
        <v/>
      </c>
      <c r="Q126" s="37">
        <f t="shared" si="5"/>
        <v>0</v>
      </c>
    </row>
    <row r="127" spans="2:17" ht="15" customHeight="1">
      <c r="B127" s="25" t="str">
        <f>_xlfn.IFNA(VLOOKUP(C127,Master_Section!$H:$I,2,FALSE),"")</f>
        <v/>
      </c>
      <c r="D127" s="25" t="str">
        <f>_xlfn.IFNA(VLOOKUP(E127,Master_Section!$H:$I,2,FALSE),"")</f>
        <v/>
      </c>
      <c r="F127" s="65" t="str">
        <f>_xlfn.IFNA(VLOOKUP(G127,Master!AE:AF,2,FALSE),"")</f>
        <v/>
      </c>
      <c r="I127" s="24" t="str">
        <f>_xlfn.IFNA(VLOOKUP(D127,Master_Section!$I:$K,2,FALSE),"")</f>
        <v/>
      </c>
      <c r="J127" s="24" t="str">
        <f>_xlfn.IFNA(VLOOKUP(D127,Master_Section!$I:$K,3,FALSE),"")</f>
        <v/>
      </c>
      <c r="L127" s="70" t="str">
        <f>IF(A127&lt;&gt;"CFA",_xlfn.IFNA(VLOOKUP($G127,Master!$AE:$AI,5,0),""),"")</f>
        <v/>
      </c>
      <c r="P127" s="26" t="str">
        <f t="shared" si="4"/>
        <v/>
      </c>
      <c r="Q127" s="37">
        <f t="shared" si="5"/>
        <v>0</v>
      </c>
    </row>
    <row r="128" spans="2:17" ht="15" customHeight="1">
      <c r="B128" s="25" t="str">
        <f>_xlfn.IFNA(VLOOKUP(C128,Master_Section!$H:$I,2,FALSE),"")</f>
        <v/>
      </c>
      <c r="D128" s="25" t="str">
        <f>_xlfn.IFNA(VLOOKUP(E128,Master_Section!$H:$I,2,FALSE),"")</f>
        <v/>
      </c>
      <c r="F128" s="65" t="str">
        <f>_xlfn.IFNA(VLOOKUP(G128,Master!AE:AF,2,FALSE),"")</f>
        <v/>
      </c>
      <c r="I128" s="24" t="str">
        <f>_xlfn.IFNA(VLOOKUP(D128,Master_Section!$I:$K,2,FALSE),"")</f>
        <v/>
      </c>
      <c r="J128" s="24" t="str">
        <f>_xlfn.IFNA(VLOOKUP(D128,Master_Section!$I:$K,3,FALSE),"")</f>
        <v/>
      </c>
      <c r="L128" s="70" t="str">
        <f>IF(A128&lt;&gt;"CFA",_xlfn.IFNA(VLOOKUP($G128,Master!$AE:$AI,5,0),""),"")</f>
        <v/>
      </c>
      <c r="P128" s="26" t="str">
        <f t="shared" si="4"/>
        <v/>
      </c>
      <c r="Q128" s="37">
        <f t="shared" si="5"/>
        <v>0</v>
      </c>
    </row>
    <row r="129" spans="2:17" ht="15" customHeight="1">
      <c r="B129" s="25" t="str">
        <f>_xlfn.IFNA(VLOOKUP(C129,Master_Section!$H:$I,2,FALSE),"")</f>
        <v/>
      </c>
      <c r="D129" s="25" t="str">
        <f>_xlfn.IFNA(VLOOKUP(E129,Master_Section!$H:$I,2,FALSE),"")</f>
        <v/>
      </c>
      <c r="F129" s="65" t="str">
        <f>_xlfn.IFNA(VLOOKUP(G129,Master!AE:AF,2,FALSE),"")</f>
        <v/>
      </c>
      <c r="I129" s="24" t="str">
        <f>_xlfn.IFNA(VLOOKUP(D129,Master_Section!$I:$K,2,FALSE),"")</f>
        <v/>
      </c>
      <c r="J129" s="24" t="str">
        <f>_xlfn.IFNA(VLOOKUP(D129,Master_Section!$I:$K,3,FALSE),"")</f>
        <v/>
      </c>
      <c r="L129" s="70" t="str">
        <f>IF(A129&lt;&gt;"CFA",_xlfn.IFNA(VLOOKUP($G129,Master!$AE:$AI,5,0),""),"")</f>
        <v/>
      </c>
      <c r="P129" s="26" t="str">
        <f t="shared" si="4"/>
        <v/>
      </c>
      <c r="Q129" s="37">
        <f t="shared" si="5"/>
        <v>0</v>
      </c>
    </row>
    <row r="130" spans="2:17" ht="15" customHeight="1">
      <c r="B130" s="25" t="str">
        <f>_xlfn.IFNA(VLOOKUP(C130,Master_Section!$H:$I,2,FALSE),"")</f>
        <v/>
      </c>
      <c r="D130" s="25" t="str">
        <f>_xlfn.IFNA(VLOOKUP(E130,Master_Section!$H:$I,2,FALSE),"")</f>
        <v/>
      </c>
      <c r="F130" s="65" t="str">
        <f>_xlfn.IFNA(VLOOKUP(G130,Master!AE:AF,2,FALSE),"")</f>
        <v/>
      </c>
      <c r="I130" s="24" t="str">
        <f>_xlfn.IFNA(VLOOKUP(D130,Master_Section!$I:$K,2,FALSE),"")</f>
        <v/>
      </c>
      <c r="J130" s="24" t="str">
        <f>_xlfn.IFNA(VLOOKUP(D130,Master_Section!$I:$K,3,FALSE),"")</f>
        <v/>
      </c>
      <c r="L130" s="70" t="str">
        <f>IF(A130&lt;&gt;"CFA",_xlfn.IFNA(VLOOKUP($G130,Master!$AE:$AI,5,0),""),"")</f>
        <v/>
      </c>
      <c r="P130" s="26" t="str">
        <f t="shared" si="4"/>
        <v/>
      </c>
      <c r="Q130" s="37">
        <f t="shared" si="5"/>
        <v>0</v>
      </c>
    </row>
    <row r="131" spans="2:17" ht="15" customHeight="1">
      <c r="B131" s="25" t="str">
        <f>_xlfn.IFNA(VLOOKUP(C131,Master_Section!$H:$I,2,FALSE),"")</f>
        <v/>
      </c>
      <c r="D131" s="25" t="str">
        <f>_xlfn.IFNA(VLOOKUP(E131,Master_Section!$H:$I,2,FALSE),"")</f>
        <v/>
      </c>
      <c r="F131" s="65" t="str">
        <f>_xlfn.IFNA(VLOOKUP(G131,Master!AE:AF,2,FALSE),"")</f>
        <v/>
      </c>
      <c r="I131" s="24" t="str">
        <f>_xlfn.IFNA(VLOOKUP(D131,Master_Section!$I:$K,2,FALSE),"")</f>
        <v/>
      </c>
      <c r="J131" s="24" t="str">
        <f>_xlfn.IFNA(VLOOKUP(D131,Master_Section!$I:$K,3,FALSE),"")</f>
        <v/>
      </c>
      <c r="L131" s="70" t="str">
        <f>IF(A131&lt;&gt;"CFA",_xlfn.IFNA(VLOOKUP($G131,Master!$AE:$AI,5,0),""),"")</f>
        <v/>
      </c>
      <c r="P131" s="26" t="str">
        <f t="shared" si="4"/>
        <v/>
      </c>
      <c r="Q131" s="37">
        <f t="shared" si="5"/>
        <v>0</v>
      </c>
    </row>
    <row r="132" spans="2:17" ht="15" customHeight="1">
      <c r="B132" s="25" t="str">
        <f>_xlfn.IFNA(VLOOKUP(C132,Master_Section!$H:$I,2,FALSE),"")</f>
        <v/>
      </c>
      <c r="D132" s="25" t="str">
        <f>_xlfn.IFNA(VLOOKUP(E132,Master_Section!$H:$I,2,FALSE),"")</f>
        <v/>
      </c>
      <c r="F132" s="65" t="str">
        <f>_xlfn.IFNA(VLOOKUP(G132,Master!AE:AF,2,FALSE),"")</f>
        <v/>
      </c>
      <c r="I132" s="24" t="str">
        <f>_xlfn.IFNA(VLOOKUP(D132,Master_Section!$I:$K,2,FALSE),"")</f>
        <v/>
      </c>
      <c r="J132" s="24" t="str">
        <f>_xlfn.IFNA(VLOOKUP(D132,Master_Section!$I:$K,3,FALSE),"")</f>
        <v/>
      </c>
      <c r="L132" s="70" t="str">
        <f>IF(A132&lt;&gt;"CFA",_xlfn.IFNA(VLOOKUP($G132,Master!$AE:$AI,5,0),""),"")</f>
        <v/>
      </c>
      <c r="P132" s="26" t="str">
        <f t="shared" si="4"/>
        <v/>
      </c>
      <c r="Q132" s="37">
        <f t="shared" si="5"/>
        <v>0</v>
      </c>
    </row>
    <row r="133" spans="2:17" ht="15" customHeight="1">
      <c r="B133" s="25" t="str">
        <f>_xlfn.IFNA(VLOOKUP(C133,Master_Section!$H:$I,2,FALSE),"")</f>
        <v/>
      </c>
      <c r="D133" s="25" t="str">
        <f>_xlfn.IFNA(VLOOKUP(E133,Master_Section!$H:$I,2,FALSE),"")</f>
        <v/>
      </c>
      <c r="F133" s="65" t="str">
        <f>_xlfn.IFNA(VLOOKUP(G133,Master!AE:AF,2,FALSE),"")</f>
        <v/>
      </c>
      <c r="I133" s="24" t="str">
        <f>_xlfn.IFNA(VLOOKUP(D133,Master_Section!$I:$K,2,FALSE),"")</f>
        <v/>
      </c>
      <c r="J133" s="24" t="str">
        <f>_xlfn.IFNA(VLOOKUP(D133,Master_Section!$I:$K,3,FALSE),"")</f>
        <v/>
      </c>
      <c r="L133" s="70" t="str">
        <f>IF(A133&lt;&gt;"CFA",_xlfn.IFNA(VLOOKUP($G133,Master!$AE:$AI,5,0),""),"")</f>
        <v/>
      </c>
      <c r="P133" s="26" t="str">
        <f t="shared" si="4"/>
        <v/>
      </c>
      <c r="Q133" s="37">
        <f t="shared" si="5"/>
        <v>0</v>
      </c>
    </row>
    <row r="134" spans="2:17" ht="15" customHeight="1">
      <c r="B134" s="25" t="str">
        <f>_xlfn.IFNA(VLOOKUP(C134,Master_Section!$H:$I,2,FALSE),"")</f>
        <v/>
      </c>
      <c r="D134" s="25" t="str">
        <f>_xlfn.IFNA(VLOOKUP(E134,Master_Section!$H:$I,2,FALSE),"")</f>
        <v/>
      </c>
      <c r="F134" s="65" t="str">
        <f>_xlfn.IFNA(VLOOKUP(G134,Master!AE:AF,2,FALSE),"")</f>
        <v/>
      </c>
      <c r="I134" s="24" t="str">
        <f>_xlfn.IFNA(VLOOKUP(D134,Master_Section!$I:$K,2,FALSE),"")</f>
        <v/>
      </c>
      <c r="J134" s="24" t="str">
        <f>_xlfn.IFNA(VLOOKUP(D134,Master_Section!$I:$K,3,FALSE),"")</f>
        <v/>
      </c>
      <c r="L134" s="70" t="str">
        <f>IF(A134&lt;&gt;"CFA",_xlfn.IFNA(VLOOKUP($G134,Master!$AE:$AI,5,0),""),"")</f>
        <v/>
      </c>
      <c r="P134" s="26" t="str">
        <f t="shared" si="4"/>
        <v/>
      </c>
      <c r="Q134" s="37">
        <f t="shared" si="5"/>
        <v>0</v>
      </c>
    </row>
    <row r="135" spans="2:17" ht="15" customHeight="1">
      <c r="B135" s="25" t="str">
        <f>_xlfn.IFNA(VLOOKUP(C135,Master_Section!$H:$I,2,FALSE),"")</f>
        <v/>
      </c>
      <c r="D135" s="25" t="str">
        <f>_xlfn.IFNA(VLOOKUP(E135,Master_Section!$H:$I,2,FALSE),"")</f>
        <v/>
      </c>
      <c r="F135" s="65" t="str">
        <f>_xlfn.IFNA(VLOOKUP(G135,Master!AE:AF,2,FALSE),"")</f>
        <v/>
      </c>
      <c r="I135" s="24" t="str">
        <f>_xlfn.IFNA(VLOOKUP(D135,Master_Section!$I:$K,2,FALSE),"")</f>
        <v/>
      </c>
      <c r="J135" s="24" t="str">
        <f>_xlfn.IFNA(VLOOKUP(D135,Master_Section!$I:$K,3,FALSE),"")</f>
        <v/>
      </c>
      <c r="L135" s="70" t="str">
        <f>IF(A135&lt;&gt;"CFA",_xlfn.IFNA(VLOOKUP($G135,Master!$AE:$AI,5,0),""),"")</f>
        <v/>
      </c>
      <c r="P135" s="26" t="str">
        <f t="shared" si="4"/>
        <v/>
      </c>
      <c r="Q135" s="37">
        <f t="shared" si="5"/>
        <v>0</v>
      </c>
    </row>
    <row r="136" spans="2:17" ht="15" customHeight="1">
      <c r="B136" s="25" t="str">
        <f>_xlfn.IFNA(VLOOKUP(C136,Master_Section!$H:$I,2,FALSE),"")</f>
        <v/>
      </c>
      <c r="D136" s="25" t="str">
        <f>_xlfn.IFNA(VLOOKUP(E136,Master_Section!$H:$I,2,FALSE),"")</f>
        <v/>
      </c>
      <c r="F136" s="65" t="str">
        <f>_xlfn.IFNA(VLOOKUP(G136,Master!AE:AF,2,FALSE),"")</f>
        <v/>
      </c>
      <c r="I136" s="24" t="str">
        <f>_xlfn.IFNA(VLOOKUP(D136,Master_Section!$I:$K,2,FALSE),"")</f>
        <v/>
      </c>
      <c r="J136" s="24" t="str">
        <f>_xlfn.IFNA(VLOOKUP(D136,Master_Section!$I:$K,3,FALSE),"")</f>
        <v/>
      </c>
      <c r="L136" s="70" t="str">
        <f>IF(A136&lt;&gt;"CFA",_xlfn.IFNA(VLOOKUP($G136,Master!$AE:$AI,5,0),""),"")</f>
        <v/>
      </c>
      <c r="P136" s="26" t="str">
        <f t="shared" si="4"/>
        <v/>
      </c>
      <c r="Q136" s="37">
        <f t="shared" si="5"/>
        <v>0</v>
      </c>
    </row>
    <row r="137" spans="2:17" ht="15" customHeight="1">
      <c r="B137" s="25" t="str">
        <f>_xlfn.IFNA(VLOOKUP(C137,Master_Section!$H:$I,2,FALSE),"")</f>
        <v/>
      </c>
      <c r="D137" s="25" t="str">
        <f>_xlfn.IFNA(VLOOKUP(E137,Master_Section!$H:$I,2,FALSE),"")</f>
        <v/>
      </c>
      <c r="F137" s="65" t="str">
        <f>_xlfn.IFNA(VLOOKUP(G137,Master!AE:AF,2,FALSE),"")</f>
        <v/>
      </c>
      <c r="I137" s="24" t="str">
        <f>_xlfn.IFNA(VLOOKUP(D137,Master_Section!$I:$K,2,FALSE),"")</f>
        <v/>
      </c>
      <c r="J137" s="24" t="str">
        <f>_xlfn.IFNA(VLOOKUP(D137,Master_Section!$I:$K,3,FALSE),"")</f>
        <v/>
      </c>
      <c r="L137" s="70" t="str">
        <f>IF(A137&lt;&gt;"CFA",_xlfn.IFNA(VLOOKUP($G137,Master!$AE:$AI,5,0),""),"")</f>
        <v/>
      </c>
      <c r="P137" s="26" t="str">
        <f t="shared" si="4"/>
        <v/>
      </c>
      <c r="Q137" s="37">
        <f t="shared" si="5"/>
        <v>0</v>
      </c>
    </row>
    <row r="138" spans="2:17" ht="15" customHeight="1">
      <c r="B138" s="25" t="str">
        <f>_xlfn.IFNA(VLOOKUP(C138,Master_Section!$H:$I,2,FALSE),"")</f>
        <v/>
      </c>
      <c r="D138" s="25" t="str">
        <f>_xlfn.IFNA(VLOOKUP(E138,Master_Section!$H:$I,2,FALSE),"")</f>
        <v/>
      </c>
      <c r="F138" s="65" t="str">
        <f>_xlfn.IFNA(VLOOKUP(G138,Master!AE:AF,2,FALSE),"")</f>
        <v/>
      </c>
      <c r="I138" s="24" t="str">
        <f>_xlfn.IFNA(VLOOKUP(D138,Master_Section!$I:$K,2,FALSE),"")</f>
        <v/>
      </c>
      <c r="J138" s="24" t="str">
        <f>_xlfn.IFNA(VLOOKUP(D138,Master_Section!$I:$K,3,FALSE),"")</f>
        <v/>
      </c>
      <c r="L138" s="70" t="str">
        <f>IF(A138&lt;&gt;"CFA",_xlfn.IFNA(VLOOKUP($G138,Master!$AE:$AI,5,0),""),"")</f>
        <v/>
      </c>
      <c r="P138" s="26" t="str">
        <f t="shared" si="4"/>
        <v/>
      </c>
      <c r="Q138" s="37">
        <f t="shared" si="5"/>
        <v>0</v>
      </c>
    </row>
    <row r="139" spans="2:17" ht="15" customHeight="1">
      <c r="B139" s="25" t="str">
        <f>_xlfn.IFNA(VLOOKUP(C139,Master_Section!$H:$I,2,FALSE),"")</f>
        <v/>
      </c>
      <c r="D139" s="25" t="str">
        <f>_xlfn.IFNA(VLOOKUP(E139,Master_Section!$H:$I,2,FALSE),"")</f>
        <v/>
      </c>
      <c r="F139" s="65" t="str">
        <f>_xlfn.IFNA(VLOOKUP(G139,Master!AE:AF,2,FALSE),"")</f>
        <v/>
      </c>
      <c r="I139" s="24" t="str">
        <f>_xlfn.IFNA(VLOOKUP(D139,Master_Section!$I:$K,2,FALSE),"")</f>
        <v/>
      </c>
      <c r="J139" s="24" t="str">
        <f>_xlfn.IFNA(VLOOKUP(D139,Master_Section!$I:$K,3,FALSE),"")</f>
        <v/>
      </c>
      <c r="L139" s="70" t="str">
        <f>IF(A139&lt;&gt;"CFA",_xlfn.IFNA(VLOOKUP($G139,Master!$AE:$AI,5,0),""),"")</f>
        <v/>
      </c>
      <c r="P139" s="26" t="str">
        <f t="shared" si="4"/>
        <v/>
      </c>
      <c r="Q139" s="37">
        <f t="shared" si="5"/>
        <v>0</v>
      </c>
    </row>
    <row r="140" spans="2:17" ht="15" customHeight="1">
      <c r="B140" s="25" t="str">
        <f>_xlfn.IFNA(VLOOKUP(C140,Master_Section!$H:$I,2,FALSE),"")</f>
        <v/>
      </c>
      <c r="D140" s="25" t="str">
        <f>_xlfn.IFNA(VLOOKUP(E140,Master_Section!$H:$I,2,FALSE),"")</f>
        <v/>
      </c>
      <c r="F140" s="65" t="str">
        <f>_xlfn.IFNA(VLOOKUP(G140,Master!AE:AF,2,FALSE),"")</f>
        <v/>
      </c>
      <c r="I140" s="24" t="str">
        <f>_xlfn.IFNA(VLOOKUP(D140,Master_Section!$I:$K,2,FALSE),"")</f>
        <v/>
      </c>
      <c r="J140" s="24" t="str">
        <f>_xlfn.IFNA(VLOOKUP(D140,Master_Section!$I:$K,3,FALSE),"")</f>
        <v/>
      </c>
      <c r="L140" s="70" t="str">
        <f>IF(A140&lt;&gt;"CFA",_xlfn.IFNA(VLOOKUP($G140,Master!$AE:$AI,5,0),""),"")</f>
        <v/>
      </c>
      <c r="P140" s="26" t="str">
        <f t="shared" si="4"/>
        <v/>
      </c>
      <c r="Q140" s="37">
        <f t="shared" si="5"/>
        <v>0</v>
      </c>
    </row>
    <row r="141" spans="2:17" ht="15" customHeight="1">
      <c r="B141" s="25" t="str">
        <f>_xlfn.IFNA(VLOOKUP(C141,Master_Section!$H:$I,2,FALSE),"")</f>
        <v/>
      </c>
      <c r="D141" s="25" t="str">
        <f>_xlfn.IFNA(VLOOKUP(E141,Master_Section!$H:$I,2,FALSE),"")</f>
        <v/>
      </c>
      <c r="F141" s="65" t="str">
        <f>_xlfn.IFNA(VLOOKUP(G141,Master!AE:AF,2,FALSE),"")</f>
        <v/>
      </c>
      <c r="I141" s="24" t="str">
        <f>_xlfn.IFNA(VLOOKUP(D141,Master_Section!$I:$K,2,FALSE),"")</f>
        <v/>
      </c>
      <c r="J141" s="24" t="str">
        <f>_xlfn.IFNA(VLOOKUP(D141,Master_Section!$I:$K,3,FALSE),"")</f>
        <v/>
      </c>
      <c r="L141" s="70" t="str">
        <f>IF(A141&lt;&gt;"CFA",_xlfn.IFNA(VLOOKUP($G141,Master!$AE:$AI,5,0),""),"")</f>
        <v/>
      </c>
      <c r="P141" s="26" t="str">
        <f t="shared" si="4"/>
        <v/>
      </c>
      <c r="Q141" s="37">
        <f t="shared" si="5"/>
        <v>0</v>
      </c>
    </row>
    <row r="142" spans="2:17" ht="15" customHeight="1">
      <c r="B142" s="25" t="str">
        <f>_xlfn.IFNA(VLOOKUP(C142,Master_Section!$H:$I,2,FALSE),"")</f>
        <v/>
      </c>
      <c r="D142" s="25" t="str">
        <f>_xlfn.IFNA(VLOOKUP(E142,Master_Section!$H:$I,2,FALSE),"")</f>
        <v/>
      </c>
      <c r="F142" s="65" t="str">
        <f>_xlfn.IFNA(VLOOKUP(G142,Master!AE:AF,2,FALSE),"")</f>
        <v/>
      </c>
      <c r="I142" s="24" t="str">
        <f>_xlfn.IFNA(VLOOKUP(D142,Master_Section!$I:$K,2,FALSE),"")</f>
        <v/>
      </c>
      <c r="J142" s="24" t="str">
        <f>_xlfn.IFNA(VLOOKUP(D142,Master_Section!$I:$K,3,FALSE),"")</f>
        <v/>
      </c>
      <c r="L142" s="70" t="str">
        <f>IF(A142&lt;&gt;"CFA",_xlfn.IFNA(VLOOKUP($G142,Master!$AE:$AI,5,0),""),"")</f>
        <v/>
      </c>
      <c r="P142" s="26" t="str">
        <f t="shared" si="4"/>
        <v/>
      </c>
      <c r="Q142" s="37">
        <f t="shared" si="5"/>
        <v>0</v>
      </c>
    </row>
    <row r="143" spans="2:17" ht="15" customHeight="1">
      <c r="B143" s="25" t="str">
        <f>_xlfn.IFNA(VLOOKUP(C143,Master_Section!$H:$I,2,FALSE),"")</f>
        <v/>
      </c>
      <c r="D143" s="25" t="str">
        <f>_xlfn.IFNA(VLOOKUP(E143,Master_Section!$H:$I,2,FALSE),"")</f>
        <v/>
      </c>
      <c r="F143" s="65" t="str">
        <f>_xlfn.IFNA(VLOOKUP(G143,Master!AE:AF,2,FALSE),"")</f>
        <v/>
      </c>
      <c r="I143" s="24" t="str">
        <f>_xlfn.IFNA(VLOOKUP(D143,Master_Section!$I:$K,2,FALSE),"")</f>
        <v/>
      </c>
      <c r="J143" s="24" t="str">
        <f>_xlfn.IFNA(VLOOKUP(D143,Master_Section!$I:$K,3,FALSE),"")</f>
        <v/>
      </c>
      <c r="L143" s="70" t="str">
        <f>IF(A143&lt;&gt;"CFA",_xlfn.IFNA(VLOOKUP($G143,Master!$AE:$AI,5,0),""),"")</f>
        <v/>
      </c>
      <c r="P143" s="26" t="str">
        <f t="shared" si="4"/>
        <v/>
      </c>
      <c r="Q143" s="37">
        <f t="shared" si="5"/>
        <v>0</v>
      </c>
    </row>
    <row r="144" spans="2:17" ht="15" customHeight="1">
      <c r="B144" s="25" t="str">
        <f>_xlfn.IFNA(VLOOKUP(C144,Master_Section!$H:$I,2,FALSE),"")</f>
        <v/>
      </c>
      <c r="D144" s="25" t="str">
        <f>_xlfn.IFNA(VLOOKUP(E144,Master_Section!$H:$I,2,FALSE),"")</f>
        <v/>
      </c>
      <c r="F144" s="65" t="str">
        <f>_xlfn.IFNA(VLOOKUP(G144,Master!AE:AF,2,FALSE),"")</f>
        <v/>
      </c>
      <c r="I144" s="24" t="str">
        <f>_xlfn.IFNA(VLOOKUP(D144,Master_Section!$I:$K,2,FALSE),"")</f>
        <v/>
      </c>
      <c r="J144" s="24" t="str">
        <f>_xlfn.IFNA(VLOOKUP(D144,Master_Section!$I:$K,3,FALSE),"")</f>
        <v/>
      </c>
      <c r="L144" s="70" t="str">
        <f>IF(A144&lt;&gt;"CFA",_xlfn.IFNA(VLOOKUP($G144,Master!$AE:$AI,5,0),""),"")</f>
        <v/>
      </c>
      <c r="P144" s="26" t="str">
        <f t="shared" si="4"/>
        <v/>
      </c>
      <c r="Q144" s="37">
        <f t="shared" si="5"/>
        <v>0</v>
      </c>
    </row>
    <row r="145" spans="2:17" ht="15" customHeight="1">
      <c r="B145" s="25" t="str">
        <f>_xlfn.IFNA(VLOOKUP(C145,Master_Section!$H:$I,2,FALSE),"")</f>
        <v/>
      </c>
      <c r="D145" s="25" t="str">
        <f>_xlfn.IFNA(VLOOKUP(E145,Master_Section!$H:$I,2,FALSE),"")</f>
        <v/>
      </c>
      <c r="F145" s="65" t="str">
        <f>_xlfn.IFNA(VLOOKUP(G145,Master!AE:AF,2,FALSE),"")</f>
        <v/>
      </c>
      <c r="I145" s="24" t="str">
        <f>_xlfn.IFNA(VLOOKUP(D145,Master_Section!$I:$K,2,FALSE),"")</f>
        <v/>
      </c>
      <c r="J145" s="24" t="str">
        <f>_xlfn.IFNA(VLOOKUP(D145,Master_Section!$I:$K,3,FALSE),"")</f>
        <v/>
      </c>
      <c r="L145" s="70" t="str">
        <f>IF(A145&lt;&gt;"CFA",_xlfn.IFNA(VLOOKUP($G145,Master!$AE:$AI,5,0),""),"")</f>
        <v/>
      </c>
      <c r="P145" s="26" t="str">
        <f t="shared" si="4"/>
        <v/>
      </c>
      <c r="Q145" s="37">
        <f t="shared" si="5"/>
        <v>0</v>
      </c>
    </row>
    <row r="146" spans="2:17" ht="15" customHeight="1">
      <c r="B146" s="25" t="str">
        <f>_xlfn.IFNA(VLOOKUP(C146,Master_Section!$H:$I,2,FALSE),"")</f>
        <v/>
      </c>
      <c r="D146" s="25" t="str">
        <f>_xlfn.IFNA(VLOOKUP(E146,Master_Section!$H:$I,2,FALSE),"")</f>
        <v/>
      </c>
      <c r="F146" s="65" t="str">
        <f>_xlfn.IFNA(VLOOKUP(G146,Master!AE:AF,2,FALSE),"")</f>
        <v/>
      </c>
      <c r="I146" s="24" t="str">
        <f>_xlfn.IFNA(VLOOKUP(D146,Master_Section!$I:$K,2,FALSE),"")</f>
        <v/>
      </c>
      <c r="J146" s="24" t="str">
        <f>_xlfn.IFNA(VLOOKUP(D146,Master_Section!$I:$K,3,FALSE),"")</f>
        <v/>
      </c>
      <c r="L146" s="70" t="str">
        <f>IF(A146&lt;&gt;"CFA",_xlfn.IFNA(VLOOKUP($G146,Master!$AE:$AI,5,0),""),"")</f>
        <v/>
      </c>
      <c r="P146" s="26" t="str">
        <f t="shared" si="4"/>
        <v/>
      </c>
      <c r="Q146" s="37">
        <f t="shared" si="5"/>
        <v>0</v>
      </c>
    </row>
    <row r="147" spans="2:17" ht="15" customHeight="1">
      <c r="B147" s="25" t="str">
        <f>_xlfn.IFNA(VLOOKUP(C147,Master_Section!$H:$I,2,FALSE),"")</f>
        <v/>
      </c>
      <c r="D147" s="25" t="str">
        <f>_xlfn.IFNA(VLOOKUP(E147,Master_Section!$H:$I,2,FALSE),"")</f>
        <v/>
      </c>
      <c r="F147" s="65" t="str">
        <f>_xlfn.IFNA(VLOOKUP(G147,Master!AE:AF,2,FALSE),"")</f>
        <v/>
      </c>
      <c r="I147" s="24" t="str">
        <f>_xlfn.IFNA(VLOOKUP(D147,Master_Section!$I:$K,2,FALSE),"")</f>
        <v/>
      </c>
      <c r="J147" s="24" t="str">
        <f>_xlfn.IFNA(VLOOKUP(D147,Master_Section!$I:$K,3,FALSE),"")</f>
        <v/>
      </c>
      <c r="L147" s="70" t="str">
        <f>IF(A147&lt;&gt;"CFA",_xlfn.IFNA(VLOOKUP($G147,Master!$AE:$AI,5,0),""),"")</f>
        <v/>
      </c>
      <c r="P147" s="26" t="str">
        <f t="shared" si="4"/>
        <v/>
      </c>
      <c r="Q147" s="37">
        <f t="shared" si="5"/>
        <v>0</v>
      </c>
    </row>
    <row r="148" spans="2:17" ht="15" customHeight="1">
      <c r="B148" s="25" t="str">
        <f>_xlfn.IFNA(VLOOKUP(C148,Master_Section!$H:$I,2,FALSE),"")</f>
        <v/>
      </c>
      <c r="D148" s="25" t="str">
        <f>_xlfn.IFNA(VLOOKUP(E148,Master_Section!$H:$I,2,FALSE),"")</f>
        <v/>
      </c>
      <c r="F148" s="65" t="str">
        <f>_xlfn.IFNA(VLOOKUP(G148,Master!AE:AF,2,FALSE),"")</f>
        <v/>
      </c>
      <c r="I148" s="24" t="str">
        <f>_xlfn.IFNA(VLOOKUP(D148,Master_Section!$I:$K,2,FALSE),"")</f>
        <v/>
      </c>
      <c r="J148" s="24" t="str">
        <f>_xlfn.IFNA(VLOOKUP(D148,Master_Section!$I:$K,3,FALSE),"")</f>
        <v/>
      </c>
      <c r="L148" s="70" t="str">
        <f>IF(A148&lt;&gt;"CFA",_xlfn.IFNA(VLOOKUP($G148,Master!$AE:$AI,5,0),""),"")</f>
        <v/>
      </c>
      <c r="P148" s="26" t="str">
        <f t="shared" si="4"/>
        <v/>
      </c>
      <c r="Q148" s="37">
        <f t="shared" si="5"/>
        <v>0</v>
      </c>
    </row>
    <row r="149" spans="2:17" ht="15" customHeight="1">
      <c r="B149" s="25" t="str">
        <f>_xlfn.IFNA(VLOOKUP(C149,Master_Section!$H:$I,2,FALSE),"")</f>
        <v/>
      </c>
      <c r="D149" s="25" t="str">
        <f>_xlfn.IFNA(VLOOKUP(E149,Master_Section!$H:$I,2,FALSE),"")</f>
        <v/>
      </c>
      <c r="F149" s="65" t="str">
        <f>_xlfn.IFNA(VLOOKUP(G149,Master!AE:AF,2,FALSE),"")</f>
        <v/>
      </c>
      <c r="I149" s="24" t="str">
        <f>_xlfn.IFNA(VLOOKUP(D149,Master_Section!$I:$K,2,FALSE),"")</f>
        <v/>
      </c>
      <c r="J149" s="24" t="str">
        <f>_xlfn.IFNA(VLOOKUP(D149,Master_Section!$I:$K,3,FALSE),"")</f>
        <v/>
      </c>
      <c r="L149" s="70" t="str">
        <f>IF(A149&lt;&gt;"CFA",_xlfn.IFNA(VLOOKUP($G149,Master!$AE:$AI,5,0),""),"")</f>
        <v/>
      </c>
      <c r="P149" s="26" t="str">
        <f t="shared" si="4"/>
        <v/>
      </c>
      <c r="Q149" s="37">
        <f t="shared" si="5"/>
        <v>0</v>
      </c>
    </row>
    <row r="150" spans="2:17" ht="15" customHeight="1">
      <c r="B150" s="25" t="str">
        <f>_xlfn.IFNA(VLOOKUP(C150,Master_Section!$H:$I,2,FALSE),"")</f>
        <v/>
      </c>
      <c r="D150" s="25" t="str">
        <f>_xlfn.IFNA(VLOOKUP(E150,Master_Section!$H:$I,2,FALSE),"")</f>
        <v/>
      </c>
      <c r="F150" s="65" t="str">
        <f>_xlfn.IFNA(VLOOKUP(G150,Master!AE:AF,2,FALSE),"")</f>
        <v/>
      </c>
      <c r="I150" s="24" t="str">
        <f>_xlfn.IFNA(VLOOKUP(D150,Master_Section!$I:$K,2,FALSE),"")</f>
        <v/>
      </c>
      <c r="J150" s="24" t="str">
        <f>_xlfn.IFNA(VLOOKUP(D150,Master_Section!$I:$K,3,FALSE),"")</f>
        <v/>
      </c>
      <c r="L150" s="70" t="str">
        <f>IF(A150&lt;&gt;"CFA",_xlfn.IFNA(VLOOKUP($G150,Master!$AE:$AI,5,0),""),"")</f>
        <v/>
      </c>
      <c r="P150" s="26" t="str">
        <f t="shared" si="4"/>
        <v/>
      </c>
      <c r="Q150" s="37">
        <f t="shared" si="5"/>
        <v>0</v>
      </c>
    </row>
    <row r="151" spans="2:17" ht="15" customHeight="1">
      <c r="B151" s="25" t="str">
        <f>_xlfn.IFNA(VLOOKUP(C151,Master_Section!$H:$I,2,FALSE),"")</f>
        <v/>
      </c>
      <c r="D151" s="25" t="str">
        <f>_xlfn.IFNA(VLOOKUP(E151,Master_Section!$H:$I,2,FALSE),"")</f>
        <v/>
      </c>
      <c r="F151" s="65" t="str">
        <f>_xlfn.IFNA(VLOOKUP(G151,Master!AE:AF,2,FALSE),"")</f>
        <v/>
      </c>
      <c r="I151" s="24" t="str">
        <f>_xlfn.IFNA(VLOOKUP(D151,Master_Section!$I:$K,2,FALSE),"")</f>
        <v/>
      </c>
      <c r="J151" s="24" t="str">
        <f>_xlfn.IFNA(VLOOKUP(D151,Master_Section!$I:$K,3,FALSE),"")</f>
        <v/>
      </c>
      <c r="L151" s="70" t="str">
        <f>IF(A151&lt;&gt;"CFA",_xlfn.IFNA(VLOOKUP($G151,Master!$AE:$AI,5,0),""),"")</f>
        <v/>
      </c>
      <c r="P151" s="26" t="str">
        <f t="shared" si="4"/>
        <v/>
      </c>
      <c r="Q151" s="37">
        <f t="shared" si="5"/>
        <v>0</v>
      </c>
    </row>
    <row r="152" spans="2:17" ht="15" customHeight="1">
      <c r="B152" s="25" t="str">
        <f>_xlfn.IFNA(VLOOKUP(C152,Master_Section!$H:$I,2,FALSE),"")</f>
        <v/>
      </c>
      <c r="D152" s="25" t="str">
        <f>_xlfn.IFNA(VLOOKUP(E152,Master_Section!$H:$I,2,FALSE),"")</f>
        <v/>
      </c>
      <c r="F152" s="65" t="str">
        <f>_xlfn.IFNA(VLOOKUP(G152,Master!AE:AF,2,FALSE),"")</f>
        <v/>
      </c>
      <c r="I152" s="24" t="str">
        <f>_xlfn.IFNA(VLOOKUP(D152,Master_Section!$I:$K,2,FALSE),"")</f>
        <v/>
      </c>
      <c r="J152" s="24" t="str">
        <f>_xlfn.IFNA(VLOOKUP(D152,Master_Section!$I:$K,3,FALSE),"")</f>
        <v/>
      </c>
      <c r="L152" s="70" t="str">
        <f>IF(A152&lt;&gt;"CFA",_xlfn.IFNA(VLOOKUP($G152,Master!$AE:$AI,5,0),""),"")</f>
        <v/>
      </c>
      <c r="P152" s="26" t="str">
        <f t="shared" si="4"/>
        <v/>
      </c>
      <c r="Q152" s="37">
        <f t="shared" si="5"/>
        <v>0</v>
      </c>
    </row>
    <row r="153" spans="2:17" ht="15" customHeight="1">
      <c r="B153" s="25" t="str">
        <f>_xlfn.IFNA(VLOOKUP(C153,Master_Section!$H:$I,2,FALSE),"")</f>
        <v/>
      </c>
      <c r="D153" s="25" t="str">
        <f>_xlfn.IFNA(VLOOKUP(E153,Master_Section!$H:$I,2,FALSE),"")</f>
        <v/>
      </c>
      <c r="F153" s="65" t="str">
        <f>_xlfn.IFNA(VLOOKUP(G153,Master!AE:AF,2,FALSE),"")</f>
        <v/>
      </c>
      <c r="I153" s="24" t="str">
        <f>_xlfn.IFNA(VLOOKUP(D153,Master_Section!$I:$K,2,FALSE),"")</f>
        <v/>
      </c>
      <c r="J153" s="24" t="str">
        <f>_xlfn.IFNA(VLOOKUP(D153,Master_Section!$I:$K,3,FALSE),"")</f>
        <v/>
      </c>
      <c r="L153" s="70" t="str">
        <f>IF(A153&lt;&gt;"CFA",_xlfn.IFNA(VLOOKUP($G153,Master!$AE:$AI,5,0),""),"")</f>
        <v/>
      </c>
      <c r="P153" s="26" t="str">
        <f t="shared" si="4"/>
        <v/>
      </c>
      <c r="Q153" s="37">
        <f t="shared" si="5"/>
        <v>0</v>
      </c>
    </row>
    <row r="154" spans="2:17" ht="15" customHeight="1">
      <c r="B154" s="25" t="str">
        <f>_xlfn.IFNA(VLOOKUP(C154,Master_Section!$H:$I,2,FALSE),"")</f>
        <v/>
      </c>
      <c r="D154" s="25" t="str">
        <f>_xlfn.IFNA(VLOOKUP(E154,Master_Section!$H:$I,2,FALSE),"")</f>
        <v/>
      </c>
      <c r="F154" s="65" t="str">
        <f>_xlfn.IFNA(VLOOKUP(G154,Master!AE:AF,2,FALSE),"")</f>
        <v/>
      </c>
      <c r="I154" s="24" t="str">
        <f>_xlfn.IFNA(VLOOKUP(D154,Master_Section!$I:$K,2,FALSE),"")</f>
        <v/>
      </c>
      <c r="J154" s="24" t="str">
        <f>_xlfn.IFNA(VLOOKUP(D154,Master_Section!$I:$K,3,FALSE),"")</f>
        <v/>
      </c>
      <c r="L154" s="70" t="str">
        <f>IF(A154&lt;&gt;"CFA",_xlfn.IFNA(VLOOKUP($G154,Master!$AE:$AI,5,0),""),"")</f>
        <v/>
      </c>
      <c r="P154" s="26" t="str">
        <f t="shared" si="4"/>
        <v/>
      </c>
      <c r="Q154" s="37">
        <f t="shared" si="5"/>
        <v>0</v>
      </c>
    </row>
    <row r="155" spans="2:17" ht="15" customHeight="1">
      <c r="B155" s="25" t="str">
        <f>_xlfn.IFNA(VLOOKUP(C155,Master_Section!$H:$I,2,FALSE),"")</f>
        <v/>
      </c>
      <c r="D155" s="25" t="str">
        <f>_xlfn.IFNA(VLOOKUP(E155,Master_Section!$H:$I,2,FALSE),"")</f>
        <v/>
      </c>
      <c r="F155" s="65" t="str">
        <f>_xlfn.IFNA(VLOOKUP(G155,Master!AE:AF,2,FALSE),"")</f>
        <v/>
      </c>
      <c r="I155" s="24" t="str">
        <f>_xlfn.IFNA(VLOOKUP(D155,Master_Section!$I:$K,2,FALSE),"")</f>
        <v/>
      </c>
      <c r="J155" s="24" t="str">
        <f>_xlfn.IFNA(VLOOKUP(D155,Master_Section!$I:$K,3,FALSE),"")</f>
        <v/>
      </c>
      <c r="L155" s="70" t="str">
        <f>IF(A155&lt;&gt;"CFA",_xlfn.IFNA(VLOOKUP($G155,Master!$AE:$AI,5,0),""),"")</f>
        <v/>
      </c>
      <c r="P155" s="26" t="str">
        <f t="shared" si="4"/>
        <v/>
      </c>
      <c r="Q155" s="37">
        <f t="shared" si="5"/>
        <v>0</v>
      </c>
    </row>
    <row r="156" spans="2:17" ht="15" customHeight="1">
      <c r="B156" s="25" t="str">
        <f>_xlfn.IFNA(VLOOKUP(C156,Master_Section!$H:$I,2,FALSE),"")</f>
        <v/>
      </c>
      <c r="D156" s="25" t="str">
        <f>_xlfn.IFNA(VLOOKUP(E156,Master_Section!$H:$I,2,FALSE),"")</f>
        <v/>
      </c>
      <c r="F156" s="65" t="str">
        <f>_xlfn.IFNA(VLOOKUP(G156,Master!AE:AF,2,FALSE),"")</f>
        <v/>
      </c>
      <c r="I156" s="24" t="str">
        <f>_xlfn.IFNA(VLOOKUP(D156,Master_Section!$I:$K,2,FALSE),"")</f>
        <v/>
      </c>
      <c r="J156" s="24" t="str">
        <f>_xlfn.IFNA(VLOOKUP(D156,Master_Section!$I:$K,3,FALSE),"")</f>
        <v/>
      </c>
      <c r="L156" s="70" t="str">
        <f>IF(A156&lt;&gt;"CFA",_xlfn.IFNA(VLOOKUP($G156,Master!$AE:$AI,5,0),""),"")</f>
        <v/>
      </c>
      <c r="P156" s="26" t="str">
        <f t="shared" si="4"/>
        <v/>
      </c>
      <c r="Q156" s="37">
        <f t="shared" si="5"/>
        <v>0</v>
      </c>
    </row>
    <row r="157" spans="2:17" ht="15" customHeight="1">
      <c r="B157" s="25" t="str">
        <f>_xlfn.IFNA(VLOOKUP(C157,Master_Section!$H:$I,2,FALSE),"")</f>
        <v/>
      </c>
      <c r="D157" s="25" t="str">
        <f>_xlfn.IFNA(VLOOKUP(E157,Master_Section!$H:$I,2,FALSE),"")</f>
        <v/>
      </c>
      <c r="F157" s="65" t="str">
        <f>_xlfn.IFNA(VLOOKUP(G157,Master!AE:AF,2,FALSE),"")</f>
        <v/>
      </c>
      <c r="I157" s="24" t="str">
        <f>_xlfn.IFNA(VLOOKUP(D157,Master_Section!$I:$K,2,FALSE),"")</f>
        <v/>
      </c>
      <c r="J157" s="24" t="str">
        <f>_xlfn.IFNA(VLOOKUP(D157,Master_Section!$I:$K,3,FALSE),"")</f>
        <v/>
      </c>
      <c r="L157" s="70" t="str">
        <f>IF(A157&lt;&gt;"CFA",_xlfn.IFNA(VLOOKUP($G157,Master!$AE:$AI,5,0),""),"")</f>
        <v/>
      </c>
      <c r="P157" s="26" t="str">
        <f t="shared" si="4"/>
        <v/>
      </c>
      <c r="Q157" s="37">
        <f t="shared" si="5"/>
        <v>0</v>
      </c>
    </row>
    <row r="158" spans="2:17" ht="15" customHeight="1">
      <c r="B158" s="25" t="str">
        <f>_xlfn.IFNA(VLOOKUP(C158,Master_Section!$H:$I,2,FALSE),"")</f>
        <v/>
      </c>
      <c r="D158" s="25" t="str">
        <f>_xlfn.IFNA(VLOOKUP(E158,Master_Section!$H:$I,2,FALSE),"")</f>
        <v/>
      </c>
      <c r="F158" s="65" t="str">
        <f>_xlfn.IFNA(VLOOKUP(G158,Master!AE:AF,2,FALSE),"")</f>
        <v/>
      </c>
      <c r="I158" s="24" t="str">
        <f>_xlfn.IFNA(VLOOKUP(D158,Master_Section!$I:$K,2,FALSE),"")</f>
        <v/>
      </c>
      <c r="J158" s="24" t="str">
        <f>_xlfn.IFNA(VLOOKUP(D158,Master_Section!$I:$K,3,FALSE),"")</f>
        <v/>
      </c>
      <c r="L158" s="70" t="str">
        <f>IF(A158&lt;&gt;"CFA",_xlfn.IFNA(VLOOKUP($G158,Master!$AE:$AI,5,0),""),"")</f>
        <v/>
      </c>
      <c r="P158" s="26" t="str">
        <f t="shared" si="4"/>
        <v/>
      </c>
      <c r="Q158" s="37">
        <f t="shared" si="5"/>
        <v>0</v>
      </c>
    </row>
    <row r="159" spans="2:17" ht="15" customHeight="1">
      <c r="B159" s="25" t="str">
        <f>_xlfn.IFNA(VLOOKUP(C159,Master_Section!$H:$I,2,FALSE),"")</f>
        <v/>
      </c>
      <c r="D159" s="25" t="str">
        <f>_xlfn.IFNA(VLOOKUP(E159,Master_Section!$H:$I,2,FALSE),"")</f>
        <v/>
      </c>
      <c r="F159" s="65" t="str">
        <f>_xlfn.IFNA(VLOOKUP(G159,Master!AE:AF,2,FALSE),"")</f>
        <v/>
      </c>
      <c r="I159" s="24" t="str">
        <f>_xlfn.IFNA(VLOOKUP(D159,Master_Section!$I:$K,2,FALSE),"")</f>
        <v/>
      </c>
      <c r="J159" s="24" t="str">
        <f>_xlfn.IFNA(VLOOKUP(D159,Master_Section!$I:$K,3,FALSE),"")</f>
        <v/>
      </c>
      <c r="L159" s="70" t="str">
        <f>IF(A159&lt;&gt;"CFA",_xlfn.IFNA(VLOOKUP($G159,Master!$AE:$AI,5,0),""),"")</f>
        <v/>
      </c>
      <c r="P159" s="26" t="str">
        <f t="shared" si="4"/>
        <v/>
      </c>
      <c r="Q159" s="37">
        <f t="shared" si="5"/>
        <v>0</v>
      </c>
    </row>
    <row r="160" spans="2:17" ht="15" customHeight="1">
      <c r="B160" s="25" t="str">
        <f>_xlfn.IFNA(VLOOKUP(C160,Master_Section!$H:$I,2,FALSE),"")</f>
        <v/>
      </c>
      <c r="D160" s="25" t="str">
        <f>_xlfn.IFNA(VLOOKUP(E160,Master_Section!$H:$I,2,FALSE),"")</f>
        <v/>
      </c>
      <c r="F160" s="65" t="str">
        <f>_xlfn.IFNA(VLOOKUP(G160,Master!AE:AF,2,FALSE),"")</f>
        <v/>
      </c>
      <c r="I160" s="24" t="str">
        <f>_xlfn.IFNA(VLOOKUP(D160,Master_Section!$I:$K,2,FALSE),"")</f>
        <v/>
      </c>
      <c r="J160" s="24" t="str">
        <f>_xlfn.IFNA(VLOOKUP(D160,Master_Section!$I:$K,3,FALSE),"")</f>
        <v/>
      </c>
      <c r="L160" s="70" t="str">
        <f>IF(A160&lt;&gt;"CFA",_xlfn.IFNA(VLOOKUP($G160,Master!$AE:$AI,5,0),""),"")</f>
        <v/>
      </c>
      <c r="P160" s="26" t="str">
        <f t="shared" si="4"/>
        <v/>
      </c>
      <c r="Q160" s="37">
        <f t="shared" si="5"/>
        <v>0</v>
      </c>
    </row>
    <row r="161" spans="2:17" ht="15" customHeight="1">
      <c r="B161" s="25" t="str">
        <f>_xlfn.IFNA(VLOOKUP(C161,Master_Section!$H:$I,2,FALSE),"")</f>
        <v/>
      </c>
      <c r="D161" s="25" t="str">
        <f>_xlfn.IFNA(VLOOKUP(E161,Master_Section!$H:$I,2,FALSE),"")</f>
        <v/>
      </c>
      <c r="F161" s="65" t="str">
        <f>_xlfn.IFNA(VLOOKUP(G161,Master!AE:AF,2,FALSE),"")</f>
        <v/>
      </c>
      <c r="I161" s="24" t="str">
        <f>_xlfn.IFNA(VLOOKUP(D161,Master_Section!$I:$K,2,FALSE),"")</f>
        <v/>
      </c>
      <c r="J161" s="24" t="str">
        <f>_xlfn.IFNA(VLOOKUP(D161,Master_Section!$I:$K,3,FALSE),"")</f>
        <v/>
      </c>
      <c r="L161" s="70" t="str">
        <f>IF(A161&lt;&gt;"CFA",_xlfn.IFNA(VLOOKUP($G161,Master!$AE:$AI,5,0),""),"")</f>
        <v/>
      </c>
      <c r="P161" s="26" t="str">
        <f t="shared" si="4"/>
        <v/>
      </c>
      <c r="Q161" s="37">
        <f t="shared" si="5"/>
        <v>0</v>
      </c>
    </row>
    <row r="162" spans="2:17" ht="15" customHeight="1">
      <c r="B162" s="25" t="str">
        <f>_xlfn.IFNA(VLOOKUP(C162,Master_Section!$H:$I,2,FALSE),"")</f>
        <v/>
      </c>
      <c r="D162" s="25" t="str">
        <f>_xlfn.IFNA(VLOOKUP(E162,Master_Section!$H:$I,2,FALSE),"")</f>
        <v/>
      </c>
      <c r="F162" s="65" t="str">
        <f>_xlfn.IFNA(VLOOKUP(G162,Master!AE:AF,2,FALSE),"")</f>
        <v/>
      </c>
      <c r="I162" s="24" t="str">
        <f>_xlfn.IFNA(VLOOKUP(D162,Master_Section!$I:$K,2,FALSE),"")</f>
        <v/>
      </c>
      <c r="J162" s="24" t="str">
        <f>_xlfn.IFNA(VLOOKUP(D162,Master_Section!$I:$K,3,FALSE),"")</f>
        <v/>
      </c>
      <c r="L162" s="70" t="str">
        <f>IF(A162&lt;&gt;"CFA",_xlfn.IFNA(VLOOKUP($G162,Master!$AE:$AI,5,0),""),"")</f>
        <v/>
      </c>
      <c r="P162" s="26" t="str">
        <f t="shared" si="4"/>
        <v/>
      </c>
      <c r="Q162" s="37">
        <f t="shared" si="5"/>
        <v>0</v>
      </c>
    </row>
    <row r="163" spans="2:17" ht="15" customHeight="1">
      <c r="B163" s="25" t="str">
        <f>_xlfn.IFNA(VLOOKUP(C163,Master_Section!$H:$I,2,FALSE),"")</f>
        <v/>
      </c>
      <c r="D163" s="25" t="str">
        <f>_xlfn.IFNA(VLOOKUP(E163,Master_Section!$H:$I,2,FALSE),"")</f>
        <v/>
      </c>
      <c r="F163" s="65" t="str">
        <f>_xlfn.IFNA(VLOOKUP(G163,Master!AE:AF,2,FALSE),"")</f>
        <v/>
      </c>
      <c r="I163" s="24" t="str">
        <f>_xlfn.IFNA(VLOOKUP(D163,Master_Section!$I:$K,2,FALSE),"")</f>
        <v/>
      </c>
      <c r="J163" s="24" t="str">
        <f>_xlfn.IFNA(VLOOKUP(D163,Master_Section!$I:$K,3,FALSE),"")</f>
        <v/>
      </c>
      <c r="L163" s="70" t="str">
        <f>IF(A163&lt;&gt;"CFA",_xlfn.IFNA(VLOOKUP($G163,Master!$AE:$AI,5,0),""),"")</f>
        <v/>
      </c>
      <c r="P163" s="26" t="str">
        <f t="shared" si="4"/>
        <v/>
      </c>
      <c r="Q163" s="37">
        <f t="shared" si="5"/>
        <v>0</v>
      </c>
    </row>
    <row r="164" spans="2:17" ht="15" customHeight="1">
      <c r="B164" s="25" t="str">
        <f>_xlfn.IFNA(VLOOKUP(C164,Master_Section!$H:$I,2,FALSE),"")</f>
        <v/>
      </c>
      <c r="D164" s="25" t="str">
        <f>_xlfn.IFNA(VLOOKUP(E164,Master_Section!$H:$I,2,FALSE),"")</f>
        <v/>
      </c>
      <c r="F164" s="65" t="str">
        <f>_xlfn.IFNA(VLOOKUP(G164,Master!AE:AF,2,FALSE),"")</f>
        <v/>
      </c>
      <c r="I164" s="24" t="str">
        <f>_xlfn.IFNA(VLOOKUP(D164,Master_Section!$I:$K,2,FALSE),"")</f>
        <v/>
      </c>
      <c r="J164" s="24" t="str">
        <f>_xlfn.IFNA(VLOOKUP(D164,Master_Section!$I:$K,3,FALSE),"")</f>
        <v/>
      </c>
      <c r="L164" s="70" t="str">
        <f>IF(A164&lt;&gt;"CFA",_xlfn.IFNA(VLOOKUP($G164,Master!$AE:$AI,5,0),""),"")</f>
        <v/>
      </c>
      <c r="P164" s="26" t="str">
        <f t="shared" si="4"/>
        <v/>
      </c>
      <c r="Q164" s="37">
        <f t="shared" si="5"/>
        <v>0</v>
      </c>
    </row>
    <row r="165" spans="2:17" ht="15" customHeight="1">
      <c r="B165" s="25" t="str">
        <f>_xlfn.IFNA(VLOOKUP(C165,Master_Section!$H:$I,2,FALSE),"")</f>
        <v/>
      </c>
      <c r="D165" s="25" t="str">
        <f>_xlfn.IFNA(VLOOKUP(E165,Master_Section!$H:$I,2,FALSE),"")</f>
        <v/>
      </c>
      <c r="F165" s="65" t="str">
        <f>_xlfn.IFNA(VLOOKUP(G165,Master!AE:AF,2,FALSE),"")</f>
        <v/>
      </c>
      <c r="I165" s="24" t="str">
        <f>_xlfn.IFNA(VLOOKUP(D165,Master_Section!$I:$K,2,FALSE),"")</f>
        <v/>
      </c>
      <c r="J165" s="24" t="str">
        <f>_xlfn.IFNA(VLOOKUP(D165,Master_Section!$I:$K,3,FALSE),"")</f>
        <v/>
      </c>
      <c r="L165" s="70" t="str">
        <f>IF(A165&lt;&gt;"CFA",_xlfn.IFNA(VLOOKUP($G165,Master!$AE:$AI,5,0),""),"")</f>
        <v/>
      </c>
      <c r="P165" s="26" t="str">
        <f t="shared" si="4"/>
        <v/>
      </c>
      <c r="Q165" s="37">
        <f t="shared" si="5"/>
        <v>0</v>
      </c>
    </row>
    <row r="166" spans="2:17" ht="15" customHeight="1">
      <c r="B166" s="25" t="str">
        <f>_xlfn.IFNA(VLOOKUP(C166,Master_Section!$H:$I,2,FALSE),"")</f>
        <v/>
      </c>
      <c r="D166" s="25" t="str">
        <f>_xlfn.IFNA(VLOOKUP(E166,Master_Section!$H:$I,2,FALSE),"")</f>
        <v/>
      </c>
      <c r="F166" s="65" t="str">
        <f>_xlfn.IFNA(VLOOKUP(G166,Master!AE:AF,2,FALSE),"")</f>
        <v/>
      </c>
      <c r="I166" s="24" t="str">
        <f>_xlfn.IFNA(VLOOKUP(D166,Master_Section!$I:$K,2,FALSE),"")</f>
        <v/>
      </c>
      <c r="J166" s="24" t="str">
        <f>_xlfn.IFNA(VLOOKUP(D166,Master_Section!$I:$K,3,FALSE),"")</f>
        <v/>
      </c>
      <c r="L166" s="70" t="str">
        <f>IF(A166&lt;&gt;"CFA",_xlfn.IFNA(VLOOKUP($G166,Master!$AE:$AI,5,0),""),"")</f>
        <v/>
      </c>
      <c r="P166" s="26" t="str">
        <f t="shared" si="4"/>
        <v/>
      </c>
      <c r="Q166" s="37">
        <f t="shared" si="5"/>
        <v>0</v>
      </c>
    </row>
    <row r="167" spans="2:17" ht="15" customHeight="1">
      <c r="B167" s="25" t="str">
        <f>_xlfn.IFNA(VLOOKUP(C167,Master_Section!$H:$I,2,FALSE),"")</f>
        <v/>
      </c>
      <c r="D167" s="25" t="str">
        <f>_xlfn.IFNA(VLOOKUP(E167,Master_Section!$H:$I,2,FALSE),"")</f>
        <v/>
      </c>
      <c r="F167" s="65" t="str">
        <f>_xlfn.IFNA(VLOOKUP(G167,Master!AE:AF,2,FALSE),"")</f>
        <v/>
      </c>
      <c r="I167" s="24" t="str">
        <f>_xlfn.IFNA(VLOOKUP(D167,Master_Section!$I:$K,2,FALSE),"")</f>
        <v/>
      </c>
      <c r="J167" s="24" t="str">
        <f>_xlfn.IFNA(VLOOKUP(D167,Master_Section!$I:$K,3,FALSE),"")</f>
        <v/>
      </c>
      <c r="L167" s="70" t="str">
        <f>IF(A167&lt;&gt;"CFA",_xlfn.IFNA(VLOOKUP($G167,Master!$AE:$AI,5,0),""),"")</f>
        <v/>
      </c>
      <c r="P167" s="26" t="str">
        <f t="shared" si="4"/>
        <v/>
      </c>
      <c r="Q167" s="37">
        <f t="shared" si="5"/>
        <v>0</v>
      </c>
    </row>
    <row r="168" spans="2:17" ht="15" customHeight="1">
      <c r="B168" s="25" t="str">
        <f>_xlfn.IFNA(VLOOKUP(C168,Master_Section!$H:$I,2,FALSE),"")</f>
        <v/>
      </c>
      <c r="D168" s="25" t="str">
        <f>_xlfn.IFNA(VLOOKUP(E168,Master_Section!$H:$I,2,FALSE),"")</f>
        <v/>
      </c>
      <c r="F168" s="65" t="str">
        <f>_xlfn.IFNA(VLOOKUP(G168,Master!AE:AF,2,FALSE),"")</f>
        <v/>
      </c>
      <c r="I168" s="24" t="str">
        <f>_xlfn.IFNA(VLOOKUP(D168,Master_Section!$I:$K,2,FALSE),"")</f>
        <v/>
      </c>
      <c r="J168" s="24" t="str">
        <f>_xlfn.IFNA(VLOOKUP(D168,Master_Section!$I:$K,3,FALSE),"")</f>
        <v/>
      </c>
      <c r="L168" s="70" t="str">
        <f>IF(A168&lt;&gt;"CFA",_xlfn.IFNA(VLOOKUP($G168,Master!$AE:$AI,5,0),""),"")</f>
        <v/>
      </c>
      <c r="P168" s="26" t="str">
        <f t="shared" si="4"/>
        <v/>
      </c>
      <c r="Q168" s="37">
        <f t="shared" si="5"/>
        <v>0</v>
      </c>
    </row>
    <row r="169" spans="2:17" ht="15" customHeight="1">
      <c r="B169" s="25" t="str">
        <f>_xlfn.IFNA(VLOOKUP(C169,Master_Section!$H:$I,2,FALSE),"")</f>
        <v/>
      </c>
      <c r="D169" s="25" t="str">
        <f>_xlfn.IFNA(VLOOKUP(E169,Master_Section!$H:$I,2,FALSE),"")</f>
        <v/>
      </c>
      <c r="F169" s="65" t="str">
        <f>_xlfn.IFNA(VLOOKUP(G169,Master!AE:AF,2,FALSE),"")</f>
        <v/>
      </c>
      <c r="I169" s="24" t="str">
        <f>_xlfn.IFNA(VLOOKUP(D169,Master_Section!$I:$K,2,FALSE),"")</f>
        <v/>
      </c>
      <c r="J169" s="24" t="str">
        <f>_xlfn.IFNA(VLOOKUP(D169,Master_Section!$I:$K,3,FALSE),"")</f>
        <v/>
      </c>
      <c r="L169" s="70" t="str">
        <f>IF(A169&lt;&gt;"CFA",_xlfn.IFNA(VLOOKUP($G169,Master!$AE:$AI,5,0),""),"")</f>
        <v/>
      </c>
      <c r="P169" s="26" t="str">
        <f t="shared" si="4"/>
        <v/>
      </c>
      <c r="Q169" s="37">
        <f t="shared" si="5"/>
        <v>0</v>
      </c>
    </row>
    <row r="170" spans="2:17" ht="15" customHeight="1">
      <c r="B170" s="25" t="str">
        <f>_xlfn.IFNA(VLOOKUP(C170,Master_Section!$H:$I,2,FALSE),"")</f>
        <v/>
      </c>
      <c r="D170" s="25" t="str">
        <f>_xlfn.IFNA(VLOOKUP(E170,Master_Section!$H:$I,2,FALSE),"")</f>
        <v/>
      </c>
      <c r="F170" s="65" t="str">
        <f>_xlfn.IFNA(VLOOKUP(G170,Master!AE:AF,2,FALSE),"")</f>
        <v/>
      </c>
      <c r="I170" s="24" t="str">
        <f>_xlfn.IFNA(VLOOKUP(D170,Master_Section!$I:$K,2,FALSE),"")</f>
        <v/>
      </c>
      <c r="J170" s="24" t="str">
        <f>_xlfn.IFNA(VLOOKUP(D170,Master_Section!$I:$K,3,FALSE),"")</f>
        <v/>
      </c>
      <c r="L170" s="70" t="str">
        <f>IF(A170&lt;&gt;"CFA",_xlfn.IFNA(VLOOKUP($G170,Master!$AE:$AI,5,0),""),"")</f>
        <v/>
      </c>
      <c r="P170" s="26" t="str">
        <f t="shared" si="4"/>
        <v/>
      </c>
      <c r="Q170" s="37">
        <f t="shared" si="5"/>
        <v>0</v>
      </c>
    </row>
    <row r="171" spans="2:17" ht="15" customHeight="1">
      <c r="B171" s="25" t="str">
        <f>_xlfn.IFNA(VLOOKUP(C171,Master_Section!$H:$I,2,FALSE),"")</f>
        <v/>
      </c>
      <c r="D171" s="25" t="str">
        <f>_xlfn.IFNA(VLOOKUP(E171,Master_Section!$H:$I,2,FALSE),"")</f>
        <v/>
      </c>
      <c r="F171" s="65" t="str">
        <f>_xlfn.IFNA(VLOOKUP(G171,Master!AE:AF,2,FALSE),"")</f>
        <v/>
      </c>
      <c r="I171" s="24" t="str">
        <f>_xlfn.IFNA(VLOOKUP(D171,Master_Section!$I:$K,2,FALSE),"")</f>
        <v/>
      </c>
      <c r="J171" s="24" t="str">
        <f>_xlfn.IFNA(VLOOKUP(D171,Master_Section!$I:$K,3,FALSE),"")</f>
        <v/>
      </c>
      <c r="L171" s="70" t="str">
        <f>IF(A171&lt;&gt;"CFA",_xlfn.IFNA(VLOOKUP($G171,Master!$AE:$AI,5,0),""),"")</f>
        <v/>
      </c>
      <c r="P171" s="26" t="str">
        <f t="shared" si="4"/>
        <v/>
      </c>
      <c r="Q171" s="37">
        <f t="shared" si="5"/>
        <v>0</v>
      </c>
    </row>
    <row r="172" spans="2:17" ht="15" customHeight="1">
      <c r="B172" s="25" t="str">
        <f>_xlfn.IFNA(VLOOKUP(C172,Master_Section!$H:$I,2,FALSE),"")</f>
        <v/>
      </c>
      <c r="D172" s="25" t="str">
        <f>_xlfn.IFNA(VLOOKUP(E172,Master_Section!$H:$I,2,FALSE),"")</f>
        <v/>
      </c>
      <c r="F172" s="65" t="str">
        <f>_xlfn.IFNA(VLOOKUP(G172,Master!AE:AF,2,FALSE),"")</f>
        <v/>
      </c>
      <c r="I172" s="24" t="str">
        <f>_xlfn.IFNA(VLOOKUP(D172,Master_Section!$I:$K,2,FALSE),"")</f>
        <v/>
      </c>
      <c r="J172" s="24" t="str">
        <f>_xlfn.IFNA(VLOOKUP(D172,Master_Section!$I:$K,3,FALSE),"")</f>
        <v/>
      </c>
      <c r="L172" s="70" t="str">
        <f>IF(A172&lt;&gt;"CFA",_xlfn.IFNA(VLOOKUP($G172,Master!$AE:$AI,5,0),""),"")</f>
        <v/>
      </c>
      <c r="P172" s="26" t="str">
        <f t="shared" si="4"/>
        <v/>
      </c>
      <c r="Q172" s="37">
        <f t="shared" si="5"/>
        <v>0</v>
      </c>
    </row>
    <row r="173" spans="2:17" ht="15" customHeight="1">
      <c r="B173" s="25" t="str">
        <f>_xlfn.IFNA(VLOOKUP(C173,Master_Section!$H:$I,2,FALSE),"")</f>
        <v/>
      </c>
      <c r="D173" s="25" t="str">
        <f>_xlfn.IFNA(VLOOKUP(E173,Master_Section!$H:$I,2,FALSE),"")</f>
        <v/>
      </c>
      <c r="F173" s="65" t="str">
        <f>_xlfn.IFNA(VLOOKUP(G173,Master!AE:AF,2,FALSE),"")</f>
        <v/>
      </c>
      <c r="I173" s="24" t="str">
        <f>_xlfn.IFNA(VLOOKUP(D173,Master_Section!$I:$K,2,FALSE),"")</f>
        <v/>
      </c>
      <c r="J173" s="24" t="str">
        <f>_xlfn.IFNA(VLOOKUP(D173,Master_Section!$I:$K,3,FALSE),"")</f>
        <v/>
      </c>
      <c r="L173" s="70" t="str">
        <f>IF(A173&lt;&gt;"CFA",_xlfn.IFNA(VLOOKUP($G173,Master!$AE:$AI,5,0),""),"")</f>
        <v/>
      </c>
      <c r="P173" s="26" t="str">
        <f t="shared" si="4"/>
        <v/>
      </c>
      <c r="Q173" s="37">
        <f t="shared" si="5"/>
        <v>0</v>
      </c>
    </row>
    <row r="174" spans="2:17" ht="15" customHeight="1">
      <c r="B174" s="25" t="str">
        <f>_xlfn.IFNA(VLOOKUP(C174,Master_Section!$H:$I,2,FALSE),"")</f>
        <v/>
      </c>
      <c r="D174" s="25" t="str">
        <f>_xlfn.IFNA(VLOOKUP(E174,Master_Section!$H:$I,2,FALSE),"")</f>
        <v/>
      </c>
      <c r="F174" s="65" t="str">
        <f>_xlfn.IFNA(VLOOKUP(G174,Master!AE:AF,2,FALSE),"")</f>
        <v/>
      </c>
      <c r="I174" s="24" t="str">
        <f>_xlfn.IFNA(VLOOKUP(D174,Master_Section!$I:$K,2,FALSE),"")</f>
        <v/>
      </c>
      <c r="J174" s="24" t="str">
        <f>_xlfn.IFNA(VLOOKUP(D174,Master_Section!$I:$K,3,FALSE),"")</f>
        <v/>
      </c>
      <c r="L174" s="70" t="str">
        <f>IF(A174&lt;&gt;"CFA",_xlfn.IFNA(VLOOKUP($G174,Master!$AE:$AI,5,0),""),"")</f>
        <v/>
      </c>
      <c r="P174" s="26" t="str">
        <f t="shared" si="4"/>
        <v/>
      </c>
      <c r="Q174" s="37">
        <f t="shared" si="5"/>
        <v>0</v>
      </c>
    </row>
    <row r="175" spans="2:17" ht="15" customHeight="1">
      <c r="B175" s="25" t="str">
        <f>_xlfn.IFNA(VLOOKUP(C175,Master_Section!$H:$I,2,FALSE),"")</f>
        <v/>
      </c>
      <c r="D175" s="25" t="str">
        <f>_xlfn.IFNA(VLOOKUP(E175,Master_Section!$H:$I,2,FALSE),"")</f>
        <v/>
      </c>
      <c r="F175" s="65" t="str">
        <f>_xlfn.IFNA(VLOOKUP(G175,Master!AE:AF,2,FALSE),"")</f>
        <v/>
      </c>
      <c r="I175" s="24" t="str">
        <f>_xlfn.IFNA(VLOOKUP(D175,Master_Section!$I:$K,2,FALSE),"")</f>
        <v/>
      </c>
      <c r="J175" s="24" t="str">
        <f>_xlfn.IFNA(VLOOKUP(D175,Master_Section!$I:$K,3,FALSE),"")</f>
        <v/>
      </c>
      <c r="L175" s="70" t="str">
        <f>IF(A175&lt;&gt;"CFA",_xlfn.IFNA(VLOOKUP($G175,Master!$AE:$AI,5,0),""),"")</f>
        <v/>
      </c>
      <c r="P175" s="26" t="str">
        <f t="shared" si="4"/>
        <v/>
      </c>
      <c r="Q175" s="37">
        <f t="shared" si="5"/>
        <v>0</v>
      </c>
    </row>
    <row r="176" spans="2:17" ht="15" customHeight="1">
      <c r="B176" s="25" t="str">
        <f>_xlfn.IFNA(VLOOKUP(C176,Master_Section!$H:$I,2,FALSE),"")</f>
        <v/>
      </c>
      <c r="D176" s="25" t="str">
        <f>_xlfn.IFNA(VLOOKUP(E176,Master_Section!$H:$I,2,FALSE),"")</f>
        <v/>
      </c>
      <c r="F176" s="65" t="str">
        <f>_xlfn.IFNA(VLOOKUP(G176,Master!AE:AF,2,FALSE),"")</f>
        <v/>
      </c>
      <c r="I176" s="24" t="str">
        <f>_xlfn.IFNA(VLOOKUP(D176,Master_Section!$I:$K,2,FALSE),"")</f>
        <v/>
      </c>
      <c r="J176" s="24" t="str">
        <f>_xlfn.IFNA(VLOOKUP(D176,Master_Section!$I:$K,3,FALSE),"")</f>
        <v/>
      </c>
      <c r="L176" s="70" t="str">
        <f>IF(A176&lt;&gt;"CFA",_xlfn.IFNA(VLOOKUP($G176,Master!$AE:$AI,5,0),""),"")</f>
        <v/>
      </c>
      <c r="P176" s="26" t="str">
        <f t="shared" si="4"/>
        <v/>
      </c>
      <c r="Q176" s="37">
        <f t="shared" si="5"/>
        <v>0</v>
      </c>
    </row>
    <row r="177" spans="2:17" ht="15" customHeight="1">
      <c r="B177" s="25" t="str">
        <f>_xlfn.IFNA(VLOOKUP(C177,Master_Section!$H:$I,2,FALSE),"")</f>
        <v/>
      </c>
      <c r="D177" s="25" t="str">
        <f>_xlfn.IFNA(VLOOKUP(E177,Master_Section!$H:$I,2,FALSE),"")</f>
        <v/>
      </c>
      <c r="F177" s="65" t="str">
        <f>_xlfn.IFNA(VLOOKUP(G177,Master!AE:AF,2,FALSE),"")</f>
        <v/>
      </c>
      <c r="I177" s="24" t="str">
        <f>_xlfn.IFNA(VLOOKUP(D177,Master_Section!$I:$K,2,FALSE),"")</f>
        <v/>
      </c>
      <c r="J177" s="24" t="str">
        <f>_xlfn.IFNA(VLOOKUP(D177,Master_Section!$I:$K,3,FALSE),"")</f>
        <v/>
      </c>
      <c r="L177" s="70" t="str">
        <f>IF(A177&lt;&gt;"CFA",_xlfn.IFNA(VLOOKUP($G177,Master!$AE:$AI,5,0),""),"")</f>
        <v/>
      </c>
      <c r="P177" s="26" t="str">
        <f t="shared" si="4"/>
        <v/>
      </c>
      <c r="Q177" s="37">
        <f t="shared" si="5"/>
        <v>0</v>
      </c>
    </row>
    <row r="178" spans="2:17" ht="15" customHeight="1">
      <c r="B178" s="25" t="str">
        <f>_xlfn.IFNA(VLOOKUP(C178,Master_Section!$H:$I,2,FALSE),"")</f>
        <v/>
      </c>
      <c r="D178" s="25" t="str">
        <f>_xlfn.IFNA(VLOOKUP(E178,Master_Section!$H:$I,2,FALSE),"")</f>
        <v/>
      </c>
      <c r="F178" s="65" t="str">
        <f>_xlfn.IFNA(VLOOKUP(G178,Master!AE:AF,2,FALSE),"")</f>
        <v/>
      </c>
      <c r="I178" s="24" t="str">
        <f>_xlfn.IFNA(VLOOKUP(D178,Master_Section!$I:$K,2,FALSE),"")</f>
        <v/>
      </c>
      <c r="J178" s="24" t="str">
        <f>_xlfn.IFNA(VLOOKUP(D178,Master_Section!$I:$K,3,FALSE),"")</f>
        <v/>
      </c>
      <c r="L178" s="70" t="str">
        <f>IF(A178&lt;&gt;"CFA",_xlfn.IFNA(VLOOKUP($G178,Master!$AE:$AI,5,0),""),"")</f>
        <v/>
      </c>
      <c r="P178" s="26" t="str">
        <f t="shared" si="4"/>
        <v/>
      </c>
      <c r="Q178" s="37">
        <f t="shared" si="5"/>
        <v>0</v>
      </c>
    </row>
    <row r="179" spans="2:17" ht="15" customHeight="1">
      <c r="B179" s="25" t="str">
        <f>_xlfn.IFNA(VLOOKUP(C179,Master_Section!$H:$I,2,FALSE),"")</f>
        <v/>
      </c>
      <c r="D179" s="25" t="str">
        <f>_xlfn.IFNA(VLOOKUP(E179,Master_Section!$H:$I,2,FALSE),"")</f>
        <v/>
      </c>
      <c r="F179" s="65" t="str">
        <f>_xlfn.IFNA(VLOOKUP(G179,Master!AE:AF,2,FALSE),"")</f>
        <v/>
      </c>
      <c r="I179" s="24" t="str">
        <f>_xlfn.IFNA(VLOOKUP(D179,Master_Section!$I:$K,2,FALSE),"")</f>
        <v/>
      </c>
      <c r="J179" s="24" t="str">
        <f>_xlfn.IFNA(VLOOKUP(D179,Master_Section!$I:$K,3,FALSE),"")</f>
        <v/>
      </c>
      <c r="L179" s="70" t="str">
        <f>IF(A179&lt;&gt;"CFA",_xlfn.IFNA(VLOOKUP($G179,Master!$AE:$AI,5,0),""),"")</f>
        <v/>
      </c>
      <c r="P179" s="26" t="str">
        <f t="shared" si="4"/>
        <v/>
      </c>
      <c r="Q179" s="37">
        <f t="shared" si="5"/>
        <v>0</v>
      </c>
    </row>
    <row r="180" spans="2:17" ht="15" customHeight="1">
      <c r="B180" s="25" t="str">
        <f>_xlfn.IFNA(VLOOKUP(C180,Master_Section!$H:$I,2,FALSE),"")</f>
        <v/>
      </c>
      <c r="D180" s="25" t="str">
        <f>_xlfn.IFNA(VLOOKUP(E180,Master_Section!$H:$I,2,FALSE),"")</f>
        <v/>
      </c>
      <c r="F180" s="65" t="str">
        <f>_xlfn.IFNA(VLOOKUP(G180,Master!AE:AF,2,FALSE),"")</f>
        <v/>
      </c>
      <c r="I180" s="24" t="str">
        <f>_xlfn.IFNA(VLOOKUP(D180,Master_Section!$I:$K,2,FALSE),"")</f>
        <v/>
      </c>
      <c r="J180" s="24" t="str">
        <f>_xlfn.IFNA(VLOOKUP(D180,Master_Section!$I:$K,3,FALSE),"")</f>
        <v/>
      </c>
      <c r="L180" s="70" t="str">
        <f>IF(A180&lt;&gt;"CFA",_xlfn.IFNA(VLOOKUP($G180,Master!$AE:$AI,5,0),""),"")</f>
        <v/>
      </c>
      <c r="P180" s="26" t="str">
        <f t="shared" si="4"/>
        <v/>
      </c>
      <c r="Q180" s="37">
        <f t="shared" si="5"/>
        <v>0</v>
      </c>
    </row>
    <row r="181" spans="2:17" ht="15" customHeight="1">
      <c r="B181" s="25" t="str">
        <f>_xlfn.IFNA(VLOOKUP(C181,Master_Section!$H:$I,2,FALSE),"")</f>
        <v/>
      </c>
      <c r="D181" s="25" t="str">
        <f>_xlfn.IFNA(VLOOKUP(E181,Master_Section!$H:$I,2,FALSE),"")</f>
        <v/>
      </c>
      <c r="F181" s="65" t="str">
        <f>_xlfn.IFNA(VLOOKUP(G181,Master!AE:AF,2,FALSE),"")</f>
        <v/>
      </c>
      <c r="I181" s="24" t="str">
        <f>_xlfn.IFNA(VLOOKUP(D181,Master_Section!$I:$K,2,FALSE),"")</f>
        <v/>
      </c>
      <c r="J181" s="24" t="str">
        <f>_xlfn.IFNA(VLOOKUP(D181,Master_Section!$I:$K,3,FALSE),"")</f>
        <v/>
      </c>
      <c r="L181" s="70" t="str">
        <f>IF(A181&lt;&gt;"CFA",_xlfn.IFNA(VLOOKUP($G181,Master!$AE:$AI,5,0),""),"")</f>
        <v/>
      </c>
      <c r="P181" s="26" t="str">
        <f t="shared" si="4"/>
        <v/>
      </c>
      <c r="Q181" s="37">
        <f t="shared" si="5"/>
        <v>0</v>
      </c>
    </row>
    <row r="182" spans="2:17" ht="15" customHeight="1">
      <c r="B182" s="25" t="str">
        <f>_xlfn.IFNA(VLOOKUP(C182,Master_Section!$H:$I,2,FALSE),"")</f>
        <v/>
      </c>
      <c r="D182" s="25" t="str">
        <f>_xlfn.IFNA(VLOOKUP(E182,Master_Section!$H:$I,2,FALSE),"")</f>
        <v/>
      </c>
      <c r="F182" s="65" t="str">
        <f>_xlfn.IFNA(VLOOKUP(G182,Master!AE:AF,2,FALSE),"")</f>
        <v/>
      </c>
      <c r="I182" s="24" t="str">
        <f>_xlfn.IFNA(VLOOKUP(D182,Master_Section!$I:$K,2,FALSE),"")</f>
        <v/>
      </c>
      <c r="J182" s="24" t="str">
        <f>_xlfn.IFNA(VLOOKUP(D182,Master_Section!$I:$K,3,FALSE),"")</f>
        <v/>
      </c>
      <c r="L182" s="70" t="str">
        <f>IF(A182&lt;&gt;"CFA",_xlfn.IFNA(VLOOKUP($G182,Master!$AE:$AI,5,0),""),"")</f>
        <v/>
      </c>
      <c r="P182" s="26" t="str">
        <f t="shared" si="4"/>
        <v/>
      </c>
      <c r="Q182" s="37">
        <f t="shared" si="5"/>
        <v>0</v>
      </c>
    </row>
    <row r="183" spans="2:17" ht="15" customHeight="1">
      <c r="B183" s="25" t="str">
        <f>_xlfn.IFNA(VLOOKUP(C183,Master_Section!$H:$I,2,FALSE),"")</f>
        <v/>
      </c>
      <c r="D183" s="25" t="str">
        <f>_xlfn.IFNA(VLOOKUP(E183,Master_Section!$H:$I,2,FALSE),"")</f>
        <v/>
      </c>
      <c r="F183" s="65" t="str">
        <f>_xlfn.IFNA(VLOOKUP(G183,Master!AE:AF,2,FALSE),"")</f>
        <v/>
      </c>
      <c r="I183" s="24" t="str">
        <f>_xlfn.IFNA(VLOOKUP(D183,Master_Section!$I:$K,2,FALSE),"")</f>
        <v/>
      </c>
      <c r="J183" s="24" t="str">
        <f>_xlfn.IFNA(VLOOKUP(D183,Master_Section!$I:$K,3,FALSE),"")</f>
        <v/>
      </c>
      <c r="L183" s="70" t="str">
        <f>IF(A183&lt;&gt;"CFA",_xlfn.IFNA(VLOOKUP($G183,Master!$AE:$AI,5,0),""),"")</f>
        <v/>
      </c>
      <c r="P183" s="26" t="str">
        <f t="shared" ref="P183:P246" si="6">IF(N183&lt;&gt;"",IF(MONTH(N183)&gt;=4,"FY1"&amp;RIGHT(YEAR(N183)+1,2),"FY1"&amp;RIGHT(YEAR(N183),2)),"")</f>
        <v/>
      </c>
      <c r="Q183" s="37">
        <f t="shared" ref="Q183:Q246" si="7">IF(K183&gt;0&amp;M183&gt;0,K183*M183,"")</f>
        <v>0</v>
      </c>
    </row>
    <row r="184" spans="2:17" ht="15" customHeight="1">
      <c r="B184" s="25" t="str">
        <f>_xlfn.IFNA(VLOOKUP(C184,Master_Section!$H:$I,2,FALSE),"")</f>
        <v/>
      </c>
      <c r="D184" s="25" t="str">
        <f>_xlfn.IFNA(VLOOKUP(E184,Master_Section!$H:$I,2,FALSE),"")</f>
        <v/>
      </c>
      <c r="F184" s="65" t="str">
        <f>_xlfn.IFNA(VLOOKUP(G184,Master!AE:AF,2,FALSE),"")</f>
        <v/>
      </c>
      <c r="I184" s="24" t="str">
        <f>_xlfn.IFNA(VLOOKUP(D184,Master_Section!$I:$K,2,FALSE),"")</f>
        <v/>
      </c>
      <c r="J184" s="24" t="str">
        <f>_xlfn.IFNA(VLOOKUP(D184,Master_Section!$I:$K,3,FALSE),"")</f>
        <v/>
      </c>
      <c r="L184" s="70" t="str">
        <f>IF(A184&lt;&gt;"CFA",_xlfn.IFNA(VLOOKUP($G184,Master!$AE:$AI,5,0),""),"")</f>
        <v/>
      </c>
      <c r="P184" s="26" t="str">
        <f t="shared" si="6"/>
        <v/>
      </c>
      <c r="Q184" s="37">
        <f t="shared" si="7"/>
        <v>0</v>
      </c>
    </row>
    <row r="185" spans="2:17" ht="15" customHeight="1">
      <c r="B185" s="25" t="str">
        <f>_xlfn.IFNA(VLOOKUP(C185,Master_Section!$H:$I,2,FALSE),"")</f>
        <v/>
      </c>
      <c r="D185" s="25" t="str">
        <f>_xlfn.IFNA(VLOOKUP(E185,Master_Section!$H:$I,2,FALSE),"")</f>
        <v/>
      </c>
      <c r="F185" s="65" t="str">
        <f>_xlfn.IFNA(VLOOKUP(G185,Master!AE:AF,2,FALSE),"")</f>
        <v/>
      </c>
      <c r="I185" s="24" t="str">
        <f>_xlfn.IFNA(VLOOKUP(D185,Master_Section!$I:$K,2,FALSE),"")</f>
        <v/>
      </c>
      <c r="J185" s="24" t="str">
        <f>_xlfn.IFNA(VLOOKUP(D185,Master_Section!$I:$K,3,FALSE),"")</f>
        <v/>
      </c>
      <c r="L185" s="70" t="str">
        <f>IF(A185&lt;&gt;"CFA",_xlfn.IFNA(VLOOKUP($G185,Master!$AE:$AI,5,0),""),"")</f>
        <v/>
      </c>
      <c r="P185" s="26" t="str">
        <f t="shared" si="6"/>
        <v/>
      </c>
      <c r="Q185" s="37">
        <f t="shared" si="7"/>
        <v>0</v>
      </c>
    </row>
    <row r="186" spans="2:17" ht="15" customHeight="1">
      <c r="B186" s="25" t="str">
        <f>_xlfn.IFNA(VLOOKUP(C186,Master_Section!$H:$I,2,FALSE),"")</f>
        <v/>
      </c>
      <c r="D186" s="25" t="str">
        <f>_xlfn.IFNA(VLOOKUP(E186,Master_Section!$H:$I,2,FALSE),"")</f>
        <v/>
      </c>
      <c r="F186" s="65" t="str">
        <f>_xlfn.IFNA(VLOOKUP(G186,Master!AE:AF,2,FALSE),"")</f>
        <v/>
      </c>
      <c r="I186" s="24" t="str">
        <f>_xlfn.IFNA(VLOOKUP(D186,Master_Section!$I:$K,2,FALSE),"")</f>
        <v/>
      </c>
      <c r="J186" s="24" t="str">
        <f>_xlfn.IFNA(VLOOKUP(D186,Master_Section!$I:$K,3,FALSE),"")</f>
        <v/>
      </c>
      <c r="L186" s="70" t="str">
        <f>IF(A186&lt;&gt;"CFA",_xlfn.IFNA(VLOOKUP($G186,Master!$AE:$AI,5,0),""),"")</f>
        <v/>
      </c>
      <c r="P186" s="26" t="str">
        <f t="shared" si="6"/>
        <v/>
      </c>
      <c r="Q186" s="37">
        <f t="shared" si="7"/>
        <v>0</v>
      </c>
    </row>
    <row r="187" spans="2:17" ht="15" customHeight="1">
      <c r="B187" s="25" t="str">
        <f>_xlfn.IFNA(VLOOKUP(C187,Master_Section!$H:$I,2,FALSE),"")</f>
        <v/>
      </c>
      <c r="D187" s="25" t="str">
        <f>_xlfn.IFNA(VLOOKUP(E187,Master_Section!$H:$I,2,FALSE),"")</f>
        <v/>
      </c>
      <c r="F187" s="65" t="str">
        <f>_xlfn.IFNA(VLOOKUP(G187,Master!AE:AF,2,FALSE),"")</f>
        <v/>
      </c>
      <c r="I187" s="24" t="str">
        <f>_xlfn.IFNA(VLOOKUP(D187,Master_Section!$I:$K,2,FALSE),"")</f>
        <v/>
      </c>
      <c r="J187" s="24" t="str">
        <f>_xlfn.IFNA(VLOOKUP(D187,Master_Section!$I:$K,3,FALSE),"")</f>
        <v/>
      </c>
      <c r="L187" s="70" t="str">
        <f>IF(A187&lt;&gt;"CFA",_xlfn.IFNA(VLOOKUP($G187,Master!$AE:$AI,5,0),""),"")</f>
        <v/>
      </c>
      <c r="P187" s="26" t="str">
        <f t="shared" si="6"/>
        <v/>
      </c>
      <c r="Q187" s="37">
        <f t="shared" si="7"/>
        <v>0</v>
      </c>
    </row>
    <row r="188" spans="2:17" ht="15" customHeight="1">
      <c r="B188" s="25" t="str">
        <f>_xlfn.IFNA(VLOOKUP(C188,Master_Section!$H:$I,2,FALSE),"")</f>
        <v/>
      </c>
      <c r="D188" s="25" t="str">
        <f>_xlfn.IFNA(VLOOKUP(E188,Master_Section!$H:$I,2,FALSE),"")</f>
        <v/>
      </c>
      <c r="F188" s="65" t="str">
        <f>_xlfn.IFNA(VLOOKUP(G188,Master!AE:AF,2,FALSE),"")</f>
        <v/>
      </c>
      <c r="I188" s="24" t="str">
        <f>_xlfn.IFNA(VLOOKUP(D188,Master_Section!$I:$K,2,FALSE),"")</f>
        <v/>
      </c>
      <c r="J188" s="24" t="str">
        <f>_xlfn.IFNA(VLOOKUP(D188,Master_Section!$I:$K,3,FALSE),"")</f>
        <v/>
      </c>
      <c r="L188" s="70" t="str">
        <f>IF(A188&lt;&gt;"CFA",_xlfn.IFNA(VLOOKUP($G188,Master!$AE:$AI,5,0),""),"")</f>
        <v/>
      </c>
      <c r="P188" s="26" t="str">
        <f t="shared" si="6"/>
        <v/>
      </c>
      <c r="Q188" s="37">
        <f t="shared" si="7"/>
        <v>0</v>
      </c>
    </row>
    <row r="189" spans="2:17" ht="15" customHeight="1">
      <c r="B189" s="25" t="str">
        <f>_xlfn.IFNA(VLOOKUP(C189,Master_Section!$H:$I,2,FALSE),"")</f>
        <v/>
      </c>
      <c r="D189" s="25" t="str">
        <f>_xlfn.IFNA(VLOOKUP(E189,Master_Section!$H:$I,2,FALSE),"")</f>
        <v/>
      </c>
      <c r="F189" s="65" t="str">
        <f>_xlfn.IFNA(VLOOKUP(G189,Master!AE:AF,2,FALSE),"")</f>
        <v/>
      </c>
      <c r="I189" s="24" t="str">
        <f>_xlfn.IFNA(VLOOKUP(D189,Master_Section!$I:$K,2,FALSE),"")</f>
        <v/>
      </c>
      <c r="J189" s="24" t="str">
        <f>_xlfn.IFNA(VLOOKUP(D189,Master_Section!$I:$K,3,FALSE),"")</f>
        <v/>
      </c>
      <c r="L189" s="70" t="str">
        <f>IF(A189&lt;&gt;"CFA",_xlfn.IFNA(VLOOKUP($G189,Master!$AE:$AI,5,0),""),"")</f>
        <v/>
      </c>
      <c r="P189" s="26" t="str">
        <f t="shared" si="6"/>
        <v/>
      </c>
      <c r="Q189" s="37">
        <f t="shared" si="7"/>
        <v>0</v>
      </c>
    </row>
    <row r="190" spans="2:17" ht="15" customHeight="1">
      <c r="B190" s="25" t="str">
        <f>_xlfn.IFNA(VLOOKUP(C190,Master_Section!$H:$I,2,FALSE),"")</f>
        <v/>
      </c>
      <c r="D190" s="25" t="str">
        <f>_xlfn.IFNA(VLOOKUP(E190,Master_Section!$H:$I,2,FALSE),"")</f>
        <v/>
      </c>
      <c r="F190" s="65" t="str">
        <f>_xlfn.IFNA(VLOOKUP(G190,Master!AE:AF,2,FALSE),"")</f>
        <v/>
      </c>
      <c r="I190" s="24" t="str">
        <f>_xlfn.IFNA(VLOOKUP(D190,Master_Section!$I:$K,2,FALSE),"")</f>
        <v/>
      </c>
      <c r="J190" s="24" t="str">
        <f>_xlfn.IFNA(VLOOKUP(D190,Master_Section!$I:$K,3,FALSE),"")</f>
        <v/>
      </c>
      <c r="L190" s="70" t="str">
        <f>IF(A190&lt;&gt;"CFA",_xlfn.IFNA(VLOOKUP($G190,Master!$AE:$AI,5,0),""),"")</f>
        <v/>
      </c>
      <c r="P190" s="26" t="str">
        <f t="shared" si="6"/>
        <v/>
      </c>
      <c r="Q190" s="37">
        <f t="shared" si="7"/>
        <v>0</v>
      </c>
    </row>
    <row r="191" spans="2:17" ht="15" customHeight="1">
      <c r="B191" s="25" t="str">
        <f>_xlfn.IFNA(VLOOKUP(C191,Master_Section!$H:$I,2,FALSE),"")</f>
        <v/>
      </c>
      <c r="D191" s="25" t="str">
        <f>_xlfn.IFNA(VLOOKUP(E191,Master_Section!$H:$I,2,FALSE),"")</f>
        <v/>
      </c>
      <c r="F191" s="65" t="str">
        <f>_xlfn.IFNA(VLOOKUP(G191,Master!AE:AF,2,FALSE),"")</f>
        <v/>
      </c>
      <c r="I191" s="24" t="str">
        <f>_xlfn.IFNA(VLOOKUP(D191,Master_Section!$I:$K,2,FALSE),"")</f>
        <v/>
      </c>
      <c r="J191" s="24" t="str">
        <f>_xlfn.IFNA(VLOOKUP(D191,Master_Section!$I:$K,3,FALSE),"")</f>
        <v/>
      </c>
      <c r="L191" s="70" t="str">
        <f>IF(A191&lt;&gt;"CFA",_xlfn.IFNA(VLOOKUP($G191,Master!$AE:$AI,5,0),""),"")</f>
        <v/>
      </c>
      <c r="P191" s="26" t="str">
        <f t="shared" si="6"/>
        <v/>
      </c>
      <c r="Q191" s="37">
        <f t="shared" si="7"/>
        <v>0</v>
      </c>
    </row>
    <row r="192" spans="2:17" ht="15" customHeight="1">
      <c r="B192" s="25" t="str">
        <f>_xlfn.IFNA(VLOOKUP(C192,Master_Section!$H:$I,2,FALSE),"")</f>
        <v/>
      </c>
      <c r="D192" s="25" t="str">
        <f>_xlfn.IFNA(VLOOKUP(E192,Master_Section!$H:$I,2,FALSE),"")</f>
        <v/>
      </c>
      <c r="F192" s="65" t="str">
        <f>_xlfn.IFNA(VLOOKUP(G192,Master!AE:AF,2,FALSE),"")</f>
        <v/>
      </c>
      <c r="I192" s="24" t="str">
        <f>_xlfn.IFNA(VLOOKUP(D192,Master_Section!$I:$K,2,FALSE),"")</f>
        <v/>
      </c>
      <c r="J192" s="24" t="str">
        <f>_xlfn.IFNA(VLOOKUP(D192,Master_Section!$I:$K,3,FALSE),"")</f>
        <v/>
      </c>
      <c r="L192" s="70" t="str">
        <f>IF(A192&lt;&gt;"CFA",_xlfn.IFNA(VLOOKUP($G192,Master!$AE:$AI,5,0),""),"")</f>
        <v/>
      </c>
      <c r="P192" s="26" t="str">
        <f t="shared" si="6"/>
        <v/>
      </c>
      <c r="Q192" s="37">
        <f t="shared" si="7"/>
        <v>0</v>
      </c>
    </row>
    <row r="193" spans="2:17" ht="15" customHeight="1">
      <c r="B193" s="25" t="str">
        <f>_xlfn.IFNA(VLOOKUP(C193,Master_Section!$H:$I,2,FALSE),"")</f>
        <v/>
      </c>
      <c r="D193" s="25" t="str">
        <f>_xlfn.IFNA(VLOOKUP(E193,Master_Section!$H:$I,2,FALSE),"")</f>
        <v/>
      </c>
      <c r="F193" s="65" t="str">
        <f>_xlfn.IFNA(VLOOKUP(G193,Master!AE:AF,2,FALSE),"")</f>
        <v/>
      </c>
      <c r="I193" s="24" t="str">
        <f>_xlfn.IFNA(VLOOKUP(D193,Master_Section!$I:$K,2,FALSE),"")</f>
        <v/>
      </c>
      <c r="J193" s="24" t="str">
        <f>_xlfn.IFNA(VLOOKUP(D193,Master_Section!$I:$K,3,FALSE),"")</f>
        <v/>
      </c>
      <c r="L193" s="70" t="str">
        <f>IF(A193&lt;&gt;"CFA",_xlfn.IFNA(VLOOKUP($G193,Master!$AE:$AI,5,0),""),"")</f>
        <v/>
      </c>
      <c r="P193" s="26" t="str">
        <f t="shared" si="6"/>
        <v/>
      </c>
      <c r="Q193" s="37">
        <f t="shared" si="7"/>
        <v>0</v>
      </c>
    </row>
    <row r="194" spans="2:17" ht="15" customHeight="1">
      <c r="B194" s="25" t="str">
        <f>_xlfn.IFNA(VLOOKUP(C194,Master_Section!$H:$I,2,FALSE),"")</f>
        <v/>
      </c>
      <c r="D194" s="25" t="str">
        <f>_xlfn.IFNA(VLOOKUP(E194,Master_Section!$H:$I,2,FALSE),"")</f>
        <v/>
      </c>
      <c r="F194" s="65" t="str">
        <f>_xlfn.IFNA(VLOOKUP(G194,Master!AE:AF,2,FALSE),"")</f>
        <v/>
      </c>
      <c r="I194" s="24" t="str">
        <f>_xlfn.IFNA(VLOOKUP(D194,Master_Section!$I:$K,2,FALSE),"")</f>
        <v/>
      </c>
      <c r="J194" s="24" t="str">
        <f>_xlfn.IFNA(VLOOKUP(D194,Master_Section!$I:$K,3,FALSE),"")</f>
        <v/>
      </c>
      <c r="L194" s="70" t="str">
        <f>IF(A194&lt;&gt;"CFA",_xlfn.IFNA(VLOOKUP($G194,Master!$AE:$AI,5,0),""),"")</f>
        <v/>
      </c>
      <c r="P194" s="26" t="str">
        <f t="shared" si="6"/>
        <v/>
      </c>
      <c r="Q194" s="37">
        <f t="shared" si="7"/>
        <v>0</v>
      </c>
    </row>
    <row r="195" spans="2:17" ht="15" customHeight="1">
      <c r="B195" s="25" t="str">
        <f>_xlfn.IFNA(VLOOKUP(C195,Master_Section!$H:$I,2,FALSE),"")</f>
        <v/>
      </c>
      <c r="D195" s="25" t="str">
        <f>_xlfn.IFNA(VLOOKUP(E195,Master_Section!$H:$I,2,FALSE),"")</f>
        <v/>
      </c>
      <c r="F195" s="65" t="str">
        <f>_xlfn.IFNA(VLOOKUP(G195,Master!AE:AF,2,FALSE),"")</f>
        <v/>
      </c>
      <c r="I195" s="24" t="str">
        <f>_xlfn.IFNA(VLOOKUP(D195,Master_Section!$I:$K,2,FALSE),"")</f>
        <v/>
      </c>
      <c r="J195" s="24" t="str">
        <f>_xlfn.IFNA(VLOOKUP(D195,Master_Section!$I:$K,3,FALSE),"")</f>
        <v/>
      </c>
      <c r="L195" s="70" t="str">
        <f>IF(A195&lt;&gt;"CFA",_xlfn.IFNA(VLOOKUP($G195,Master!$AE:$AI,5,0),""),"")</f>
        <v/>
      </c>
      <c r="P195" s="26" t="str">
        <f t="shared" si="6"/>
        <v/>
      </c>
      <c r="Q195" s="37">
        <f t="shared" si="7"/>
        <v>0</v>
      </c>
    </row>
    <row r="196" spans="2:17" ht="15" customHeight="1">
      <c r="B196" s="25" t="str">
        <f>_xlfn.IFNA(VLOOKUP(C196,Master_Section!$H:$I,2,FALSE),"")</f>
        <v/>
      </c>
      <c r="D196" s="25" t="str">
        <f>_xlfn.IFNA(VLOOKUP(E196,Master_Section!$H:$I,2,FALSE),"")</f>
        <v/>
      </c>
      <c r="F196" s="65" t="str">
        <f>_xlfn.IFNA(VLOOKUP(G196,Master!AE:AF,2,FALSE),"")</f>
        <v/>
      </c>
      <c r="I196" s="24" t="str">
        <f>_xlfn.IFNA(VLOOKUP(D196,Master_Section!$I:$K,2,FALSE),"")</f>
        <v/>
      </c>
      <c r="J196" s="24" t="str">
        <f>_xlfn.IFNA(VLOOKUP(D196,Master_Section!$I:$K,3,FALSE),"")</f>
        <v/>
      </c>
      <c r="L196" s="70" t="str">
        <f>IF(A196&lt;&gt;"CFA",_xlfn.IFNA(VLOOKUP($G196,Master!$AE:$AI,5,0),""),"")</f>
        <v/>
      </c>
      <c r="P196" s="26" t="str">
        <f t="shared" si="6"/>
        <v/>
      </c>
      <c r="Q196" s="37">
        <f t="shared" si="7"/>
        <v>0</v>
      </c>
    </row>
    <row r="197" spans="2:17" ht="15" customHeight="1">
      <c r="B197" s="25" t="str">
        <f>_xlfn.IFNA(VLOOKUP(C197,Master_Section!$H:$I,2,FALSE),"")</f>
        <v/>
      </c>
      <c r="D197" s="25" t="str">
        <f>_xlfn.IFNA(VLOOKUP(E197,Master_Section!$H:$I,2,FALSE),"")</f>
        <v/>
      </c>
      <c r="F197" s="65" t="str">
        <f>_xlfn.IFNA(VLOOKUP(G197,Master!AE:AF,2,FALSE),"")</f>
        <v/>
      </c>
      <c r="I197" s="24" t="str">
        <f>_xlfn.IFNA(VLOOKUP(D197,Master_Section!$I:$K,2,FALSE),"")</f>
        <v/>
      </c>
      <c r="J197" s="24" t="str">
        <f>_xlfn.IFNA(VLOOKUP(D197,Master_Section!$I:$K,3,FALSE),"")</f>
        <v/>
      </c>
      <c r="L197" s="70" t="str">
        <f>IF(A197&lt;&gt;"CFA",_xlfn.IFNA(VLOOKUP($G197,Master!$AE:$AI,5,0),""),"")</f>
        <v/>
      </c>
      <c r="P197" s="26" t="str">
        <f t="shared" si="6"/>
        <v/>
      </c>
      <c r="Q197" s="37">
        <f t="shared" si="7"/>
        <v>0</v>
      </c>
    </row>
    <row r="198" spans="2:17" ht="15" customHeight="1">
      <c r="B198" s="25" t="str">
        <f>_xlfn.IFNA(VLOOKUP(C198,Master_Section!$H:$I,2,FALSE),"")</f>
        <v/>
      </c>
      <c r="D198" s="25" t="str">
        <f>_xlfn.IFNA(VLOOKUP(E198,Master_Section!$H:$I,2,FALSE),"")</f>
        <v/>
      </c>
      <c r="F198" s="65" t="str">
        <f>_xlfn.IFNA(VLOOKUP(G198,Master!AE:AF,2,FALSE),"")</f>
        <v/>
      </c>
      <c r="I198" s="24" t="str">
        <f>_xlfn.IFNA(VLOOKUP(D198,Master_Section!$I:$K,2,FALSE),"")</f>
        <v/>
      </c>
      <c r="J198" s="24" t="str">
        <f>_xlfn.IFNA(VLOOKUP(D198,Master_Section!$I:$K,3,FALSE),"")</f>
        <v/>
      </c>
      <c r="L198" s="70" t="str">
        <f>IF(A198&lt;&gt;"CFA",_xlfn.IFNA(VLOOKUP($G198,Master!$AE:$AI,5,0),""),"")</f>
        <v/>
      </c>
      <c r="P198" s="26" t="str">
        <f t="shared" si="6"/>
        <v/>
      </c>
      <c r="Q198" s="37">
        <f t="shared" si="7"/>
        <v>0</v>
      </c>
    </row>
    <row r="199" spans="2:17" ht="15" customHeight="1">
      <c r="B199" s="25" t="str">
        <f>_xlfn.IFNA(VLOOKUP(C199,Master_Section!$H:$I,2,FALSE),"")</f>
        <v/>
      </c>
      <c r="D199" s="25" t="str">
        <f>_xlfn.IFNA(VLOOKUP(E199,Master_Section!$H:$I,2,FALSE),"")</f>
        <v/>
      </c>
      <c r="F199" s="65" t="str">
        <f>_xlfn.IFNA(VLOOKUP(G199,Master!AE:AF,2,FALSE),"")</f>
        <v/>
      </c>
      <c r="I199" s="24" t="str">
        <f>_xlfn.IFNA(VLOOKUP(D199,Master_Section!$I:$K,2,FALSE),"")</f>
        <v/>
      </c>
      <c r="J199" s="24" t="str">
        <f>_xlfn.IFNA(VLOOKUP(D199,Master_Section!$I:$K,3,FALSE),"")</f>
        <v/>
      </c>
      <c r="L199" s="70" t="str">
        <f>IF(A199&lt;&gt;"CFA",_xlfn.IFNA(VLOOKUP($G199,Master!$AE:$AI,5,0),""),"")</f>
        <v/>
      </c>
      <c r="P199" s="26" t="str">
        <f t="shared" si="6"/>
        <v/>
      </c>
      <c r="Q199" s="37">
        <f t="shared" si="7"/>
        <v>0</v>
      </c>
    </row>
    <row r="200" spans="2:17" ht="15" customHeight="1">
      <c r="B200" s="25" t="str">
        <f>_xlfn.IFNA(VLOOKUP(C200,Master_Section!$H:$I,2,FALSE),"")</f>
        <v/>
      </c>
      <c r="D200" s="25" t="str">
        <f>_xlfn.IFNA(VLOOKUP(E200,Master_Section!$H:$I,2,FALSE),"")</f>
        <v/>
      </c>
      <c r="F200" s="65" t="str">
        <f>_xlfn.IFNA(VLOOKUP(G200,Master!AE:AF,2,FALSE),"")</f>
        <v/>
      </c>
      <c r="I200" s="24" t="str">
        <f>_xlfn.IFNA(VLOOKUP(D200,Master_Section!$I:$K,2,FALSE),"")</f>
        <v/>
      </c>
      <c r="J200" s="24" t="str">
        <f>_xlfn.IFNA(VLOOKUP(D200,Master_Section!$I:$K,3,FALSE),"")</f>
        <v/>
      </c>
      <c r="L200" s="70" t="str">
        <f>IF(A200&lt;&gt;"CFA",_xlfn.IFNA(VLOOKUP($G200,Master!$AE:$AI,5,0),""),"")</f>
        <v/>
      </c>
      <c r="P200" s="26" t="str">
        <f t="shared" si="6"/>
        <v/>
      </c>
      <c r="Q200" s="37">
        <f t="shared" si="7"/>
        <v>0</v>
      </c>
    </row>
    <row r="201" spans="2:17" ht="15" customHeight="1">
      <c r="B201" s="25" t="str">
        <f>_xlfn.IFNA(VLOOKUP(C201,Master_Section!$H:$I,2,FALSE),"")</f>
        <v/>
      </c>
      <c r="D201" s="25" t="str">
        <f>_xlfn.IFNA(VLOOKUP(E201,Master_Section!$H:$I,2,FALSE),"")</f>
        <v/>
      </c>
      <c r="F201" s="65" t="str">
        <f>_xlfn.IFNA(VLOOKUP(G201,Master!AE:AF,2,FALSE),"")</f>
        <v/>
      </c>
      <c r="I201" s="24" t="str">
        <f>_xlfn.IFNA(VLOOKUP(D201,Master_Section!$I:$K,2,FALSE),"")</f>
        <v/>
      </c>
      <c r="J201" s="24" t="str">
        <f>_xlfn.IFNA(VLOOKUP(D201,Master_Section!$I:$K,3,FALSE),"")</f>
        <v/>
      </c>
      <c r="L201" s="70" t="str">
        <f>IF(A201&lt;&gt;"CFA",_xlfn.IFNA(VLOOKUP($G201,Master!$AE:$AI,5,0),""),"")</f>
        <v/>
      </c>
      <c r="P201" s="26" t="str">
        <f t="shared" si="6"/>
        <v/>
      </c>
      <c r="Q201" s="37">
        <f t="shared" si="7"/>
        <v>0</v>
      </c>
    </row>
    <row r="202" spans="2:17" ht="15" customHeight="1">
      <c r="B202" s="25" t="str">
        <f>_xlfn.IFNA(VLOOKUP(C202,Master_Section!$H:$I,2,FALSE),"")</f>
        <v/>
      </c>
      <c r="D202" s="25" t="str">
        <f>_xlfn.IFNA(VLOOKUP(E202,Master_Section!$H:$I,2,FALSE),"")</f>
        <v/>
      </c>
      <c r="F202" s="65" t="str">
        <f>_xlfn.IFNA(VLOOKUP(G202,Master!AE:AF,2,FALSE),"")</f>
        <v/>
      </c>
      <c r="I202" s="24" t="str">
        <f>_xlfn.IFNA(VLOOKUP(D202,Master_Section!$I:$K,2,FALSE),"")</f>
        <v/>
      </c>
      <c r="J202" s="24" t="str">
        <f>_xlfn.IFNA(VLOOKUP(D202,Master_Section!$I:$K,3,FALSE),"")</f>
        <v/>
      </c>
      <c r="L202" s="70" t="str">
        <f>IF(A202&lt;&gt;"CFA",_xlfn.IFNA(VLOOKUP($G202,Master!$AE:$AI,5,0),""),"")</f>
        <v/>
      </c>
      <c r="P202" s="26" t="str">
        <f t="shared" si="6"/>
        <v/>
      </c>
      <c r="Q202" s="37">
        <f t="shared" si="7"/>
        <v>0</v>
      </c>
    </row>
    <row r="203" spans="2:17" ht="15" customHeight="1">
      <c r="B203" s="25" t="str">
        <f>_xlfn.IFNA(VLOOKUP(C203,Master_Section!$H:$I,2,FALSE),"")</f>
        <v/>
      </c>
      <c r="D203" s="25" t="str">
        <f>_xlfn.IFNA(VLOOKUP(E203,Master_Section!$H:$I,2,FALSE),"")</f>
        <v/>
      </c>
      <c r="F203" s="65" t="str">
        <f>_xlfn.IFNA(VLOOKUP(G203,Master!AE:AF,2,FALSE),"")</f>
        <v/>
      </c>
      <c r="I203" s="24" t="str">
        <f>_xlfn.IFNA(VLOOKUP(D203,Master_Section!$I:$K,2,FALSE),"")</f>
        <v/>
      </c>
      <c r="J203" s="24" t="str">
        <f>_xlfn.IFNA(VLOOKUP(D203,Master_Section!$I:$K,3,FALSE),"")</f>
        <v/>
      </c>
      <c r="L203" s="70" t="str">
        <f>IF(A203&lt;&gt;"CFA",_xlfn.IFNA(VLOOKUP($G203,Master!$AE:$AI,5,0),""),"")</f>
        <v/>
      </c>
      <c r="P203" s="26" t="str">
        <f t="shared" si="6"/>
        <v/>
      </c>
      <c r="Q203" s="37">
        <f t="shared" si="7"/>
        <v>0</v>
      </c>
    </row>
    <row r="204" spans="2:17" ht="15" customHeight="1">
      <c r="B204" s="25" t="str">
        <f>_xlfn.IFNA(VLOOKUP(C204,Master_Section!$H:$I,2,FALSE),"")</f>
        <v/>
      </c>
      <c r="D204" s="25" t="str">
        <f>_xlfn.IFNA(VLOOKUP(E204,Master_Section!$H:$I,2,FALSE),"")</f>
        <v/>
      </c>
      <c r="F204" s="65" t="str">
        <f>_xlfn.IFNA(VLOOKUP(G204,Master!AE:AF,2,FALSE),"")</f>
        <v/>
      </c>
      <c r="I204" s="24" t="str">
        <f>_xlfn.IFNA(VLOOKUP(D204,Master_Section!$I:$K,2,FALSE),"")</f>
        <v/>
      </c>
      <c r="J204" s="24" t="str">
        <f>_xlfn.IFNA(VLOOKUP(D204,Master_Section!$I:$K,3,FALSE),"")</f>
        <v/>
      </c>
      <c r="L204" s="70" t="str">
        <f>IF(A204&lt;&gt;"CFA",_xlfn.IFNA(VLOOKUP($G204,Master!$AE:$AI,5,0),""),"")</f>
        <v/>
      </c>
      <c r="P204" s="26" t="str">
        <f t="shared" si="6"/>
        <v/>
      </c>
      <c r="Q204" s="37">
        <f t="shared" si="7"/>
        <v>0</v>
      </c>
    </row>
    <row r="205" spans="2:17" ht="15" customHeight="1">
      <c r="B205" s="25" t="str">
        <f>_xlfn.IFNA(VLOOKUP(C205,Master_Section!$H:$I,2,FALSE),"")</f>
        <v/>
      </c>
      <c r="D205" s="25" t="str">
        <f>_xlfn.IFNA(VLOOKUP(E205,Master_Section!$H:$I,2,FALSE),"")</f>
        <v/>
      </c>
      <c r="F205" s="65" t="str">
        <f>_xlfn.IFNA(VLOOKUP(G205,Master!AE:AF,2,FALSE),"")</f>
        <v/>
      </c>
      <c r="I205" s="24" t="str">
        <f>_xlfn.IFNA(VLOOKUP(D205,Master_Section!$I:$K,2,FALSE),"")</f>
        <v/>
      </c>
      <c r="J205" s="24" t="str">
        <f>_xlfn.IFNA(VLOOKUP(D205,Master_Section!$I:$K,3,FALSE),"")</f>
        <v/>
      </c>
      <c r="L205" s="70" t="str">
        <f>IF(A205&lt;&gt;"CFA",_xlfn.IFNA(VLOOKUP($G205,Master!$AE:$AI,5,0),""),"")</f>
        <v/>
      </c>
      <c r="P205" s="26" t="str">
        <f t="shared" si="6"/>
        <v/>
      </c>
      <c r="Q205" s="37">
        <f t="shared" si="7"/>
        <v>0</v>
      </c>
    </row>
    <row r="206" spans="2:17" ht="15" customHeight="1">
      <c r="B206" s="25" t="str">
        <f>_xlfn.IFNA(VLOOKUP(C206,Master_Section!$H:$I,2,FALSE),"")</f>
        <v/>
      </c>
      <c r="D206" s="25" t="str">
        <f>_xlfn.IFNA(VLOOKUP(E206,Master_Section!$H:$I,2,FALSE),"")</f>
        <v/>
      </c>
      <c r="F206" s="65" t="str">
        <f>_xlfn.IFNA(VLOOKUP(G206,Master!AE:AF,2,FALSE),"")</f>
        <v/>
      </c>
      <c r="I206" s="24" t="str">
        <f>_xlfn.IFNA(VLOOKUP(D206,Master_Section!$I:$K,2,FALSE),"")</f>
        <v/>
      </c>
      <c r="J206" s="24" t="str">
        <f>_xlfn.IFNA(VLOOKUP(D206,Master_Section!$I:$K,3,FALSE),"")</f>
        <v/>
      </c>
      <c r="L206" s="70" t="str">
        <f>IF(A206&lt;&gt;"CFA",_xlfn.IFNA(VLOOKUP($G206,Master!$AE:$AI,5,0),""),"")</f>
        <v/>
      </c>
      <c r="P206" s="26" t="str">
        <f t="shared" si="6"/>
        <v/>
      </c>
      <c r="Q206" s="37">
        <f t="shared" si="7"/>
        <v>0</v>
      </c>
    </row>
    <row r="207" spans="2:17" ht="15" customHeight="1">
      <c r="B207" s="25" t="str">
        <f>_xlfn.IFNA(VLOOKUP(C207,Master_Section!$H:$I,2,FALSE),"")</f>
        <v/>
      </c>
      <c r="D207" s="25" t="str">
        <f>_xlfn.IFNA(VLOOKUP(E207,Master_Section!$H:$I,2,FALSE),"")</f>
        <v/>
      </c>
      <c r="F207" s="65" t="str">
        <f>_xlfn.IFNA(VLOOKUP(G207,Master!AE:AF,2,FALSE),"")</f>
        <v/>
      </c>
      <c r="I207" s="24" t="str">
        <f>_xlfn.IFNA(VLOOKUP(D207,Master_Section!$I:$K,2,FALSE),"")</f>
        <v/>
      </c>
      <c r="J207" s="24" t="str">
        <f>_xlfn.IFNA(VLOOKUP(D207,Master_Section!$I:$K,3,FALSE),"")</f>
        <v/>
      </c>
      <c r="L207" s="70" t="str">
        <f>IF(A207&lt;&gt;"CFA",_xlfn.IFNA(VLOOKUP($G207,Master!$AE:$AI,5,0),""),"")</f>
        <v/>
      </c>
      <c r="P207" s="26" t="str">
        <f t="shared" si="6"/>
        <v/>
      </c>
      <c r="Q207" s="37">
        <f t="shared" si="7"/>
        <v>0</v>
      </c>
    </row>
    <row r="208" spans="2:17" ht="15" customHeight="1">
      <c r="B208" s="25" t="str">
        <f>_xlfn.IFNA(VLOOKUP(C208,Master_Section!$H:$I,2,FALSE),"")</f>
        <v/>
      </c>
      <c r="D208" s="25" t="str">
        <f>_xlfn.IFNA(VLOOKUP(E208,Master_Section!$H:$I,2,FALSE),"")</f>
        <v/>
      </c>
      <c r="F208" s="65" t="str">
        <f>_xlfn.IFNA(VLOOKUP(G208,Master!AE:AF,2,FALSE),"")</f>
        <v/>
      </c>
      <c r="I208" s="24" t="str">
        <f>_xlfn.IFNA(VLOOKUP(D208,Master_Section!$I:$K,2,FALSE),"")</f>
        <v/>
      </c>
      <c r="J208" s="24" t="str">
        <f>_xlfn.IFNA(VLOOKUP(D208,Master_Section!$I:$K,3,FALSE),"")</f>
        <v/>
      </c>
      <c r="L208" s="70" t="str">
        <f>IF(A208&lt;&gt;"CFA",_xlfn.IFNA(VLOOKUP($G208,Master!$AE:$AI,5,0),""),"")</f>
        <v/>
      </c>
      <c r="P208" s="26" t="str">
        <f t="shared" si="6"/>
        <v/>
      </c>
      <c r="Q208" s="37">
        <f t="shared" si="7"/>
        <v>0</v>
      </c>
    </row>
    <row r="209" spans="2:17" ht="15" customHeight="1">
      <c r="B209" s="25" t="str">
        <f>_xlfn.IFNA(VLOOKUP(C209,Master_Section!$H:$I,2,FALSE),"")</f>
        <v/>
      </c>
      <c r="D209" s="25" t="str">
        <f>_xlfn.IFNA(VLOOKUP(E209,Master_Section!$H:$I,2,FALSE),"")</f>
        <v/>
      </c>
      <c r="F209" s="65" t="str">
        <f>_xlfn.IFNA(VLOOKUP(G209,Master!AE:AF,2,FALSE),"")</f>
        <v/>
      </c>
      <c r="I209" s="24" t="str">
        <f>_xlfn.IFNA(VLOOKUP(D209,Master_Section!$I:$K,2,FALSE),"")</f>
        <v/>
      </c>
      <c r="J209" s="24" t="str">
        <f>_xlfn.IFNA(VLOOKUP(D209,Master_Section!$I:$K,3,FALSE),"")</f>
        <v/>
      </c>
      <c r="L209" s="70" t="str">
        <f>IF(A209&lt;&gt;"CFA",_xlfn.IFNA(VLOOKUP($G209,Master!$AE:$AI,5,0),""),"")</f>
        <v/>
      </c>
      <c r="P209" s="26" t="str">
        <f t="shared" si="6"/>
        <v/>
      </c>
      <c r="Q209" s="37">
        <f t="shared" si="7"/>
        <v>0</v>
      </c>
    </row>
    <row r="210" spans="2:17" ht="15" customHeight="1">
      <c r="B210" s="25" t="str">
        <f>_xlfn.IFNA(VLOOKUP(C210,Master_Section!$H:$I,2,FALSE),"")</f>
        <v/>
      </c>
      <c r="D210" s="25" t="str">
        <f>_xlfn.IFNA(VLOOKUP(E210,Master_Section!$H:$I,2,FALSE),"")</f>
        <v/>
      </c>
      <c r="F210" s="65" t="str">
        <f>_xlfn.IFNA(VLOOKUP(G210,Master!AE:AF,2,FALSE),"")</f>
        <v/>
      </c>
      <c r="I210" s="24" t="str">
        <f>_xlfn.IFNA(VLOOKUP(D210,Master_Section!$I:$K,2,FALSE),"")</f>
        <v/>
      </c>
      <c r="J210" s="24" t="str">
        <f>_xlfn.IFNA(VLOOKUP(D210,Master_Section!$I:$K,3,FALSE),"")</f>
        <v/>
      </c>
      <c r="L210" s="70" t="str">
        <f>IF(A210&lt;&gt;"CFA",_xlfn.IFNA(VLOOKUP($G210,Master!$AE:$AI,5,0),""),"")</f>
        <v/>
      </c>
      <c r="P210" s="26" t="str">
        <f t="shared" si="6"/>
        <v/>
      </c>
      <c r="Q210" s="37">
        <f t="shared" si="7"/>
        <v>0</v>
      </c>
    </row>
    <row r="211" spans="2:17" ht="15" customHeight="1">
      <c r="B211" s="25" t="str">
        <f>_xlfn.IFNA(VLOOKUP(C211,Master_Section!$H:$I,2,FALSE),"")</f>
        <v/>
      </c>
      <c r="D211" s="25" t="str">
        <f>_xlfn.IFNA(VLOOKUP(E211,Master_Section!$H:$I,2,FALSE),"")</f>
        <v/>
      </c>
      <c r="F211" s="65" t="str">
        <f>_xlfn.IFNA(VLOOKUP(G211,Master!AE:AF,2,FALSE),"")</f>
        <v/>
      </c>
      <c r="I211" s="24" t="str">
        <f>_xlfn.IFNA(VLOOKUP(D211,Master_Section!$I:$K,2,FALSE),"")</f>
        <v/>
      </c>
      <c r="J211" s="24" t="str">
        <f>_xlfn.IFNA(VLOOKUP(D211,Master_Section!$I:$K,3,FALSE),"")</f>
        <v/>
      </c>
      <c r="L211" s="70" t="str">
        <f>IF(A211&lt;&gt;"CFA",_xlfn.IFNA(VLOOKUP($G211,Master!$AE:$AI,5,0),""),"")</f>
        <v/>
      </c>
      <c r="P211" s="26" t="str">
        <f t="shared" si="6"/>
        <v/>
      </c>
      <c r="Q211" s="37">
        <f t="shared" si="7"/>
        <v>0</v>
      </c>
    </row>
    <row r="212" spans="2:17" ht="15" customHeight="1">
      <c r="B212" s="25" t="str">
        <f>_xlfn.IFNA(VLOOKUP(C212,Master_Section!$H:$I,2,FALSE),"")</f>
        <v/>
      </c>
      <c r="D212" s="25" t="str">
        <f>_xlfn.IFNA(VLOOKUP(E212,Master_Section!$H:$I,2,FALSE),"")</f>
        <v/>
      </c>
      <c r="F212" s="65" t="str">
        <f>_xlfn.IFNA(VLOOKUP(G212,Master!AE:AF,2,FALSE),"")</f>
        <v/>
      </c>
      <c r="I212" s="24" t="str">
        <f>_xlfn.IFNA(VLOOKUP(D212,Master_Section!$I:$K,2,FALSE),"")</f>
        <v/>
      </c>
      <c r="J212" s="24" t="str">
        <f>_xlfn.IFNA(VLOOKUP(D212,Master_Section!$I:$K,3,FALSE),"")</f>
        <v/>
      </c>
      <c r="L212" s="70" t="str">
        <f>IF(A212&lt;&gt;"CFA",_xlfn.IFNA(VLOOKUP($G212,Master!$AE:$AI,5,0),""),"")</f>
        <v/>
      </c>
      <c r="P212" s="26" t="str">
        <f t="shared" si="6"/>
        <v/>
      </c>
      <c r="Q212" s="37">
        <f t="shared" si="7"/>
        <v>0</v>
      </c>
    </row>
    <row r="213" spans="2:17" ht="15" customHeight="1">
      <c r="B213" s="25" t="str">
        <f>_xlfn.IFNA(VLOOKUP(C213,Master_Section!$H:$I,2,FALSE),"")</f>
        <v/>
      </c>
      <c r="D213" s="25" t="str">
        <f>_xlfn.IFNA(VLOOKUP(E213,Master_Section!$H:$I,2,FALSE),"")</f>
        <v/>
      </c>
      <c r="F213" s="65" t="str">
        <f>_xlfn.IFNA(VLOOKUP(G213,Master!AE:AF,2,FALSE),"")</f>
        <v/>
      </c>
      <c r="I213" s="24" t="str">
        <f>_xlfn.IFNA(VLOOKUP(D213,Master_Section!$I:$K,2,FALSE),"")</f>
        <v/>
      </c>
      <c r="J213" s="24" t="str">
        <f>_xlfn.IFNA(VLOOKUP(D213,Master_Section!$I:$K,3,FALSE),"")</f>
        <v/>
      </c>
      <c r="L213" s="70" t="str">
        <f>IF(A213&lt;&gt;"CFA",_xlfn.IFNA(VLOOKUP($G213,Master!$AE:$AI,5,0),""),"")</f>
        <v/>
      </c>
      <c r="P213" s="26" t="str">
        <f t="shared" si="6"/>
        <v/>
      </c>
      <c r="Q213" s="37">
        <f t="shared" si="7"/>
        <v>0</v>
      </c>
    </row>
    <row r="214" spans="2:17" ht="15" customHeight="1">
      <c r="B214" s="25" t="str">
        <f>_xlfn.IFNA(VLOOKUP(C214,Master_Section!$H:$I,2,FALSE),"")</f>
        <v/>
      </c>
      <c r="D214" s="25" t="str">
        <f>_xlfn.IFNA(VLOOKUP(E214,Master_Section!$H:$I,2,FALSE),"")</f>
        <v/>
      </c>
      <c r="F214" s="65" t="str">
        <f>_xlfn.IFNA(VLOOKUP(G214,Master!AE:AF,2,FALSE),"")</f>
        <v/>
      </c>
      <c r="I214" s="24" t="str">
        <f>_xlfn.IFNA(VLOOKUP(D214,Master_Section!$I:$K,2,FALSE),"")</f>
        <v/>
      </c>
      <c r="J214" s="24" t="str">
        <f>_xlfn.IFNA(VLOOKUP(D214,Master_Section!$I:$K,3,FALSE),"")</f>
        <v/>
      </c>
      <c r="L214" s="70" t="str">
        <f>IF(A214&lt;&gt;"CFA",_xlfn.IFNA(VLOOKUP($G214,Master!$AE:$AI,5,0),""),"")</f>
        <v/>
      </c>
      <c r="P214" s="26" t="str">
        <f t="shared" si="6"/>
        <v/>
      </c>
      <c r="Q214" s="37">
        <f t="shared" si="7"/>
        <v>0</v>
      </c>
    </row>
    <row r="215" spans="2:17" ht="15" customHeight="1">
      <c r="B215" s="25" t="str">
        <f>_xlfn.IFNA(VLOOKUP(C215,Master_Section!$H:$I,2,FALSE),"")</f>
        <v/>
      </c>
      <c r="D215" s="25" t="str">
        <f>_xlfn.IFNA(VLOOKUP(E215,Master_Section!$H:$I,2,FALSE),"")</f>
        <v/>
      </c>
      <c r="F215" s="65" t="str">
        <f>_xlfn.IFNA(VLOOKUP(G215,Master!AE:AF,2,FALSE),"")</f>
        <v/>
      </c>
      <c r="I215" s="24" t="str">
        <f>_xlfn.IFNA(VLOOKUP(D215,Master_Section!$I:$K,2,FALSE),"")</f>
        <v/>
      </c>
      <c r="J215" s="24" t="str">
        <f>_xlfn.IFNA(VLOOKUP(D215,Master_Section!$I:$K,3,FALSE),"")</f>
        <v/>
      </c>
      <c r="L215" s="70" t="str">
        <f>IF(A215&lt;&gt;"CFA",_xlfn.IFNA(VLOOKUP($G215,Master!$AE:$AI,5,0),""),"")</f>
        <v/>
      </c>
      <c r="P215" s="26" t="str">
        <f t="shared" si="6"/>
        <v/>
      </c>
      <c r="Q215" s="37">
        <f t="shared" si="7"/>
        <v>0</v>
      </c>
    </row>
    <row r="216" spans="2:17" ht="15" customHeight="1">
      <c r="B216" s="25" t="str">
        <f>_xlfn.IFNA(VLOOKUP(C216,Master_Section!$H:$I,2,FALSE),"")</f>
        <v/>
      </c>
      <c r="D216" s="25" t="str">
        <f>_xlfn.IFNA(VLOOKUP(E216,Master_Section!$H:$I,2,FALSE),"")</f>
        <v/>
      </c>
      <c r="F216" s="65" t="str">
        <f>_xlfn.IFNA(VLOOKUP(G216,Master!AE:AF,2,FALSE),"")</f>
        <v/>
      </c>
      <c r="I216" s="24" t="str">
        <f>_xlfn.IFNA(VLOOKUP(D216,Master_Section!$I:$K,2,FALSE),"")</f>
        <v/>
      </c>
      <c r="J216" s="24" t="str">
        <f>_xlfn.IFNA(VLOOKUP(D216,Master_Section!$I:$K,3,FALSE),"")</f>
        <v/>
      </c>
      <c r="L216" s="70" t="str">
        <f>IF(A216&lt;&gt;"CFA",_xlfn.IFNA(VLOOKUP($G216,Master!$AE:$AI,5,0),""),"")</f>
        <v/>
      </c>
      <c r="P216" s="26" t="str">
        <f t="shared" si="6"/>
        <v/>
      </c>
      <c r="Q216" s="37">
        <f t="shared" si="7"/>
        <v>0</v>
      </c>
    </row>
    <row r="217" spans="2:17" ht="15" customHeight="1">
      <c r="B217" s="25" t="str">
        <f>_xlfn.IFNA(VLOOKUP(C217,Master_Section!$H:$I,2,FALSE),"")</f>
        <v/>
      </c>
      <c r="D217" s="25" t="str">
        <f>_xlfn.IFNA(VLOOKUP(E217,Master_Section!$H:$I,2,FALSE),"")</f>
        <v/>
      </c>
      <c r="F217" s="65" t="str">
        <f>_xlfn.IFNA(VLOOKUP(G217,Master!AE:AF,2,FALSE),"")</f>
        <v/>
      </c>
      <c r="I217" s="24" t="str">
        <f>_xlfn.IFNA(VLOOKUP(D217,Master_Section!$I:$K,2,FALSE),"")</f>
        <v/>
      </c>
      <c r="J217" s="24" t="str">
        <f>_xlfn.IFNA(VLOOKUP(D217,Master_Section!$I:$K,3,FALSE),"")</f>
        <v/>
      </c>
      <c r="L217" s="70" t="str">
        <f>IF(A217&lt;&gt;"CFA",_xlfn.IFNA(VLOOKUP($G217,Master!$AE:$AI,5,0),""),"")</f>
        <v/>
      </c>
      <c r="P217" s="26" t="str">
        <f t="shared" si="6"/>
        <v/>
      </c>
      <c r="Q217" s="37">
        <f t="shared" si="7"/>
        <v>0</v>
      </c>
    </row>
    <row r="218" spans="2:17" ht="15" customHeight="1">
      <c r="B218" s="25" t="str">
        <f>_xlfn.IFNA(VLOOKUP(C218,Master_Section!$H:$I,2,FALSE),"")</f>
        <v/>
      </c>
      <c r="D218" s="25" t="str">
        <f>_xlfn.IFNA(VLOOKUP(E218,Master_Section!$H:$I,2,FALSE),"")</f>
        <v/>
      </c>
      <c r="F218" s="65" t="str">
        <f>_xlfn.IFNA(VLOOKUP(G218,Master!AE:AF,2,FALSE),"")</f>
        <v/>
      </c>
      <c r="I218" s="24" t="str">
        <f>_xlfn.IFNA(VLOOKUP(D218,Master_Section!$I:$K,2,FALSE),"")</f>
        <v/>
      </c>
      <c r="J218" s="24" t="str">
        <f>_xlfn.IFNA(VLOOKUP(D218,Master_Section!$I:$K,3,FALSE),"")</f>
        <v/>
      </c>
      <c r="L218" s="70" t="str">
        <f>IF(A218&lt;&gt;"CFA",_xlfn.IFNA(VLOOKUP($G218,Master!$AE:$AI,5,0),""),"")</f>
        <v/>
      </c>
      <c r="P218" s="26" t="str">
        <f t="shared" si="6"/>
        <v/>
      </c>
      <c r="Q218" s="37">
        <f t="shared" si="7"/>
        <v>0</v>
      </c>
    </row>
    <row r="219" spans="2:17" ht="15" customHeight="1">
      <c r="B219" s="25" t="str">
        <f>_xlfn.IFNA(VLOOKUP(C219,Master_Section!$H:$I,2,FALSE),"")</f>
        <v/>
      </c>
      <c r="D219" s="25" t="str">
        <f>_xlfn.IFNA(VLOOKUP(E219,Master_Section!$H:$I,2,FALSE),"")</f>
        <v/>
      </c>
      <c r="F219" s="65" t="str">
        <f>_xlfn.IFNA(VLOOKUP(G219,Master!AE:AF,2,FALSE),"")</f>
        <v/>
      </c>
      <c r="I219" s="24" t="str">
        <f>_xlfn.IFNA(VLOOKUP(D219,Master_Section!$I:$K,2,FALSE),"")</f>
        <v/>
      </c>
      <c r="J219" s="24" t="str">
        <f>_xlfn.IFNA(VLOOKUP(D219,Master_Section!$I:$K,3,FALSE),"")</f>
        <v/>
      </c>
      <c r="L219" s="70" t="str">
        <f>IF(A219&lt;&gt;"CFA",_xlfn.IFNA(VLOOKUP($G219,Master!$AE:$AI,5,0),""),"")</f>
        <v/>
      </c>
      <c r="P219" s="26" t="str">
        <f t="shared" si="6"/>
        <v/>
      </c>
      <c r="Q219" s="37">
        <f t="shared" si="7"/>
        <v>0</v>
      </c>
    </row>
    <row r="220" spans="2:17" ht="15" customHeight="1">
      <c r="B220" s="25" t="str">
        <f>_xlfn.IFNA(VLOOKUP(C220,Master_Section!$H:$I,2,FALSE),"")</f>
        <v/>
      </c>
      <c r="D220" s="25" t="str">
        <f>_xlfn.IFNA(VLOOKUP(E220,Master_Section!$H:$I,2,FALSE),"")</f>
        <v/>
      </c>
      <c r="F220" s="65" t="str">
        <f>_xlfn.IFNA(VLOOKUP(G220,Master!AE:AF,2,FALSE),"")</f>
        <v/>
      </c>
      <c r="I220" s="24" t="str">
        <f>_xlfn.IFNA(VLOOKUP(D220,Master_Section!$I:$K,2,FALSE),"")</f>
        <v/>
      </c>
      <c r="J220" s="24" t="str">
        <f>_xlfn.IFNA(VLOOKUP(D220,Master_Section!$I:$K,3,FALSE),"")</f>
        <v/>
      </c>
      <c r="L220" s="70" t="str">
        <f>IF(A220&lt;&gt;"CFA",_xlfn.IFNA(VLOOKUP($G220,Master!$AE:$AI,5,0),""),"")</f>
        <v/>
      </c>
      <c r="P220" s="26" t="str">
        <f t="shared" si="6"/>
        <v/>
      </c>
      <c r="Q220" s="37">
        <f t="shared" si="7"/>
        <v>0</v>
      </c>
    </row>
    <row r="221" spans="2:17" ht="15" customHeight="1">
      <c r="B221" s="25" t="str">
        <f>_xlfn.IFNA(VLOOKUP(C221,Master_Section!$H:$I,2,FALSE),"")</f>
        <v/>
      </c>
      <c r="D221" s="25" t="str">
        <f>_xlfn.IFNA(VLOOKUP(E221,Master_Section!$H:$I,2,FALSE),"")</f>
        <v/>
      </c>
      <c r="F221" s="65" t="str">
        <f>_xlfn.IFNA(VLOOKUP(G221,Master!AE:AF,2,FALSE),"")</f>
        <v/>
      </c>
      <c r="I221" s="24" t="str">
        <f>_xlfn.IFNA(VLOOKUP(D221,Master_Section!$I:$K,2,FALSE),"")</f>
        <v/>
      </c>
      <c r="J221" s="24" t="str">
        <f>_xlfn.IFNA(VLOOKUP(D221,Master_Section!$I:$K,3,FALSE),"")</f>
        <v/>
      </c>
      <c r="L221" s="70" t="str">
        <f>IF(A221&lt;&gt;"CFA",_xlfn.IFNA(VLOOKUP($G221,Master!$AE:$AI,5,0),""),"")</f>
        <v/>
      </c>
      <c r="P221" s="26" t="str">
        <f t="shared" si="6"/>
        <v/>
      </c>
      <c r="Q221" s="37">
        <f t="shared" si="7"/>
        <v>0</v>
      </c>
    </row>
    <row r="222" spans="2:17" ht="15" customHeight="1">
      <c r="B222" s="25" t="str">
        <f>_xlfn.IFNA(VLOOKUP(C222,Master_Section!$H:$I,2,FALSE),"")</f>
        <v/>
      </c>
      <c r="D222" s="25" t="str">
        <f>_xlfn.IFNA(VLOOKUP(E222,Master_Section!$H:$I,2,FALSE),"")</f>
        <v/>
      </c>
      <c r="F222" s="65" t="str">
        <f>_xlfn.IFNA(VLOOKUP(G222,Master!AE:AF,2,FALSE),"")</f>
        <v/>
      </c>
      <c r="I222" s="24" t="str">
        <f>_xlfn.IFNA(VLOOKUP(D222,Master_Section!$I:$K,2,FALSE),"")</f>
        <v/>
      </c>
      <c r="J222" s="24" t="str">
        <f>_xlfn.IFNA(VLOOKUP(D222,Master_Section!$I:$K,3,FALSE),"")</f>
        <v/>
      </c>
      <c r="L222" s="70" t="str">
        <f>IF(A222&lt;&gt;"CFA",_xlfn.IFNA(VLOOKUP($G222,Master!$AE:$AI,5,0),""),"")</f>
        <v/>
      </c>
      <c r="P222" s="26" t="str">
        <f t="shared" si="6"/>
        <v/>
      </c>
      <c r="Q222" s="37">
        <f t="shared" si="7"/>
        <v>0</v>
      </c>
    </row>
    <row r="223" spans="2:17" ht="15" customHeight="1">
      <c r="B223" s="25" t="str">
        <f>_xlfn.IFNA(VLOOKUP(C223,Master_Section!$H:$I,2,FALSE),"")</f>
        <v/>
      </c>
      <c r="D223" s="25" t="str">
        <f>_xlfn.IFNA(VLOOKUP(E223,Master_Section!$H:$I,2,FALSE),"")</f>
        <v/>
      </c>
      <c r="F223" s="65" t="str">
        <f>_xlfn.IFNA(VLOOKUP(G223,Master!AE:AF,2,FALSE),"")</f>
        <v/>
      </c>
      <c r="I223" s="24" t="str">
        <f>_xlfn.IFNA(VLOOKUP(D223,Master_Section!$I:$K,2,FALSE),"")</f>
        <v/>
      </c>
      <c r="J223" s="24" t="str">
        <f>_xlfn.IFNA(VLOOKUP(D223,Master_Section!$I:$K,3,FALSE),"")</f>
        <v/>
      </c>
      <c r="L223" s="70" t="str">
        <f>IF(A223&lt;&gt;"CFA",_xlfn.IFNA(VLOOKUP($G223,Master!$AE:$AI,5,0),""),"")</f>
        <v/>
      </c>
      <c r="P223" s="26" t="str">
        <f t="shared" si="6"/>
        <v/>
      </c>
      <c r="Q223" s="37">
        <f t="shared" si="7"/>
        <v>0</v>
      </c>
    </row>
    <row r="224" spans="2:17" ht="15" customHeight="1">
      <c r="B224" s="25" t="str">
        <f>_xlfn.IFNA(VLOOKUP(C224,Master_Section!$H:$I,2,FALSE),"")</f>
        <v/>
      </c>
      <c r="D224" s="25" t="str">
        <f>_xlfn.IFNA(VLOOKUP(E224,Master_Section!$H:$I,2,FALSE),"")</f>
        <v/>
      </c>
      <c r="F224" s="65" t="str">
        <f>_xlfn.IFNA(VLOOKUP(G224,Master!AE:AF,2,FALSE),"")</f>
        <v/>
      </c>
      <c r="I224" s="24" t="str">
        <f>_xlfn.IFNA(VLOOKUP(D224,Master_Section!$I:$K,2,FALSE),"")</f>
        <v/>
      </c>
      <c r="J224" s="24" t="str">
        <f>_xlfn.IFNA(VLOOKUP(D224,Master_Section!$I:$K,3,FALSE),"")</f>
        <v/>
      </c>
      <c r="L224" s="70" t="str">
        <f>IF(A224&lt;&gt;"CFA",_xlfn.IFNA(VLOOKUP($G224,Master!$AE:$AI,5,0),""),"")</f>
        <v/>
      </c>
      <c r="P224" s="26" t="str">
        <f t="shared" si="6"/>
        <v/>
      </c>
      <c r="Q224" s="37">
        <f t="shared" si="7"/>
        <v>0</v>
      </c>
    </row>
    <row r="225" spans="2:17" ht="15" customHeight="1">
      <c r="B225" s="25" t="str">
        <f>_xlfn.IFNA(VLOOKUP(C225,Master_Section!$H:$I,2,FALSE),"")</f>
        <v/>
      </c>
      <c r="D225" s="25" t="str">
        <f>_xlfn.IFNA(VLOOKUP(E225,Master_Section!$H:$I,2,FALSE),"")</f>
        <v/>
      </c>
      <c r="F225" s="65" t="str">
        <f>_xlfn.IFNA(VLOOKUP(G225,Master!AE:AF,2,FALSE),"")</f>
        <v/>
      </c>
      <c r="I225" s="24" t="str">
        <f>_xlfn.IFNA(VLOOKUP(D225,Master_Section!$I:$K,2,FALSE),"")</f>
        <v/>
      </c>
      <c r="J225" s="24" t="str">
        <f>_xlfn.IFNA(VLOOKUP(D225,Master_Section!$I:$K,3,FALSE),"")</f>
        <v/>
      </c>
      <c r="L225" s="70" t="str">
        <f>IF(A225&lt;&gt;"CFA",_xlfn.IFNA(VLOOKUP($G225,Master!$AE:$AI,5,0),""),"")</f>
        <v/>
      </c>
      <c r="P225" s="26" t="str">
        <f t="shared" si="6"/>
        <v/>
      </c>
      <c r="Q225" s="37">
        <f t="shared" si="7"/>
        <v>0</v>
      </c>
    </row>
    <row r="226" spans="2:17" ht="15" customHeight="1">
      <c r="B226" s="25" t="str">
        <f>_xlfn.IFNA(VLOOKUP(C226,Master_Section!$H:$I,2,FALSE),"")</f>
        <v/>
      </c>
      <c r="D226" s="25" t="str">
        <f>_xlfn.IFNA(VLOOKUP(E226,Master_Section!$H:$I,2,FALSE),"")</f>
        <v/>
      </c>
      <c r="F226" s="65" t="str">
        <f>_xlfn.IFNA(VLOOKUP(G226,Master!AE:AF,2,FALSE),"")</f>
        <v/>
      </c>
      <c r="I226" s="24" t="str">
        <f>_xlfn.IFNA(VLOOKUP(D226,Master_Section!$I:$K,2,FALSE),"")</f>
        <v/>
      </c>
      <c r="J226" s="24" t="str">
        <f>_xlfn.IFNA(VLOOKUP(D226,Master_Section!$I:$K,3,FALSE),"")</f>
        <v/>
      </c>
      <c r="L226" s="70" t="str">
        <f>IF(A226&lt;&gt;"CFA",_xlfn.IFNA(VLOOKUP($G226,Master!$AE:$AI,5,0),""),"")</f>
        <v/>
      </c>
      <c r="P226" s="26" t="str">
        <f t="shared" si="6"/>
        <v/>
      </c>
      <c r="Q226" s="37">
        <f t="shared" si="7"/>
        <v>0</v>
      </c>
    </row>
    <row r="227" spans="2:17" ht="15" customHeight="1">
      <c r="B227" s="25" t="str">
        <f>_xlfn.IFNA(VLOOKUP(C227,Master_Section!$H:$I,2,FALSE),"")</f>
        <v/>
      </c>
      <c r="D227" s="25" t="str">
        <f>_xlfn.IFNA(VLOOKUP(E227,Master_Section!$H:$I,2,FALSE),"")</f>
        <v/>
      </c>
      <c r="F227" s="65" t="str">
        <f>_xlfn.IFNA(VLOOKUP(G227,Master!AE:AF,2,FALSE),"")</f>
        <v/>
      </c>
      <c r="I227" s="24" t="str">
        <f>_xlfn.IFNA(VLOOKUP(D227,Master_Section!$I:$K,2,FALSE),"")</f>
        <v/>
      </c>
      <c r="J227" s="24" t="str">
        <f>_xlfn.IFNA(VLOOKUP(D227,Master_Section!$I:$K,3,FALSE),"")</f>
        <v/>
      </c>
      <c r="L227" s="70" t="str">
        <f>IF(A227&lt;&gt;"CFA",_xlfn.IFNA(VLOOKUP($G227,Master!$AE:$AI,5,0),""),"")</f>
        <v/>
      </c>
      <c r="P227" s="26" t="str">
        <f t="shared" si="6"/>
        <v/>
      </c>
      <c r="Q227" s="37">
        <f t="shared" si="7"/>
        <v>0</v>
      </c>
    </row>
    <row r="228" spans="2:17" ht="15" customHeight="1">
      <c r="B228" s="25" t="str">
        <f>_xlfn.IFNA(VLOOKUP(C228,Master_Section!$H:$I,2,FALSE),"")</f>
        <v/>
      </c>
      <c r="D228" s="25" t="str">
        <f>_xlfn.IFNA(VLOOKUP(E228,Master_Section!$H:$I,2,FALSE),"")</f>
        <v/>
      </c>
      <c r="F228" s="65" t="str">
        <f>_xlfn.IFNA(VLOOKUP(G228,Master!AE:AF,2,FALSE),"")</f>
        <v/>
      </c>
      <c r="I228" s="24" t="str">
        <f>_xlfn.IFNA(VLOOKUP(D228,Master_Section!$I:$K,2,FALSE),"")</f>
        <v/>
      </c>
      <c r="J228" s="24" t="str">
        <f>_xlfn.IFNA(VLOOKUP(D228,Master_Section!$I:$K,3,FALSE),"")</f>
        <v/>
      </c>
      <c r="L228" s="70" t="str">
        <f>IF(A228&lt;&gt;"CFA",_xlfn.IFNA(VLOOKUP($G228,Master!$AE:$AI,5,0),""),"")</f>
        <v/>
      </c>
      <c r="P228" s="26" t="str">
        <f t="shared" si="6"/>
        <v/>
      </c>
      <c r="Q228" s="37">
        <f t="shared" si="7"/>
        <v>0</v>
      </c>
    </row>
    <row r="229" spans="2:17" ht="15" customHeight="1">
      <c r="B229" s="25" t="str">
        <f>_xlfn.IFNA(VLOOKUP(C229,Master_Section!$H:$I,2,FALSE),"")</f>
        <v/>
      </c>
      <c r="D229" s="25" t="str">
        <f>_xlfn.IFNA(VLOOKUP(E229,Master_Section!$H:$I,2,FALSE),"")</f>
        <v/>
      </c>
      <c r="F229" s="65" t="str">
        <f>_xlfn.IFNA(VLOOKUP(G229,Master!AE:AF,2,FALSE),"")</f>
        <v/>
      </c>
      <c r="I229" s="24" t="str">
        <f>_xlfn.IFNA(VLOOKUP(D229,Master_Section!$I:$K,2,FALSE),"")</f>
        <v/>
      </c>
      <c r="J229" s="24" t="str">
        <f>_xlfn.IFNA(VLOOKUP(D229,Master_Section!$I:$K,3,FALSE),"")</f>
        <v/>
      </c>
      <c r="L229" s="70" t="str">
        <f>IF(A229&lt;&gt;"CFA",_xlfn.IFNA(VLOOKUP($G229,Master!$AE:$AI,5,0),""),"")</f>
        <v/>
      </c>
      <c r="P229" s="26" t="str">
        <f t="shared" si="6"/>
        <v/>
      </c>
      <c r="Q229" s="37">
        <f t="shared" si="7"/>
        <v>0</v>
      </c>
    </row>
    <row r="230" spans="2:17" ht="15" customHeight="1">
      <c r="B230" s="25" t="str">
        <f>_xlfn.IFNA(VLOOKUP(C230,Master_Section!$H:$I,2,FALSE),"")</f>
        <v/>
      </c>
      <c r="D230" s="25" t="str">
        <f>_xlfn.IFNA(VLOOKUP(E230,Master_Section!$H:$I,2,FALSE),"")</f>
        <v/>
      </c>
      <c r="F230" s="65" t="str">
        <f>_xlfn.IFNA(VLOOKUP(G230,Master!AE:AF,2,FALSE),"")</f>
        <v/>
      </c>
      <c r="I230" s="24" t="str">
        <f>_xlfn.IFNA(VLOOKUP(D230,Master_Section!$I:$K,2,FALSE),"")</f>
        <v/>
      </c>
      <c r="J230" s="24" t="str">
        <f>_xlfn.IFNA(VLOOKUP(D230,Master_Section!$I:$K,3,FALSE),"")</f>
        <v/>
      </c>
      <c r="L230" s="70" t="str">
        <f>IF(A230&lt;&gt;"CFA",_xlfn.IFNA(VLOOKUP($G230,Master!$AE:$AI,5,0),""),"")</f>
        <v/>
      </c>
      <c r="P230" s="26" t="str">
        <f t="shared" si="6"/>
        <v/>
      </c>
      <c r="Q230" s="37">
        <f t="shared" si="7"/>
        <v>0</v>
      </c>
    </row>
    <row r="231" spans="2:17" ht="15" customHeight="1">
      <c r="B231" s="25" t="str">
        <f>_xlfn.IFNA(VLOOKUP(C231,Master_Section!$H:$I,2,FALSE),"")</f>
        <v/>
      </c>
      <c r="D231" s="25" t="str">
        <f>_xlfn.IFNA(VLOOKUP(E231,Master_Section!$H:$I,2,FALSE),"")</f>
        <v/>
      </c>
      <c r="F231" s="65" t="str">
        <f>_xlfn.IFNA(VLOOKUP(G231,Master!AE:AF,2,FALSE),"")</f>
        <v/>
      </c>
      <c r="I231" s="24" t="str">
        <f>_xlfn.IFNA(VLOOKUP(D231,Master_Section!$I:$K,2,FALSE),"")</f>
        <v/>
      </c>
      <c r="J231" s="24" t="str">
        <f>_xlfn.IFNA(VLOOKUP(D231,Master_Section!$I:$K,3,FALSE),"")</f>
        <v/>
      </c>
      <c r="L231" s="70" t="str">
        <f>IF(A231&lt;&gt;"CFA",_xlfn.IFNA(VLOOKUP($G231,Master!$AE:$AI,5,0),""),"")</f>
        <v/>
      </c>
      <c r="P231" s="26" t="str">
        <f t="shared" si="6"/>
        <v/>
      </c>
      <c r="Q231" s="37">
        <f t="shared" si="7"/>
        <v>0</v>
      </c>
    </row>
    <row r="232" spans="2:17" ht="15" customHeight="1">
      <c r="B232" s="25" t="str">
        <f>_xlfn.IFNA(VLOOKUP(C232,Master_Section!$H:$I,2,FALSE),"")</f>
        <v/>
      </c>
      <c r="D232" s="25" t="str">
        <f>_xlfn.IFNA(VLOOKUP(E232,Master_Section!$H:$I,2,FALSE),"")</f>
        <v/>
      </c>
      <c r="F232" s="65" t="str">
        <f>_xlfn.IFNA(VLOOKUP(G232,Master!AE:AF,2,FALSE),"")</f>
        <v/>
      </c>
      <c r="I232" s="24" t="str">
        <f>_xlfn.IFNA(VLOOKUP(D232,Master_Section!$I:$K,2,FALSE),"")</f>
        <v/>
      </c>
      <c r="J232" s="24" t="str">
        <f>_xlfn.IFNA(VLOOKUP(D232,Master_Section!$I:$K,3,FALSE),"")</f>
        <v/>
      </c>
      <c r="L232" s="70" t="str">
        <f>IF(A232&lt;&gt;"CFA",_xlfn.IFNA(VLOOKUP($G232,Master!$AE:$AI,5,0),""),"")</f>
        <v/>
      </c>
      <c r="P232" s="26" t="str">
        <f t="shared" si="6"/>
        <v/>
      </c>
      <c r="Q232" s="37">
        <f t="shared" si="7"/>
        <v>0</v>
      </c>
    </row>
    <row r="233" spans="2:17" ht="15" customHeight="1">
      <c r="B233" s="25" t="str">
        <f>_xlfn.IFNA(VLOOKUP(C233,Master_Section!$H:$I,2,FALSE),"")</f>
        <v/>
      </c>
      <c r="D233" s="25" t="str">
        <f>_xlfn.IFNA(VLOOKUP(E233,Master_Section!$H:$I,2,FALSE),"")</f>
        <v/>
      </c>
      <c r="F233" s="65" t="str">
        <f>_xlfn.IFNA(VLOOKUP(G233,Master!AE:AF,2,FALSE),"")</f>
        <v/>
      </c>
      <c r="I233" s="24" t="str">
        <f>_xlfn.IFNA(VLOOKUP(D233,Master_Section!$I:$K,2,FALSE),"")</f>
        <v/>
      </c>
      <c r="J233" s="24" t="str">
        <f>_xlfn.IFNA(VLOOKUP(D233,Master_Section!$I:$K,3,FALSE),"")</f>
        <v/>
      </c>
      <c r="L233" s="70" t="str">
        <f>IF(A233&lt;&gt;"CFA",_xlfn.IFNA(VLOOKUP($G233,Master!$AE:$AI,5,0),""),"")</f>
        <v/>
      </c>
      <c r="P233" s="26" t="str">
        <f t="shared" si="6"/>
        <v/>
      </c>
      <c r="Q233" s="37">
        <f t="shared" si="7"/>
        <v>0</v>
      </c>
    </row>
    <row r="234" spans="2:17" ht="15" customHeight="1">
      <c r="B234" s="25" t="str">
        <f>_xlfn.IFNA(VLOOKUP(C234,Master_Section!$H:$I,2,FALSE),"")</f>
        <v/>
      </c>
      <c r="D234" s="25" t="str">
        <f>_xlfn.IFNA(VLOOKUP(E234,Master_Section!$H:$I,2,FALSE),"")</f>
        <v/>
      </c>
      <c r="F234" s="65" t="str">
        <f>_xlfn.IFNA(VLOOKUP(G234,Master!AE:AF,2,FALSE),"")</f>
        <v/>
      </c>
      <c r="I234" s="24" t="str">
        <f>_xlfn.IFNA(VLOOKUP(D234,Master_Section!$I:$K,2,FALSE),"")</f>
        <v/>
      </c>
      <c r="J234" s="24" t="str">
        <f>_xlfn.IFNA(VLOOKUP(D234,Master_Section!$I:$K,3,FALSE),"")</f>
        <v/>
      </c>
      <c r="L234" s="70" t="str">
        <f>IF(A234&lt;&gt;"CFA",_xlfn.IFNA(VLOOKUP($G234,Master!$AE:$AI,5,0),""),"")</f>
        <v/>
      </c>
      <c r="P234" s="26" t="str">
        <f t="shared" si="6"/>
        <v/>
      </c>
      <c r="Q234" s="37">
        <f t="shared" si="7"/>
        <v>0</v>
      </c>
    </row>
    <row r="235" spans="2:17" ht="15" customHeight="1">
      <c r="B235" s="25" t="str">
        <f>_xlfn.IFNA(VLOOKUP(C235,Master_Section!$H:$I,2,FALSE),"")</f>
        <v/>
      </c>
      <c r="D235" s="25" t="str">
        <f>_xlfn.IFNA(VLOOKUP(E235,Master_Section!$H:$I,2,FALSE),"")</f>
        <v/>
      </c>
      <c r="F235" s="65" t="str">
        <f>_xlfn.IFNA(VLOOKUP(G235,Master!AE:AF,2,FALSE),"")</f>
        <v/>
      </c>
      <c r="I235" s="24" t="str">
        <f>_xlfn.IFNA(VLOOKUP(D235,Master_Section!$I:$K,2,FALSE),"")</f>
        <v/>
      </c>
      <c r="J235" s="24" t="str">
        <f>_xlfn.IFNA(VLOOKUP(D235,Master_Section!$I:$K,3,FALSE),"")</f>
        <v/>
      </c>
      <c r="L235" s="70" t="str">
        <f>IF(A235&lt;&gt;"CFA",_xlfn.IFNA(VLOOKUP($G235,Master!$AE:$AI,5,0),""),"")</f>
        <v/>
      </c>
      <c r="P235" s="26" t="str">
        <f t="shared" si="6"/>
        <v/>
      </c>
      <c r="Q235" s="37">
        <f t="shared" si="7"/>
        <v>0</v>
      </c>
    </row>
    <row r="236" spans="2:17" ht="15" customHeight="1">
      <c r="B236" s="25" t="str">
        <f>_xlfn.IFNA(VLOOKUP(C236,Master_Section!$H:$I,2,FALSE),"")</f>
        <v/>
      </c>
      <c r="D236" s="25" t="str">
        <f>_xlfn.IFNA(VLOOKUP(E236,Master_Section!$H:$I,2,FALSE),"")</f>
        <v/>
      </c>
      <c r="F236" s="65" t="str">
        <f>_xlfn.IFNA(VLOOKUP(G236,Master!AE:AF,2,FALSE),"")</f>
        <v/>
      </c>
      <c r="I236" s="24" t="str">
        <f>_xlfn.IFNA(VLOOKUP(D236,Master_Section!$I:$K,2,FALSE),"")</f>
        <v/>
      </c>
      <c r="J236" s="24" t="str">
        <f>_xlfn.IFNA(VLOOKUP(D236,Master_Section!$I:$K,3,FALSE),"")</f>
        <v/>
      </c>
      <c r="L236" s="70" t="str">
        <f>IF(A236&lt;&gt;"CFA",_xlfn.IFNA(VLOOKUP($G236,Master!$AE:$AI,5,0),""),"")</f>
        <v/>
      </c>
      <c r="P236" s="26" t="str">
        <f t="shared" si="6"/>
        <v/>
      </c>
      <c r="Q236" s="37">
        <f t="shared" si="7"/>
        <v>0</v>
      </c>
    </row>
    <row r="237" spans="2:17" ht="15" customHeight="1">
      <c r="B237" s="25" t="str">
        <f>_xlfn.IFNA(VLOOKUP(C237,Master_Section!$H:$I,2,FALSE),"")</f>
        <v/>
      </c>
      <c r="D237" s="25" t="str">
        <f>_xlfn.IFNA(VLOOKUP(E237,Master_Section!$H:$I,2,FALSE),"")</f>
        <v/>
      </c>
      <c r="F237" s="65" t="str">
        <f>_xlfn.IFNA(VLOOKUP(G237,Master!AE:AF,2,FALSE),"")</f>
        <v/>
      </c>
      <c r="I237" s="24" t="str">
        <f>_xlfn.IFNA(VLOOKUP(D237,Master_Section!$I:$K,2,FALSE),"")</f>
        <v/>
      </c>
      <c r="J237" s="24" t="str">
        <f>_xlfn.IFNA(VLOOKUP(D237,Master_Section!$I:$K,3,FALSE),"")</f>
        <v/>
      </c>
      <c r="L237" s="70" t="str">
        <f>IF(A237&lt;&gt;"CFA",_xlfn.IFNA(VLOOKUP($G237,Master!$AE:$AI,5,0),""),"")</f>
        <v/>
      </c>
      <c r="P237" s="26" t="str">
        <f t="shared" si="6"/>
        <v/>
      </c>
      <c r="Q237" s="37">
        <f t="shared" si="7"/>
        <v>0</v>
      </c>
    </row>
    <row r="238" spans="2:17" ht="15" customHeight="1">
      <c r="B238" s="25" t="str">
        <f>_xlfn.IFNA(VLOOKUP(C238,Master_Section!$H:$I,2,FALSE),"")</f>
        <v/>
      </c>
      <c r="D238" s="25" t="str">
        <f>_xlfn.IFNA(VLOOKUP(E238,Master_Section!$H:$I,2,FALSE),"")</f>
        <v/>
      </c>
      <c r="F238" s="65" t="str">
        <f>_xlfn.IFNA(VLOOKUP(G238,Master!AE:AF,2,FALSE),"")</f>
        <v/>
      </c>
      <c r="I238" s="24" t="str">
        <f>_xlfn.IFNA(VLOOKUP(D238,Master_Section!$I:$K,2,FALSE),"")</f>
        <v/>
      </c>
      <c r="J238" s="24" t="str">
        <f>_xlfn.IFNA(VLOOKUP(D238,Master_Section!$I:$K,3,FALSE),"")</f>
        <v/>
      </c>
      <c r="L238" s="70" t="str">
        <f>IF(A238&lt;&gt;"CFA",_xlfn.IFNA(VLOOKUP($G238,Master!$AE:$AI,5,0),""),"")</f>
        <v/>
      </c>
      <c r="P238" s="26" t="str">
        <f t="shared" si="6"/>
        <v/>
      </c>
      <c r="Q238" s="37">
        <f t="shared" si="7"/>
        <v>0</v>
      </c>
    </row>
    <row r="239" spans="2:17" ht="15" customHeight="1">
      <c r="B239" s="25" t="str">
        <f>_xlfn.IFNA(VLOOKUP(C239,Master_Section!$H:$I,2,FALSE),"")</f>
        <v/>
      </c>
      <c r="D239" s="25" t="str">
        <f>_xlfn.IFNA(VLOOKUP(E239,Master_Section!$H:$I,2,FALSE),"")</f>
        <v/>
      </c>
      <c r="F239" s="65" t="str">
        <f>_xlfn.IFNA(VLOOKUP(G239,Master!AE:AF,2,FALSE),"")</f>
        <v/>
      </c>
      <c r="I239" s="24" t="str">
        <f>_xlfn.IFNA(VLOOKUP(D239,Master_Section!$I:$K,2,FALSE),"")</f>
        <v/>
      </c>
      <c r="J239" s="24" t="str">
        <f>_xlfn.IFNA(VLOOKUP(D239,Master_Section!$I:$K,3,FALSE),"")</f>
        <v/>
      </c>
      <c r="L239" s="70" t="str">
        <f>IF(A239&lt;&gt;"CFA",_xlfn.IFNA(VLOOKUP($G239,Master!$AE:$AI,5,0),""),"")</f>
        <v/>
      </c>
      <c r="P239" s="26" t="str">
        <f t="shared" si="6"/>
        <v/>
      </c>
      <c r="Q239" s="37">
        <f t="shared" si="7"/>
        <v>0</v>
      </c>
    </row>
    <row r="240" spans="2:17" ht="15" customHeight="1">
      <c r="B240" s="25" t="str">
        <f>_xlfn.IFNA(VLOOKUP(C240,Master_Section!$H:$I,2,FALSE),"")</f>
        <v/>
      </c>
      <c r="D240" s="25" t="str">
        <f>_xlfn.IFNA(VLOOKUP(E240,Master_Section!$H:$I,2,FALSE),"")</f>
        <v/>
      </c>
      <c r="F240" s="65" t="str">
        <f>_xlfn.IFNA(VLOOKUP(G240,Master!AE:AF,2,FALSE),"")</f>
        <v/>
      </c>
      <c r="I240" s="24" t="str">
        <f>_xlfn.IFNA(VLOOKUP(D240,Master_Section!$I:$K,2,FALSE),"")</f>
        <v/>
      </c>
      <c r="J240" s="24" t="str">
        <f>_xlfn.IFNA(VLOOKUP(D240,Master_Section!$I:$K,3,FALSE),"")</f>
        <v/>
      </c>
      <c r="L240" s="70" t="str">
        <f>IF(A240&lt;&gt;"CFA",_xlfn.IFNA(VLOOKUP($G240,Master!$AE:$AI,5,0),""),"")</f>
        <v/>
      </c>
      <c r="P240" s="26" t="str">
        <f t="shared" si="6"/>
        <v/>
      </c>
      <c r="Q240" s="37">
        <f t="shared" si="7"/>
        <v>0</v>
      </c>
    </row>
    <row r="241" spans="2:17" ht="15" customHeight="1">
      <c r="B241" s="25" t="str">
        <f>_xlfn.IFNA(VLOOKUP(C241,Master_Section!$H:$I,2,FALSE),"")</f>
        <v/>
      </c>
      <c r="D241" s="25" t="str">
        <f>_xlfn.IFNA(VLOOKUP(E241,Master_Section!$H:$I,2,FALSE),"")</f>
        <v/>
      </c>
      <c r="F241" s="65" t="str">
        <f>_xlfn.IFNA(VLOOKUP(G241,Master!AE:AF,2,FALSE),"")</f>
        <v/>
      </c>
      <c r="I241" s="24" t="str">
        <f>_xlfn.IFNA(VLOOKUP(D241,Master_Section!$I:$K,2,FALSE),"")</f>
        <v/>
      </c>
      <c r="J241" s="24" t="str">
        <f>_xlfn.IFNA(VLOOKUP(D241,Master_Section!$I:$K,3,FALSE),"")</f>
        <v/>
      </c>
      <c r="L241" s="70" t="str">
        <f>IF(A241&lt;&gt;"CFA",_xlfn.IFNA(VLOOKUP($G241,Master!$AE:$AI,5,0),""),"")</f>
        <v/>
      </c>
      <c r="P241" s="26" t="str">
        <f t="shared" si="6"/>
        <v/>
      </c>
      <c r="Q241" s="37">
        <f t="shared" si="7"/>
        <v>0</v>
      </c>
    </row>
    <row r="242" spans="2:17" ht="15" customHeight="1">
      <c r="B242" s="25" t="str">
        <f>_xlfn.IFNA(VLOOKUP(C242,Master_Section!$H:$I,2,FALSE),"")</f>
        <v/>
      </c>
      <c r="D242" s="25" t="str">
        <f>_xlfn.IFNA(VLOOKUP(E242,Master_Section!$H:$I,2,FALSE),"")</f>
        <v/>
      </c>
      <c r="F242" s="65" t="str">
        <f>_xlfn.IFNA(VLOOKUP(G242,Master!AE:AF,2,FALSE),"")</f>
        <v/>
      </c>
      <c r="I242" s="24" t="str">
        <f>_xlfn.IFNA(VLOOKUP(D242,Master_Section!$I:$K,2,FALSE),"")</f>
        <v/>
      </c>
      <c r="J242" s="24" t="str">
        <f>_xlfn.IFNA(VLOOKUP(D242,Master_Section!$I:$K,3,FALSE),"")</f>
        <v/>
      </c>
      <c r="L242" s="70" t="str">
        <f>IF(A242&lt;&gt;"CFA",_xlfn.IFNA(VLOOKUP($G242,Master!$AE:$AI,5,0),""),"")</f>
        <v/>
      </c>
      <c r="P242" s="26" t="str">
        <f t="shared" si="6"/>
        <v/>
      </c>
      <c r="Q242" s="37">
        <f t="shared" si="7"/>
        <v>0</v>
      </c>
    </row>
    <row r="243" spans="2:17" ht="15" customHeight="1">
      <c r="B243" s="25" t="str">
        <f>_xlfn.IFNA(VLOOKUP(C243,Master_Section!$H:$I,2,FALSE),"")</f>
        <v/>
      </c>
      <c r="D243" s="25" t="str">
        <f>_xlfn.IFNA(VLOOKUP(E243,Master_Section!$H:$I,2,FALSE),"")</f>
        <v/>
      </c>
      <c r="F243" s="65" t="str">
        <f>_xlfn.IFNA(VLOOKUP(G243,Master!AE:AF,2,FALSE),"")</f>
        <v/>
      </c>
      <c r="I243" s="24" t="str">
        <f>_xlfn.IFNA(VLOOKUP(D243,Master_Section!$I:$K,2,FALSE),"")</f>
        <v/>
      </c>
      <c r="J243" s="24" t="str">
        <f>_xlfn.IFNA(VLOOKUP(D243,Master_Section!$I:$K,3,FALSE),"")</f>
        <v/>
      </c>
      <c r="L243" s="70" t="str">
        <f>IF(A243&lt;&gt;"CFA",_xlfn.IFNA(VLOOKUP($G243,Master!$AE:$AI,5,0),""),"")</f>
        <v/>
      </c>
      <c r="P243" s="26" t="str">
        <f t="shared" si="6"/>
        <v/>
      </c>
      <c r="Q243" s="37">
        <f t="shared" si="7"/>
        <v>0</v>
      </c>
    </row>
    <row r="244" spans="2:17" ht="15" customHeight="1">
      <c r="B244" s="25" t="str">
        <f>_xlfn.IFNA(VLOOKUP(C244,Master_Section!$H:$I,2,FALSE),"")</f>
        <v/>
      </c>
      <c r="D244" s="25" t="str">
        <f>_xlfn.IFNA(VLOOKUP(E244,Master_Section!$H:$I,2,FALSE),"")</f>
        <v/>
      </c>
      <c r="F244" s="65" t="str">
        <f>_xlfn.IFNA(VLOOKUP(G244,Master!AE:AF,2,FALSE),"")</f>
        <v/>
      </c>
      <c r="I244" s="24" t="str">
        <f>_xlfn.IFNA(VLOOKUP(D244,Master_Section!$I:$K,2,FALSE),"")</f>
        <v/>
      </c>
      <c r="J244" s="24" t="str">
        <f>_xlfn.IFNA(VLOOKUP(D244,Master_Section!$I:$K,3,FALSE),"")</f>
        <v/>
      </c>
      <c r="L244" s="70" t="str">
        <f>IF(A244&lt;&gt;"CFA",_xlfn.IFNA(VLOOKUP($G244,Master!$AE:$AI,5,0),""),"")</f>
        <v/>
      </c>
      <c r="P244" s="26" t="str">
        <f t="shared" si="6"/>
        <v/>
      </c>
      <c r="Q244" s="37">
        <f t="shared" si="7"/>
        <v>0</v>
      </c>
    </row>
    <row r="245" spans="2:17" ht="15" customHeight="1">
      <c r="B245" s="25" t="str">
        <f>_xlfn.IFNA(VLOOKUP(C245,Master_Section!$H:$I,2,FALSE),"")</f>
        <v/>
      </c>
      <c r="D245" s="25" t="str">
        <f>_xlfn.IFNA(VLOOKUP(E245,Master_Section!$H:$I,2,FALSE),"")</f>
        <v/>
      </c>
      <c r="F245" s="65" t="str">
        <f>_xlfn.IFNA(VLOOKUP(G245,Master!AE:AF,2,FALSE),"")</f>
        <v/>
      </c>
      <c r="I245" s="24" t="str">
        <f>_xlfn.IFNA(VLOOKUP(D245,Master_Section!$I:$K,2,FALSE),"")</f>
        <v/>
      </c>
      <c r="J245" s="24" t="str">
        <f>_xlfn.IFNA(VLOOKUP(D245,Master_Section!$I:$K,3,FALSE),"")</f>
        <v/>
      </c>
      <c r="L245" s="70" t="str">
        <f>IF(A245&lt;&gt;"CFA",_xlfn.IFNA(VLOOKUP($G245,Master!$AE:$AI,5,0),""),"")</f>
        <v/>
      </c>
      <c r="P245" s="26" t="str">
        <f t="shared" si="6"/>
        <v/>
      </c>
      <c r="Q245" s="37">
        <f t="shared" si="7"/>
        <v>0</v>
      </c>
    </row>
    <row r="246" spans="2:17" ht="15" customHeight="1">
      <c r="B246" s="25" t="str">
        <f>_xlfn.IFNA(VLOOKUP(C246,Master_Section!$H:$I,2,FALSE),"")</f>
        <v/>
      </c>
      <c r="D246" s="25" t="str">
        <f>_xlfn.IFNA(VLOOKUP(E246,Master_Section!$H:$I,2,FALSE),"")</f>
        <v/>
      </c>
      <c r="F246" s="65" t="str">
        <f>_xlfn.IFNA(VLOOKUP(G246,Master!AE:AF,2,FALSE),"")</f>
        <v/>
      </c>
      <c r="I246" s="24" t="str">
        <f>_xlfn.IFNA(VLOOKUP(D246,Master_Section!$I:$K,2,FALSE),"")</f>
        <v/>
      </c>
      <c r="J246" s="24" t="str">
        <f>_xlfn.IFNA(VLOOKUP(D246,Master_Section!$I:$K,3,FALSE),"")</f>
        <v/>
      </c>
      <c r="L246" s="70" t="str">
        <f>IF(A246&lt;&gt;"CFA",_xlfn.IFNA(VLOOKUP($G246,Master!$AE:$AI,5,0),""),"")</f>
        <v/>
      </c>
      <c r="P246" s="26" t="str">
        <f t="shared" si="6"/>
        <v/>
      </c>
      <c r="Q246" s="37">
        <f t="shared" si="7"/>
        <v>0</v>
      </c>
    </row>
    <row r="247" spans="2:17" ht="15" customHeight="1">
      <c r="B247" s="25" t="str">
        <f>_xlfn.IFNA(VLOOKUP(C247,Master_Section!$H:$I,2,FALSE),"")</f>
        <v/>
      </c>
      <c r="D247" s="25" t="str">
        <f>_xlfn.IFNA(VLOOKUP(E247,Master_Section!$H:$I,2,FALSE),"")</f>
        <v/>
      </c>
      <c r="F247" s="65" t="str">
        <f>_xlfn.IFNA(VLOOKUP(G247,Master!AE:AF,2,FALSE),"")</f>
        <v/>
      </c>
      <c r="I247" s="24" t="str">
        <f>_xlfn.IFNA(VLOOKUP(D247,Master_Section!$I:$K,2,FALSE),"")</f>
        <v/>
      </c>
      <c r="J247" s="24" t="str">
        <f>_xlfn.IFNA(VLOOKUP(D247,Master_Section!$I:$K,3,FALSE),"")</f>
        <v/>
      </c>
      <c r="L247" s="70" t="str">
        <f>IF(A247&lt;&gt;"CFA",_xlfn.IFNA(VLOOKUP($G247,Master!$AE:$AI,5,0),""),"")</f>
        <v/>
      </c>
      <c r="P247" s="26" t="str">
        <f t="shared" ref="P247:P310" si="8">IF(N247&lt;&gt;"",IF(MONTH(N247)&gt;=4,"FY1"&amp;RIGHT(YEAR(N247)+1,2),"FY1"&amp;RIGHT(YEAR(N247),2)),"")</f>
        <v/>
      </c>
      <c r="Q247" s="37">
        <f t="shared" ref="Q247:Q310" si="9">IF(K247&gt;0&amp;M247&gt;0,K247*M247,"")</f>
        <v>0</v>
      </c>
    </row>
    <row r="248" spans="2:17" ht="15" customHeight="1">
      <c r="B248" s="25" t="str">
        <f>_xlfn.IFNA(VLOOKUP(C248,Master_Section!$H:$I,2,FALSE),"")</f>
        <v/>
      </c>
      <c r="D248" s="25" t="str">
        <f>_xlfn.IFNA(VLOOKUP(E248,Master_Section!$H:$I,2,FALSE),"")</f>
        <v/>
      </c>
      <c r="F248" s="65" t="str">
        <f>_xlfn.IFNA(VLOOKUP(G248,Master!AE:AF,2,FALSE),"")</f>
        <v/>
      </c>
      <c r="I248" s="24" t="str">
        <f>_xlfn.IFNA(VLOOKUP(D248,Master_Section!$I:$K,2,FALSE),"")</f>
        <v/>
      </c>
      <c r="J248" s="24" t="str">
        <f>_xlfn.IFNA(VLOOKUP(D248,Master_Section!$I:$K,3,FALSE),"")</f>
        <v/>
      </c>
      <c r="L248" s="70" t="str">
        <f>IF(A248&lt;&gt;"CFA",_xlfn.IFNA(VLOOKUP($G248,Master!$AE:$AI,5,0),""),"")</f>
        <v/>
      </c>
      <c r="P248" s="26" t="str">
        <f t="shared" si="8"/>
        <v/>
      </c>
      <c r="Q248" s="37">
        <f t="shared" si="9"/>
        <v>0</v>
      </c>
    </row>
    <row r="249" spans="2:17" ht="15" customHeight="1">
      <c r="B249" s="25" t="str">
        <f>_xlfn.IFNA(VLOOKUP(C249,Master_Section!$H:$I,2,FALSE),"")</f>
        <v/>
      </c>
      <c r="D249" s="25" t="str">
        <f>_xlfn.IFNA(VLOOKUP(E249,Master_Section!$H:$I,2,FALSE),"")</f>
        <v/>
      </c>
      <c r="F249" s="65" t="str">
        <f>_xlfn.IFNA(VLOOKUP(G249,Master!AE:AF,2,FALSE),"")</f>
        <v/>
      </c>
      <c r="I249" s="24" t="str">
        <f>_xlfn.IFNA(VLOOKUP(D249,Master_Section!$I:$K,2,FALSE),"")</f>
        <v/>
      </c>
      <c r="J249" s="24" t="str">
        <f>_xlfn.IFNA(VLOOKUP(D249,Master_Section!$I:$K,3,FALSE),"")</f>
        <v/>
      </c>
      <c r="L249" s="70" t="str">
        <f>IF(A249&lt;&gt;"CFA",_xlfn.IFNA(VLOOKUP($G249,Master!$AE:$AI,5,0),""),"")</f>
        <v/>
      </c>
      <c r="P249" s="26" t="str">
        <f t="shared" si="8"/>
        <v/>
      </c>
      <c r="Q249" s="37">
        <f t="shared" si="9"/>
        <v>0</v>
      </c>
    </row>
    <row r="250" spans="2:17" ht="15" customHeight="1">
      <c r="B250" s="25" t="str">
        <f>_xlfn.IFNA(VLOOKUP(C250,Master_Section!$H:$I,2,FALSE),"")</f>
        <v/>
      </c>
      <c r="D250" s="25" t="str">
        <f>_xlfn.IFNA(VLOOKUP(E250,Master_Section!$H:$I,2,FALSE),"")</f>
        <v/>
      </c>
      <c r="F250" s="65" t="str">
        <f>_xlfn.IFNA(VLOOKUP(G250,Master!AE:AF,2,FALSE),"")</f>
        <v/>
      </c>
      <c r="I250" s="24" t="str">
        <f>_xlfn.IFNA(VLOOKUP(D250,Master_Section!$I:$K,2,FALSE),"")</f>
        <v/>
      </c>
      <c r="J250" s="24" t="str">
        <f>_xlfn.IFNA(VLOOKUP(D250,Master_Section!$I:$K,3,FALSE),"")</f>
        <v/>
      </c>
      <c r="L250" s="70" t="str">
        <f>IF(A250&lt;&gt;"CFA",_xlfn.IFNA(VLOOKUP($G250,Master!$AE:$AI,5,0),""),"")</f>
        <v/>
      </c>
      <c r="P250" s="26" t="str">
        <f t="shared" si="8"/>
        <v/>
      </c>
      <c r="Q250" s="37">
        <f t="shared" si="9"/>
        <v>0</v>
      </c>
    </row>
    <row r="251" spans="2:17" ht="15" customHeight="1">
      <c r="B251" s="25" t="str">
        <f>_xlfn.IFNA(VLOOKUP(C251,Master_Section!$H:$I,2,FALSE),"")</f>
        <v/>
      </c>
      <c r="D251" s="25" t="str">
        <f>_xlfn.IFNA(VLOOKUP(E251,Master_Section!$H:$I,2,FALSE),"")</f>
        <v/>
      </c>
      <c r="F251" s="65" t="str">
        <f>_xlfn.IFNA(VLOOKUP(G251,Master!AE:AF,2,FALSE),"")</f>
        <v/>
      </c>
      <c r="I251" s="24" t="str">
        <f>_xlfn.IFNA(VLOOKUP(D251,Master_Section!$I:$K,2,FALSE),"")</f>
        <v/>
      </c>
      <c r="J251" s="24" t="str">
        <f>_xlfn.IFNA(VLOOKUP(D251,Master_Section!$I:$K,3,FALSE),"")</f>
        <v/>
      </c>
      <c r="L251" s="70" t="str">
        <f>IF(A251&lt;&gt;"CFA",_xlfn.IFNA(VLOOKUP($G251,Master!$AE:$AI,5,0),""),"")</f>
        <v/>
      </c>
      <c r="P251" s="26" t="str">
        <f t="shared" si="8"/>
        <v/>
      </c>
      <c r="Q251" s="37">
        <f t="shared" si="9"/>
        <v>0</v>
      </c>
    </row>
    <row r="252" spans="2:17" ht="15" customHeight="1">
      <c r="B252" s="25" t="str">
        <f>_xlfn.IFNA(VLOOKUP(C252,Master_Section!$H:$I,2,FALSE),"")</f>
        <v/>
      </c>
      <c r="D252" s="25" t="str">
        <f>_xlfn.IFNA(VLOOKUP(E252,Master_Section!$H:$I,2,FALSE),"")</f>
        <v/>
      </c>
      <c r="F252" s="65" t="str">
        <f>_xlfn.IFNA(VLOOKUP(G252,Master!AE:AF,2,FALSE),"")</f>
        <v/>
      </c>
      <c r="I252" s="24" t="str">
        <f>_xlfn.IFNA(VLOOKUP(D252,Master_Section!$I:$K,2,FALSE),"")</f>
        <v/>
      </c>
      <c r="J252" s="24" t="str">
        <f>_xlfn.IFNA(VLOOKUP(D252,Master_Section!$I:$K,3,FALSE),"")</f>
        <v/>
      </c>
      <c r="L252" s="70" t="str">
        <f>IF(A252&lt;&gt;"CFA",_xlfn.IFNA(VLOOKUP($G252,Master!$AE:$AI,5,0),""),"")</f>
        <v/>
      </c>
      <c r="P252" s="26" t="str">
        <f t="shared" si="8"/>
        <v/>
      </c>
      <c r="Q252" s="37">
        <f t="shared" si="9"/>
        <v>0</v>
      </c>
    </row>
    <row r="253" spans="2:17" ht="15" customHeight="1">
      <c r="B253" s="25" t="str">
        <f>_xlfn.IFNA(VLOOKUP(C253,Master_Section!$H:$I,2,FALSE),"")</f>
        <v/>
      </c>
      <c r="D253" s="25" t="str">
        <f>_xlfn.IFNA(VLOOKUP(E253,Master_Section!$H:$I,2,FALSE),"")</f>
        <v/>
      </c>
      <c r="F253" s="65" t="str">
        <f>_xlfn.IFNA(VLOOKUP(G253,Master!AE:AF,2,FALSE),"")</f>
        <v/>
      </c>
      <c r="I253" s="24" t="str">
        <f>_xlfn.IFNA(VLOOKUP(D253,Master_Section!$I:$K,2,FALSE),"")</f>
        <v/>
      </c>
      <c r="J253" s="24" t="str">
        <f>_xlfn.IFNA(VLOOKUP(D253,Master_Section!$I:$K,3,FALSE),"")</f>
        <v/>
      </c>
      <c r="L253" s="70" t="str">
        <f>IF(A253&lt;&gt;"CFA",_xlfn.IFNA(VLOOKUP($G253,Master!$AE:$AI,5,0),""),"")</f>
        <v/>
      </c>
      <c r="P253" s="26" t="str">
        <f t="shared" si="8"/>
        <v/>
      </c>
      <c r="Q253" s="37">
        <f t="shared" si="9"/>
        <v>0</v>
      </c>
    </row>
    <row r="254" spans="2:17" ht="15" customHeight="1">
      <c r="B254" s="25" t="str">
        <f>_xlfn.IFNA(VLOOKUP(C254,Master_Section!$H:$I,2,FALSE),"")</f>
        <v/>
      </c>
      <c r="D254" s="25" t="str">
        <f>_xlfn.IFNA(VLOOKUP(E254,Master_Section!$H:$I,2,FALSE),"")</f>
        <v/>
      </c>
      <c r="F254" s="65" t="str">
        <f>_xlfn.IFNA(VLOOKUP(G254,Master!AE:AF,2,FALSE),"")</f>
        <v/>
      </c>
      <c r="I254" s="24" t="str">
        <f>_xlfn.IFNA(VLOOKUP(D254,Master_Section!$I:$K,2,FALSE),"")</f>
        <v/>
      </c>
      <c r="J254" s="24" t="str">
        <f>_xlfn.IFNA(VLOOKUP(D254,Master_Section!$I:$K,3,FALSE),"")</f>
        <v/>
      </c>
      <c r="L254" s="70" t="str">
        <f>IF(A254&lt;&gt;"CFA",_xlfn.IFNA(VLOOKUP($G254,Master!$AE:$AI,5,0),""),"")</f>
        <v/>
      </c>
      <c r="P254" s="26" t="str">
        <f t="shared" si="8"/>
        <v/>
      </c>
      <c r="Q254" s="37">
        <f t="shared" si="9"/>
        <v>0</v>
      </c>
    </row>
    <row r="255" spans="2:17" ht="15" customHeight="1">
      <c r="B255" s="25" t="str">
        <f>_xlfn.IFNA(VLOOKUP(C255,Master_Section!$H:$I,2,FALSE),"")</f>
        <v/>
      </c>
      <c r="D255" s="25" t="str">
        <f>_xlfn.IFNA(VLOOKUP(E255,Master_Section!$H:$I,2,FALSE),"")</f>
        <v/>
      </c>
      <c r="F255" s="65" t="str">
        <f>_xlfn.IFNA(VLOOKUP(G255,Master!AE:AF,2,FALSE),"")</f>
        <v/>
      </c>
      <c r="I255" s="24" t="str">
        <f>_xlfn.IFNA(VLOOKUP(D255,Master_Section!$I:$K,2,FALSE),"")</f>
        <v/>
      </c>
      <c r="J255" s="24" t="str">
        <f>_xlfn.IFNA(VLOOKUP(D255,Master_Section!$I:$K,3,FALSE),"")</f>
        <v/>
      </c>
      <c r="L255" s="70" t="str">
        <f>IF(A255&lt;&gt;"CFA",_xlfn.IFNA(VLOOKUP($G255,Master!$AE:$AI,5,0),""),"")</f>
        <v/>
      </c>
      <c r="P255" s="26" t="str">
        <f t="shared" si="8"/>
        <v/>
      </c>
      <c r="Q255" s="37">
        <f t="shared" si="9"/>
        <v>0</v>
      </c>
    </row>
    <row r="256" spans="2:17" ht="15" customHeight="1">
      <c r="B256" s="25" t="str">
        <f>_xlfn.IFNA(VLOOKUP(C256,Master_Section!$H:$I,2,FALSE),"")</f>
        <v/>
      </c>
      <c r="D256" s="25" t="str">
        <f>_xlfn.IFNA(VLOOKUP(E256,Master_Section!$H:$I,2,FALSE),"")</f>
        <v/>
      </c>
      <c r="F256" s="65" t="str">
        <f>_xlfn.IFNA(VLOOKUP(G256,Master!AE:AF,2,FALSE),"")</f>
        <v/>
      </c>
      <c r="I256" s="24" t="str">
        <f>_xlfn.IFNA(VLOOKUP(D256,Master_Section!$I:$K,2,FALSE),"")</f>
        <v/>
      </c>
      <c r="J256" s="24" t="str">
        <f>_xlfn.IFNA(VLOOKUP(D256,Master_Section!$I:$K,3,FALSE),"")</f>
        <v/>
      </c>
      <c r="L256" s="70" t="str">
        <f>IF(A256&lt;&gt;"CFA",_xlfn.IFNA(VLOOKUP($G256,Master!$AE:$AI,5,0),""),"")</f>
        <v/>
      </c>
      <c r="P256" s="26" t="str">
        <f t="shared" si="8"/>
        <v/>
      </c>
      <c r="Q256" s="37">
        <f t="shared" si="9"/>
        <v>0</v>
      </c>
    </row>
    <row r="257" spans="2:17" ht="15" customHeight="1">
      <c r="B257" s="25" t="str">
        <f>_xlfn.IFNA(VLOOKUP(C257,Master_Section!$H:$I,2,FALSE),"")</f>
        <v/>
      </c>
      <c r="D257" s="25" t="str">
        <f>_xlfn.IFNA(VLOOKUP(E257,Master_Section!$H:$I,2,FALSE),"")</f>
        <v/>
      </c>
      <c r="F257" s="65" t="str">
        <f>_xlfn.IFNA(VLOOKUP(G257,Master!AE:AF,2,FALSE),"")</f>
        <v/>
      </c>
      <c r="I257" s="24" t="str">
        <f>_xlfn.IFNA(VLOOKUP(D257,Master_Section!$I:$K,2,FALSE),"")</f>
        <v/>
      </c>
      <c r="J257" s="24" t="str">
        <f>_xlfn.IFNA(VLOOKUP(D257,Master_Section!$I:$K,3,FALSE),"")</f>
        <v/>
      </c>
      <c r="L257" s="70" t="str">
        <f>IF(A257&lt;&gt;"CFA",_xlfn.IFNA(VLOOKUP($G257,Master!$AE:$AI,5,0),""),"")</f>
        <v/>
      </c>
      <c r="P257" s="26" t="str">
        <f t="shared" si="8"/>
        <v/>
      </c>
      <c r="Q257" s="37">
        <f t="shared" si="9"/>
        <v>0</v>
      </c>
    </row>
    <row r="258" spans="2:17" ht="15" customHeight="1">
      <c r="B258" s="25" t="str">
        <f>_xlfn.IFNA(VLOOKUP(C258,Master_Section!$H:$I,2,FALSE),"")</f>
        <v/>
      </c>
      <c r="D258" s="25" t="str">
        <f>_xlfn.IFNA(VLOOKUP(E258,Master_Section!$H:$I,2,FALSE),"")</f>
        <v/>
      </c>
      <c r="F258" s="65" t="str">
        <f>_xlfn.IFNA(VLOOKUP(G258,Master!AE:AF,2,FALSE),"")</f>
        <v/>
      </c>
      <c r="I258" s="24" t="str">
        <f>_xlfn.IFNA(VLOOKUP(D258,Master_Section!$I:$K,2,FALSE),"")</f>
        <v/>
      </c>
      <c r="J258" s="24" t="str">
        <f>_xlfn.IFNA(VLOOKUP(D258,Master_Section!$I:$K,3,FALSE),"")</f>
        <v/>
      </c>
      <c r="L258" s="70" t="str">
        <f>IF(A258&lt;&gt;"CFA",_xlfn.IFNA(VLOOKUP($G258,Master!$AE:$AI,5,0),""),"")</f>
        <v/>
      </c>
      <c r="P258" s="26" t="str">
        <f t="shared" si="8"/>
        <v/>
      </c>
      <c r="Q258" s="37">
        <f t="shared" si="9"/>
        <v>0</v>
      </c>
    </row>
    <row r="259" spans="2:17" ht="15" customHeight="1">
      <c r="B259" s="25" t="str">
        <f>_xlfn.IFNA(VLOOKUP(C259,Master_Section!$H:$I,2,FALSE),"")</f>
        <v/>
      </c>
      <c r="D259" s="25" t="str">
        <f>_xlfn.IFNA(VLOOKUP(E259,Master_Section!$H:$I,2,FALSE),"")</f>
        <v/>
      </c>
      <c r="F259" s="65" t="str">
        <f>_xlfn.IFNA(VLOOKUP(G259,Master!AE:AF,2,FALSE),"")</f>
        <v/>
      </c>
      <c r="I259" s="24" t="str">
        <f>_xlfn.IFNA(VLOOKUP(D259,Master_Section!$I:$K,2,FALSE),"")</f>
        <v/>
      </c>
      <c r="J259" s="24" t="str">
        <f>_xlfn.IFNA(VLOOKUP(D259,Master_Section!$I:$K,3,FALSE),"")</f>
        <v/>
      </c>
      <c r="L259" s="70" t="str">
        <f>IF(A259&lt;&gt;"CFA",_xlfn.IFNA(VLOOKUP($G259,Master!$AE:$AI,5,0),""),"")</f>
        <v/>
      </c>
      <c r="P259" s="26" t="str">
        <f t="shared" si="8"/>
        <v/>
      </c>
      <c r="Q259" s="37">
        <f t="shared" si="9"/>
        <v>0</v>
      </c>
    </row>
    <row r="260" spans="2:17" ht="15" customHeight="1">
      <c r="B260" s="25" t="str">
        <f>_xlfn.IFNA(VLOOKUP(C260,Master_Section!$H:$I,2,FALSE),"")</f>
        <v/>
      </c>
      <c r="D260" s="25" t="str">
        <f>_xlfn.IFNA(VLOOKUP(E260,Master_Section!$H:$I,2,FALSE),"")</f>
        <v/>
      </c>
      <c r="F260" s="65" t="str">
        <f>_xlfn.IFNA(VLOOKUP(G260,Master!AE:AF,2,FALSE),"")</f>
        <v/>
      </c>
      <c r="I260" s="24" t="str">
        <f>_xlfn.IFNA(VLOOKUP(D260,Master_Section!$I:$K,2,FALSE),"")</f>
        <v/>
      </c>
      <c r="J260" s="24" t="str">
        <f>_xlfn.IFNA(VLOOKUP(D260,Master_Section!$I:$K,3,FALSE),"")</f>
        <v/>
      </c>
      <c r="L260" s="70" t="str">
        <f>IF(A260&lt;&gt;"CFA",_xlfn.IFNA(VLOOKUP($G260,Master!$AE:$AI,5,0),""),"")</f>
        <v/>
      </c>
      <c r="P260" s="26" t="str">
        <f t="shared" si="8"/>
        <v/>
      </c>
      <c r="Q260" s="37">
        <f t="shared" si="9"/>
        <v>0</v>
      </c>
    </row>
    <row r="261" spans="2:17" ht="15" customHeight="1">
      <c r="B261" s="25" t="str">
        <f>_xlfn.IFNA(VLOOKUP(C261,Master_Section!$H:$I,2,FALSE),"")</f>
        <v/>
      </c>
      <c r="D261" s="25" t="str">
        <f>_xlfn.IFNA(VLOOKUP(E261,Master_Section!$H:$I,2,FALSE),"")</f>
        <v/>
      </c>
      <c r="F261" s="65" t="str">
        <f>_xlfn.IFNA(VLOOKUP(G261,Master!AE:AF,2,FALSE),"")</f>
        <v/>
      </c>
      <c r="I261" s="24" t="str">
        <f>_xlfn.IFNA(VLOOKUP(D261,Master_Section!$I:$K,2,FALSE),"")</f>
        <v/>
      </c>
      <c r="J261" s="24" t="str">
        <f>_xlfn.IFNA(VLOOKUP(D261,Master_Section!$I:$K,3,FALSE),"")</f>
        <v/>
      </c>
      <c r="L261" s="70" t="str">
        <f>IF(A261&lt;&gt;"CFA",_xlfn.IFNA(VLOOKUP($G261,Master!$AE:$AI,5,0),""),"")</f>
        <v/>
      </c>
      <c r="P261" s="26" t="str">
        <f t="shared" si="8"/>
        <v/>
      </c>
      <c r="Q261" s="37">
        <f t="shared" si="9"/>
        <v>0</v>
      </c>
    </row>
    <row r="262" spans="2:17" ht="15" customHeight="1">
      <c r="B262" s="25" t="str">
        <f>_xlfn.IFNA(VLOOKUP(C262,Master_Section!$H:$I,2,FALSE),"")</f>
        <v/>
      </c>
      <c r="D262" s="25" t="str">
        <f>_xlfn.IFNA(VLOOKUP(E262,Master_Section!$H:$I,2,FALSE),"")</f>
        <v/>
      </c>
      <c r="F262" s="65" t="str">
        <f>_xlfn.IFNA(VLOOKUP(G262,Master!AE:AF,2,FALSE),"")</f>
        <v/>
      </c>
      <c r="I262" s="24" t="str">
        <f>_xlfn.IFNA(VLOOKUP(D262,Master_Section!$I:$K,2,FALSE),"")</f>
        <v/>
      </c>
      <c r="J262" s="24" t="str">
        <f>_xlfn.IFNA(VLOOKUP(D262,Master_Section!$I:$K,3,FALSE),"")</f>
        <v/>
      </c>
      <c r="L262" s="70" t="str">
        <f>IF(A262&lt;&gt;"CFA",_xlfn.IFNA(VLOOKUP($G262,Master!$AE:$AI,5,0),""),"")</f>
        <v/>
      </c>
      <c r="P262" s="26" t="str">
        <f t="shared" si="8"/>
        <v/>
      </c>
      <c r="Q262" s="37">
        <f t="shared" si="9"/>
        <v>0</v>
      </c>
    </row>
    <row r="263" spans="2:17" ht="15" customHeight="1">
      <c r="B263" s="25" t="str">
        <f>_xlfn.IFNA(VLOOKUP(C263,Master_Section!$H:$I,2,FALSE),"")</f>
        <v/>
      </c>
      <c r="D263" s="25" t="str">
        <f>_xlfn.IFNA(VLOOKUP(E263,Master_Section!$H:$I,2,FALSE),"")</f>
        <v/>
      </c>
      <c r="F263" s="65" t="str">
        <f>_xlfn.IFNA(VLOOKUP(G263,Master!AE:AF,2,FALSE),"")</f>
        <v/>
      </c>
      <c r="I263" s="24" t="str">
        <f>_xlfn.IFNA(VLOOKUP(D263,Master_Section!$I:$K,2,FALSE),"")</f>
        <v/>
      </c>
      <c r="J263" s="24" t="str">
        <f>_xlfn.IFNA(VLOOKUP(D263,Master_Section!$I:$K,3,FALSE),"")</f>
        <v/>
      </c>
      <c r="L263" s="70" t="str">
        <f>IF(A263&lt;&gt;"CFA",_xlfn.IFNA(VLOOKUP($G263,Master!$AE:$AI,5,0),""),"")</f>
        <v/>
      </c>
      <c r="P263" s="26" t="str">
        <f t="shared" si="8"/>
        <v/>
      </c>
      <c r="Q263" s="37">
        <f t="shared" si="9"/>
        <v>0</v>
      </c>
    </row>
    <row r="264" spans="2:17" ht="15" customHeight="1">
      <c r="B264" s="25" t="str">
        <f>_xlfn.IFNA(VLOOKUP(C264,Master_Section!$H:$I,2,FALSE),"")</f>
        <v/>
      </c>
      <c r="D264" s="25" t="str">
        <f>_xlfn.IFNA(VLOOKUP(E264,Master_Section!$H:$I,2,FALSE),"")</f>
        <v/>
      </c>
      <c r="F264" s="65" t="str">
        <f>_xlfn.IFNA(VLOOKUP(G264,Master!AE:AF,2,FALSE),"")</f>
        <v/>
      </c>
      <c r="I264" s="24" t="str">
        <f>_xlfn.IFNA(VLOOKUP(D264,Master_Section!$I:$K,2,FALSE),"")</f>
        <v/>
      </c>
      <c r="J264" s="24" t="str">
        <f>_xlfn.IFNA(VLOOKUP(D264,Master_Section!$I:$K,3,FALSE),"")</f>
        <v/>
      </c>
      <c r="L264" s="70" t="str">
        <f>IF(A264&lt;&gt;"CFA",_xlfn.IFNA(VLOOKUP($G264,Master!$AE:$AI,5,0),""),"")</f>
        <v/>
      </c>
      <c r="P264" s="26" t="str">
        <f t="shared" si="8"/>
        <v/>
      </c>
      <c r="Q264" s="37">
        <f t="shared" si="9"/>
        <v>0</v>
      </c>
    </row>
    <row r="265" spans="2:17" ht="15" customHeight="1">
      <c r="B265" s="25" t="str">
        <f>_xlfn.IFNA(VLOOKUP(C265,Master_Section!$H:$I,2,FALSE),"")</f>
        <v/>
      </c>
      <c r="D265" s="25" t="str">
        <f>_xlfn.IFNA(VLOOKUP(E265,Master_Section!$H:$I,2,FALSE),"")</f>
        <v/>
      </c>
      <c r="F265" s="65" t="str">
        <f>_xlfn.IFNA(VLOOKUP(G265,Master!AE:AF,2,FALSE),"")</f>
        <v/>
      </c>
      <c r="I265" s="24" t="str">
        <f>_xlfn.IFNA(VLOOKUP(D265,Master_Section!$I:$K,2,FALSE),"")</f>
        <v/>
      </c>
      <c r="J265" s="24" t="str">
        <f>_xlfn.IFNA(VLOOKUP(D265,Master_Section!$I:$K,3,FALSE),"")</f>
        <v/>
      </c>
      <c r="L265" s="70" t="str">
        <f>IF(A265&lt;&gt;"CFA",_xlfn.IFNA(VLOOKUP($G265,Master!$AE:$AI,5,0),""),"")</f>
        <v/>
      </c>
      <c r="P265" s="26" t="str">
        <f t="shared" si="8"/>
        <v/>
      </c>
      <c r="Q265" s="37">
        <f t="shared" si="9"/>
        <v>0</v>
      </c>
    </row>
    <row r="266" spans="2:17" ht="15" customHeight="1">
      <c r="B266" s="25" t="str">
        <f>_xlfn.IFNA(VLOOKUP(C266,Master_Section!$H:$I,2,FALSE),"")</f>
        <v/>
      </c>
      <c r="D266" s="25" t="str">
        <f>_xlfn.IFNA(VLOOKUP(E266,Master_Section!$H:$I,2,FALSE),"")</f>
        <v/>
      </c>
      <c r="F266" s="65" t="str">
        <f>_xlfn.IFNA(VLOOKUP(G266,Master!AE:AF,2,FALSE),"")</f>
        <v/>
      </c>
      <c r="I266" s="24" t="str">
        <f>_xlfn.IFNA(VLOOKUP(D266,Master_Section!$I:$K,2,FALSE),"")</f>
        <v/>
      </c>
      <c r="J266" s="24" t="str">
        <f>_xlfn.IFNA(VLOOKUP(D266,Master_Section!$I:$K,3,FALSE),"")</f>
        <v/>
      </c>
      <c r="L266" s="70" t="str">
        <f>IF(A266&lt;&gt;"CFA",_xlfn.IFNA(VLOOKUP($G266,Master!$AE:$AI,5,0),""),"")</f>
        <v/>
      </c>
      <c r="P266" s="26" t="str">
        <f t="shared" si="8"/>
        <v/>
      </c>
      <c r="Q266" s="37">
        <f t="shared" si="9"/>
        <v>0</v>
      </c>
    </row>
    <row r="267" spans="2:17" ht="15" customHeight="1">
      <c r="B267" s="25" t="str">
        <f>_xlfn.IFNA(VLOOKUP(C267,Master_Section!$H:$I,2,FALSE),"")</f>
        <v/>
      </c>
      <c r="D267" s="25" t="str">
        <f>_xlfn.IFNA(VLOOKUP(E267,Master_Section!$H:$I,2,FALSE),"")</f>
        <v/>
      </c>
      <c r="F267" s="65" t="str">
        <f>_xlfn.IFNA(VLOOKUP(G267,Master!AE:AF,2,FALSE),"")</f>
        <v/>
      </c>
      <c r="I267" s="24" t="str">
        <f>_xlfn.IFNA(VLOOKUP(D267,Master_Section!$I:$K,2,FALSE),"")</f>
        <v/>
      </c>
      <c r="J267" s="24" t="str">
        <f>_xlfn.IFNA(VLOOKUP(D267,Master_Section!$I:$K,3,FALSE),"")</f>
        <v/>
      </c>
      <c r="L267" s="70" t="str">
        <f>IF(A267&lt;&gt;"CFA",_xlfn.IFNA(VLOOKUP($G267,Master!$AE:$AI,5,0),""),"")</f>
        <v/>
      </c>
      <c r="P267" s="26" t="str">
        <f t="shared" si="8"/>
        <v/>
      </c>
      <c r="Q267" s="37">
        <f t="shared" si="9"/>
        <v>0</v>
      </c>
    </row>
    <row r="268" spans="2:17" ht="15" customHeight="1">
      <c r="B268" s="25" t="str">
        <f>_xlfn.IFNA(VLOOKUP(C268,Master_Section!$H:$I,2,FALSE),"")</f>
        <v/>
      </c>
      <c r="D268" s="25" t="str">
        <f>_xlfn.IFNA(VLOOKUP(E268,Master_Section!$H:$I,2,FALSE),"")</f>
        <v/>
      </c>
      <c r="F268" s="65" t="str">
        <f>_xlfn.IFNA(VLOOKUP(G268,Master!AE:AF,2,FALSE),"")</f>
        <v/>
      </c>
      <c r="I268" s="24" t="str">
        <f>_xlfn.IFNA(VLOOKUP(D268,Master_Section!$I:$K,2,FALSE),"")</f>
        <v/>
      </c>
      <c r="J268" s="24" t="str">
        <f>_xlfn.IFNA(VLOOKUP(D268,Master_Section!$I:$K,3,FALSE),"")</f>
        <v/>
      </c>
      <c r="L268" s="70" t="str">
        <f>IF(A268&lt;&gt;"CFA",_xlfn.IFNA(VLOOKUP($G268,Master!$AE:$AI,5,0),""),"")</f>
        <v/>
      </c>
      <c r="P268" s="26" t="str">
        <f t="shared" si="8"/>
        <v/>
      </c>
      <c r="Q268" s="37">
        <f t="shared" si="9"/>
        <v>0</v>
      </c>
    </row>
    <row r="269" spans="2:17" ht="15" customHeight="1">
      <c r="B269" s="25" t="str">
        <f>_xlfn.IFNA(VLOOKUP(C269,Master_Section!$H:$I,2,FALSE),"")</f>
        <v/>
      </c>
      <c r="D269" s="25" t="str">
        <f>_xlfn.IFNA(VLOOKUP(E269,Master_Section!$H:$I,2,FALSE),"")</f>
        <v/>
      </c>
      <c r="F269" s="65" t="str">
        <f>_xlfn.IFNA(VLOOKUP(G269,Master!AE:AF,2,FALSE),"")</f>
        <v/>
      </c>
      <c r="I269" s="24" t="str">
        <f>_xlfn.IFNA(VLOOKUP(D269,Master_Section!$I:$K,2,FALSE),"")</f>
        <v/>
      </c>
      <c r="J269" s="24" t="str">
        <f>_xlfn.IFNA(VLOOKUP(D269,Master_Section!$I:$K,3,FALSE),"")</f>
        <v/>
      </c>
      <c r="L269" s="70" t="str">
        <f>IF(A269&lt;&gt;"CFA",_xlfn.IFNA(VLOOKUP($G269,Master!$AE:$AI,5,0),""),"")</f>
        <v/>
      </c>
      <c r="P269" s="26" t="str">
        <f t="shared" si="8"/>
        <v/>
      </c>
      <c r="Q269" s="37">
        <f t="shared" si="9"/>
        <v>0</v>
      </c>
    </row>
    <row r="270" spans="2:17" ht="15" customHeight="1">
      <c r="B270" s="25" t="str">
        <f>_xlfn.IFNA(VLOOKUP(C270,Master_Section!$H:$I,2,FALSE),"")</f>
        <v/>
      </c>
      <c r="D270" s="25" t="str">
        <f>_xlfn.IFNA(VLOOKUP(E270,Master_Section!$H:$I,2,FALSE),"")</f>
        <v/>
      </c>
      <c r="F270" s="65" t="str">
        <f>_xlfn.IFNA(VLOOKUP(G270,Master!AE:AF,2,FALSE),"")</f>
        <v/>
      </c>
      <c r="I270" s="24" t="str">
        <f>_xlfn.IFNA(VLOOKUP(D270,Master_Section!$I:$K,2,FALSE),"")</f>
        <v/>
      </c>
      <c r="J270" s="24" t="str">
        <f>_xlfn.IFNA(VLOOKUP(D270,Master_Section!$I:$K,3,FALSE),"")</f>
        <v/>
      </c>
      <c r="L270" s="70" t="str">
        <f>IF(A270&lt;&gt;"CFA",_xlfn.IFNA(VLOOKUP($G270,Master!$AE:$AI,5,0),""),"")</f>
        <v/>
      </c>
      <c r="P270" s="26" t="str">
        <f t="shared" si="8"/>
        <v/>
      </c>
      <c r="Q270" s="37">
        <f t="shared" si="9"/>
        <v>0</v>
      </c>
    </row>
    <row r="271" spans="2:17" ht="15" customHeight="1">
      <c r="B271" s="25" t="str">
        <f>_xlfn.IFNA(VLOOKUP(C271,Master_Section!$H:$I,2,FALSE),"")</f>
        <v/>
      </c>
      <c r="D271" s="25" t="str">
        <f>_xlfn.IFNA(VLOOKUP(E271,Master_Section!$H:$I,2,FALSE),"")</f>
        <v/>
      </c>
      <c r="F271" s="65" t="str">
        <f>_xlfn.IFNA(VLOOKUP(G271,Master!AE:AF,2,FALSE),"")</f>
        <v/>
      </c>
      <c r="I271" s="24" t="str">
        <f>_xlfn.IFNA(VLOOKUP(D271,Master_Section!$I:$K,2,FALSE),"")</f>
        <v/>
      </c>
      <c r="J271" s="24" t="str">
        <f>_xlfn.IFNA(VLOOKUP(D271,Master_Section!$I:$K,3,FALSE),"")</f>
        <v/>
      </c>
      <c r="L271" s="70" t="str">
        <f>IF(A271&lt;&gt;"CFA",_xlfn.IFNA(VLOOKUP($G271,Master!$AE:$AI,5,0),""),"")</f>
        <v/>
      </c>
      <c r="P271" s="26" t="str">
        <f t="shared" si="8"/>
        <v/>
      </c>
      <c r="Q271" s="37">
        <f t="shared" si="9"/>
        <v>0</v>
      </c>
    </row>
    <row r="272" spans="2:17" ht="15" customHeight="1">
      <c r="B272" s="25" t="str">
        <f>_xlfn.IFNA(VLOOKUP(C272,Master_Section!$H:$I,2,FALSE),"")</f>
        <v/>
      </c>
      <c r="D272" s="25" t="str">
        <f>_xlfn.IFNA(VLOOKUP(E272,Master_Section!$H:$I,2,FALSE),"")</f>
        <v/>
      </c>
      <c r="F272" s="65" t="str">
        <f>_xlfn.IFNA(VLOOKUP(G272,Master!AE:AF,2,FALSE),"")</f>
        <v/>
      </c>
      <c r="I272" s="24" t="str">
        <f>_xlfn.IFNA(VLOOKUP(D272,Master_Section!$I:$K,2,FALSE),"")</f>
        <v/>
      </c>
      <c r="J272" s="24" t="str">
        <f>_xlfn.IFNA(VLOOKUP(D272,Master_Section!$I:$K,3,FALSE),"")</f>
        <v/>
      </c>
      <c r="L272" s="70" t="str">
        <f>IF(A272&lt;&gt;"CFA",_xlfn.IFNA(VLOOKUP($G272,Master!$AE:$AI,5,0),""),"")</f>
        <v/>
      </c>
      <c r="P272" s="26" t="str">
        <f t="shared" si="8"/>
        <v/>
      </c>
      <c r="Q272" s="37">
        <f t="shared" si="9"/>
        <v>0</v>
      </c>
    </row>
    <row r="273" spans="2:17" ht="15" customHeight="1">
      <c r="B273" s="25" t="str">
        <f>_xlfn.IFNA(VLOOKUP(C273,Master_Section!$H:$I,2,FALSE),"")</f>
        <v/>
      </c>
      <c r="D273" s="25" t="str">
        <f>_xlfn.IFNA(VLOOKUP(E273,Master_Section!$H:$I,2,FALSE),"")</f>
        <v/>
      </c>
      <c r="F273" s="65" t="str">
        <f>_xlfn.IFNA(VLOOKUP(G273,Master!AE:AF,2,FALSE),"")</f>
        <v/>
      </c>
      <c r="I273" s="24" t="str">
        <f>_xlfn.IFNA(VLOOKUP(D273,Master_Section!$I:$K,2,FALSE),"")</f>
        <v/>
      </c>
      <c r="J273" s="24" t="str">
        <f>_xlfn.IFNA(VLOOKUP(D273,Master_Section!$I:$K,3,FALSE),"")</f>
        <v/>
      </c>
      <c r="L273" s="70" t="str">
        <f>IF(A273&lt;&gt;"CFA",_xlfn.IFNA(VLOOKUP($G273,Master!$AE:$AI,5,0),""),"")</f>
        <v/>
      </c>
      <c r="P273" s="26" t="str">
        <f t="shared" si="8"/>
        <v/>
      </c>
      <c r="Q273" s="37">
        <f t="shared" si="9"/>
        <v>0</v>
      </c>
    </row>
    <row r="274" spans="2:17" ht="15" customHeight="1">
      <c r="B274" s="25" t="str">
        <f>_xlfn.IFNA(VLOOKUP(C274,Master_Section!$H:$I,2,FALSE),"")</f>
        <v/>
      </c>
      <c r="D274" s="25" t="str">
        <f>_xlfn.IFNA(VLOOKUP(E274,Master_Section!$H:$I,2,FALSE),"")</f>
        <v/>
      </c>
      <c r="F274" s="65" t="str">
        <f>_xlfn.IFNA(VLOOKUP(G274,Master!AE:AF,2,FALSE),"")</f>
        <v/>
      </c>
      <c r="I274" s="24" t="str">
        <f>_xlfn.IFNA(VLOOKUP(D274,Master_Section!$I:$K,2,FALSE),"")</f>
        <v/>
      </c>
      <c r="J274" s="24" t="str">
        <f>_xlfn.IFNA(VLOOKUP(D274,Master_Section!$I:$K,3,FALSE),"")</f>
        <v/>
      </c>
      <c r="L274" s="70" t="str">
        <f>IF(A274&lt;&gt;"CFA",_xlfn.IFNA(VLOOKUP($G274,Master!$AE:$AI,5,0),""),"")</f>
        <v/>
      </c>
      <c r="P274" s="26" t="str">
        <f t="shared" si="8"/>
        <v/>
      </c>
      <c r="Q274" s="37">
        <f t="shared" si="9"/>
        <v>0</v>
      </c>
    </row>
    <row r="275" spans="2:17" ht="15" customHeight="1">
      <c r="B275" s="25" t="str">
        <f>_xlfn.IFNA(VLOOKUP(C275,Master_Section!$H:$I,2,FALSE),"")</f>
        <v/>
      </c>
      <c r="D275" s="25" t="str">
        <f>_xlfn.IFNA(VLOOKUP(E275,Master_Section!$H:$I,2,FALSE),"")</f>
        <v/>
      </c>
      <c r="F275" s="65" t="str">
        <f>_xlfn.IFNA(VLOOKUP(G275,Master!AE:AF,2,FALSE),"")</f>
        <v/>
      </c>
      <c r="I275" s="24" t="str">
        <f>_xlfn.IFNA(VLOOKUP(D275,Master_Section!$I:$K,2,FALSE),"")</f>
        <v/>
      </c>
      <c r="J275" s="24" t="str">
        <f>_xlfn.IFNA(VLOOKUP(D275,Master_Section!$I:$K,3,FALSE),"")</f>
        <v/>
      </c>
      <c r="L275" s="70" t="str">
        <f>IF(A275&lt;&gt;"CFA",_xlfn.IFNA(VLOOKUP($G275,Master!$AE:$AI,5,0),""),"")</f>
        <v/>
      </c>
      <c r="P275" s="26" t="str">
        <f t="shared" si="8"/>
        <v/>
      </c>
      <c r="Q275" s="37">
        <f t="shared" si="9"/>
        <v>0</v>
      </c>
    </row>
    <row r="276" spans="2:17" ht="15" customHeight="1">
      <c r="B276" s="25" t="str">
        <f>_xlfn.IFNA(VLOOKUP(C276,Master_Section!$H:$I,2,FALSE),"")</f>
        <v/>
      </c>
      <c r="D276" s="25" t="str">
        <f>_xlfn.IFNA(VLOOKUP(E276,Master_Section!$H:$I,2,FALSE),"")</f>
        <v/>
      </c>
      <c r="F276" s="65" t="str">
        <f>_xlfn.IFNA(VLOOKUP(G276,Master!AE:AF,2,FALSE),"")</f>
        <v/>
      </c>
      <c r="I276" s="24" t="str">
        <f>_xlfn.IFNA(VLOOKUP(D276,Master_Section!$I:$K,2,FALSE),"")</f>
        <v/>
      </c>
      <c r="J276" s="24" t="str">
        <f>_xlfn.IFNA(VLOOKUP(D276,Master_Section!$I:$K,3,FALSE),"")</f>
        <v/>
      </c>
      <c r="L276" s="70" t="str">
        <f>IF(A276&lt;&gt;"CFA",_xlfn.IFNA(VLOOKUP($G276,Master!$AE:$AI,5,0),""),"")</f>
        <v/>
      </c>
      <c r="P276" s="26" t="str">
        <f t="shared" si="8"/>
        <v/>
      </c>
      <c r="Q276" s="37">
        <f t="shared" si="9"/>
        <v>0</v>
      </c>
    </row>
    <row r="277" spans="2:17" ht="15" customHeight="1">
      <c r="B277" s="25" t="str">
        <f>_xlfn.IFNA(VLOOKUP(C277,Master_Section!$H:$I,2,FALSE),"")</f>
        <v/>
      </c>
      <c r="D277" s="25" t="str">
        <f>_xlfn.IFNA(VLOOKUP(E277,Master_Section!$H:$I,2,FALSE),"")</f>
        <v/>
      </c>
      <c r="F277" s="65" t="str">
        <f>_xlfn.IFNA(VLOOKUP(G277,Master!AE:AF,2,FALSE),"")</f>
        <v/>
      </c>
      <c r="I277" s="24" t="str">
        <f>_xlfn.IFNA(VLOOKUP(D277,Master_Section!$I:$K,2,FALSE),"")</f>
        <v/>
      </c>
      <c r="J277" s="24" t="str">
        <f>_xlfn.IFNA(VLOOKUP(D277,Master_Section!$I:$K,3,FALSE),"")</f>
        <v/>
      </c>
      <c r="L277" s="70" t="str">
        <f>IF(A277&lt;&gt;"CFA",_xlfn.IFNA(VLOOKUP($G277,Master!$AE:$AI,5,0),""),"")</f>
        <v/>
      </c>
      <c r="P277" s="26" t="str">
        <f t="shared" si="8"/>
        <v/>
      </c>
      <c r="Q277" s="37">
        <f t="shared" si="9"/>
        <v>0</v>
      </c>
    </row>
    <row r="278" spans="2:17" ht="15" customHeight="1">
      <c r="B278" s="25" t="str">
        <f>_xlfn.IFNA(VLOOKUP(C278,Master_Section!$H:$I,2,FALSE),"")</f>
        <v/>
      </c>
      <c r="D278" s="25" t="str">
        <f>_xlfn.IFNA(VLOOKUP(E278,Master_Section!$H:$I,2,FALSE),"")</f>
        <v/>
      </c>
      <c r="F278" s="65" t="str">
        <f>_xlfn.IFNA(VLOOKUP(G278,Master!AE:AF,2,FALSE),"")</f>
        <v/>
      </c>
      <c r="I278" s="24" t="str">
        <f>_xlfn.IFNA(VLOOKUP(D278,Master_Section!$I:$K,2,FALSE),"")</f>
        <v/>
      </c>
      <c r="J278" s="24" t="str">
        <f>_xlfn.IFNA(VLOOKUP(D278,Master_Section!$I:$K,3,FALSE),"")</f>
        <v/>
      </c>
      <c r="L278" s="70" t="str">
        <f>IF(A278&lt;&gt;"CFA",_xlfn.IFNA(VLOOKUP($G278,Master!$AE:$AI,5,0),""),"")</f>
        <v/>
      </c>
      <c r="P278" s="26" t="str">
        <f t="shared" si="8"/>
        <v/>
      </c>
      <c r="Q278" s="37">
        <f t="shared" si="9"/>
        <v>0</v>
      </c>
    </row>
    <row r="279" spans="2:17" ht="15" customHeight="1">
      <c r="B279" s="25" t="str">
        <f>_xlfn.IFNA(VLOOKUP(C279,Master_Section!$H:$I,2,FALSE),"")</f>
        <v/>
      </c>
      <c r="D279" s="25" t="str">
        <f>_xlfn.IFNA(VLOOKUP(E279,Master_Section!$H:$I,2,FALSE),"")</f>
        <v/>
      </c>
      <c r="F279" s="65" t="str">
        <f>_xlfn.IFNA(VLOOKUP(G279,Master!AE:AF,2,FALSE),"")</f>
        <v/>
      </c>
      <c r="I279" s="24" t="str">
        <f>_xlfn.IFNA(VLOOKUP(D279,Master_Section!$I:$K,2,FALSE),"")</f>
        <v/>
      </c>
      <c r="J279" s="24" t="str">
        <f>_xlfn.IFNA(VLOOKUP(D279,Master_Section!$I:$K,3,FALSE),"")</f>
        <v/>
      </c>
      <c r="L279" s="70" t="str">
        <f>IF(A279&lt;&gt;"CFA",_xlfn.IFNA(VLOOKUP($G279,Master!$AE:$AI,5,0),""),"")</f>
        <v/>
      </c>
      <c r="P279" s="26" t="str">
        <f t="shared" si="8"/>
        <v/>
      </c>
      <c r="Q279" s="37">
        <f t="shared" si="9"/>
        <v>0</v>
      </c>
    </row>
    <row r="280" spans="2:17" ht="15" customHeight="1">
      <c r="B280" s="25" t="str">
        <f>_xlfn.IFNA(VLOOKUP(C280,Master_Section!$H:$I,2,FALSE),"")</f>
        <v/>
      </c>
      <c r="D280" s="25" t="str">
        <f>_xlfn.IFNA(VLOOKUP(E280,Master_Section!$H:$I,2,FALSE),"")</f>
        <v/>
      </c>
      <c r="F280" s="65" t="str">
        <f>_xlfn.IFNA(VLOOKUP(G280,Master!AE:AF,2,FALSE),"")</f>
        <v/>
      </c>
      <c r="I280" s="24" t="str">
        <f>_xlfn.IFNA(VLOOKUP(D280,Master_Section!$I:$K,2,FALSE),"")</f>
        <v/>
      </c>
      <c r="J280" s="24" t="str">
        <f>_xlfn.IFNA(VLOOKUP(D280,Master_Section!$I:$K,3,FALSE),"")</f>
        <v/>
      </c>
      <c r="L280" s="70" t="str">
        <f>IF(A280&lt;&gt;"CFA",_xlfn.IFNA(VLOOKUP($G280,Master!$AE:$AI,5,0),""),"")</f>
        <v/>
      </c>
      <c r="P280" s="26" t="str">
        <f t="shared" si="8"/>
        <v/>
      </c>
      <c r="Q280" s="37">
        <f t="shared" si="9"/>
        <v>0</v>
      </c>
    </row>
    <row r="281" spans="2:17" ht="15" customHeight="1">
      <c r="B281" s="25" t="str">
        <f>_xlfn.IFNA(VLOOKUP(C281,Master_Section!$H:$I,2,FALSE),"")</f>
        <v/>
      </c>
      <c r="D281" s="25" t="str">
        <f>_xlfn.IFNA(VLOOKUP(E281,Master_Section!$H:$I,2,FALSE),"")</f>
        <v/>
      </c>
      <c r="F281" s="65" t="str">
        <f>_xlfn.IFNA(VLOOKUP(G281,Master!AE:AF,2,FALSE),"")</f>
        <v/>
      </c>
      <c r="I281" s="24" t="str">
        <f>_xlfn.IFNA(VLOOKUP(D281,Master_Section!$I:$K,2,FALSE),"")</f>
        <v/>
      </c>
      <c r="J281" s="24" t="str">
        <f>_xlfn.IFNA(VLOOKUP(D281,Master_Section!$I:$K,3,FALSE),"")</f>
        <v/>
      </c>
      <c r="L281" s="70" t="str">
        <f>IF(A281&lt;&gt;"CFA",_xlfn.IFNA(VLOOKUP($G281,Master!$AE:$AI,5,0),""),"")</f>
        <v/>
      </c>
      <c r="P281" s="26" t="str">
        <f t="shared" si="8"/>
        <v/>
      </c>
      <c r="Q281" s="37">
        <f t="shared" si="9"/>
        <v>0</v>
      </c>
    </row>
    <row r="282" spans="2:17" ht="15" customHeight="1">
      <c r="B282" s="25" t="str">
        <f>_xlfn.IFNA(VLOOKUP(C282,Master_Section!$H:$I,2,FALSE),"")</f>
        <v/>
      </c>
      <c r="D282" s="25" t="str">
        <f>_xlfn.IFNA(VLOOKUP(E282,Master_Section!$H:$I,2,FALSE),"")</f>
        <v/>
      </c>
      <c r="F282" s="65" t="str">
        <f>_xlfn.IFNA(VLOOKUP(G282,Master!AE:AF,2,FALSE),"")</f>
        <v/>
      </c>
      <c r="I282" s="24" t="str">
        <f>_xlfn.IFNA(VLOOKUP(D282,Master_Section!$I:$K,2,FALSE),"")</f>
        <v/>
      </c>
      <c r="J282" s="24" t="str">
        <f>_xlfn.IFNA(VLOOKUP(D282,Master_Section!$I:$K,3,FALSE),"")</f>
        <v/>
      </c>
      <c r="L282" s="70" t="str">
        <f>IF(A282&lt;&gt;"CFA",_xlfn.IFNA(VLOOKUP($G282,Master!$AE:$AI,5,0),""),"")</f>
        <v/>
      </c>
      <c r="P282" s="26" t="str">
        <f t="shared" si="8"/>
        <v/>
      </c>
      <c r="Q282" s="37">
        <f t="shared" si="9"/>
        <v>0</v>
      </c>
    </row>
    <row r="283" spans="2:17" ht="15" customHeight="1">
      <c r="B283" s="25" t="str">
        <f>_xlfn.IFNA(VLOOKUP(C283,Master_Section!$H:$I,2,FALSE),"")</f>
        <v/>
      </c>
      <c r="D283" s="25" t="str">
        <f>_xlfn.IFNA(VLOOKUP(E283,Master_Section!$H:$I,2,FALSE),"")</f>
        <v/>
      </c>
      <c r="F283" s="65" t="str">
        <f>_xlfn.IFNA(VLOOKUP(G283,Master!AE:AF,2,FALSE),"")</f>
        <v/>
      </c>
      <c r="I283" s="24" t="str">
        <f>_xlfn.IFNA(VLOOKUP(D283,Master_Section!$I:$K,2,FALSE),"")</f>
        <v/>
      </c>
      <c r="J283" s="24" t="str">
        <f>_xlfn.IFNA(VLOOKUP(D283,Master_Section!$I:$K,3,FALSE),"")</f>
        <v/>
      </c>
      <c r="L283" s="70" t="str">
        <f>IF(A283&lt;&gt;"CFA",_xlfn.IFNA(VLOOKUP($G283,Master!$AE:$AI,5,0),""),"")</f>
        <v/>
      </c>
      <c r="P283" s="26" t="str">
        <f t="shared" si="8"/>
        <v/>
      </c>
      <c r="Q283" s="37">
        <f t="shared" si="9"/>
        <v>0</v>
      </c>
    </row>
    <row r="284" spans="2:17" ht="15" customHeight="1">
      <c r="B284" s="25" t="str">
        <f>_xlfn.IFNA(VLOOKUP(C284,Master_Section!$H:$I,2,FALSE),"")</f>
        <v/>
      </c>
      <c r="D284" s="25" t="str">
        <f>_xlfn.IFNA(VLOOKUP(E284,Master_Section!$H:$I,2,FALSE),"")</f>
        <v/>
      </c>
      <c r="F284" s="65" t="str">
        <f>_xlfn.IFNA(VLOOKUP(G284,Master!AE:AF,2,FALSE),"")</f>
        <v/>
      </c>
      <c r="I284" s="24" t="str">
        <f>_xlfn.IFNA(VLOOKUP(D284,Master_Section!$I:$K,2,FALSE),"")</f>
        <v/>
      </c>
      <c r="J284" s="24" t="str">
        <f>_xlfn.IFNA(VLOOKUP(D284,Master_Section!$I:$K,3,FALSE),"")</f>
        <v/>
      </c>
      <c r="L284" s="70" t="str">
        <f>IF(A284&lt;&gt;"CFA",_xlfn.IFNA(VLOOKUP($G284,Master!$AE:$AI,5,0),""),"")</f>
        <v/>
      </c>
      <c r="P284" s="26" t="str">
        <f t="shared" si="8"/>
        <v/>
      </c>
      <c r="Q284" s="37">
        <f t="shared" si="9"/>
        <v>0</v>
      </c>
    </row>
    <row r="285" spans="2:17" ht="15" customHeight="1">
      <c r="B285" s="25" t="str">
        <f>_xlfn.IFNA(VLOOKUP(C285,Master_Section!$H:$I,2,FALSE),"")</f>
        <v/>
      </c>
      <c r="D285" s="25" t="str">
        <f>_xlfn.IFNA(VLOOKUP(E285,Master_Section!$H:$I,2,FALSE),"")</f>
        <v/>
      </c>
      <c r="F285" s="65" t="str">
        <f>_xlfn.IFNA(VLOOKUP(G285,Master!AE:AF,2,FALSE),"")</f>
        <v/>
      </c>
      <c r="I285" s="24" t="str">
        <f>_xlfn.IFNA(VLOOKUP(D285,Master_Section!$I:$K,2,FALSE),"")</f>
        <v/>
      </c>
      <c r="J285" s="24" t="str">
        <f>_xlfn.IFNA(VLOOKUP(D285,Master_Section!$I:$K,3,FALSE),"")</f>
        <v/>
      </c>
      <c r="L285" s="70" t="str">
        <f>IF(A285&lt;&gt;"CFA",_xlfn.IFNA(VLOOKUP($G285,Master!$AE:$AI,5,0),""),"")</f>
        <v/>
      </c>
      <c r="P285" s="26" t="str">
        <f t="shared" si="8"/>
        <v/>
      </c>
      <c r="Q285" s="37">
        <f t="shared" si="9"/>
        <v>0</v>
      </c>
    </row>
    <row r="286" spans="2:17" ht="15" customHeight="1">
      <c r="B286" s="25" t="str">
        <f>_xlfn.IFNA(VLOOKUP(C286,Master_Section!$H:$I,2,FALSE),"")</f>
        <v/>
      </c>
      <c r="D286" s="25" t="str">
        <f>_xlfn.IFNA(VLOOKUP(E286,Master_Section!$H:$I,2,FALSE),"")</f>
        <v/>
      </c>
      <c r="F286" s="65" t="str">
        <f>_xlfn.IFNA(VLOOKUP(G286,Master!AE:AF,2,FALSE),"")</f>
        <v/>
      </c>
      <c r="I286" s="24" t="str">
        <f>_xlfn.IFNA(VLOOKUP(D286,Master_Section!$I:$K,2,FALSE),"")</f>
        <v/>
      </c>
      <c r="J286" s="24" t="str">
        <f>_xlfn.IFNA(VLOOKUP(D286,Master_Section!$I:$K,3,FALSE),"")</f>
        <v/>
      </c>
      <c r="L286" s="70" t="str">
        <f>IF(A286&lt;&gt;"CFA",_xlfn.IFNA(VLOOKUP($G286,Master!$AE:$AI,5,0),""),"")</f>
        <v/>
      </c>
      <c r="P286" s="26" t="str">
        <f t="shared" si="8"/>
        <v/>
      </c>
      <c r="Q286" s="37">
        <f t="shared" si="9"/>
        <v>0</v>
      </c>
    </row>
    <row r="287" spans="2:17" ht="15" customHeight="1">
      <c r="B287" s="25" t="str">
        <f>_xlfn.IFNA(VLOOKUP(C287,Master_Section!$H:$I,2,FALSE),"")</f>
        <v/>
      </c>
      <c r="D287" s="25" t="str">
        <f>_xlfn.IFNA(VLOOKUP(E287,Master_Section!$H:$I,2,FALSE),"")</f>
        <v/>
      </c>
      <c r="F287" s="65" t="str">
        <f>_xlfn.IFNA(VLOOKUP(G287,Master!AE:AF,2,FALSE),"")</f>
        <v/>
      </c>
      <c r="I287" s="24" t="str">
        <f>_xlfn.IFNA(VLOOKUP(D287,Master_Section!$I:$K,2,FALSE),"")</f>
        <v/>
      </c>
      <c r="J287" s="24" t="str">
        <f>_xlfn.IFNA(VLOOKUP(D287,Master_Section!$I:$K,3,FALSE),"")</f>
        <v/>
      </c>
      <c r="L287" s="70" t="str">
        <f>IF(A287&lt;&gt;"CFA",_xlfn.IFNA(VLOOKUP($G287,Master!$AE:$AI,5,0),""),"")</f>
        <v/>
      </c>
      <c r="P287" s="26" t="str">
        <f t="shared" si="8"/>
        <v/>
      </c>
      <c r="Q287" s="37">
        <f t="shared" si="9"/>
        <v>0</v>
      </c>
    </row>
    <row r="288" spans="2:17" ht="15" customHeight="1">
      <c r="B288" s="25" t="str">
        <f>_xlfn.IFNA(VLOOKUP(C288,Master_Section!$H:$I,2,FALSE),"")</f>
        <v/>
      </c>
      <c r="D288" s="25" t="str">
        <f>_xlfn.IFNA(VLOOKUP(E288,Master_Section!$H:$I,2,FALSE),"")</f>
        <v/>
      </c>
      <c r="F288" s="65" t="str">
        <f>_xlfn.IFNA(VLOOKUP(G288,Master!AE:AF,2,FALSE),"")</f>
        <v/>
      </c>
      <c r="I288" s="24" t="str">
        <f>_xlfn.IFNA(VLOOKUP(D288,Master_Section!$I:$K,2,FALSE),"")</f>
        <v/>
      </c>
      <c r="J288" s="24" t="str">
        <f>_xlfn.IFNA(VLOOKUP(D288,Master_Section!$I:$K,3,FALSE),"")</f>
        <v/>
      </c>
      <c r="L288" s="70" t="str">
        <f>IF(A288&lt;&gt;"CFA",_xlfn.IFNA(VLOOKUP($G288,Master!$AE:$AI,5,0),""),"")</f>
        <v/>
      </c>
      <c r="P288" s="26" t="str">
        <f t="shared" si="8"/>
        <v/>
      </c>
      <c r="Q288" s="37">
        <f t="shared" si="9"/>
        <v>0</v>
      </c>
    </row>
    <row r="289" spans="2:17" ht="15" customHeight="1">
      <c r="B289" s="25" t="str">
        <f>_xlfn.IFNA(VLOOKUP(C289,Master_Section!$H:$I,2,FALSE),"")</f>
        <v/>
      </c>
      <c r="D289" s="25" t="str">
        <f>_xlfn.IFNA(VLOOKUP(E289,Master_Section!$H:$I,2,FALSE),"")</f>
        <v/>
      </c>
      <c r="F289" s="65" t="str">
        <f>_xlfn.IFNA(VLOOKUP(G289,Master!AE:AF,2,FALSE),"")</f>
        <v/>
      </c>
      <c r="I289" s="24" t="str">
        <f>_xlfn.IFNA(VLOOKUP(D289,Master_Section!$I:$K,2,FALSE),"")</f>
        <v/>
      </c>
      <c r="J289" s="24" t="str">
        <f>_xlfn.IFNA(VLOOKUP(D289,Master_Section!$I:$K,3,FALSE),"")</f>
        <v/>
      </c>
      <c r="L289" s="70" t="str">
        <f>IF(A289&lt;&gt;"CFA",_xlfn.IFNA(VLOOKUP($G289,Master!$AE:$AI,5,0),""),"")</f>
        <v/>
      </c>
      <c r="P289" s="26" t="str">
        <f t="shared" si="8"/>
        <v/>
      </c>
      <c r="Q289" s="37">
        <f t="shared" si="9"/>
        <v>0</v>
      </c>
    </row>
    <row r="290" spans="2:17" ht="15" customHeight="1">
      <c r="B290" s="25" t="str">
        <f>_xlfn.IFNA(VLOOKUP(C290,Master_Section!$H:$I,2,FALSE),"")</f>
        <v/>
      </c>
      <c r="D290" s="25" t="str">
        <f>_xlfn.IFNA(VLOOKUP(E290,Master_Section!$H:$I,2,FALSE),"")</f>
        <v/>
      </c>
      <c r="F290" s="65" t="str">
        <f>_xlfn.IFNA(VLOOKUP(G290,Master!AE:AF,2,FALSE),"")</f>
        <v/>
      </c>
      <c r="I290" s="24" t="str">
        <f>_xlfn.IFNA(VLOOKUP(D290,Master_Section!$I:$K,2,FALSE),"")</f>
        <v/>
      </c>
      <c r="J290" s="24" t="str">
        <f>_xlfn.IFNA(VLOOKUP(D290,Master_Section!$I:$K,3,FALSE),"")</f>
        <v/>
      </c>
      <c r="L290" s="70" t="str">
        <f>IF(A290&lt;&gt;"CFA",_xlfn.IFNA(VLOOKUP($G290,Master!$AE:$AI,5,0),""),"")</f>
        <v/>
      </c>
      <c r="P290" s="26" t="str">
        <f t="shared" si="8"/>
        <v/>
      </c>
      <c r="Q290" s="37">
        <f t="shared" si="9"/>
        <v>0</v>
      </c>
    </row>
    <row r="291" spans="2:17" ht="15" customHeight="1">
      <c r="B291" s="25" t="str">
        <f>_xlfn.IFNA(VLOOKUP(C291,Master_Section!$H:$I,2,FALSE),"")</f>
        <v/>
      </c>
      <c r="D291" s="25" t="str">
        <f>_xlfn.IFNA(VLOOKUP(E291,Master_Section!$H:$I,2,FALSE),"")</f>
        <v/>
      </c>
      <c r="F291" s="65" t="str">
        <f>_xlfn.IFNA(VLOOKUP(G291,Master!AE:AF,2,FALSE),"")</f>
        <v/>
      </c>
      <c r="I291" s="24" t="str">
        <f>_xlfn.IFNA(VLOOKUP(D291,Master_Section!$I:$K,2,FALSE),"")</f>
        <v/>
      </c>
      <c r="J291" s="24" t="str">
        <f>_xlfn.IFNA(VLOOKUP(D291,Master_Section!$I:$K,3,FALSE),"")</f>
        <v/>
      </c>
      <c r="L291" s="70" t="str">
        <f>IF(A291&lt;&gt;"CFA",_xlfn.IFNA(VLOOKUP($G291,Master!$AE:$AI,5,0),""),"")</f>
        <v/>
      </c>
      <c r="P291" s="26" t="str">
        <f t="shared" si="8"/>
        <v/>
      </c>
      <c r="Q291" s="37">
        <f t="shared" si="9"/>
        <v>0</v>
      </c>
    </row>
    <row r="292" spans="2:17" ht="15" customHeight="1">
      <c r="B292" s="25" t="str">
        <f>_xlfn.IFNA(VLOOKUP(C292,Master_Section!$H:$I,2,FALSE),"")</f>
        <v/>
      </c>
      <c r="D292" s="25" t="str">
        <f>_xlfn.IFNA(VLOOKUP(E292,Master_Section!$H:$I,2,FALSE),"")</f>
        <v/>
      </c>
      <c r="F292" s="65" t="str">
        <f>_xlfn.IFNA(VLOOKUP(G292,Master!AE:AF,2,FALSE),"")</f>
        <v/>
      </c>
      <c r="I292" s="24" t="str">
        <f>_xlfn.IFNA(VLOOKUP(D292,Master_Section!$I:$K,2,FALSE),"")</f>
        <v/>
      </c>
      <c r="J292" s="24" t="str">
        <f>_xlfn.IFNA(VLOOKUP(D292,Master_Section!$I:$K,3,FALSE),"")</f>
        <v/>
      </c>
      <c r="L292" s="70" t="str">
        <f>IF(A292&lt;&gt;"CFA",_xlfn.IFNA(VLOOKUP($G292,Master!$AE:$AI,5,0),""),"")</f>
        <v/>
      </c>
      <c r="P292" s="26" t="str">
        <f t="shared" si="8"/>
        <v/>
      </c>
      <c r="Q292" s="37">
        <f t="shared" si="9"/>
        <v>0</v>
      </c>
    </row>
    <row r="293" spans="2:17" ht="15" customHeight="1">
      <c r="B293" s="25" t="str">
        <f>_xlfn.IFNA(VLOOKUP(C293,Master_Section!$H:$I,2,FALSE),"")</f>
        <v/>
      </c>
      <c r="D293" s="25" t="str">
        <f>_xlfn.IFNA(VLOOKUP(E293,Master_Section!$H:$I,2,FALSE),"")</f>
        <v/>
      </c>
      <c r="F293" s="65" t="str">
        <f>_xlfn.IFNA(VLOOKUP(G293,Master!AE:AF,2,FALSE),"")</f>
        <v/>
      </c>
      <c r="I293" s="24" t="str">
        <f>_xlfn.IFNA(VLOOKUP(D293,Master_Section!$I:$K,2,FALSE),"")</f>
        <v/>
      </c>
      <c r="J293" s="24" t="str">
        <f>_xlfn.IFNA(VLOOKUP(D293,Master_Section!$I:$K,3,FALSE),"")</f>
        <v/>
      </c>
      <c r="L293" s="70" t="str">
        <f>IF(A293&lt;&gt;"CFA",_xlfn.IFNA(VLOOKUP($G293,Master!$AE:$AI,5,0),""),"")</f>
        <v/>
      </c>
      <c r="P293" s="26" t="str">
        <f t="shared" si="8"/>
        <v/>
      </c>
      <c r="Q293" s="37">
        <f t="shared" si="9"/>
        <v>0</v>
      </c>
    </row>
    <row r="294" spans="2:17" ht="15" customHeight="1">
      <c r="B294" s="25" t="str">
        <f>_xlfn.IFNA(VLOOKUP(C294,Master_Section!$H:$I,2,FALSE),"")</f>
        <v/>
      </c>
      <c r="D294" s="25" t="str">
        <f>_xlfn.IFNA(VLOOKUP(E294,Master_Section!$H:$I,2,FALSE),"")</f>
        <v/>
      </c>
      <c r="F294" s="65" t="str">
        <f>_xlfn.IFNA(VLOOKUP(G294,Master!AE:AF,2,FALSE),"")</f>
        <v/>
      </c>
      <c r="I294" s="24" t="str">
        <f>_xlfn.IFNA(VLOOKUP(D294,Master_Section!$I:$K,2,FALSE),"")</f>
        <v/>
      </c>
      <c r="J294" s="24" t="str">
        <f>_xlfn.IFNA(VLOOKUP(D294,Master_Section!$I:$K,3,FALSE),"")</f>
        <v/>
      </c>
      <c r="L294" s="70" t="str">
        <f>IF(A294&lt;&gt;"CFA",_xlfn.IFNA(VLOOKUP($G294,Master!$AE:$AI,5,0),""),"")</f>
        <v/>
      </c>
      <c r="P294" s="26" t="str">
        <f t="shared" si="8"/>
        <v/>
      </c>
      <c r="Q294" s="37">
        <f t="shared" si="9"/>
        <v>0</v>
      </c>
    </row>
    <row r="295" spans="2:17" ht="15" customHeight="1">
      <c r="B295" s="25" t="str">
        <f>_xlfn.IFNA(VLOOKUP(C295,Master_Section!$H:$I,2,FALSE),"")</f>
        <v/>
      </c>
      <c r="D295" s="25" t="str">
        <f>_xlfn.IFNA(VLOOKUP(E295,Master_Section!$H:$I,2,FALSE),"")</f>
        <v/>
      </c>
      <c r="F295" s="65" t="str">
        <f>_xlfn.IFNA(VLOOKUP(G295,Master!AE:AF,2,FALSE),"")</f>
        <v/>
      </c>
      <c r="I295" s="24" t="str">
        <f>_xlfn.IFNA(VLOOKUP(D295,Master_Section!$I:$K,2,FALSE),"")</f>
        <v/>
      </c>
      <c r="J295" s="24" t="str">
        <f>_xlfn.IFNA(VLOOKUP(D295,Master_Section!$I:$K,3,FALSE),"")</f>
        <v/>
      </c>
      <c r="L295" s="70" t="str">
        <f>IF(A295&lt;&gt;"CFA",_xlfn.IFNA(VLOOKUP($G295,Master!$AE:$AI,5,0),""),"")</f>
        <v/>
      </c>
      <c r="P295" s="26" t="str">
        <f t="shared" si="8"/>
        <v/>
      </c>
      <c r="Q295" s="37">
        <f t="shared" si="9"/>
        <v>0</v>
      </c>
    </row>
    <row r="296" spans="2:17" ht="15" customHeight="1">
      <c r="B296" s="25" t="str">
        <f>_xlfn.IFNA(VLOOKUP(C296,Master_Section!$H:$I,2,FALSE),"")</f>
        <v/>
      </c>
      <c r="D296" s="25" t="str">
        <f>_xlfn.IFNA(VLOOKUP(E296,Master_Section!$H:$I,2,FALSE),"")</f>
        <v/>
      </c>
      <c r="F296" s="65" t="str">
        <f>_xlfn.IFNA(VLOOKUP(G296,Master!AE:AF,2,FALSE),"")</f>
        <v/>
      </c>
      <c r="I296" s="24" t="str">
        <f>_xlfn.IFNA(VLOOKUP(D296,Master_Section!$I:$K,2,FALSE),"")</f>
        <v/>
      </c>
      <c r="J296" s="24" t="str">
        <f>_xlfn.IFNA(VLOOKUP(D296,Master_Section!$I:$K,3,FALSE),"")</f>
        <v/>
      </c>
      <c r="L296" s="70" t="str">
        <f>IF(A296&lt;&gt;"CFA",_xlfn.IFNA(VLOOKUP($G296,Master!$AE:$AI,5,0),""),"")</f>
        <v/>
      </c>
      <c r="P296" s="26" t="str">
        <f t="shared" si="8"/>
        <v/>
      </c>
      <c r="Q296" s="37">
        <f t="shared" si="9"/>
        <v>0</v>
      </c>
    </row>
    <row r="297" spans="2:17" ht="15" customHeight="1">
      <c r="B297" s="25" t="str">
        <f>_xlfn.IFNA(VLOOKUP(C297,Master_Section!$H:$I,2,FALSE),"")</f>
        <v/>
      </c>
      <c r="D297" s="25" t="str">
        <f>_xlfn.IFNA(VLOOKUP(E297,Master_Section!$H:$I,2,FALSE),"")</f>
        <v/>
      </c>
      <c r="F297" s="65" t="str">
        <f>_xlfn.IFNA(VLOOKUP(G297,Master!AE:AF,2,FALSE),"")</f>
        <v/>
      </c>
      <c r="I297" s="24" t="str">
        <f>_xlfn.IFNA(VLOOKUP(D297,Master_Section!$I:$K,2,FALSE),"")</f>
        <v/>
      </c>
      <c r="J297" s="24" t="str">
        <f>_xlfn.IFNA(VLOOKUP(D297,Master_Section!$I:$K,3,FALSE),"")</f>
        <v/>
      </c>
      <c r="L297" s="70" t="str">
        <f>IF(A297&lt;&gt;"CFA",_xlfn.IFNA(VLOOKUP($G297,Master!$AE:$AI,5,0),""),"")</f>
        <v/>
      </c>
      <c r="P297" s="26" t="str">
        <f t="shared" si="8"/>
        <v/>
      </c>
      <c r="Q297" s="37">
        <f t="shared" si="9"/>
        <v>0</v>
      </c>
    </row>
    <row r="298" spans="2:17" ht="15" customHeight="1">
      <c r="B298" s="25" t="str">
        <f>_xlfn.IFNA(VLOOKUP(C298,Master_Section!$H:$I,2,FALSE),"")</f>
        <v/>
      </c>
      <c r="D298" s="25" t="str">
        <f>_xlfn.IFNA(VLOOKUP(E298,Master_Section!$H:$I,2,FALSE),"")</f>
        <v/>
      </c>
      <c r="F298" s="65" t="str">
        <f>_xlfn.IFNA(VLOOKUP(G298,Master!AE:AF,2,FALSE),"")</f>
        <v/>
      </c>
      <c r="I298" s="24" t="str">
        <f>_xlfn.IFNA(VLOOKUP(D298,Master_Section!$I:$K,2,FALSE),"")</f>
        <v/>
      </c>
      <c r="J298" s="24" t="str">
        <f>_xlfn.IFNA(VLOOKUP(D298,Master_Section!$I:$K,3,FALSE),"")</f>
        <v/>
      </c>
      <c r="L298" s="70" t="str">
        <f>IF(A298&lt;&gt;"CFA",_xlfn.IFNA(VLOOKUP($G298,Master!$AE:$AI,5,0),""),"")</f>
        <v/>
      </c>
      <c r="P298" s="26" t="str">
        <f t="shared" si="8"/>
        <v/>
      </c>
      <c r="Q298" s="37">
        <f t="shared" si="9"/>
        <v>0</v>
      </c>
    </row>
    <row r="299" spans="2:17" ht="15" customHeight="1">
      <c r="B299" s="25" t="str">
        <f>_xlfn.IFNA(VLOOKUP(C299,Master_Section!$H:$I,2,FALSE),"")</f>
        <v/>
      </c>
      <c r="D299" s="25" t="str">
        <f>_xlfn.IFNA(VLOOKUP(E299,Master_Section!$H:$I,2,FALSE),"")</f>
        <v/>
      </c>
      <c r="F299" s="65" t="str">
        <f>_xlfn.IFNA(VLOOKUP(G299,Master!AE:AF,2,FALSE),"")</f>
        <v/>
      </c>
      <c r="I299" s="24" t="str">
        <f>_xlfn.IFNA(VLOOKUP(D299,Master_Section!$I:$K,2,FALSE),"")</f>
        <v/>
      </c>
      <c r="J299" s="24" t="str">
        <f>_xlfn.IFNA(VLOOKUP(D299,Master_Section!$I:$K,3,FALSE),"")</f>
        <v/>
      </c>
      <c r="L299" s="70" t="str">
        <f>IF(A299&lt;&gt;"CFA",_xlfn.IFNA(VLOOKUP($G299,Master!$AE:$AI,5,0),""),"")</f>
        <v/>
      </c>
      <c r="P299" s="26" t="str">
        <f t="shared" si="8"/>
        <v/>
      </c>
      <c r="Q299" s="37">
        <f t="shared" si="9"/>
        <v>0</v>
      </c>
    </row>
    <row r="300" spans="2:17" ht="15" customHeight="1">
      <c r="B300" s="25" t="str">
        <f>_xlfn.IFNA(VLOOKUP(C300,Master_Section!$H:$I,2,FALSE),"")</f>
        <v/>
      </c>
      <c r="D300" s="25" t="str">
        <f>_xlfn.IFNA(VLOOKUP(E300,Master_Section!$H:$I,2,FALSE),"")</f>
        <v/>
      </c>
      <c r="F300" s="65" t="str">
        <f>_xlfn.IFNA(VLOOKUP(G300,Master!AE:AF,2,FALSE),"")</f>
        <v/>
      </c>
      <c r="I300" s="24" t="str">
        <f>_xlfn.IFNA(VLOOKUP(D300,Master_Section!$I:$K,2,FALSE),"")</f>
        <v/>
      </c>
      <c r="J300" s="24" t="str">
        <f>_xlfn.IFNA(VLOOKUP(D300,Master_Section!$I:$K,3,FALSE),"")</f>
        <v/>
      </c>
      <c r="L300" s="70" t="str">
        <f>IF(A300&lt;&gt;"CFA",_xlfn.IFNA(VLOOKUP($G300,Master!$AE:$AI,5,0),""),"")</f>
        <v/>
      </c>
      <c r="P300" s="26" t="str">
        <f t="shared" si="8"/>
        <v/>
      </c>
      <c r="Q300" s="37">
        <f t="shared" si="9"/>
        <v>0</v>
      </c>
    </row>
    <row r="301" spans="2:17" ht="15" customHeight="1">
      <c r="B301" s="25" t="str">
        <f>_xlfn.IFNA(VLOOKUP(C301,Master_Section!$H:$I,2,FALSE),"")</f>
        <v/>
      </c>
      <c r="D301" s="25" t="str">
        <f>_xlfn.IFNA(VLOOKUP(E301,Master_Section!$H:$I,2,FALSE),"")</f>
        <v/>
      </c>
      <c r="F301" s="65" t="str">
        <f>_xlfn.IFNA(VLOOKUP(G301,Master!AE:AF,2,FALSE),"")</f>
        <v/>
      </c>
      <c r="I301" s="24" t="str">
        <f>_xlfn.IFNA(VLOOKUP(D301,Master_Section!$I:$K,2,FALSE),"")</f>
        <v/>
      </c>
      <c r="J301" s="24" t="str">
        <f>_xlfn.IFNA(VLOOKUP(D301,Master_Section!$I:$K,3,FALSE),"")</f>
        <v/>
      </c>
      <c r="L301" s="70" t="str">
        <f>IF(A301&lt;&gt;"CFA",_xlfn.IFNA(VLOOKUP($G301,Master!$AE:$AI,5,0),""),"")</f>
        <v/>
      </c>
      <c r="P301" s="26" t="str">
        <f t="shared" si="8"/>
        <v/>
      </c>
      <c r="Q301" s="37">
        <f t="shared" si="9"/>
        <v>0</v>
      </c>
    </row>
    <row r="302" spans="2:17" ht="15" customHeight="1">
      <c r="B302" s="25" t="str">
        <f>_xlfn.IFNA(VLOOKUP(C302,Master_Section!$H:$I,2,FALSE),"")</f>
        <v/>
      </c>
      <c r="D302" s="25" t="str">
        <f>_xlfn.IFNA(VLOOKUP(E302,Master_Section!$H:$I,2,FALSE),"")</f>
        <v/>
      </c>
      <c r="F302" s="65" t="str">
        <f>_xlfn.IFNA(VLOOKUP(G302,Master!AE:AF,2,FALSE),"")</f>
        <v/>
      </c>
      <c r="I302" s="24" t="str">
        <f>_xlfn.IFNA(VLOOKUP(D302,Master_Section!$I:$K,2,FALSE),"")</f>
        <v/>
      </c>
      <c r="J302" s="24" t="str">
        <f>_xlfn.IFNA(VLOOKUP(D302,Master_Section!$I:$K,3,FALSE),"")</f>
        <v/>
      </c>
      <c r="L302" s="70" t="str">
        <f>IF(A302&lt;&gt;"CFA",_xlfn.IFNA(VLOOKUP($G302,Master!$AE:$AI,5,0),""),"")</f>
        <v/>
      </c>
      <c r="P302" s="26" t="str">
        <f t="shared" si="8"/>
        <v/>
      </c>
      <c r="Q302" s="37">
        <f t="shared" si="9"/>
        <v>0</v>
      </c>
    </row>
    <row r="303" spans="2:17" ht="15" customHeight="1">
      <c r="B303" s="25" t="str">
        <f>_xlfn.IFNA(VLOOKUP(C303,Master_Section!$H:$I,2,FALSE),"")</f>
        <v/>
      </c>
      <c r="D303" s="25" t="str">
        <f>_xlfn.IFNA(VLOOKUP(E303,Master_Section!$H:$I,2,FALSE),"")</f>
        <v/>
      </c>
      <c r="F303" s="65" t="str">
        <f>_xlfn.IFNA(VLOOKUP(G303,Master!AE:AF,2,FALSE),"")</f>
        <v/>
      </c>
      <c r="I303" s="24" t="str">
        <f>_xlfn.IFNA(VLOOKUP(D303,Master_Section!$I:$K,2,FALSE),"")</f>
        <v/>
      </c>
      <c r="J303" s="24" t="str">
        <f>_xlfn.IFNA(VLOOKUP(D303,Master_Section!$I:$K,3,FALSE),"")</f>
        <v/>
      </c>
      <c r="L303" s="70" t="str">
        <f>IF(A303&lt;&gt;"CFA",_xlfn.IFNA(VLOOKUP($G303,Master!$AE:$AI,5,0),""),"")</f>
        <v/>
      </c>
      <c r="P303" s="26" t="str">
        <f t="shared" si="8"/>
        <v/>
      </c>
      <c r="Q303" s="37">
        <f t="shared" si="9"/>
        <v>0</v>
      </c>
    </row>
    <row r="304" spans="2:17" ht="15" customHeight="1">
      <c r="B304" s="25" t="str">
        <f>_xlfn.IFNA(VLOOKUP(C304,Master_Section!$H:$I,2,FALSE),"")</f>
        <v/>
      </c>
      <c r="D304" s="25" t="str">
        <f>_xlfn.IFNA(VLOOKUP(E304,Master_Section!$H:$I,2,FALSE),"")</f>
        <v/>
      </c>
      <c r="F304" s="65" t="str">
        <f>_xlfn.IFNA(VLOOKUP(G304,Master!AE:AF,2,FALSE),"")</f>
        <v/>
      </c>
      <c r="I304" s="24" t="str">
        <f>_xlfn.IFNA(VLOOKUP(D304,Master_Section!$I:$K,2,FALSE),"")</f>
        <v/>
      </c>
      <c r="J304" s="24" t="str">
        <f>_xlfn.IFNA(VLOOKUP(D304,Master_Section!$I:$K,3,FALSE),"")</f>
        <v/>
      </c>
      <c r="L304" s="70" t="str">
        <f>IF(A304&lt;&gt;"CFA",_xlfn.IFNA(VLOOKUP($G304,Master!$AE:$AI,5,0),""),"")</f>
        <v/>
      </c>
      <c r="P304" s="26" t="str">
        <f t="shared" si="8"/>
        <v/>
      </c>
      <c r="Q304" s="37">
        <f t="shared" si="9"/>
        <v>0</v>
      </c>
    </row>
    <row r="305" spans="2:17" ht="15" customHeight="1">
      <c r="B305" s="25" t="str">
        <f>_xlfn.IFNA(VLOOKUP(C305,Master_Section!$H:$I,2,FALSE),"")</f>
        <v/>
      </c>
      <c r="D305" s="25" t="str">
        <f>_xlfn.IFNA(VLOOKUP(E305,Master_Section!$H:$I,2,FALSE),"")</f>
        <v/>
      </c>
      <c r="F305" s="65" t="str">
        <f>_xlfn.IFNA(VLOOKUP(G305,Master!AE:AF,2,FALSE),"")</f>
        <v/>
      </c>
      <c r="I305" s="24" t="str">
        <f>_xlfn.IFNA(VLOOKUP(D305,Master_Section!$I:$K,2,FALSE),"")</f>
        <v/>
      </c>
      <c r="J305" s="24" t="str">
        <f>_xlfn.IFNA(VLOOKUP(D305,Master_Section!$I:$K,3,FALSE),"")</f>
        <v/>
      </c>
      <c r="L305" s="70" t="str">
        <f>IF(A305&lt;&gt;"CFA",_xlfn.IFNA(VLOOKUP($G305,Master!$AE:$AI,5,0),""),"")</f>
        <v/>
      </c>
      <c r="P305" s="26" t="str">
        <f t="shared" si="8"/>
        <v/>
      </c>
      <c r="Q305" s="37">
        <f t="shared" si="9"/>
        <v>0</v>
      </c>
    </row>
    <row r="306" spans="2:17" ht="15" customHeight="1">
      <c r="B306" s="25" t="str">
        <f>_xlfn.IFNA(VLOOKUP(C306,Master_Section!$H:$I,2,FALSE),"")</f>
        <v/>
      </c>
      <c r="D306" s="25" t="str">
        <f>_xlfn.IFNA(VLOOKUP(E306,Master_Section!$H:$I,2,FALSE),"")</f>
        <v/>
      </c>
      <c r="F306" s="65" t="str">
        <f>_xlfn.IFNA(VLOOKUP(G306,Master!AE:AF,2,FALSE),"")</f>
        <v/>
      </c>
      <c r="I306" s="24" t="str">
        <f>_xlfn.IFNA(VLOOKUP(D306,Master_Section!$I:$K,2,FALSE),"")</f>
        <v/>
      </c>
      <c r="J306" s="24" t="str">
        <f>_xlfn.IFNA(VLOOKUP(D306,Master_Section!$I:$K,3,FALSE),"")</f>
        <v/>
      </c>
      <c r="L306" s="70" t="str">
        <f>IF(A306&lt;&gt;"CFA",_xlfn.IFNA(VLOOKUP($G306,Master!$AE:$AI,5,0),""),"")</f>
        <v/>
      </c>
      <c r="P306" s="26" t="str">
        <f t="shared" si="8"/>
        <v/>
      </c>
      <c r="Q306" s="37">
        <f t="shared" si="9"/>
        <v>0</v>
      </c>
    </row>
    <row r="307" spans="2:17" ht="15" customHeight="1">
      <c r="B307" s="25" t="str">
        <f>_xlfn.IFNA(VLOOKUP(C307,Master_Section!$H:$I,2,FALSE),"")</f>
        <v/>
      </c>
      <c r="D307" s="25" t="str">
        <f>_xlfn.IFNA(VLOOKUP(E307,Master_Section!$H:$I,2,FALSE),"")</f>
        <v/>
      </c>
      <c r="F307" s="65" t="str">
        <f>_xlfn.IFNA(VLOOKUP(G307,Master!AE:AF,2,FALSE),"")</f>
        <v/>
      </c>
      <c r="I307" s="24" t="str">
        <f>_xlfn.IFNA(VLOOKUP(D307,Master_Section!$I:$K,2,FALSE),"")</f>
        <v/>
      </c>
      <c r="J307" s="24" t="str">
        <f>_xlfn.IFNA(VLOOKUP(D307,Master_Section!$I:$K,3,FALSE),"")</f>
        <v/>
      </c>
      <c r="L307" s="70" t="str">
        <f>IF(A307&lt;&gt;"CFA",_xlfn.IFNA(VLOOKUP($G307,Master!$AE:$AI,5,0),""),"")</f>
        <v/>
      </c>
      <c r="P307" s="26" t="str">
        <f t="shared" si="8"/>
        <v/>
      </c>
      <c r="Q307" s="37">
        <f t="shared" si="9"/>
        <v>0</v>
      </c>
    </row>
    <row r="308" spans="2:17" ht="15" customHeight="1">
      <c r="B308" s="25" t="str">
        <f>_xlfn.IFNA(VLOOKUP(C308,Master_Section!$H:$I,2,FALSE),"")</f>
        <v/>
      </c>
      <c r="D308" s="25" t="str">
        <f>_xlfn.IFNA(VLOOKUP(E308,Master_Section!$H:$I,2,FALSE),"")</f>
        <v/>
      </c>
      <c r="F308" s="65" t="str">
        <f>_xlfn.IFNA(VLOOKUP(G308,Master!AE:AF,2,FALSE),"")</f>
        <v/>
      </c>
      <c r="I308" s="24" t="str">
        <f>_xlfn.IFNA(VLOOKUP(D308,Master_Section!$I:$K,2,FALSE),"")</f>
        <v/>
      </c>
      <c r="J308" s="24" t="str">
        <f>_xlfn.IFNA(VLOOKUP(D308,Master_Section!$I:$K,3,FALSE),"")</f>
        <v/>
      </c>
      <c r="L308" s="70" t="str">
        <f>IF(A308&lt;&gt;"CFA",_xlfn.IFNA(VLOOKUP($G308,Master!$AE:$AI,5,0),""),"")</f>
        <v/>
      </c>
      <c r="P308" s="26" t="str">
        <f t="shared" si="8"/>
        <v/>
      </c>
      <c r="Q308" s="37">
        <f t="shared" si="9"/>
        <v>0</v>
      </c>
    </row>
    <row r="309" spans="2:17" ht="15" customHeight="1">
      <c r="B309" s="25" t="str">
        <f>_xlfn.IFNA(VLOOKUP(C309,Master_Section!$H:$I,2,FALSE),"")</f>
        <v/>
      </c>
      <c r="D309" s="25" t="str">
        <f>_xlfn.IFNA(VLOOKUP(E309,Master_Section!$H:$I,2,FALSE),"")</f>
        <v/>
      </c>
      <c r="F309" s="65" t="str">
        <f>_xlfn.IFNA(VLOOKUP(G309,Master!AE:AF,2,FALSE),"")</f>
        <v/>
      </c>
      <c r="I309" s="24" t="str">
        <f>_xlfn.IFNA(VLOOKUP(D309,Master_Section!$I:$K,2,FALSE),"")</f>
        <v/>
      </c>
      <c r="J309" s="24" t="str">
        <f>_xlfn.IFNA(VLOOKUP(D309,Master_Section!$I:$K,3,FALSE),"")</f>
        <v/>
      </c>
      <c r="L309" s="70" t="str">
        <f>IF(A309&lt;&gt;"CFA",_xlfn.IFNA(VLOOKUP($G309,Master!$AE:$AI,5,0),""),"")</f>
        <v/>
      </c>
      <c r="P309" s="26" t="str">
        <f t="shared" si="8"/>
        <v/>
      </c>
      <c r="Q309" s="37">
        <f t="shared" si="9"/>
        <v>0</v>
      </c>
    </row>
    <row r="310" spans="2:17" ht="15" customHeight="1">
      <c r="B310" s="25" t="str">
        <f>_xlfn.IFNA(VLOOKUP(C310,Master_Section!$H:$I,2,FALSE),"")</f>
        <v/>
      </c>
      <c r="D310" s="25" t="str">
        <f>_xlfn.IFNA(VLOOKUP(E310,Master_Section!$H:$I,2,FALSE),"")</f>
        <v/>
      </c>
      <c r="F310" s="65" t="str">
        <f>_xlfn.IFNA(VLOOKUP(G310,Master!AE:AF,2,FALSE),"")</f>
        <v/>
      </c>
      <c r="I310" s="24" t="str">
        <f>_xlfn.IFNA(VLOOKUP(D310,Master_Section!$I:$K,2,FALSE),"")</f>
        <v/>
      </c>
      <c r="J310" s="24" t="str">
        <f>_xlfn.IFNA(VLOOKUP(D310,Master_Section!$I:$K,3,FALSE),"")</f>
        <v/>
      </c>
      <c r="L310" s="70" t="str">
        <f>IF(A310&lt;&gt;"CFA",_xlfn.IFNA(VLOOKUP($G310,Master!$AE:$AI,5,0),""),"")</f>
        <v/>
      </c>
      <c r="P310" s="26" t="str">
        <f t="shared" si="8"/>
        <v/>
      </c>
      <c r="Q310" s="37">
        <f t="shared" si="9"/>
        <v>0</v>
      </c>
    </row>
    <row r="311" spans="2:17" ht="15" customHeight="1">
      <c r="B311" s="25" t="str">
        <f>_xlfn.IFNA(VLOOKUP(C311,Master_Section!$H:$I,2,FALSE),"")</f>
        <v/>
      </c>
      <c r="D311" s="25" t="str">
        <f>_xlfn.IFNA(VLOOKUP(E311,Master_Section!$H:$I,2,FALSE),"")</f>
        <v/>
      </c>
      <c r="F311" s="65" t="str">
        <f>_xlfn.IFNA(VLOOKUP(G311,Master!AE:AF,2,FALSE),"")</f>
        <v/>
      </c>
      <c r="I311" s="24" t="str">
        <f>_xlfn.IFNA(VLOOKUP(D311,Master_Section!$I:$K,2,FALSE),"")</f>
        <v/>
      </c>
      <c r="J311" s="24" t="str">
        <f>_xlfn.IFNA(VLOOKUP(D311,Master_Section!$I:$K,3,FALSE),"")</f>
        <v/>
      </c>
      <c r="L311" s="70" t="str">
        <f>IF(A311&lt;&gt;"CFA",_xlfn.IFNA(VLOOKUP($G311,Master!$AE:$AI,5,0),""),"")</f>
        <v/>
      </c>
      <c r="P311" s="26" t="str">
        <f t="shared" ref="P311:P374" si="10">IF(N311&lt;&gt;"",IF(MONTH(N311)&gt;=4,"FY1"&amp;RIGHT(YEAR(N311)+1,2),"FY1"&amp;RIGHT(YEAR(N311),2)),"")</f>
        <v/>
      </c>
      <c r="Q311" s="37">
        <f t="shared" ref="Q311:Q374" si="11">IF(K311&gt;0&amp;M311&gt;0,K311*M311,"")</f>
        <v>0</v>
      </c>
    </row>
    <row r="312" spans="2:17" ht="15" customHeight="1">
      <c r="B312" s="25" t="str">
        <f>_xlfn.IFNA(VLOOKUP(C312,Master_Section!$H:$I,2,FALSE),"")</f>
        <v/>
      </c>
      <c r="D312" s="25" t="str">
        <f>_xlfn.IFNA(VLOOKUP(E312,Master_Section!$H:$I,2,FALSE),"")</f>
        <v/>
      </c>
      <c r="F312" s="65" t="str">
        <f>_xlfn.IFNA(VLOOKUP(G312,Master!AE:AF,2,FALSE),"")</f>
        <v/>
      </c>
      <c r="I312" s="24" t="str">
        <f>_xlfn.IFNA(VLOOKUP(D312,Master_Section!$I:$K,2,FALSE),"")</f>
        <v/>
      </c>
      <c r="J312" s="24" t="str">
        <f>_xlfn.IFNA(VLOOKUP(D312,Master_Section!$I:$K,3,FALSE),"")</f>
        <v/>
      </c>
      <c r="L312" s="70" t="str">
        <f>IF(A312&lt;&gt;"CFA",_xlfn.IFNA(VLOOKUP($G312,Master!$AE:$AI,5,0),""),"")</f>
        <v/>
      </c>
      <c r="P312" s="26" t="str">
        <f t="shared" si="10"/>
        <v/>
      </c>
      <c r="Q312" s="37">
        <f t="shared" si="11"/>
        <v>0</v>
      </c>
    </row>
    <row r="313" spans="2:17" ht="15" customHeight="1">
      <c r="B313" s="25" t="str">
        <f>_xlfn.IFNA(VLOOKUP(C313,Master_Section!$H:$I,2,FALSE),"")</f>
        <v/>
      </c>
      <c r="D313" s="25" t="str">
        <f>_xlfn.IFNA(VLOOKUP(E313,Master_Section!$H:$I,2,FALSE),"")</f>
        <v/>
      </c>
      <c r="F313" s="65" t="str">
        <f>_xlfn.IFNA(VLOOKUP(G313,Master!AE:AF,2,FALSE),"")</f>
        <v/>
      </c>
      <c r="I313" s="24" t="str">
        <f>_xlfn.IFNA(VLOOKUP(D313,Master_Section!$I:$K,2,FALSE),"")</f>
        <v/>
      </c>
      <c r="J313" s="24" t="str">
        <f>_xlfn.IFNA(VLOOKUP(D313,Master_Section!$I:$K,3,FALSE),"")</f>
        <v/>
      </c>
      <c r="L313" s="70" t="str">
        <f>IF(A313&lt;&gt;"CFA",_xlfn.IFNA(VLOOKUP($G313,Master!$AE:$AI,5,0),""),"")</f>
        <v/>
      </c>
      <c r="P313" s="26" t="str">
        <f t="shared" si="10"/>
        <v/>
      </c>
      <c r="Q313" s="37">
        <f t="shared" si="11"/>
        <v>0</v>
      </c>
    </row>
    <row r="314" spans="2:17" ht="15" customHeight="1">
      <c r="B314" s="25" t="str">
        <f>_xlfn.IFNA(VLOOKUP(C314,Master_Section!$H:$I,2,FALSE),"")</f>
        <v/>
      </c>
      <c r="D314" s="25" t="str">
        <f>_xlfn.IFNA(VLOOKUP(E314,Master_Section!$H:$I,2,FALSE),"")</f>
        <v/>
      </c>
      <c r="F314" s="65" t="str">
        <f>_xlfn.IFNA(VLOOKUP(G314,Master!AE:AF,2,FALSE),"")</f>
        <v/>
      </c>
      <c r="I314" s="24" t="str">
        <f>_xlfn.IFNA(VLOOKUP(D314,Master_Section!$I:$K,2,FALSE),"")</f>
        <v/>
      </c>
      <c r="J314" s="24" t="str">
        <f>_xlfn.IFNA(VLOOKUP(D314,Master_Section!$I:$K,3,FALSE),"")</f>
        <v/>
      </c>
      <c r="L314" s="70" t="str">
        <f>IF(A314&lt;&gt;"CFA",_xlfn.IFNA(VLOOKUP($G314,Master!$AE:$AI,5,0),""),"")</f>
        <v/>
      </c>
      <c r="P314" s="26" t="str">
        <f t="shared" si="10"/>
        <v/>
      </c>
      <c r="Q314" s="37">
        <f t="shared" si="11"/>
        <v>0</v>
      </c>
    </row>
    <row r="315" spans="2:17" ht="15" customHeight="1">
      <c r="B315" s="25" t="str">
        <f>_xlfn.IFNA(VLOOKUP(C315,Master_Section!$H:$I,2,FALSE),"")</f>
        <v/>
      </c>
      <c r="D315" s="25" t="str">
        <f>_xlfn.IFNA(VLOOKUP(E315,Master_Section!$H:$I,2,FALSE),"")</f>
        <v/>
      </c>
      <c r="F315" s="65" t="str">
        <f>_xlfn.IFNA(VLOOKUP(G315,Master!AE:AF,2,FALSE),"")</f>
        <v/>
      </c>
      <c r="I315" s="24" t="str">
        <f>_xlfn.IFNA(VLOOKUP(D315,Master_Section!$I:$K,2,FALSE),"")</f>
        <v/>
      </c>
      <c r="J315" s="24" t="str">
        <f>_xlfn.IFNA(VLOOKUP(D315,Master_Section!$I:$K,3,FALSE),"")</f>
        <v/>
      </c>
      <c r="L315" s="70" t="str">
        <f>IF(A315&lt;&gt;"CFA",_xlfn.IFNA(VLOOKUP($G315,Master!$AE:$AI,5,0),""),"")</f>
        <v/>
      </c>
      <c r="P315" s="26" t="str">
        <f t="shared" si="10"/>
        <v/>
      </c>
      <c r="Q315" s="37">
        <f t="shared" si="11"/>
        <v>0</v>
      </c>
    </row>
    <row r="316" spans="2:17" ht="15" customHeight="1">
      <c r="B316" s="25" t="str">
        <f>_xlfn.IFNA(VLOOKUP(C316,Master_Section!$H:$I,2,FALSE),"")</f>
        <v/>
      </c>
      <c r="D316" s="25" t="str">
        <f>_xlfn.IFNA(VLOOKUP(E316,Master_Section!$H:$I,2,FALSE),"")</f>
        <v/>
      </c>
      <c r="F316" s="65" t="str">
        <f>_xlfn.IFNA(VLOOKUP(G316,Master!AE:AF,2,FALSE),"")</f>
        <v/>
      </c>
      <c r="I316" s="24" t="str">
        <f>_xlfn.IFNA(VLOOKUP(D316,Master_Section!$I:$K,2,FALSE),"")</f>
        <v/>
      </c>
      <c r="J316" s="24" t="str">
        <f>_xlfn.IFNA(VLOOKUP(D316,Master_Section!$I:$K,3,FALSE),"")</f>
        <v/>
      </c>
      <c r="L316" s="70" t="str">
        <f>IF(A316&lt;&gt;"CFA",_xlfn.IFNA(VLOOKUP($G316,Master!$AE:$AI,5,0),""),"")</f>
        <v/>
      </c>
      <c r="P316" s="26" t="str">
        <f t="shared" si="10"/>
        <v/>
      </c>
      <c r="Q316" s="37">
        <f t="shared" si="11"/>
        <v>0</v>
      </c>
    </row>
    <row r="317" spans="2:17" ht="15" customHeight="1">
      <c r="B317" s="25" t="str">
        <f>_xlfn.IFNA(VLOOKUP(C317,Master_Section!$H:$I,2,FALSE),"")</f>
        <v/>
      </c>
      <c r="D317" s="25" t="str">
        <f>_xlfn.IFNA(VLOOKUP(E317,Master_Section!$H:$I,2,FALSE),"")</f>
        <v/>
      </c>
      <c r="F317" s="65" t="str">
        <f>_xlfn.IFNA(VLOOKUP(G317,Master!AE:AF,2,FALSE),"")</f>
        <v/>
      </c>
      <c r="I317" s="24" t="str">
        <f>_xlfn.IFNA(VLOOKUP(D317,Master_Section!$I:$K,2,FALSE),"")</f>
        <v/>
      </c>
      <c r="J317" s="24" t="str">
        <f>_xlfn.IFNA(VLOOKUP(D317,Master_Section!$I:$K,3,FALSE),"")</f>
        <v/>
      </c>
      <c r="L317" s="70" t="str">
        <f>IF(A317&lt;&gt;"CFA",_xlfn.IFNA(VLOOKUP($G317,Master!$AE:$AI,5,0),""),"")</f>
        <v/>
      </c>
      <c r="P317" s="26" t="str">
        <f t="shared" si="10"/>
        <v/>
      </c>
      <c r="Q317" s="37">
        <f t="shared" si="11"/>
        <v>0</v>
      </c>
    </row>
    <row r="318" spans="2:17" ht="15" customHeight="1">
      <c r="B318" s="25" t="str">
        <f>_xlfn.IFNA(VLOOKUP(C318,Master_Section!$H:$I,2,FALSE),"")</f>
        <v/>
      </c>
      <c r="D318" s="25" t="str">
        <f>_xlfn.IFNA(VLOOKUP(E318,Master_Section!$H:$I,2,FALSE),"")</f>
        <v/>
      </c>
      <c r="F318" s="65" t="str">
        <f>_xlfn.IFNA(VLOOKUP(G318,Master!AE:AF,2,FALSE),"")</f>
        <v/>
      </c>
      <c r="I318" s="24" t="str">
        <f>_xlfn.IFNA(VLOOKUP(D318,Master_Section!$I:$K,2,FALSE),"")</f>
        <v/>
      </c>
      <c r="J318" s="24" t="str">
        <f>_xlfn.IFNA(VLOOKUP(D318,Master_Section!$I:$K,3,FALSE),"")</f>
        <v/>
      </c>
      <c r="L318" s="70" t="str">
        <f>IF(A318&lt;&gt;"CFA",_xlfn.IFNA(VLOOKUP($G318,Master!$AE:$AI,5,0),""),"")</f>
        <v/>
      </c>
      <c r="P318" s="26" t="str">
        <f t="shared" si="10"/>
        <v/>
      </c>
      <c r="Q318" s="37">
        <f t="shared" si="11"/>
        <v>0</v>
      </c>
    </row>
    <row r="319" spans="2:17" ht="15" customHeight="1">
      <c r="B319" s="25" t="str">
        <f>_xlfn.IFNA(VLOOKUP(C319,Master_Section!$H:$I,2,FALSE),"")</f>
        <v/>
      </c>
      <c r="D319" s="25" t="str">
        <f>_xlfn.IFNA(VLOOKUP(E319,Master_Section!$H:$I,2,FALSE),"")</f>
        <v/>
      </c>
      <c r="F319" s="65" t="str">
        <f>_xlfn.IFNA(VLOOKUP(G319,Master!AE:AF,2,FALSE),"")</f>
        <v/>
      </c>
      <c r="I319" s="24" t="str">
        <f>_xlfn.IFNA(VLOOKUP(D319,Master_Section!$I:$K,2,FALSE),"")</f>
        <v/>
      </c>
      <c r="J319" s="24" t="str">
        <f>_xlfn.IFNA(VLOOKUP(D319,Master_Section!$I:$K,3,FALSE),"")</f>
        <v/>
      </c>
      <c r="L319" s="70" t="str">
        <f>IF(A319&lt;&gt;"CFA",_xlfn.IFNA(VLOOKUP($G319,Master!$AE:$AI,5,0),""),"")</f>
        <v/>
      </c>
      <c r="P319" s="26" t="str">
        <f t="shared" si="10"/>
        <v/>
      </c>
      <c r="Q319" s="37">
        <f t="shared" si="11"/>
        <v>0</v>
      </c>
    </row>
    <row r="320" spans="2:17" ht="15" customHeight="1">
      <c r="B320" s="25" t="str">
        <f>_xlfn.IFNA(VLOOKUP(C320,Master_Section!$H:$I,2,FALSE),"")</f>
        <v/>
      </c>
      <c r="D320" s="25" t="str">
        <f>_xlfn.IFNA(VLOOKUP(E320,Master_Section!$H:$I,2,FALSE),"")</f>
        <v/>
      </c>
      <c r="F320" s="65" t="str">
        <f>_xlfn.IFNA(VLOOKUP(G320,Master!AE:AF,2,FALSE),"")</f>
        <v/>
      </c>
      <c r="I320" s="24" t="str">
        <f>_xlfn.IFNA(VLOOKUP(D320,Master_Section!$I:$K,2,FALSE),"")</f>
        <v/>
      </c>
      <c r="J320" s="24" t="str">
        <f>_xlfn.IFNA(VLOOKUP(D320,Master_Section!$I:$K,3,FALSE),"")</f>
        <v/>
      </c>
      <c r="L320" s="70" t="str">
        <f>IF(A320&lt;&gt;"CFA",_xlfn.IFNA(VLOOKUP($G320,Master!$AE:$AI,5,0),""),"")</f>
        <v/>
      </c>
      <c r="P320" s="26" t="str">
        <f t="shared" si="10"/>
        <v/>
      </c>
      <c r="Q320" s="37">
        <f t="shared" si="11"/>
        <v>0</v>
      </c>
    </row>
    <row r="321" spans="2:17" ht="15" customHeight="1">
      <c r="B321" s="25" t="str">
        <f>_xlfn.IFNA(VLOOKUP(C321,Master_Section!$H:$I,2,FALSE),"")</f>
        <v/>
      </c>
      <c r="D321" s="25" t="str">
        <f>_xlfn.IFNA(VLOOKUP(E321,Master_Section!$H:$I,2,FALSE),"")</f>
        <v/>
      </c>
      <c r="F321" s="65" t="str">
        <f>_xlfn.IFNA(VLOOKUP(G321,Master!AE:AF,2,FALSE),"")</f>
        <v/>
      </c>
      <c r="I321" s="24" t="str">
        <f>_xlfn.IFNA(VLOOKUP(D321,Master_Section!$I:$K,2,FALSE),"")</f>
        <v/>
      </c>
      <c r="J321" s="24" t="str">
        <f>_xlfn.IFNA(VLOOKUP(D321,Master_Section!$I:$K,3,FALSE),"")</f>
        <v/>
      </c>
      <c r="L321" s="70" t="str">
        <f>IF(A321&lt;&gt;"CFA",_xlfn.IFNA(VLOOKUP($G321,Master!$AE:$AI,5,0),""),"")</f>
        <v/>
      </c>
      <c r="P321" s="26" t="str">
        <f t="shared" si="10"/>
        <v/>
      </c>
      <c r="Q321" s="37">
        <f t="shared" si="11"/>
        <v>0</v>
      </c>
    </row>
    <row r="322" spans="2:17" ht="15" customHeight="1">
      <c r="B322" s="25" t="str">
        <f>_xlfn.IFNA(VLOOKUP(C322,Master_Section!$H:$I,2,FALSE),"")</f>
        <v/>
      </c>
      <c r="D322" s="25" t="str">
        <f>_xlfn.IFNA(VLOOKUP(E322,Master_Section!$H:$I,2,FALSE),"")</f>
        <v/>
      </c>
      <c r="F322" s="65" t="str">
        <f>_xlfn.IFNA(VLOOKUP(G322,Master!AE:AF,2,FALSE),"")</f>
        <v/>
      </c>
      <c r="I322" s="24" t="str">
        <f>_xlfn.IFNA(VLOOKUP(D322,Master_Section!$I:$K,2,FALSE),"")</f>
        <v/>
      </c>
      <c r="J322" s="24" t="str">
        <f>_xlfn.IFNA(VLOOKUP(D322,Master_Section!$I:$K,3,FALSE),"")</f>
        <v/>
      </c>
      <c r="L322" s="70" t="str">
        <f>IF(A322&lt;&gt;"CFA",_xlfn.IFNA(VLOOKUP($G322,Master!$AE:$AI,5,0),""),"")</f>
        <v/>
      </c>
      <c r="P322" s="26" t="str">
        <f t="shared" si="10"/>
        <v/>
      </c>
      <c r="Q322" s="37">
        <f t="shared" si="11"/>
        <v>0</v>
      </c>
    </row>
    <row r="323" spans="2:17" ht="15" customHeight="1">
      <c r="B323" s="25" t="str">
        <f>_xlfn.IFNA(VLOOKUP(C323,Master_Section!$H:$I,2,FALSE),"")</f>
        <v/>
      </c>
      <c r="D323" s="25" t="str">
        <f>_xlfn.IFNA(VLOOKUP(E323,Master_Section!$H:$I,2,FALSE),"")</f>
        <v/>
      </c>
      <c r="F323" s="65" t="str">
        <f>_xlfn.IFNA(VLOOKUP(G323,Master!AE:AF,2,FALSE),"")</f>
        <v/>
      </c>
      <c r="I323" s="24" t="str">
        <f>_xlfn.IFNA(VLOOKUP(D323,Master_Section!$I:$K,2,FALSE),"")</f>
        <v/>
      </c>
      <c r="J323" s="24" t="str">
        <f>_xlfn.IFNA(VLOOKUP(D323,Master_Section!$I:$K,3,FALSE),"")</f>
        <v/>
      </c>
      <c r="L323" s="70" t="str">
        <f>IF(A323&lt;&gt;"CFA",_xlfn.IFNA(VLOOKUP($G323,Master!$AE:$AI,5,0),""),"")</f>
        <v/>
      </c>
      <c r="P323" s="26" t="str">
        <f t="shared" si="10"/>
        <v/>
      </c>
      <c r="Q323" s="37">
        <f t="shared" si="11"/>
        <v>0</v>
      </c>
    </row>
    <row r="324" spans="2:17" ht="15" customHeight="1">
      <c r="B324" s="25" t="str">
        <f>_xlfn.IFNA(VLOOKUP(C324,Master_Section!$H:$I,2,FALSE),"")</f>
        <v/>
      </c>
      <c r="D324" s="25" t="str">
        <f>_xlfn.IFNA(VLOOKUP(E324,Master_Section!$H:$I,2,FALSE),"")</f>
        <v/>
      </c>
      <c r="F324" s="65" t="str">
        <f>_xlfn.IFNA(VLOOKUP(G324,Master!AE:AF,2,FALSE),"")</f>
        <v/>
      </c>
      <c r="I324" s="24" t="str">
        <f>_xlfn.IFNA(VLOOKUP(D324,Master_Section!$I:$K,2,FALSE),"")</f>
        <v/>
      </c>
      <c r="J324" s="24" t="str">
        <f>_xlfn.IFNA(VLOOKUP(D324,Master_Section!$I:$K,3,FALSE),"")</f>
        <v/>
      </c>
      <c r="L324" s="70" t="str">
        <f>IF(A324&lt;&gt;"CFA",_xlfn.IFNA(VLOOKUP($G324,Master!$AE:$AI,5,0),""),"")</f>
        <v/>
      </c>
      <c r="P324" s="26" t="str">
        <f t="shared" si="10"/>
        <v/>
      </c>
      <c r="Q324" s="37">
        <f t="shared" si="11"/>
        <v>0</v>
      </c>
    </row>
    <row r="325" spans="2:17" ht="15" customHeight="1">
      <c r="B325" s="25" t="str">
        <f>_xlfn.IFNA(VLOOKUP(C325,Master_Section!$H:$I,2,FALSE),"")</f>
        <v/>
      </c>
      <c r="D325" s="25" t="str">
        <f>_xlfn.IFNA(VLOOKUP(E325,Master_Section!$H:$I,2,FALSE),"")</f>
        <v/>
      </c>
      <c r="F325" s="65" t="str">
        <f>_xlfn.IFNA(VLOOKUP(G325,Master!AE:AF,2,FALSE),"")</f>
        <v/>
      </c>
      <c r="I325" s="24" t="str">
        <f>_xlfn.IFNA(VLOOKUP(D325,Master_Section!$I:$K,2,FALSE),"")</f>
        <v/>
      </c>
      <c r="J325" s="24" t="str">
        <f>_xlfn.IFNA(VLOOKUP(D325,Master_Section!$I:$K,3,FALSE),"")</f>
        <v/>
      </c>
      <c r="L325" s="70" t="str">
        <f>IF(A325&lt;&gt;"CFA",_xlfn.IFNA(VLOOKUP($G325,Master!$AE:$AI,5,0),""),"")</f>
        <v/>
      </c>
      <c r="P325" s="26" t="str">
        <f t="shared" si="10"/>
        <v/>
      </c>
      <c r="Q325" s="37">
        <f t="shared" si="11"/>
        <v>0</v>
      </c>
    </row>
    <row r="326" spans="2:17" ht="15" customHeight="1">
      <c r="B326" s="25" t="str">
        <f>_xlfn.IFNA(VLOOKUP(C326,Master_Section!$H:$I,2,FALSE),"")</f>
        <v/>
      </c>
      <c r="D326" s="25" t="str">
        <f>_xlfn.IFNA(VLOOKUP(E326,Master_Section!$H:$I,2,FALSE),"")</f>
        <v/>
      </c>
      <c r="F326" s="65" t="str">
        <f>_xlfn.IFNA(VLOOKUP(G326,Master!AE:AF,2,FALSE),"")</f>
        <v/>
      </c>
      <c r="I326" s="24" t="str">
        <f>_xlfn.IFNA(VLOOKUP(D326,Master_Section!$I:$K,2,FALSE),"")</f>
        <v/>
      </c>
      <c r="J326" s="24" t="str">
        <f>_xlfn.IFNA(VLOOKUP(D326,Master_Section!$I:$K,3,FALSE),"")</f>
        <v/>
      </c>
      <c r="L326" s="70" t="str">
        <f>IF(A326&lt;&gt;"CFA",_xlfn.IFNA(VLOOKUP($G326,Master!$AE:$AI,5,0),""),"")</f>
        <v/>
      </c>
      <c r="P326" s="26" t="str">
        <f t="shared" si="10"/>
        <v/>
      </c>
      <c r="Q326" s="37">
        <f t="shared" si="11"/>
        <v>0</v>
      </c>
    </row>
    <row r="327" spans="2:17" ht="15" customHeight="1">
      <c r="B327" s="25" t="str">
        <f>_xlfn.IFNA(VLOOKUP(C327,Master_Section!$H:$I,2,FALSE),"")</f>
        <v/>
      </c>
      <c r="D327" s="25" t="str">
        <f>_xlfn.IFNA(VLOOKUP(E327,Master_Section!$H:$I,2,FALSE),"")</f>
        <v/>
      </c>
      <c r="F327" s="65" t="str">
        <f>_xlfn.IFNA(VLOOKUP(G327,Master!AE:AF,2,FALSE),"")</f>
        <v/>
      </c>
      <c r="I327" s="24" t="str">
        <f>_xlfn.IFNA(VLOOKUP(D327,Master_Section!$I:$K,2,FALSE),"")</f>
        <v/>
      </c>
      <c r="J327" s="24" t="str">
        <f>_xlfn.IFNA(VLOOKUP(D327,Master_Section!$I:$K,3,FALSE),"")</f>
        <v/>
      </c>
      <c r="L327" s="70" t="str">
        <f>IF(A327&lt;&gt;"CFA",_xlfn.IFNA(VLOOKUP($G327,Master!$AE:$AI,5,0),""),"")</f>
        <v/>
      </c>
      <c r="P327" s="26" t="str">
        <f t="shared" si="10"/>
        <v/>
      </c>
      <c r="Q327" s="37">
        <f t="shared" si="11"/>
        <v>0</v>
      </c>
    </row>
    <row r="328" spans="2:17" ht="15" customHeight="1">
      <c r="B328" s="25" t="str">
        <f>_xlfn.IFNA(VLOOKUP(C328,Master_Section!$H:$I,2,FALSE),"")</f>
        <v/>
      </c>
      <c r="D328" s="25" t="str">
        <f>_xlfn.IFNA(VLOOKUP(E328,Master_Section!$H:$I,2,FALSE),"")</f>
        <v/>
      </c>
      <c r="F328" s="65" t="str">
        <f>_xlfn.IFNA(VLOOKUP(G328,Master!AE:AF,2,FALSE),"")</f>
        <v/>
      </c>
      <c r="I328" s="24" t="str">
        <f>_xlfn.IFNA(VLOOKUP(D328,Master_Section!$I:$K,2,FALSE),"")</f>
        <v/>
      </c>
      <c r="J328" s="24" t="str">
        <f>_xlfn.IFNA(VLOOKUP(D328,Master_Section!$I:$K,3,FALSE),"")</f>
        <v/>
      </c>
      <c r="L328" s="70" t="str">
        <f>IF(A328&lt;&gt;"CFA",_xlfn.IFNA(VLOOKUP($G328,Master!$AE:$AI,5,0),""),"")</f>
        <v/>
      </c>
      <c r="P328" s="26" t="str">
        <f t="shared" si="10"/>
        <v/>
      </c>
      <c r="Q328" s="37">
        <f t="shared" si="11"/>
        <v>0</v>
      </c>
    </row>
    <row r="329" spans="2:17" ht="15" customHeight="1">
      <c r="B329" s="25" t="str">
        <f>_xlfn.IFNA(VLOOKUP(C329,Master_Section!$H:$I,2,FALSE),"")</f>
        <v/>
      </c>
      <c r="D329" s="25" t="str">
        <f>_xlfn.IFNA(VLOOKUP(E329,Master_Section!$H:$I,2,FALSE),"")</f>
        <v/>
      </c>
      <c r="F329" s="65" t="str">
        <f>_xlfn.IFNA(VLOOKUP(G329,Master!AE:AF,2,FALSE),"")</f>
        <v/>
      </c>
      <c r="I329" s="24" t="str">
        <f>_xlfn.IFNA(VLOOKUP(D329,Master_Section!$I:$K,2,FALSE),"")</f>
        <v/>
      </c>
      <c r="J329" s="24" t="str">
        <f>_xlfn.IFNA(VLOOKUP(D329,Master_Section!$I:$K,3,FALSE),"")</f>
        <v/>
      </c>
      <c r="L329" s="70" t="str">
        <f>IF(A329&lt;&gt;"CFA",_xlfn.IFNA(VLOOKUP($G329,Master!$AE:$AI,5,0),""),"")</f>
        <v/>
      </c>
      <c r="P329" s="26" t="str">
        <f t="shared" si="10"/>
        <v/>
      </c>
      <c r="Q329" s="37">
        <f t="shared" si="11"/>
        <v>0</v>
      </c>
    </row>
    <row r="330" spans="2:17" ht="15" customHeight="1">
      <c r="B330" s="25" t="str">
        <f>_xlfn.IFNA(VLOOKUP(C330,Master_Section!$H:$I,2,FALSE),"")</f>
        <v/>
      </c>
      <c r="D330" s="25" t="str">
        <f>_xlfn.IFNA(VLOOKUP(E330,Master_Section!$H:$I,2,FALSE),"")</f>
        <v/>
      </c>
      <c r="F330" s="65" t="str">
        <f>_xlfn.IFNA(VLOOKUP(G330,Master!AE:AF,2,FALSE),"")</f>
        <v/>
      </c>
      <c r="I330" s="24" t="str">
        <f>_xlfn.IFNA(VLOOKUP(D330,Master_Section!$I:$K,2,FALSE),"")</f>
        <v/>
      </c>
      <c r="J330" s="24" t="str">
        <f>_xlfn.IFNA(VLOOKUP(D330,Master_Section!$I:$K,3,FALSE),"")</f>
        <v/>
      </c>
      <c r="L330" s="70" t="str">
        <f>IF(A330&lt;&gt;"CFA",_xlfn.IFNA(VLOOKUP($G330,Master!$AE:$AI,5,0),""),"")</f>
        <v/>
      </c>
      <c r="P330" s="26" t="str">
        <f t="shared" si="10"/>
        <v/>
      </c>
      <c r="Q330" s="37">
        <f t="shared" si="11"/>
        <v>0</v>
      </c>
    </row>
    <row r="331" spans="2:17" ht="15" customHeight="1">
      <c r="B331" s="25" t="str">
        <f>_xlfn.IFNA(VLOOKUP(C331,Master_Section!$H:$I,2,FALSE),"")</f>
        <v/>
      </c>
      <c r="D331" s="25" t="str">
        <f>_xlfn.IFNA(VLOOKUP(E331,Master_Section!$H:$I,2,FALSE),"")</f>
        <v/>
      </c>
      <c r="F331" s="65" t="str">
        <f>_xlfn.IFNA(VLOOKUP(G331,Master!AE:AF,2,FALSE),"")</f>
        <v/>
      </c>
      <c r="I331" s="24" t="str">
        <f>_xlfn.IFNA(VLOOKUP(D331,Master_Section!$I:$K,2,FALSE),"")</f>
        <v/>
      </c>
      <c r="J331" s="24" t="str">
        <f>_xlfn.IFNA(VLOOKUP(D331,Master_Section!$I:$K,3,FALSE),"")</f>
        <v/>
      </c>
      <c r="L331" s="70" t="str">
        <f>IF(A331&lt;&gt;"CFA",_xlfn.IFNA(VLOOKUP($G331,Master!$AE:$AI,5,0),""),"")</f>
        <v/>
      </c>
      <c r="P331" s="26" t="str">
        <f t="shared" si="10"/>
        <v/>
      </c>
      <c r="Q331" s="37">
        <f t="shared" si="11"/>
        <v>0</v>
      </c>
    </row>
    <row r="332" spans="2:17" ht="15" customHeight="1">
      <c r="B332" s="25" t="str">
        <f>_xlfn.IFNA(VLOOKUP(C332,Master_Section!$H:$I,2,FALSE),"")</f>
        <v/>
      </c>
      <c r="D332" s="25" t="str">
        <f>_xlfn.IFNA(VLOOKUP(E332,Master_Section!$H:$I,2,FALSE),"")</f>
        <v/>
      </c>
      <c r="F332" s="65" t="str">
        <f>_xlfn.IFNA(VLOOKUP(G332,Master!AE:AF,2,FALSE),"")</f>
        <v/>
      </c>
      <c r="I332" s="24" t="str">
        <f>_xlfn.IFNA(VLOOKUP(D332,Master_Section!$I:$K,2,FALSE),"")</f>
        <v/>
      </c>
      <c r="J332" s="24" t="str">
        <f>_xlfn.IFNA(VLOOKUP(D332,Master_Section!$I:$K,3,FALSE),"")</f>
        <v/>
      </c>
      <c r="L332" s="70" t="str">
        <f>IF(A332&lt;&gt;"CFA",_xlfn.IFNA(VLOOKUP($G332,Master!$AE:$AI,5,0),""),"")</f>
        <v/>
      </c>
      <c r="P332" s="26" t="str">
        <f t="shared" si="10"/>
        <v/>
      </c>
      <c r="Q332" s="37">
        <f t="shared" si="11"/>
        <v>0</v>
      </c>
    </row>
    <row r="333" spans="2:17" ht="15" customHeight="1">
      <c r="B333" s="25" t="str">
        <f>_xlfn.IFNA(VLOOKUP(C333,Master_Section!$H:$I,2,FALSE),"")</f>
        <v/>
      </c>
      <c r="D333" s="25" t="str">
        <f>_xlfn.IFNA(VLOOKUP(E333,Master_Section!$H:$I,2,FALSE),"")</f>
        <v/>
      </c>
      <c r="F333" s="65" t="str">
        <f>_xlfn.IFNA(VLOOKUP(G333,Master!AE:AF,2,FALSE),"")</f>
        <v/>
      </c>
      <c r="I333" s="24" t="str">
        <f>_xlfn.IFNA(VLOOKUP(D333,Master_Section!$I:$K,2,FALSE),"")</f>
        <v/>
      </c>
      <c r="J333" s="24" t="str">
        <f>_xlfn.IFNA(VLOOKUP(D333,Master_Section!$I:$K,3,FALSE),"")</f>
        <v/>
      </c>
      <c r="L333" s="70" t="str">
        <f>IF(A333&lt;&gt;"CFA",_xlfn.IFNA(VLOOKUP($G333,Master!$AE:$AI,5,0),""),"")</f>
        <v/>
      </c>
      <c r="P333" s="26" t="str">
        <f t="shared" si="10"/>
        <v/>
      </c>
      <c r="Q333" s="37">
        <f t="shared" si="11"/>
        <v>0</v>
      </c>
    </row>
    <row r="334" spans="2:17" ht="15" customHeight="1">
      <c r="B334" s="25" t="str">
        <f>_xlfn.IFNA(VLOOKUP(C334,Master_Section!$H:$I,2,FALSE),"")</f>
        <v/>
      </c>
      <c r="D334" s="25" t="str">
        <f>_xlfn.IFNA(VLOOKUP(E334,Master_Section!$H:$I,2,FALSE),"")</f>
        <v/>
      </c>
      <c r="F334" s="65" t="str">
        <f>_xlfn.IFNA(VLOOKUP(G334,Master!AE:AF,2,FALSE),"")</f>
        <v/>
      </c>
      <c r="I334" s="24" t="str">
        <f>_xlfn.IFNA(VLOOKUP(D334,Master_Section!$I:$K,2,FALSE),"")</f>
        <v/>
      </c>
      <c r="J334" s="24" t="str">
        <f>_xlfn.IFNA(VLOOKUP(D334,Master_Section!$I:$K,3,FALSE),"")</f>
        <v/>
      </c>
      <c r="L334" s="70" t="str">
        <f>IF(A334&lt;&gt;"CFA",_xlfn.IFNA(VLOOKUP($G334,Master!$AE:$AI,5,0),""),"")</f>
        <v/>
      </c>
      <c r="P334" s="26" t="str">
        <f t="shared" si="10"/>
        <v/>
      </c>
      <c r="Q334" s="37">
        <f t="shared" si="11"/>
        <v>0</v>
      </c>
    </row>
    <row r="335" spans="2:17" ht="15" customHeight="1">
      <c r="B335" s="25" t="str">
        <f>_xlfn.IFNA(VLOOKUP(C335,Master_Section!$H:$I,2,FALSE),"")</f>
        <v/>
      </c>
      <c r="D335" s="25" t="str">
        <f>_xlfn.IFNA(VLOOKUP(E335,Master_Section!$H:$I,2,FALSE),"")</f>
        <v/>
      </c>
      <c r="F335" s="65" t="str">
        <f>_xlfn.IFNA(VLOOKUP(G335,Master!AE:AF,2,FALSE),"")</f>
        <v/>
      </c>
      <c r="I335" s="24" t="str">
        <f>_xlfn.IFNA(VLOOKUP(D335,Master_Section!$I:$K,2,FALSE),"")</f>
        <v/>
      </c>
      <c r="J335" s="24" t="str">
        <f>_xlfn.IFNA(VLOOKUP(D335,Master_Section!$I:$K,3,FALSE),"")</f>
        <v/>
      </c>
      <c r="L335" s="70" t="str">
        <f>IF(A335&lt;&gt;"CFA",_xlfn.IFNA(VLOOKUP($G335,Master!$AE:$AI,5,0),""),"")</f>
        <v/>
      </c>
      <c r="P335" s="26" t="str">
        <f t="shared" si="10"/>
        <v/>
      </c>
      <c r="Q335" s="37">
        <f t="shared" si="11"/>
        <v>0</v>
      </c>
    </row>
    <row r="336" spans="2:17" ht="15" customHeight="1">
      <c r="B336" s="25" t="str">
        <f>_xlfn.IFNA(VLOOKUP(C336,Master_Section!$H:$I,2,FALSE),"")</f>
        <v/>
      </c>
      <c r="D336" s="25" t="str">
        <f>_xlfn.IFNA(VLOOKUP(E336,Master_Section!$H:$I,2,FALSE),"")</f>
        <v/>
      </c>
      <c r="F336" s="65" t="str">
        <f>_xlfn.IFNA(VLOOKUP(G336,Master!AE:AF,2,FALSE),"")</f>
        <v/>
      </c>
      <c r="I336" s="24" t="str">
        <f>_xlfn.IFNA(VLOOKUP(D336,Master_Section!$I:$K,2,FALSE),"")</f>
        <v/>
      </c>
      <c r="J336" s="24" t="str">
        <f>_xlfn.IFNA(VLOOKUP(D336,Master_Section!$I:$K,3,FALSE),"")</f>
        <v/>
      </c>
      <c r="L336" s="70" t="str">
        <f>IF(A336&lt;&gt;"CFA",_xlfn.IFNA(VLOOKUP($G336,Master!$AE:$AI,5,0),""),"")</f>
        <v/>
      </c>
      <c r="P336" s="26" t="str">
        <f t="shared" si="10"/>
        <v/>
      </c>
      <c r="Q336" s="37">
        <f t="shared" si="11"/>
        <v>0</v>
      </c>
    </row>
    <row r="337" spans="2:17" ht="15" customHeight="1">
      <c r="B337" s="25" t="str">
        <f>_xlfn.IFNA(VLOOKUP(C337,Master_Section!$H:$I,2,FALSE),"")</f>
        <v/>
      </c>
      <c r="D337" s="25" t="str">
        <f>_xlfn.IFNA(VLOOKUP(E337,Master_Section!$H:$I,2,FALSE),"")</f>
        <v/>
      </c>
      <c r="F337" s="65" t="str">
        <f>_xlfn.IFNA(VLOOKUP(G337,Master!AE:AF,2,FALSE),"")</f>
        <v/>
      </c>
      <c r="I337" s="24" t="str">
        <f>_xlfn.IFNA(VLOOKUP(D337,Master_Section!$I:$K,2,FALSE),"")</f>
        <v/>
      </c>
      <c r="J337" s="24" t="str">
        <f>_xlfn.IFNA(VLOOKUP(D337,Master_Section!$I:$K,3,FALSE),"")</f>
        <v/>
      </c>
      <c r="L337" s="70" t="str">
        <f>IF(A337&lt;&gt;"CFA",_xlfn.IFNA(VLOOKUP($G337,Master!$AE:$AI,5,0),""),"")</f>
        <v/>
      </c>
      <c r="P337" s="26" t="str">
        <f t="shared" si="10"/>
        <v/>
      </c>
      <c r="Q337" s="37">
        <f t="shared" si="11"/>
        <v>0</v>
      </c>
    </row>
    <row r="338" spans="2:17" ht="15" customHeight="1">
      <c r="B338" s="25" t="str">
        <f>_xlfn.IFNA(VLOOKUP(C338,Master_Section!$H:$I,2,FALSE),"")</f>
        <v/>
      </c>
      <c r="D338" s="25" t="str">
        <f>_xlfn.IFNA(VLOOKUP(E338,Master_Section!$H:$I,2,FALSE),"")</f>
        <v/>
      </c>
      <c r="F338" s="65" t="str">
        <f>_xlfn.IFNA(VLOOKUP(G338,Master!AE:AF,2,FALSE),"")</f>
        <v/>
      </c>
      <c r="I338" s="24" t="str">
        <f>_xlfn.IFNA(VLOOKUP(D338,Master_Section!$I:$K,2,FALSE),"")</f>
        <v/>
      </c>
      <c r="J338" s="24" t="str">
        <f>_xlfn.IFNA(VLOOKUP(D338,Master_Section!$I:$K,3,FALSE),"")</f>
        <v/>
      </c>
      <c r="L338" s="70" t="str">
        <f>IF(A338&lt;&gt;"CFA",_xlfn.IFNA(VLOOKUP($G338,Master!$AE:$AI,5,0),""),"")</f>
        <v/>
      </c>
      <c r="P338" s="26" t="str">
        <f t="shared" si="10"/>
        <v/>
      </c>
      <c r="Q338" s="37">
        <f t="shared" si="11"/>
        <v>0</v>
      </c>
    </row>
    <row r="339" spans="2:17" ht="15" customHeight="1">
      <c r="B339" s="25" t="str">
        <f>_xlfn.IFNA(VLOOKUP(C339,Master_Section!$H:$I,2,FALSE),"")</f>
        <v/>
      </c>
      <c r="D339" s="25" t="str">
        <f>_xlfn.IFNA(VLOOKUP(E339,Master_Section!$H:$I,2,FALSE),"")</f>
        <v/>
      </c>
      <c r="F339" s="65" t="str">
        <f>_xlfn.IFNA(VLOOKUP(G339,Master!AE:AF,2,FALSE),"")</f>
        <v/>
      </c>
      <c r="I339" s="24" t="str">
        <f>_xlfn.IFNA(VLOOKUP(D339,Master_Section!$I:$K,2,FALSE),"")</f>
        <v/>
      </c>
      <c r="J339" s="24" t="str">
        <f>_xlfn.IFNA(VLOOKUP(D339,Master_Section!$I:$K,3,FALSE),"")</f>
        <v/>
      </c>
      <c r="L339" s="70" t="str">
        <f>IF(A339&lt;&gt;"CFA",_xlfn.IFNA(VLOOKUP($G339,Master!$AE:$AI,5,0),""),"")</f>
        <v/>
      </c>
      <c r="P339" s="26" t="str">
        <f t="shared" si="10"/>
        <v/>
      </c>
      <c r="Q339" s="37">
        <f t="shared" si="11"/>
        <v>0</v>
      </c>
    </row>
    <row r="340" spans="2:17" ht="15" customHeight="1">
      <c r="B340" s="25" t="str">
        <f>_xlfn.IFNA(VLOOKUP(C340,Master_Section!$H:$I,2,FALSE),"")</f>
        <v/>
      </c>
      <c r="D340" s="25" t="str">
        <f>_xlfn.IFNA(VLOOKUP(E340,Master_Section!$H:$I,2,FALSE),"")</f>
        <v/>
      </c>
      <c r="F340" s="65" t="str">
        <f>_xlfn.IFNA(VLOOKUP(G340,Master!AE:AF,2,FALSE),"")</f>
        <v/>
      </c>
      <c r="I340" s="24" t="str">
        <f>_xlfn.IFNA(VLOOKUP(D340,Master_Section!$I:$K,2,FALSE),"")</f>
        <v/>
      </c>
      <c r="J340" s="24" t="str">
        <f>_xlfn.IFNA(VLOOKUP(D340,Master_Section!$I:$K,3,FALSE),"")</f>
        <v/>
      </c>
      <c r="L340" s="70" t="str">
        <f>IF(A340&lt;&gt;"CFA",_xlfn.IFNA(VLOOKUP($G340,Master!$AE:$AI,5,0),""),"")</f>
        <v/>
      </c>
      <c r="P340" s="26" t="str">
        <f t="shared" si="10"/>
        <v/>
      </c>
      <c r="Q340" s="37">
        <f t="shared" si="11"/>
        <v>0</v>
      </c>
    </row>
    <row r="341" spans="2:17" ht="15" customHeight="1">
      <c r="B341" s="25" t="str">
        <f>_xlfn.IFNA(VLOOKUP(C341,Master_Section!$H:$I,2,FALSE),"")</f>
        <v/>
      </c>
      <c r="D341" s="25" t="str">
        <f>_xlfn.IFNA(VLOOKUP(E341,Master_Section!$H:$I,2,FALSE),"")</f>
        <v/>
      </c>
      <c r="F341" s="65" t="str">
        <f>_xlfn.IFNA(VLOOKUP(G341,Master!AE:AF,2,FALSE),"")</f>
        <v/>
      </c>
      <c r="I341" s="24" t="str">
        <f>_xlfn.IFNA(VLOOKUP(D341,Master_Section!$I:$K,2,FALSE),"")</f>
        <v/>
      </c>
      <c r="J341" s="24" t="str">
        <f>_xlfn.IFNA(VLOOKUP(D341,Master_Section!$I:$K,3,FALSE),"")</f>
        <v/>
      </c>
      <c r="L341" s="70" t="str">
        <f>IF(A341&lt;&gt;"CFA",_xlfn.IFNA(VLOOKUP($G341,Master!$AE:$AI,5,0),""),"")</f>
        <v/>
      </c>
      <c r="P341" s="26" t="str">
        <f t="shared" si="10"/>
        <v/>
      </c>
      <c r="Q341" s="37">
        <f t="shared" si="11"/>
        <v>0</v>
      </c>
    </row>
    <row r="342" spans="2:17" ht="15" customHeight="1">
      <c r="B342" s="25" t="str">
        <f>_xlfn.IFNA(VLOOKUP(C342,Master_Section!$H:$I,2,FALSE),"")</f>
        <v/>
      </c>
      <c r="D342" s="25" t="str">
        <f>_xlfn.IFNA(VLOOKUP(E342,Master_Section!$H:$I,2,FALSE),"")</f>
        <v/>
      </c>
      <c r="F342" s="65" t="str">
        <f>_xlfn.IFNA(VLOOKUP(G342,Master!AE:AF,2,FALSE),"")</f>
        <v/>
      </c>
      <c r="I342" s="24" t="str">
        <f>_xlfn.IFNA(VLOOKUP(D342,Master_Section!$I:$K,2,FALSE),"")</f>
        <v/>
      </c>
      <c r="J342" s="24" t="str">
        <f>_xlfn.IFNA(VLOOKUP(D342,Master_Section!$I:$K,3,FALSE),"")</f>
        <v/>
      </c>
      <c r="L342" s="70" t="str">
        <f>IF(A342&lt;&gt;"CFA",_xlfn.IFNA(VLOOKUP($G342,Master!$AE:$AI,5,0),""),"")</f>
        <v/>
      </c>
      <c r="P342" s="26" t="str">
        <f t="shared" si="10"/>
        <v/>
      </c>
      <c r="Q342" s="37">
        <f t="shared" si="11"/>
        <v>0</v>
      </c>
    </row>
    <row r="343" spans="2:17" ht="15" customHeight="1">
      <c r="B343" s="25" t="str">
        <f>_xlfn.IFNA(VLOOKUP(C343,Master_Section!$H:$I,2,FALSE),"")</f>
        <v/>
      </c>
      <c r="F343" s="65" t="str">
        <f>_xlfn.IFNA(VLOOKUP(G343,Master!AE:AF,2,FALSE),"")</f>
        <v/>
      </c>
      <c r="I343" s="24" t="str">
        <f>_xlfn.IFNA(VLOOKUP(D343,Master_Section!$I:$K,2,FALSE),"")</f>
        <v/>
      </c>
      <c r="J343" s="24" t="str">
        <f>_xlfn.IFNA(VLOOKUP(D343,Master_Section!$I:$K,3,FALSE),"")</f>
        <v/>
      </c>
      <c r="L343" s="70" t="str">
        <f>IF(A343&lt;&gt;"CFA",_xlfn.IFNA(VLOOKUP($G343,Master!$AE:$AI,5,0),""),"")</f>
        <v/>
      </c>
      <c r="P343" s="26" t="str">
        <f t="shared" si="10"/>
        <v/>
      </c>
      <c r="Q343" s="37">
        <f t="shared" si="11"/>
        <v>0</v>
      </c>
    </row>
    <row r="344" spans="2:17" ht="15" customHeight="1">
      <c r="B344" s="25" t="str">
        <f>_xlfn.IFNA(VLOOKUP(C344,Master_Section!$H:$I,2,FALSE),"")</f>
        <v/>
      </c>
      <c r="F344" s="65" t="str">
        <f>_xlfn.IFNA(VLOOKUP(G344,Master!AE:AF,2,FALSE),"")</f>
        <v/>
      </c>
      <c r="I344" s="24" t="str">
        <f>_xlfn.IFNA(VLOOKUP(D344,Master_Section!$I:$K,2,FALSE),"")</f>
        <v/>
      </c>
      <c r="J344" s="24" t="str">
        <f>_xlfn.IFNA(VLOOKUP(D344,Master_Section!$I:$K,3,FALSE),"")</f>
        <v/>
      </c>
      <c r="L344" s="70" t="str">
        <f>IF(A344&lt;&gt;"CFA",_xlfn.IFNA(VLOOKUP($G344,Master!$AE:$AI,5,0),""),"")</f>
        <v/>
      </c>
      <c r="P344" s="26" t="str">
        <f t="shared" si="10"/>
        <v/>
      </c>
      <c r="Q344" s="37">
        <f t="shared" si="11"/>
        <v>0</v>
      </c>
    </row>
    <row r="345" spans="2:17" ht="15" customHeight="1">
      <c r="B345" s="25" t="str">
        <f>_xlfn.IFNA(VLOOKUP(C345,Master_Section!$H:$I,2,FALSE),"")</f>
        <v/>
      </c>
      <c r="F345" s="65" t="str">
        <f>_xlfn.IFNA(VLOOKUP(G345,Master!AE:AF,2,FALSE),"")</f>
        <v/>
      </c>
      <c r="I345" s="24" t="str">
        <f>_xlfn.IFNA(VLOOKUP(D345,Master_Section!$I:$K,2,FALSE),"")</f>
        <v/>
      </c>
      <c r="J345" s="24" t="str">
        <f>_xlfn.IFNA(VLOOKUP(D345,Master_Section!$I:$K,3,FALSE),"")</f>
        <v/>
      </c>
      <c r="L345" s="70" t="str">
        <f>IF(A345&lt;&gt;"CFA",_xlfn.IFNA(VLOOKUP($G345,Master!$AE:$AI,5,0),""),"")</f>
        <v/>
      </c>
      <c r="P345" s="26" t="str">
        <f t="shared" si="10"/>
        <v/>
      </c>
      <c r="Q345" s="37">
        <f t="shared" si="11"/>
        <v>0</v>
      </c>
    </row>
    <row r="346" spans="2:17" ht="15" customHeight="1">
      <c r="B346" s="25" t="str">
        <f>_xlfn.IFNA(VLOOKUP(C346,Master_Section!$H:$I,2,FALSE),"")</f>
        <v/>
      </c>
      <c r="F346" s="65" t="str">
        <f>_xlfn.IFNA(VLOOKUP(G346,Master!AE:AF,2,FALSE),"")</f>
        <v/>
      </c>
      <c r="I346" s="24" t="str">
        <f>_xlfn.IFNA(VLOOKUP(D346,Master_Section!$I:$K,2,FALSE),"")</f>
        <v/>
      </c>
      <c r="J346" s="24" t="str">
        <f>_xlfn.IFNA(VLOOKUP(D346,Master_Section!$I:$K,3,FALSE),"")</f>
        <v/>
      </c>
      <c r="L346" s="70" t="str">
        <f>IF(A346&lt;&gt;"CFA",_xlfn.IFNA(VLOOKUP($G346,Master!$AE:$AI,5,0),""),"")</f>
        <v/>
      </c>
      <c r="P346" s="26" t="str">
        <f t="shared" si="10"/>
        <v/>
      </c>
      <c r="Q346" s="37">
        <f t="shared" si="11"/>
        <v>0</v>
      </c>
    </row>
    <row r="347" spans="2:17" ht="15" customHeight="1">
      <c r="B347" s="25" t="str">
        <f>_xlfn.IFNA(VLOOKUP(C347,Master_Section!$H:$I,2,FALSE),"")</f>
        <v/>
      </c>
      <c r="F347" s="65" t="str">
        <f>_xlfn.IFNA(VLOOKUP(G347,Master!AE:AF,2,FALSE),"")</f>
        <v/>
      </c>
      <c r="I347" s="24" t="str">
        <f>_xlfn.IFNA(VLOOKUP(D347,Master_Section!$I:$K,2,FALSE),"")</f>
        <v/>
      </c>
      <c r="J347" s="24" t="str">
        <f>_xlfn.IFNA(VLOOKUP(D347,Master_Section!$I:$K,3,FALSE),"")</f>
        <v/>
      </c>
      <c r="L347" s="70" t="str">
        <f>IF(A347&lt;&gt;"CFA",_xlfn.IFNA(VLOOKUP($G347,Master!$AE:$AI,5,0),""),"")</f>
        <v/>
      </c>
      <c r="P347" s="26" t="str">
        <f t="shared" si="10"/>
        <v/>
      </c>
      <c r="Q347" s="37">
        <f t="shared" si="11"/>
        <v>0</v>
      </c>
    </row>
    <row r="348" spans="2:17" ht="15" customHeight="1">
      <c r="B348" s="25" t="str">
        <f>_xlfn.IFNA(VLOOKUP(C348,Master_Section!$H:$I,2,FALSE),"")</f>
        <v/>
      </c>
      <c r="F348" s="65" t="str">
        <f>_xlfn.IFNA(VLOOKUP(G348,Master!AE:AF,2,FALSE),"")</f>
        <v/>
      </c>
      <c r="I348" s="24" t="str">
        <f>_xlfn.IFNA(VLOOKUP(D348,Master_Section!$I:$K,2,FALSE),"")</f>
        <v/>
      </c>
      <c r="J348" s="24" t="str">
        <f>_xlfn.IFNA(VLOOKUP(D348,Master_Section!$I:$K,3,FALSE),"")</f>
        <v/>
      </c>
      <c r="L348" s="70" t="str">
        <f>IF(A348&lt;&gt;"CFA",_xlfn.IFNA(VLOOKUP($G348,Master!$AE:$AI,5,0),""),"")</f>
        <v/>
      </c>
      <c r="P348" s="26" t="str">
        <f t="shared" si="10"/>
        <v/>
      </c>
      <c r="Q348" s="37">
        <f t="shared" si="11"/>
        <v>0</v>
      </c>
    </row>
    <row r="349" spans="2:17" ht="15" customHeight="1">
      <c r="B349" s="25" t="str">
        <f>_xlfn.IFNA(VLOOKUP(C349,Master_Section!$H:$I,2,FALSE),"")</f>
        <v/>
      </c>
      <c r="F349" s="65" t="str">
        <f>_xlfn.IFNA(VLOOKUP(G349,Master!AE:AF,2,FALSE),"")</f>
        <v/>
      </c>
      <c r="I349" s="24" t="str">
        <f>_xlfn.IFNA(VLOOKUP(D349,Master_Section!$I:$K,2,FALSE),"")</f>
        <v/>
      </c>
      <c r="J349" s="24" t="str">
        <f>_xlfn.IFNA(VLOOKUP(D349,Master_Section!$I:$K,3,FALSE),"")</f>
        <v/>
      </c>
      <c r="L349" s="70" t="str">
        <f>IF(A349&lt;&gt;"CFA",_xlfn.IFNA(VLOOKUP($G349,Master!$AE:$AI,5,0),""),"")</f>
        <v/>
      </c>
      <c r="P349" s="26" t="str">
        <f t="shared" si="10"/>
        <v/>
      </c>
      <c r="Q349" s="37">
        <f t="shared" si="11"/>
        <v>0</v>
      </c>
    </row>
    <row r="350" spans="2:17" ht="15" customHeight="1">
      <c r="B350" s="25" t="str">
        <f>_xlfn.IFNA(VLOOKUP(C350,Master_Section!$H:$I,2,FALSE),"")</f>
        <v/>
      </c>
      <c r="F350" s="65" t="str">
        <f>_xlfn.IFNA(VLOOKUP(G350,Master!AE:AF,2,FALSE),"")</f>
        <v/>
      </c>
      <c r="I350" s="24" t="str">
        <f>_xlfn.IFNA(VLOOKUP(D350,Master_Section!$I:$K,2,FALSE),"")</f>
        <v/>
      </c>
      <c r="J350" s="24" t="str">
        <f>_xlfn.IFNA(VLOOKUP(D350,Master_Section!$I:$K,3,FALSE),"")</f>
        <v/>
      </c>
      <c r="L350" s="70" t="str">
        <f>IF(A350&lt;&gt;"CFA",_xlfn.IFNA(VLOOKUP($G350,Master!$AE:$AI,5,0),""),"")</f>
        <v/>
      </c>
      <c r="P350" s="26" t="str">
        <f t="shared" si="10"/>
        <v/>
      </c>
      <c r="Q350" s="37">
        <f t="shared" si="11"/>
        <v>0</v>
      </c>
    </row>
    <row r="351" spans="2:17" ht="15" customHeight="1">
      <c r="B351" s="25" t="str">
        <f>_xlfn.IFNA(VLOOKUP(C351,Master_Section!$H:$I,2,FALSE),"")</f>
        <v/>
      </c>
      <c r="F351" s="65" t="str">
        <f>_xlfn.IFNA(VLOOKUP(G351,Master!AE:AF,2,FALSE),"")</f>
        <v/>
      </c>
      <c r="I351" s="24" t="str">
        <f>_xlfn.IFNA(VLOOKUP(D351,Master_Section!$I:$K,2,FALSE),"")</f>
        <v/>
      </c>
      <c r="J351" s="24" t="str">
        <f>_xlfn.IFNA(VLOOKUP(D351,Master_Section!$I:$K,3,FALSE),"")</f>
        <v/>
      </c>
      <c r="L351" s="70" t="str">
        <f>IF(A351&lt;&gt;"CFA",_xlfn.IFNA(VLOOKUP($G351,Master!$AE:$AI,5,0),""),"")</f>
        <v/>
      </c>
      <c r="P351" s="26" t="str">
        <f t="shared" si="10"/>
        <v/>
      </c>
      <c r="Q351" s="37">
        <f t="shared" si="11"/>
        <v>0</v>
      </c>
    </row>
    <row r="352" spans="2:17" ht="15" customHeight="1">
      <c r="B352" s="25" t="str">
        <f>_xlfn.IFNA(VLOOKUP(C352,Master_Section!$H:$I,2,FALSE),"")</f>
        <v/>
      </c>
      <c r="F352" s="65" t="str">
        <f>_xlfn.IFNA(VLOOKUP(G352,Master!AE:AF,2,FALSE),"")</f>
        <v/>
      </c>
      <c r="I352" s="24" t="str">
        <f>_xlfn.IFNA(VLOOKUP(D352,Master_Section!$I:$K,2,FALSE),"")</f>
        <v/>
      </c>
      <c r="J352" s="24" t="str">
        <f>_xlfn.IFNA(VLOOKUP(D352,Master_Section!$I:$K,3,FALSE),"")</f>
        <v/>
      </c>
      <c r="L352" s="70" t="str">
        <f>IF(A352&lt;&gt;"CFA",_xlfn.IFNA(VLOOKUP($G352,Master!$AE:$AI,5,0),""),"")</f>
        <v/>
      </c>
      <c r="P352" s="26" t="str">
        <f t="shared" si="10"/>
        <v/>
      </c>
      <c r="Q352" s="37">
        <f t="shared" si="11"/>
        <v>0</v>
      </c>
    </row>
    <row r="353" spans="2:17" ht="15" customHeight="1">
      <c r="B353" s="25" t="str">
        <f>_xlfn.IFNA(VLOOKUP(C353,Master_Section!$H:$I,2,FALSE),"")</f>
        <v/>
      </c>
      <c r="F353" s="65" t="str">
        <f>_xlfn.IFNA(VLOOKUP(G353,Master!AE:AF,2,FALSE),"")</f>
        <v/>
      </c>
      <c r="I353" s="24" t="str">
        <f>_xlfn.IFNA(VLOOKUP(D353,Master_Section!$I:$K,2,FALSE),"")</f>
        <v/>
      </c>
      <c r="J353" s="24" t="str">
        <f>_xlfn.IFNA(VLOOKUP(D353,Master_Section!$I:$K,3,FALSE),"")</f>
        <v/>
      </c>
      <c r="L353" s="70" t="str">
        <f>IF(A353&lt;&gt;"CFA",_xlfn.IFNA(VLOOKUP($G353,Master!$AE:$AI,5,0),""),"")</f>
        <v/>
      </c>
      <c r="P353" s="26" t="str">
        <f t="shared" si="10"/>
        <v/>
      </c>
      <c r="Q353" s="37">
        <f t="shared" si="11"/>
        <v>0</v>
      </c>
    </row>
    <row r="354" spans="2:17" ht="15" customHeight="1">
      <c r="B354" s="25" t="str">
        <f>_xlfn.IFNA(VLOOKUP(C354,Master_Section!$H:$I,2,FALSE),"")</f>
        <v/>
      </c>
      <c r="F354" s="65" t="str">
        <f>_xlfn.IFNA(VLOOKUP(G354,Master!AE:AF,2,FALSE),"")</f>
        <v/>
      </c>
      <c r="I354" s="24" t="str">
        <f>_xlfn.IFNA(VLOOKUP(D354,Master_Section!$I:$K,2,FALSE),"")</f>
        <v/>
      </c>
      <c r="J354" s="24" t="str">
        <f>_xlfn.IFNA(VLOOKUP(D354,Master_Section!$I:$K,3,FALSE),"")</f>
        <v/>
      </c>
      <c r="L354" s="70" t="str">
        <f>IF(A354&lt;&gt;"CFA",_xlfn.IFNA(VLOOKUP($G354,Master!$AE:$AI,5,0),""),"")</f>
        <v/>
      </c>
      <c r="P354" s="26" t="str">
        <f t="shared" si="10"/>
        <v/>
      </c>
      <c r="Q354" s="37">
        <f t="shared" si="11"/>
        <v>0</v>
      </c>
    </row>
    <row r="355" spans="2:17" ht="15" customHeight="1">
      <c r="B355" s="25" t="str">
        <f>_xlfn.IFNA(VLOOKUP(C355,Master_Section!$H:$I,2,FALSE),"")</f>
        <v/>
      </c>
      <c r="F355" s="65" t="str">
        <f>_xlfn.IFNA(VLOOKUP(G355,Master!AE:AF,2,FALSE),"")</f>
        <v/>
      </c>
      <c r="I355" s="24" t="str">
        <f>_xlfn.IFNA(VLOOKUP(D355,Master_Section!$I:$K,2,FALSE),"")</f>
        <v/>
      </c>
      <c r="J355" s="24" t="str">
        <f>_xlfn.IFNA(VLOOKUP(D355,Master_Section!$I:$K,3,FALSE),"")</f>
        <v/>
      </c>
      <c r="L355" s="70" t="str">
        <f>IF(A355&lt;&gt;"CFA",_xlfn.IFNA(VLOOKUP($G355,Master!$AE:$AI,5,0),""),"")</f>
        <v/>
      </c>
      <c r="P355" s="26" t="str">
        <f t="shared" si="10"/>
        <v/>
      </c>
      <c r="Q355" s="37">
        <f t="shared" si="11"/>
        <v>0</v>
      </c>
    </row>
    <row r="356" spans="2:17" ht="15" customHeight="1">
      <c r="B356" s="25" t="str">
        <f>_xlfn.IFNA(VLOOKUP(C356,Master_Section!$H:$I,2,FALSE),"")</f>
        <v/>
      </c>
      <c r="F356" s="65" t="str">
        <f>_xlfn.IFNA(VLOOKUP(G356,Master!AE:AF,2,FALSE),"")</f>
        <v/>
      </c>
      <c r="I356" s="24" t="str">
        <f>_xlfn.IFNA(VLOOKUP(D356,Master_Section!$I:$K,2,FALSE),"")</f>
        <v/>
      </c>
      <c r="J356" s="24" t="str">
        <f>_xlfn.IFNA(VLOOKUP(D356,Master_Section!$I:$K,3,FALSE),"")</f>
        <v/>
      </c>
      <c r="L356" s="70" t="str">
        <f>IF(A356&lt;&gt;"CFA",_xlfn.IFNA(VLOOKUP($G356,Master!$AE:$AI,5,0),""),"")</f>
        <v/>
      </c>
      <c r="P356" s="26" t="str">
        <f t="shared" si="10"/>
        <v/>
      </c>
      <c r="Q356" s="37">
        <f t="shared" si="11"/>
        <v>0</v>
      </c>
    </row>
    <row r="357" spans="2:17" ht="15" customHeight="1">
      <c r="B357" s="25" t="str">
        <f>_xlfn.IFNA(VLOOKUP(C357,Master_Section!$H:$I,2,FALSE),"")</f>
        <v/>
      </c>
      <c r="F357" s="65" t="str">
        <f>_xlfn.IFNA(VLOOKUP(G357,Master!AE:AF,2,FALSE),"")</f>
        <v/>
      </c>
      <c r="I357" s="24" t="str">
        <f>_xlfn.IFNA(VLOOKUP(D357,Master_Section!$I:$K,2,FALSE),"")</f>
        <v/>
      </c>
      <c r="J357" s="24" t="str">
        <f>_xlfn.IFNA(VLOOKUP(D357,Master_Section!$I:$K,3,FALSE),"")</f>
        <v/>
      </c>
      <c r="L357" s="70" t="str">
        <f>IF(A357&lt;&gt;"CFA",_xlfn.IFNA(VLOOKUP($G357,Master!$AE:$AI,5,0),""),"")</f>
        <v/>
      </c>
      <c r="P357" s="26" t="str">
        <f t="shared" si="10"/>
        <v/>
      </c>
      <c r="Q357" s="37">
        <f t="shared" si="11"/>
        <v>0</v>
      </c>
    </row>
    <row r="358" spans="2:17" ht="15" customHeight="1">
      <c r="B358" s="25" t="str">
        <f>_xlfn.IFNA(VLOOKUP(C358,Master_Section!$H:$I,2,FALSE),"")</f>
        <v/>
      </c>
      <c r="F358" s="65" t="str">
        <f>_xlfn.IFNA(VLOOKUP(G358,Master!AE:AF,2,FALSE),"")</f>
        <v/>
      </c>
      <c r="I358" s="24" t="str">
        <f>_xlfn.IFNA(VLOOKUP(D358,Master_Section!$I:$K,2,FALSE),"")</f>
        <v/>
      </c>
      <c r="J358" s="24" t="str">
        <f>_xlfn.IFNA(VLOOKUP(D358,Master_Section!$I:$K,3,FALSE),"")</f>
        <v/>
      </c>
      <c r="L358" s="70" t="str">
        <f>IF(A358&lt;&gt;"CFA",_xlfn.IFNA(VLOOKUP($G358,Master!$AE:$AI,5,0),""),"")</f>
        <v/>
      </c>
      <c r="P358" s="26" t="str">
        <f t="shared" si="10"/>
        <v/>
      </c>
      <c r="Q358" s="37">
        <f t="shared" si="11"/>
        <v>0</v>
      </c>
    </row>
    <row r="359" spans="2:17" ht="15" customHeight="1">
      <c r="B359" s="25" t="str">
        <f>_xlfn.IFNA(VLOOKUP(C359,Master_Section!$H:$I,2,FALSE),"")</f>
        <v/>
      </c>
      <c r="F359" s="65" t="str">
        <f>_xlfn.IFNA(VLOOKUP(G359,Master!AE:AF,2,FALSE),"")</f>
        <v/>
      </c>
      <c r="I359" s="24" t="str">
        <f>_xlfn.IFNA(VLOOKUP(D359,Master_Section!$I:$K,2,FALSE),"")</f>
        <v/>
      </c>
      <c r="J359" s="24" t="str">
        <f>_xlfn.IFNA(VLOOKUP(D359,Master_Section!$I:$K,3,FALSE),"")</f>
        <v/>
      </c>
      <c r="L359" s="70" t="str">
        <f>IF(A359&lt;&gt;"CFA",_xlfn.IFNA(VLOOKUP($G359,Master!$AE:$AI,5,0),""),"")</f>
        <v/>
      </c>
      <c r="P359" s="26" t="str">
        <f t="shared" si="10"/>
        <v/>
      </c>
      <c r="Q359" s="37">
        <f t="shared" si="11"/>
        <v>0</v>
      </c>
    </row>
    <row r="360" spans="2:17" ht="15" customHeight="1">
      <c r="B360" s="25" t="str">
        <f>_xlfn.IFNA(VLOOKUP(C360,Master_Section!$H:$I,2,FALSE),"")</f>
        <v/>
      </c>
      <c r="F360" s="65" t="str">
        <f>_xlfn.IFNA(VLOOKUP(G360,Master!AE:AF,2,FALSE),"")</f>
        <v/>
      </c>
      <c r="I360" s="24" t="str">
        <f>_xlfn.IFNA(VLOOKUP(D360,Master_Section!$I:$K,2,FALSE),"")</f>
        <v/>
      </c>
      <c r="J360" s="24" t="str">
        <f>_xlfn.IFNA(VLOOKUP(D360,Master_Section!$I:$K,3,FALSE),"")</f>
        <v/>
      </c>
      <c r="L360" s="70" t="str">
        <f>IF(A360&lt;&gt;"CFA",_xlfn.IFNA(VLOOKUP($G360,Master!$AE:$AI,5,0),""),"")</f>
        <v/>
      </c>
      <c r="P360" s="26" t="str">
        <f t="shared" si="10"/>
        <v/>
      </c>
      <c r="Q360" s="37">
        <f t="shared" si="11"/>
        <v>0</v>
      </c>
    </row>
    <row r="361" spans="2:17" ht="15" customHeight="1">
      <c r="B361" s="25" t="str">
        <f>_xlfn.IFNA(VLOOKUP(C361,Master_Section!$H:$I,2,FALSE),"")</f>
        <v/>
      </c>
      <c r="F361" s="65" t="str">
        <f>_xlfn.IFNA(VLOOKUP(G361,Master!AE:AF,2,FALSE),"")</f>
        <v/>
      </c>
      <c r="I361" s="24" t="str">
        <f>_xlfn.IFNA(VLOOKUP(D361,Master_Section!$I:$K,2,FALSE),"")</f>
        <v/>
      </c>
      <c r="J361" s="24" t="str">
        <f>_xlfn.IFNA(VLOOKUP(D361,Master_Section!$I:$K,3,FALSE),"")</f>
        <v/>
      </c>
      <c r="L361" s="70" t="str">
        <f>IF(A361&lt;&gt;"CFA",_xlfn.IFNA(VLOOKUP($G361,Master!$AE:$AI,5,0),""),"")</f>
        <v/>
      </c>
      <c r="P361" s="26" t="str">
        <f t="shared" si="10"/>
        <v/>
      </c>
      <c r="Q361" s="37">
        <f t="shared" si="11"/>
        <v>0</v>
      </c>
    </row>
    <row r="362" spans="2:17" ht="15" customHeight="1">
      <c r="B362" s="25" t="str">
        <f>_xlfn.IFNA(VLOOKUP(C362,Master_Section!$H:$I,2,FALSE),"")</f>
        <v/>
      </c>
      <c r="F362" s="65" t="str">
        <f>_xlfn.IFNA(VLOOKUP(G362,Master!AE:AF,2,FALSE),"")</f>
        <v/>
      </c>
      <c r="I362" s="24" t="str">
        <f>_xlfn.IFNA(VLOOKUP(D362,Master_Section!$I:$K,2,FALSE),"")</f>
        <v/>
      </c>
      <c r="J362" s="24" t="str">
        <f>_xlfn.IFNA(VLOOKUP(D362,Master_Section!$I:$K,3,FALSE),"")</f>
        <v/>
      </c>
      <c r="L362" s="70" t="str">
        <f>IF(A362&lt;&gt;"CFA",_xlfn.IFNA(VLOOKUP($G362,Master!$AE:$AI,5,0),""),"")</f>
        <v/>
      </c>
      <c r="P362" s="26" t="str">
        <f t="shared" si="10"/>
        <v/>
      </c>
      <c r="Q362" s="37">
        <f t="shared" si="11"/>
        <v>0</v>
      </c>
    </row>
    <row r="363" spans="2:17" ht="15" customHeight="1">
      <c r="B363" s="25" t="str">
        <f>_xlfn.IFNA(VLOOKUP(C363,Master_Section!$H:$I,2,FALSE),"")</f>
        <v/>
      </c>
      <c r="F363" s="65" t="str">
        <f>_xlfn.IFNA(VLOOKUP(G363,Master!AE:AF,2,FALSE),"")</f>
        <v/>
      </c>
      <c r="I363" s="24" t="str">
        <f>_xlfn.IFNA(VLOOKUP(D363,Master_Section!$I:$K,2,FALSE),"")</f>
        <v/>
      </c>
      <c r="J363" s="24" t="str">
        <f>_xlfn.IFNA(VLOOKUP(D363,Master_Section!$I:$K,3,FALSE),"")</f>
        <v/>
      </c>
      <c r="L363" s="70" t="str">
        <f>IF(A363&lt;&gt;"CFA",_xlfn.IFNA(VLOOKUP($G363,Master!$AE:$AI,5,0),""),"")</f>
        <v/>
      </c>
      <c r="P363" s="26" t="str">
        <f t="shared" si="10"/>
        <v/>
      </c>
      <c r="Q363" s="37">
        <f t="shared" si="11"/>
        <v>0</v>
      </c>
    </row>
    <row r="364" spans="2:17" ht="15" customHeight="1">
      <c r="B364" s="25" t="str">
        <f>_xlfn.IFNA(VLOOKUP(C364,Master_Section!$H:$I,2,FALSE),"")</f>
        <v/>
      </c>
      <c r="F364" s="65" t="str">
        <f>_xlfn.IFNA(VLOOKUP(G364,Master!AE:AF,2,FALSE),"")</f>
        <v/>
      </c>
      <c r="I364" s="24" t="str">
        <f>_xlfn.IFNA(VLOOKUP(D364,Master_Section!$I:$K,2,FALSE),"")</f>
        <v/>
      </c>
      <c r="J364" s="24" t="str">
        <f>_xlfn.IFNA(VLOOKUP(D364,Master_Section!$I:$K,3,FALSE),"")</f>
        <v/>
      </c>
      <c r="L364" s="70" t="str">
        <f>IF(A364&lt;&gt;"CFA",_xlfn.IFNA(VLOOKUP($G364,Master!$AE:$AI,5,0),""),"")</f>
        <v/>
      </c>
      <c r="P364" s="26" t="str">
        <f t="shared" si="10"/>
        <v/>
      </c>
      <c r="Q364" s="37">
        <f t="shared" si="11"/>
        <v>0</v>
      </c>
    </row>
    <row r="365" spans="2:17" ht="15" customHeight="1">
      <c r="B365" s="25" t="str">
        <f>_xlfn.IFNA(VLOOKUP(C365,Master_Section!$H:$I,2,FALSE),"")</f>
        <v/>
      </c>
      <c r="F365" s="65" t="str">
        <f>_xlfn.IFNA(VLOOKUP(G365,Master!AE:AF,2,FALSE),"")</f>
        <v/>
      </c>
      <c r="I365" s="24" t="str">
        <f>_xlfn.IFNA(VLOOKUP(D365,Master_Section!$I:$K,2,FALSE),"")</f>
        <v/>
      </c>
      <c r="J365" s="24" t="str">
        <f>_xlfn.IFNA(VLOOKUP(D365,Master_Section!$I:$K,3,FALSE),"")</f>
        <v/>
      </c>
      <c r="L365" s="70" t="str">
        <f>IF(A365&lt;&gt;"CFA",_xlfn.IFNA(VLOOKUP($G365,Master!$AE:$AI,5,0),""),"")</f>
        <v/>
      </c>
      <c r="P365" s="26" t="str">
        <f t="shared" si="10"/>
        <v/>
      </c>
      <c r="Q365" s="37">
        <f t="shared" si="11"/>
        <v>0</v>
      </c>
    </row>
    <row r="366" spans="2:17" ht="15" customHeight="1">
      <c r="B366" s="25" t="str">
        <f>_xlfn.IFNA(VLOOKUP(C366,Master_Section!$H:$I,2,FALSE),"")</f>
        <v/>
      </c>
      <c r="F366" s="65" t="str">
        <f>_xlfn.IFNA(VLOOKUP(G366,Master!AE:AF,2,FALSE),"")</f>
        <v/>
      </c>
      <c r="I366" s="24" t="str">
        <f>_xlfn.IFNA(VLOOKUP(D366,Master_Section!$I:$K,2,FALSE),"")</f>
        <v/>
      </c>
      <c r="J366" s="24" t="str">
        <f>_xlfn.IFNA(VLOOKUP(D366,Master_Section!$I:$K,3,FALSE),"")</f>
        <v/>
      </c>
      <c r="L366" s="70" t="str">
        <f>IF(A366&lt;&gt;"CFA",_xlfn.IFNA(VLOOKUP($G366,Master!$AE:$AI,5,0),""),"")</f>
        <v/>
      </c>
      <c r="P366" s="26" t="str">
        <f t="shared" si="10"/>
        <v/>
      </c>
      <c r="Q366" s="37">
        <f t="shared" si="11"/>
        <v>0</v>
      </c>
    </row>
    <row r="367" spans="2:17" ht="15" customHeight="1">
      <c r="B367" s="25" t="str">
        <f>_xlfn.IFNA(VLOOKUP(C367,Master_Section!$H:$I,2,FALSE),"")</f>
        <v/>
      </c>
      <c r="F367" s="65" t="str">
        <f>_xlfn.IFNA(VLOOKUP(G367,Master!AE:AF,2,FALSE),"")</f>
        <v/>
      </c>
      <c r="I367" s="24" t="str">
        <f>_xlfn.IFNA(VLOOKUP(D367,Master_Section!$I:$K,2,FALSE),"")</f>
        <v/>
      </c>
      <c r="J367" s="24" t="str">
        <f>_xlfn.IFNA(VLOOKUP(D367,Master_Section!$I:$K,3,FALSE),"")</f>
        <v/>
      </c>
      <c r="L367" s="70" t="str">
        <f>IF(A367&lt;&gt;"CFA",_xlfn.IFNA(VLOOKUP($G367,Master!$AE:$AI,5,0),""),"")</f>
        <v/>
      </c>
      <c r="P367" s="26" t="str">
        <f t="shared" si="10"/>
        <v/>
      </c>
      <c r="Q367" s="37">
        <f t="shared" si="11"/>
        <v>0</v>
      </c>
    </row>
    <row r="368" spans="2:17" ht="15" customHeight="1">
      <c r="B368" s="25" t="str">
        <f>_xlfn.IFNA(VLOOKUP(C368,Master_Section!$H:$I,2,FALSE),"")</f>
        <v/>
      </c>
      <c r="F368" s="65" t="str">
        <f>_xlfn.IFNA(VLOOKUP(G368,Master!AE:AF,2,FALSE),"")</f>
        <v/>
      </c>
      <c r="I368" s="24" t="str">
        <f>_xlfn.IFNA(VLOOKUP(D368,Master_Section!$I:$K,2,FALSE),"")</f>
        <v/>
      </c>
      <c r="J368" s="24" t="str">
        <f>_xlfn.IFNA(VLOOKUP(D368,Master_Section!$I:$K,3,FALSE),"")</f>
        <v/>
      </c>
      <c r="L368" s="70" t="str">
        <f>IF(A368&lt;&gt;"CFA",_xlfn.IFNA(VLOOKUP($G368,Master!$AE:$AI,5,0),""),"")</f>
        <v/>
      </c>
      <c r="P368" s="26" t="str">
        <f t="shared" si="10"/>
        <v/>
      </c>
      <c r="Q368" s="37">
        <f t="shared" si="11"/>
        <v>0</v>
      </c>
    </row>
    <row r="369" spans="2:17" ht="15" customHeight="1">
      <c r="B369" s="25" t="str">
        <f>_xlfn.IFNA(VLOOKUP(C369,Master_Section!$H:$I,2,FALSE),"")</f>
        <v/>
      </c>
      <c r="F369" s="65" t="str">
        <f>_xlfn.IFNA(VLOOKUP(G369,Master!AE:AF,2,FALSE),"")</f>
        <v/>
      </c>
      <c r="I369" s="24" t="str">
        <f>_xlfn.IFNA(VLOOKUP(D369,Master_Section!$I:$K,2,FALSE),"")</f>
        <v/>
      </c>
      <c r="J369" s="24" t="str">
        <f>_xlfn.IFNA(VLOOKUP(D369,Master_Section!$I:$K,3,FALSE),"")</f>
        <v/>
      </c>
      <c r="L369" s="70" t="str">
        <f>IF(A369&lt;&gt;"CFA",_xlfn.IFNA(VLOOKUP($G369,Master!$AE:$AI,5,0),""),"")</f>
        <v/>
      </c>
      <c r="P369" s="26" t="str">
        <f t="shared" si="10"/>
        <v/>
      </c>
      <c r="Q369" s="37">
        <f t="shared" si="11"/>
        <v>0</v>
      </c>
    </row>
    <row r="370" spans="2:17" ht="15" customHeight="1">
      <c r="B370" s="25" t="str">
        <f>_xlfn.IFNA(VLOOKUP(C370,Master_Section!$H:$I,2,FALSE),"")</f>
        <v/>
      </c>
      <c r="F370" s="65" t="str">
        <f>_xlfn.IFNA(VLOOKUP(G370,Master!AE:AF,2,FALSE),"")</f>
        <v/>
      </c>
      <c r="I370" s="24" t="str">
        <f>_xlfn.IFNA(VLOOKUP(D370,Master_Section!$I:$K,2,FALSE),"")</f>
        <v/>
      </c>
      <c r="J370" s="24" t="str">
        <f>_xlfn.IFNA(VLOOKUP(D370,Master_Section!$I:$K,3,FALSE),"")</f>
        <v/>
      </c>
      <c r="L370" s="70" t="str">
        <f>IF(A370&lt;&gt;"CFA",_xlfn.IFNA(VLOOKUP($G370,Master!$AE:$AI,5,0),""),"")</f>
        <v/>
      </c>
      <c r="P370" s="26" t="str">
        <f t="shared" si="10"/>
        <v/>
      </c>
      <c r="Q370" s="37">
        <f t="shared" si="11"/>
        <v>0</v>
      </c>
    </row>
    <row r="371" spans="2:17" ht="15" customHeight="1">
      <c r="B371" s="25" t="str">
        <f>_xlfn.IFNA(VLOOKUP(C371,Master_Section!$H:$I,2,FALSE),"")</f>
        <v/>
      </c>
      <c r="F371" s="65" t="str">
        <f>_xlfn.IFNA(VLOOKUP(G371,Master!AE:AF,2,FALSE),"")</f>
        <v/>
      </c>
      <c r="I371" s="24" t="str">
        <f>_xlfn.IFNA(VLOOKUP(D371,Master_Section!$I:$K,2,FALSE),"")</f>
        <v/>
      </c>
      <c r="J371" s="24" t="str">
        <f>_xlfn.IFNA(VLOOKUP(D371,Master_Section!$I:$K,3,FALSE),"")</f>
        <v/>
      </c>
      <c r="L371" s="70" t="str">
        <f>IF(A371&lt;&gt;"CFA",_xlfn.IFNA(VLOOKUP($G371,Master!$AE:$AI,5,0),""),"")</f>
        <v/>
      </c>
      <c r="P371" s="26" t="str">
        <f t="shared" si="10"/>
        <v/>
      </c>
      <c r="Q371" s="37">
        <f t="shared" si="11"/>
        <v>0</v>
      </c>
    </row>
    <row r="372" spans="2:17" ht="15" customHeight="1">
      <c r="B372" s="25" t="str">
        <f>_xlfn.IFNA(VLOOKUP(C372,Master_Section!$H:$I,2,FALSE),"")</f>
        <v/>
      </c>
      <c r="F372" s="65" t="str">
        <f>_xlfn.IFNA(VLOOKUP(G372,Master!AE:AF,2,FALSE),"")</f>
        <v/>
      </c>
      <c r="I372" s="24" t="str">
        <f>_xlfn.IFNA(VLOOKUP(D372,Master_Section!$I:$K,2,FALSE),"")</f>
        <v/>
      </c>
      <c r="J372" s="24" t="str">
        <f>_xlfn.IFNA(VLOOKUP(D372,Master_Section!$I:$K,3,FALSE),"")</f>
        <v/>
      </c>
      <c r="L372" s="70" t="str">
        <f>IF(A372&lt;&gt;"CFA",_xlfn.IFNA(VLOOKUP($G372,Master!$AE:$AI,5,0),""),"")</f>
        <v/>
      </c>
      <c r="P372" s="26" t="str">
        <f t="shared" si="10"/>
        <v/>
      </c>
      <c r="Q372" s="37">
        <f t="shared" si="11"/>
        <v>0</v>
      </c>
    </row>
    <row r="373" spans="2:17" ht="15" customHeight="1">
      <c r="B373" s="25" t="str">
        <f>_xlfn.IFNA(VLOOKUP(C373,Master_Section!$H:$I,2,FALSE),"")</f>
        <v/>
      </c>
      <c r="F373" s="65" t="str">
        <f>_xlfn.IFNA(VLOOKUP(G373,Master!AE:AF,2,FALSE),"")</f>
        <v/>
      </c>
      <c r="I373" s="24" t="str">
        <f>_xlfn.IFNA(VLOOKUP(D373,Master_Section!$I:$K,2,FALSE),"")</f>
        <v/>
      </c>
      <c r="J373" s="24" t="str">
        <f>_xlfn.IFNA(VLOOKUP(D373,Master_Section!$I:$K,3,FALSE),"")</f>
        <v/>
      </c>
      <c r="L373" s="70" t="str">
        <f>IF(A373&lt;&gt;"CFA",_xlfn.IFNA(VLOOKUP($G373,Master!$AE:$AI,5,0),""),"")</f>
        <v/>
      </c>
      <c r="P373" s="26" t="str">
        <f t="shared" si="10"/>
        <v/>
      </c>
      <c r="Q373" s="37">
        <f t="shared" si="11"/>
        <v>0</v>
      </c>
    </row>
    <row r="374" spans="2:17" ht="15" customHeight="1">
      <c r="B374" s="25" t="str">
        <f>_xlfn.IFNA(VLOOKUP(C374,Master_Section!$H:$I,2,FALSE),"")</f>
        <v/>
      </c>
      <c r="F374" s="65" t="str">
        <f>_xlfn.IFNA(VLOOKUP(G374,Master!AE:AF,2,FALSE),"")</f>
        <v/>
      </c>
      <c r="I374" s="24" t="str">
        <f>_xlfn.IFNA(VLOOKUP(D374,Master_Section!$I:$K,2,FALSE),"")</f>
        <v/>
      </c>
      <c r="J374" s="24" t="str">
        <f>_xlfn.IFNA(VLOOKUP(D374,Master_Section!$I:$K,3,FALSE),"")</f>
        <v/>
      </c>
      <c r="L374" s="70" t="str">
        <f>IF(A374&lt;&gt;"CFA",_xlfn.IFNA(VLOOKUP($G374,Master!$AE:$AI,5,0),""),"")</f>
        <v/>
      </c>
      <c r="P374" s="26" t="str">
        <f t="shared" si="10"/>
        <v/>
      </c>
      <c r="Q374" s="37">
        <f t="shared" si="11"/>
        <v>0</v>
      </c>
    </row>
    <row r="375" spans="2:17" ht="15" customHeight="1">
      <c r="B375" s="25" t="str">
        <f>_xlfn.IFNA(VLOOKUP(C375,Master_Section!$H:$I,2,FALSE),"")</f>
        <v/>
      </c>
      <c r="F375" s="65" t="str">
        <f>_xlfn.IFNA(VLOOKUP(G375,Master!AE:AF,2,FALSE),"")</f>
        <v/>
      </c>
      <c r="I375" s="24" t="str">
        <f>_xlfn.IFNA(VLOOKUP(D375,Master_Section!$I:$K,2,FALSE),"")</f>
        <v/>
      </c>
      <c r="J375" s="24" t="str">
        <f>_xlfn.IFNA(VLOOKUP(D375,Master_Section!$I:$K,3,FALSE),"")</f>
        <v/>
      </c>
      <c r="L375" s="70" t="str">
        <f>IF(A375&lt;&gt;"CFA",_xlfn.IFNA(VLOOKUP($G375,Master!$AE:$AI,5,0),""),"")</f>
        <v/>
      </c>
      <c r="P375" s="26" t="str">
        <f t="shared" ref="P375:P386" si="12">IF(N375&lt;&gt;"",IF(MONTH(N375)&gt;=4,"FY1"&amp;RIGHT(YEAR(N375)+1,2),"FY1"&amp;RIGHT(YEAR(N375),2)),"")</f>
        <v/>
      </c>
      <c r="Q375" s="37">
        <f t="shared" ref="Q375:Q438" si="13">IF(K375&gt;0&amp;M375&gt;0,K375*M375,"")</f>
        <v>0</v>
      </c>
    </row>
    <row r="376" spans="2:17" ht="15" customHeight="1">
      <c r="B376" s="25" t="str">
        <f>_xlfn.IFNA(VLOOKUP(C376,Master_Section!$H:$I,2,FALSE),"")</f>
        <v/>
      </c>
      <c r="F376" s="65" t="str">
        <f>_xlfn.IFNA(VLOOKUP(G376,Master!AE:AF,2,FALSE),"")</f>
        <v/>
      </c>
      <c r="I376" s="24" t="str">
        <f>_xlfn.IFNA(VLOOKUP(D376,Master_Section!$I:$K,2,FALSE),"")</f>
        <v/>
      </c>
      <c r="J376" s="24" t="str">
        <f>_xlfn.IFNA(VLOOKUP(D376,Master_Section!$I:$K,3,FALSE),"")</f>
        <v/>
      </c>
      <c r="L376" s="70" t="str">
        <f>IF(A376&lt;&gt;"CFA",_xlfn.IFNA(VLOOKUP($G376,Master!$AE:$AI,5,0),""),"")</f>
        <v/>
      </c>
      <c r="P376" s="26" t="str">
        <f t="shared" si="12"/>
        <v/>
      </c>
      <c r="Q376" s="37">
        <f t="shared" si="13"/>
        <v>0</v>
      </c>
    </row>
    <row r="377" spans="2:17" ht="15" customHeight="1">
      <c r="B377" s="25" t="str">
        <f>_xlfn.IFNA(VLOOKUP(C377,Master_Section!$H:$I,2,FALSE),"")</f>
        <v/>
      </c>
      <c r="F377" s="65" t="str">
        <f>_xlfn.IFNA(VLOOKUP(G377,Master!AE:AF,2,FALSE),"")</f>
        <v/>
      </c>
      <c r="I377" s="24" t="str">
        <f>_xlfn.IFNA(VLOOKUP(D377,Master_Section!$I:$K,2,FALSE),"")</f>
        <v/>
      </c>
      <c r="J377" s="24" t="str">
        <f>_xlfn.IFNA(VLOOKUP(D377,Master_Section!$I:$K,3,FALSE),"")</f>
        <v/>
      </c>
      <c r="L377" s="70" t="str">
        <f>IF(A377&lt;&gt;"CFA",_xlfn.IFNA(VLOOKUP($G377,Master!$AE:$AI,5,0),""),"")</f>
        <v/>
      </c>
      <c r="P377" s="26" t="str">
        <f t="shared" si="12"/>
        <v/>
      </c>
      <c r="Q377" s="37">
        <f t="shared" si="13"/>
        <v>0</v>
      </c>
    </row>
    <row r="378" spans="2:17" ht="15" customHeight="1">
      <c r="B378" s="25" t="str">
        <f>_xlfn.IFNA(VLOOKUP(C378,Master_Section!$H:$I,2,FALSE),"")</f>
        <v/>
      </c>
      <c r="F378" s="65" t="str">
        <f>_xlfn.IFNA(VLOOKUP(G378,Master!AE:AF,2,FALSE),"")</f>
        <v/>
      </c>
      <c r="I378" s="24" t="str">
        <f>_xlfn.IFNA(VLOOKUP(D378,Master_Section!$I:$K,2,FALSE),"")</f>
        <v/>
      </c>
      <c r="J378" s="24" t="str">
        <f>_xlfn.IFNA(VLOOKUP(D378,Master_Section!$I:$K,3,FALSE),"")</f>
        <v/>
      </c>
      <c r="L378" s="70" t="str">
        <f>IF(A378&lt;&gt;"CFA",_xlfn.IFNA(VLOOKUP($G378,Master!$AE:$AI,5,0),""),"")</f>
        <v/>
      </c>
      <c r="P378" s="26" t="str">
        <f t="shared" si="12"/>
        <v/>
      </c>
      <c r="Q378" s="37">
        <f t="shared" si="13"/>
        <v>0</v>
      </c>
    </row>
    <row r="379" spans="2:17" ht="15" customHeight="1">
      <c r="B379" s="25" t="str">
        <f>_xlfn.IFNA(VLOOKUP(C379,Master_Section!$H:$I,2,FALSE),"")</f>
        <v/>
      </c>
      <c r="F379" s="65" t="str">
        <f>_xlfn.IFNA(VLOOKUP(G379,Master!AE:AF,2,FALSE),"")</f>
        <v/>
      </c>
      <c r="I379" s="24" t="str">
        <f>_xlfn.IFNA(VLOOKUP(D379,Master_Section!$I:$K,2,FALSE),"")</f>
        <v/>
      </c>
      <c r="J379" s="24" t="str">
        <f>_xlfn.IFNA(VLOOKUP(D379,Master_Section!$I:$K,3,FALSE),"")</f>
        <v/>
      </c>
      <c r="L379" s="70" t="str">
        <f>IF(A379&lt;&gt;"CFA",_xlfn.IFNA(VLOOKUP($G379,Master!$AE:$AI,5,0),""),"")</f>
        <v/>
      </c>
      <c r="P379" s="26" t="str">
        <f t="shared" si="12"/>
        <v/>
      </c>
      <c r="Q379" s="37">
        <f t="shared" si="13"/>
        <v>0</v>
      </c>
    </row>
    <row r="380" spans="2:17" ht="15" customHeight="1">
      <c r="B380" s="25" t="str">
        <f>_xlfn.IFNA(VLOOKUP(C380,Master_Section!$H:$I,2,FALSE),"")</f>
        <v/>
      </c>
      <c r="F380" s="65" t="str">
        <f>_xlfn.IFNA(VLOOKUP(G380,Master!AE:AF,2,FALSE),"")</f>
        <v/>
      </c>
      <c r="I380" s="24" t="str">
        <f>_xlfn.IFNA(VLOOKUP(D380,Master_Section!$I:$K,2,FALSE),"")</f>
        <v/>
      </c>
      <c r="J380" s="24" t="str">
        <f>_xlfn.IFNA(VLOOKUP(D380,Master_Section!$I:$K,3,FALSE),"")</f>
        <v/>
      </c>
      <c r="L380" s="70" t="str">
        <f>IF(A380&lt;&gt;"CFA",_xlfn.IFNA(VLOOKUP($G380,Master!$AE:$AI,5,0),""),"")</f>
        <v/>
      </c>
      <c r="P380" s="26" t="str">
        <f t="shared" si="12"/>
        <v/>
      </c>
      <c r="Q380" s="37">
        <f t="shared" si="13"/>
        <v>0</v>
      </c>
    </row>
    <row r="381" spans="2:17" ht="15" customHeight="1">
      <c r="B381" s="25" t="str">
        <f>_xlfn.IFNA(VLOOKUP(C381,Master_Section!$H:$I,2,FALSE),"")</f>
        <v/>
      </c>
      <c r="F381" s="65" t="str">
        <f>_xlfn.IFNA(VLOOKUP(G381,Master!AE:AF,2,FALSE),"")</f>
        <v/>
      </c>
      <c r="I381" s="24" t="str">
        <f>_xlfn.IFNA(VLOOKUP(D381,Master_Section!$I:$K,2,FALSE),"")</f>
        <v/>
      </c>
      <c r="J381" s="24" t="str">
        <f>_xlfn.IFNA(VLOOKUP(D381,Master_Section!$I:$K,3,FALSE),"")</f>
        <v/>
      </c>
      <c r="L381" s="70" t="str">
        <f>IF(A381&lt;&gt;"CFA",_xlfn.IFNA(VLOOKUP($G381,Master!$AE:$AI,5,0),""),"")</f>
        <v/>
      </c>
      <c r="P381" s="26" t="str">
        <f t="shared" si="12"/>
        <v/>
      </c>
      <c r="Q381" s="37">
        <f t="shared" si="13"/>
        <v>0</v>
      </c>
    </row>
    <row r="382" spans="2:17" ht="15" customHeight="1">
      <c r="B382" s="25" t="str">
        <f>_xlfn.IFNA(VLOOKUP(C382,Master_Section!$H:$I,2,FALSE),"")</f>
        <v/>
      </c>
      <c r="F382" s="65" t="str">
        <f>_xlfn.IFNA(VLOOKUP(G382,Master!AE:AF,2,FALSE),"")</f>
        <v/>
      </c>
      <c r="I382" s="24" t="str">
        <f>_xlfn.IFNA(VLOOKUP(D382,Master_Section!$I:$K,2,FALSE),"")</f>
        <v/>
      </c>
      <c r="J382" s="24" t="str">
        <f>_xlfn.IFNA(VLOOKUP(D382,Master_Section!$I:$K,3,FALSE),"")</f>
        <v/>
      </c>
      <c r="L382" s="70" t="str">
        <f>IF(A382&lt;&gt;"CFA",_xlfn.IFNA(VLOOKUP($G382,Master!$AE:$AI,5,0),""),"")</f>
        <v/>
      </c>
      <c r="P382" s="26" t="str">
        <f t="shared" si="12"/>
        <v/>
      </c>
      <c r="Q382" s="37">
        <f t="shared" si="13"/>
        <v>0</v>
      </c>
    </row>
    <row r="383" spans="2:17" ht="15" customHeight="1">
      <c r="F383" s="65" t="str">
        <f>_xlfn.IFNA(VLOOKUP(G383,Master!AE:AF,2,FALSE),"")</f>
        <v/>
      </c>
      <c r="I383" s="24" t="str">
        <f>_xlfn.IFNA(VLOOKUP(D383,Master_Section!$I:$K,2,FALSE),"")</f>
        <v/>
      </c>
      <c r="J383" s="24" t="str">
        <f>_xlfn.IFNA(VLOOKUP(D383,Master_Section!$I:$K,3,FALSE),"")</f>
        <v/>
      </c>
      <c r="L383" s="70" t="str">
        <f>IF(A383&lt;&gt;"CFA",_xlfn.IFNA(VLOOKUP($G383,Master!$AE:$AI,5,0),""),"")</f>
        <v/>
      </c>
      <c r="P383" s="26" t="str">
        <f t="shared" si="12"/>
        <v/>
      </c>
      <c r="Q383" s="37">
        <f t="shared" si="13"/>
        <v>0</v>
      </c>
    </row>
    <row r="384" spans="2:17" ht="15" customHeight="1">
      <c r="F384" s="65" t="str">
        <f>_xlfn.IFNA(VLOOKUP(G384,Master!AE:AF,2,FALSE),"")</f>
        <v/>
      </c>
      <c r="I384" s="24" t="str">
        <f>_xlfn.IFNA(VLOOKUP(D384,Master_Section!$I:$K,2,FALSE),"")</f>
        <v/>
      </c>
      <c r="J384" s="24" t="str">
        <f>_xlfn.IFNA(VLOOKUP(D384,Master_Section!$I:$K,3,FALSE),"")</f>
        <v/>
      </c>
      <c r="L384" s="70" t="str">
        <f>IF(A384&lt;&gt;"CFA",_xlfn.IFNA(VLOOKUP($G384,Master!$AE:$AI,5,0),""),"")</f>
        <v/>
      </c>
      <c r="P384" s="26" t="str">
        <f t="shared" si="12"/>
        <v/>
      </c>
      <c r="Q384" s="37">
        <f t="shared" si="13"/>
        <v>0</v>
      </c>
    </row>
    <row r="385" spans="12:17" ht="15" customHeight="1">
      <c r="L385" s="70" t="str">
        <f>IF(A385&lt;&gt;"CFA",_xlfn.IFNA(VLOOKUP($G385,Master!$AE:$AI,5,0),""),"")</f>
        <v/>
      </c>
      <c r="P385" s="26" t="str">
        <f t="shared" si="12"/>
        <v/>
      </c>
      <c r="Q385" s="37">
        <f t="shared" si="13"/>
        <v>0</v>
      </c>
    </row>
    <row r="386" spans="12:17" ht="15" customHeight="1">
      <c r="L386" s="70" t="str">
        <f>IF(A386&lt;&gt;"CFA",_xlfn.IFNA(VLOOKUP($G386,Master!$AE:$AI,5,0),""),"")</f>
        <v/>
      </c>
      <c r="P386" s="26" t="str">
        <f t="shared" si="12"/>
        <v/>
      </c>
      <c r="Q386" s="37">
        <f t="shared" si="13"/>
        <v>0</v>
      </c>
    </row>
    <row r="387" spans="12:17" ht="15" customHeight="1">
      <c r="L387" s="70" t="str">
        <f>IF(A387&lt;&gt;"CFA",_xlfn.IFNA(VLOOKUP($G387,Master!$AE:$AI,5,0),""),"")</f>
        <v/>
      </c>
      <c r="Q387" s="37">
        <f t="shared" si="13"/>
        <v>0</v>
      </c>
    </row>
    <row r="388" spans="12:17" ht="15" customHeight="1">
      <c r="L388" s="70" t="str">
        <f>IF(A388&lt;&gt;"CFA",_xlfn.IFNA(VLOOKUP($G388,Master!$AE:$AI,5,0),""),"")</f>
        <v/>
      </c>
      <c r="Q388" s="37">
        <f t="shared" si="13"/>
        <v>0</v>
      </c>
    </row>
    <row r="389" spans="12:17" ht="15" customHeight="1">
      <c r="L389" s="70" t="str">
        <f>IF(A389&lt;&gt;"CFA",_xlfn.IFNA(VLOOKUP($G389,Master!$AE:$AI,5,0),""),"")</f>
        <v/>
      </c>
      <c r="Q389" s="37">
        <f t="shared" si="13"/>
        <v>0</v>
      </c>
    </row>
    <row r="390" spans="12:17" ht="15" customHeight="1">
      <c r="L390" s="70" t="str">
        <f>IF(A390&lt;&gt;"CFA",_xlfn.IFNA(VLOOKUP($G390,Master!$AE:$AI,5,0),""),"")</f>
        <v/>
      </c>
      <c r="Q390" s="37">
        <f t="shared" si="13"/>
        <v>0</v>
      </c>
    </row>
    <row r="391" spans="12:17" ht="15" customHeight="1">
      <c r="L391" s="70" t="str">
        <f>IF(A391&lt;&gt;"CFA",_xlfn.IFNA(VLOOKUP($G391,Master!$AE:$AI,5,0),""),"")</f>
        <v/>
      </c>
      <c r="Q391" s="37">
        <f t="shared" si="13"/>
        <v>0</v>
      </c>
    </row>
    <row r="392" spans="12:17" ht="15" customHeight="1">
      <c r="L392" s="70" t="str">
        <f>IF(A392&lt;&gt;"CFA",_xlfn.IFNA(VLOOKUP($G392,Master!$AE:$AI,5,0),""),"")</f>
        <v/>
      </c>
      <c r="Q392" s="37">
        <f t="shared" si="13"/>
        <v>0</v>
      </c>
    </row>
    <row r="393" spans="12:17" ht="15" customHeight="1">
      <c r="L393" s="70" t="str">
        <f>IF(A393&lt;&gt;"CFA",_xlfn.IFNA(VLOOKUP($G393,Master!$AE:$AI,5,0),""),"")</f>
        <v/>
      </c>
      <c r="Q393" s="37">
        <f t="shared" si="13"/>
        <v>0</v>
      </c>
    </row>
    <row r="394" spans="12:17" ht="15" customHeight="1">
      <c r="L394" s="70" t="str">
        <f>IF(A394&lt;&gt;"CFA",_xlfn.IFNA(VLOOKUP($G394,Master!$AE:$AI,5,0),""),"")</f>
        <v/>
      </c>
      <c r="Q394" s="37">
        <f t="shared" si="13"/>
        <v>0</v>
      </c>
    </row>
    <row r="395" spans="12:17" ht="15" customHeight="1">
      <c r="L395" s="70" t="str">
        <f>IF(A395&lt;&gt;"CFA",_xlfn.IFNA(VLOOKUP($G395,Master!$AE:$AI,5,0),""),"")</f>
        <v/>
      </c>
      <c r="Q395" s="37">
        <f t="shared" si="13"/>
        <v>0</v>
      </c>
    </row>
    <row r="396" spans="12:17" ht="15" customHeight="1">
      <c r="L396" s="70" t="str">
        <f>IF(A396&lt;&gt;"CFA",_xlfn.IFNA(VLOOKUP($G396,Master!$AE:$AI,5,0),""),"")</f>
        <v/>
      </c>
      <c r="Q396" s="37">
        <f t="shared" si="13"/>
        <v>0</v>
      </c>
    </row>
    <row r="397" spans="12:17" ht="15" customHeight="1">
      <c r="L397" s="70" t="str">
        <f>IF(A397&lt;&gt;"CFA",_xlfn.IFNA(VLOOKUP($G397,Master!$AE:$AI,5,0),""),"")</f>
        <v/>
      </c>
      <c r="Q397" s="37">
        <f t="shared" si="13"/>
        <v>0</v>
      </c>
    </row>
    <row r="398" spans="12:17" ht="15" customHeight="1">
      <c r="L398" s="70" t="str">
        <f>IF(A398&lt;&gt;"CFA",_xlfn.IFNA(VLOOKUP($G398,Master!$AE:$AI,5,0),""),"")</f>
        <v/>
      </c>
      <c r="Q398" s="37">
        <f t="shared" si="13"/>
        <v>0</v>
      </c>
    </row>
    <row r="399" spans="12:17" ht="15" customHeight="1">
      <c r="L399" s="70" t="str">
        <f>IF(A399&lt;&gt;"CFA",_xlfn.IFNA(VLOOKUP($G399,Master!$AE:$AI,5,0),""),"")</f>
        <v/>
      </c>
      <c r="Q399" s="37">
        <f t="shared" si="13"/>
        <v>0</v>
      </c>
    </row>
    <row r="400" spans="12:17" ht="15" customHeight="1">
      <c r="L400" s="70" t="str">
        <f>IF(A400&lt;&gt;"CFA",_xlfn.IFNA(VLOOKUP($G400,Master!$AE:$AI,5,0),""),"")</f>
        <v/>
      </c>
      <c r="Q400" s="37">
        <f t="shared" si="13"/>
        <v>0</v>
      </c>
    </row>
    <row r="401" spans="12:17" ht="15" customHeight="1">
      <c r="L401" s="70" t="str">
        <f>IF(A401&lt;&gt;"CFA",_xlfn.IFNA(VLOOKUP($G401,Master!$AE:$AI,5,0),""),"")</f>
        <v/>
      </c>
      <c r="Q401" s="37">
        <f t="shared" si="13"/>
        <v>0</v>
      </c>
    </row>
    <row r="402" spans="12:17" ht="15" customHeight="1">
      <c r="L402" s="70" t="str">
        <f>IF(A402&lt;&gt;"CFA",_xlfn.IFNA(VLOOKUP($G402,Master!$AE:$AI,5,0),""),"")</f>
        <v/>
      </c>
      <c r="Q402" s="37">
        <f t="shared" si="13"/>
        <v>0</v>
      </c>
    </row>
    <row r="403" spans="12:17" ht="15" customHeight="1">
      <c r="L403" s="70" t="str">
        <f>IF(A403&lt;&gt;"CFA",_xlfn.IFNA(VLOOKUP($G403,Master!$AE:$AI,5,0),""),"")</f>
        <v/>
      </c>
      <c r="Q403" s="37">
        <f t="shared" si="13"/>
        <v>0</v>
      </c>
    </row>
    <row r="404" spans="12:17" ht="15" customHeight="1">
      <c r="L404" s="70" t="str">
        <f>IF(A404&lt;&gt;"CFA",_xlfn.IFNA(VLOOKUP($G404,Master!$AE:$AI,5,0),""),"")</f>
        <v/>
      </c>
      <c r="Q404" s="37">
        <f t="shared" si="13"/>
        <v>0</v>
      </c>
    </row>
    <row r="405" spans="12:17" ht="15" customHeight="1">
      <c r="L405" s="70" t="str">
        <f>IF(A405&lt;&gt;"CFA",_xlfn.IFNA(VLOOKUP($G405,Master!$AE:$AI,5,0),""),"")</f>
        <v/>
      </c>
      <c r="Q405" s="37">
        <f t="shared" si="13"/>
        <v>0</v>
      </c>
    </row>
    <row r="406" spans="12:17" ht="15" customHeight="1">
      <c r="L406" s="70" t="str">
        <f>IF(A406&lt;&gt;"CFA",_xlfn.IFNA(VLOOKUP($G406,Master!$AE:$AI,5,0),""),"")</f>
        <v/>
      </c>
      <c r="Q406" s="37">
        <f t="shared" si="13"/>
        <v>0</v>
      </c>
    </row>
    <row r="407" spans="12:17" ht="15" customHeight="1">
      <c r="L407" s="70" t="str">
        <f>IF(A407&lt;&gt;"CFA",_xlfn.IFNA(VLOOKUP($G407,Master!$AE:$AI,5,0),""),"")</f>
        <v/>
      </c>
      <c r="Q407" s="37">
        <f t="shared" si="13"/>
        <v>0</v>
      </c>
    </row>
    <row r="408" spans="12:17" ht="15" customHeight="1">
      <c r="L408" s="70" t="str">
        <f>IF(A408&lt;&gt;"CFA",_xlfn.IFNA(VLOOKUP($G408,Master!$AE:$AI,5,0),""),"")</f>
        <v/>
      </c>
      <c r="Q408" s="37">
        <f t="shared" si="13"/>
        <v>0</v>
      </c>
    </row>
    <row r="409" spans="12:17" ht="15" customHeight="1">
      <c r="L409" s="70" t="str">
        <f>IF(A409&lt;&gt;"CFA",_xlfn.IFNA(VLOOKUP($G409,Master!$AE:$AI,5,0),""),"")</f>
        <v/>
      </c>
      <c r="Q409" s="37">
        <f t="shared" si="13"/>
        <v>0</v>
      </c>
    </row>
    <row r="410" spans="12:17" ht="15" customHeight="1">
      <c r="L410" s="70" t="str">
        <f>IF(A410&lt;&gt;"CFA",_xlfn.IFNA(VLOOKUP($G410,Master!$AE:$AI,5,0),""),"")</f>
        <v/>
      </c>
      <c r="Q410" s="37">
        <f t="shared" si="13"/>
        <v>0</v>
      </c>
    </row>
    <row r="411" spans="12:17" ht="15" customHeight="1">
      <c r="L411" s="70" t="str">
        <f>IF(A411&lt;&gt;"CFA",_xlfn.IFNA(VLOOKUP($G411,Master!$AE:$AI,5,0),""),"")</f>
        <v/>
      </c>
      <c r="Q411" s="37">
        <f t="shared" si="13"/>
        <v>0</v>
      </c>
    </row>
    <row r="412" spans="12:17" ht="15" customHeight="1">
      <c r="L412" s="70" t="str">
        <f>IF(A412&lt;&gt;"CFA",_xlfn.IFNA(VLOOKUP($G412,Master!$AE:$AI,5,0),""),"")</f>
        <v/>
      </c>
      <c r="Q412" s="37">
        <f t="shared" si="13"/>
        <v>0</v>
      </c>
    </row>
    <row r="413" spans="12:17" ht="15" customHeight="1">
      <c r="L413" s="70" t="str">
        <f>IF(A413&lt;&gt;"CFA",_xlfn.IFNA(VLOOKUP($G413,Master!$AE:$AI,5,0),""),"")</f>
        <v/>
      </c>
      <c r="Q413" s="37">
        <f t="shared" si="13"/>
        <v>0</v>
      </c>
    </row>
    <row r="414" spans="12:17" ht="15" customHeight="1">
      <c r="L414" s="70" t="str">
        <f>IF(A414&lt;&gt;"CFA",_xlfn.IFNA(VLOOKUP($G414,Master!$AE:$AI,5,0),""),"")</f>
        <v/>
      </c>
      <c r="Q414" s="37">
        <f t="shared" si="13"/>
        <v>0</v>
      </c>
    </row>
    <row r="415" spans="12:17" ht="15" customHeight="1">
      <c r="L415" s="70" t="str">
        <f>IF(A415&lt;&gt;"CFA",_xlfn.IFNA(VLOOKUP($G415,Master!$AE:$AI,5,0),""),"")</f>
        <v/>
      </c>
      <c r="Q415" s="37">
        <f t="shared" si="13"/>
        <v>0</v>
      </c>
    </row>
    <row r="416" spans="12:17" ht="15" customHeight="1">
      <c r="L416" s="70" t="str">
        <f>IF(A416&lt;&gt;"CFA",_xlfn.IFNA(VLOOKUP($G416,Master!$AE:$AI,5,0),""),"")</f>
        <v/>
      </c>
      <c r="Q416" s="37">
        <f t="shared" si="13"/>
        <v>0</v>
      </c>
    </row>
    <row r="417" spans="12:17" ht="15" customHeight="1">
      <c r="L417" s="70" t="str">
        <f>IF(A417&lt;&gt;"CFA",_xlfn.IFNA(VLOOKUP($G417,Master!$AE:$AI,5,0),""),"")</f>
        <v/>
      </c>
      <c r="Q417" s="37">
        <f t="shared" si="13"/>
        <v>0</v>
      </c>
    </row>
    <row r="418" spans="12:17" ht="15" customHeight="1">
      <c r="L418" s="70" t="str">
        <f>IF(A418&lt;&gt;"CFA",_xlfn.IFNA(VLOOKUP($G418,Master!$AE:$AI,5,0),""),"")</f>
        <v/>
      </c>
      <c r="Q418" s="37">
        <f t="shared" si="13"/>
        <v>0</v>
      </c>
    </row>
    <row r="419" spans="12:17" ht="15" customHeight="1">
      <c r="L419" s="70" t="str">
        <f>IF(A419&lt;&gt;"CFA",_xlfn.IFNA(VLOOKUP($G419,Master!$AE:$AI,5,0),""),"")</f>
        <v/>
      </c>
      <c r="Q419" s="37">
        <f t="shared" si="13"/>
        <v>0</v>
      </c>
    </row>
    <row r="420" spans="12:17" ht="15" customHeight="1">
      <c r="L420" s="70" t="str">
        <f>IF(A420&lt;&gt;"CFA",_xlfn.IFNA(VLOOKUP($G420,Master!$AE:$AI,5,0),""),"")</f>
        <v/>
      </c>
      <c r="Q420" s="37">
        <f t="shared" si="13"/>
        <v>0</v>
      </c>
    </row>
    <row r="421" spans="12:17" ht="15" customHeight="1">
      <c r="L421" s="70" t="str">
        <f>IF(A421&lt;&gt;"CFA",_xlfn.IFNA(VLOOKUP($G421,Master!$AE:$AI,5,0),""),"")</f>
        <v/>
      </c>
      <c r="Q421" s="37">
        <f t="shared" si="13"/>
        <v>0</v>
      </c>
    </row>
    <row r="422" spans="12:17" ht="15" customHeight="1">
      <c r="L422" s="70" t="str">
        <f>IF(A422&lt;&gt;"CFA",_xlfn.IFNA(VLOOKUP($G422,Master!$AE:$AI,5,0),""),"")</f>
        <v/>
      </c>
      <c r="Q422" s="37">
        <f t="shared" si="13"/>
        <v>0</v>
      </c>
    </row>
    <row r="423" spans="12:17" ht="15" customHeight="1">
      <c r="L423" s="70" t="str">
        <f>IF(A423&lt;&gt;"CFA",_xlfn.IFNA(VLOOKUP($G423,Master!$AE:$AI,5,0),""),"")</f>
        <v/>
      </c>
      <c r="Q423" s="37">
        <f t="shared" si="13"/>
        <v>0</v>
      </c>
    </row>
    <row r="424" spans="12:17" ht="15" customHeight="1">
      <c r="L424" s="70" t="str">
        <f>IF(A424&lt;&gt;"CFA",_xlfn.IFNA(VLOOKUP($G424,Master!$AE:$AI,5,0),""),"")</f>
        <v/>
      </c>
      <c r="Q424" s="37">
        <f t="shared" si="13"/>
        <v>0</v>
      </c>
    </row>
    <row r="425" spans="12:17" ht="15" customHeight="1">
      <c r="L425" s="70" t="str">
        <f>IF(A425&lt;&gt;"CFA",_xlfn.IFNA(VLOOKUP($G425,Master!$AE:$AI,5,0),""),"")</f>
        <v/>
      </c>
      <c r="Q425" s="37">
        <f t="shared" si="13"/>
        <v>0</v>
      </c>
    </row>
    <row r="426" spans="12:17" ht="15" customHeight="1">
      <c r="L426" s="70" t="str">
        <f>IF(A426&lt;&gt;"CFA",_xlfn.IFNA(VLOOKUP($G426,Master!$AE:$AI,5,0),""),"")</f>
        <v/>
      </c>
      <c r="Q426" s="37">
        <f t="shared" si="13"/>
        <v>0</v>
      </c>
    </row>
    <row r="427" spans="12:17" ht="15" customHeight="1">
      <c r="L427" s="70" t="str">
        <f>IF(A427&lt;&gt;"CFA",_xlfn.IFNA(VLOOKUP($G427,Master!$AE:$AI,5,0),""),"")</f>
        <v/>
      </c>
      <c r="Q427" s="37">
        <f t="shared" si="13"/>
        <v>0</v>
      </c>
    </row>
    <row r="428" spans="12:17" ht="15" customHeight="1">
      <c r="L428" s="70" t="str">
        <f>IF(A428&lt;&gt;"CFA",_xlfn.IFNA(VLOOKUP($G428,Master!$AE:$AI,5,0),""),"")</f>
        <v/>
      </c>
      <c r="Q428" s="37">
        <f t="shared" si="13"/>
        <v>0</v>
      </c>
    </row>
    <row r="429" spans="12:17" ht="15" customHeight="1">
      <c r="L429" s="70" t="str">
        <f>IF(A429&lt;&gt;"CFA",_xlfn.IFNA(VLOOKUP($G429,Master!$AE:$AI,5,0),""),"")</f>
        <v/>
      </c>
      <c r="Q429" s="37">
        <f t="shared" si="13"/>
        <v>0</v>
      </c>
    </row>
    <row r="430" spans="12:17" ht="15" customHeight="1">
      <c r="L430" s="70" t="str">
        <f>IF(A430&lt;&gt;"CFA",_xlfn.IFNA(VLOOKUP($G430,Master!$AE:$AI,5,0),""),"")</f>
        <v/>
      </c>
      <c r="Q430" s="37">
        <f t="shared" si="13"/>
        <v>0</v>
      </c>
    </row>
    <row r="431" spans="12:17" ht="15" customHeight="1">
      <c r="L431" s="70" t="str">
        <f>IF(A431&lt;&gt;"CFA",_xlfn.IFNA(VLOOKUP($G431,Master!$AE:$AI,5,0),""),"")</f>
        <v/>
      </c>
      <c r="Q431" s="37">
        <f t="shared" si="13"/>
        <v>0</v>
      </c>
    </row>
    <row r="432" spans="12:17" ht="15" customHeight="1">
      <c r="L432" s="70" t="str">
        <f>IF(A432&lt;&gt;"CFA",_xlfn.IFNA(VLOOKUP($G432,Master!$AE:$AI,5,0),""),"")</f>
        <v/>
      </c>
      <c r="Q432" s="37">
        <f t="shared" si="13"/>
        <v>0</v>
      </c>
    </row>
    <row r="433" spans="12:17" ht="15" customHeight="1">
      <c r="L433" s="70" t="str">
        <f>IF(A433&lt;&gt;"CFA",_xlfn.IFNA(VLOOKUP($G433,Master!$AE:$AI,5,0),""),"")</f>
        <v/>
      </c>
      <c r="Q433" s="37">
        <f t="shared" si="13"/>
        <v>0</v>
      </c>
    </row>
    <row r="434" spans="12:17" ht="15" customHeight="1">
      <c r="L434" s="70" t="str">
        <f>IF(A434&lt;&gt;"CFA",_xlfn.IFNA(VLOOKUP($G434,Master!$AE:$AI,5,0),""),"")</f>
        <v/>
      </c>
      <c r="Q434" s="37">
        <f t="shared" si="13"/>
        <v>0</v>
      </c>
    </row>
    <row r="435" spans="12:17" ht="15" customHeight="1">
      <c r="L435" s="70" t="str">
        <f>IF(A435&lt;&gt;"CFA",_xlfn.IFNA(VLOOKUP($G435,Master!$AE:$AI,5,0),""),"")</f>
        <v/>
      </c>
      <c r="Q435" s="37">
        <f t="shared" si="13"/>
        <v>0</v>
      </c>
    </row>
    <row r="436" spans="12:17" ht="15" customHeight="1">
      <c r="L436" s="70" t="str">
        <f>IF(A436&lt;&gt;"CFA",_xlfn.IFNA(VLOOKUP($G436,Master!$AE:$AI,5,0),""),"")</f>
        <v/>
      </c>
      <c r="Q436" s="37">
        <f t="shared" si="13"/>
        <v>0</v>
      </c>
    </row>
    <row r="437" spans="12:17" ht="15" customHeight="1">
      <c r="L437" s="70" t="str">
        <f>IF(A437&lt;&gt;"CFA",_xlfn.IFNA(VLOOKUP($G437,Master!$AE:$AI,5,0),""),"")</f>
        <v/>
      </c>
      <c r="Q437" s="37">
        <f t="shared" si="13"/>
        <v>0</v>
      </c>
    </row>
    <row r="438" spans="12:17" ht="15" customHeight="1">
      <c r="L438" s="70" t="str">
        <f>IF(A438&lt;&gt;"CFA",_xlfn.IFNA(VLOOKUP($G438,Master!$AE:$AI,5,0),""),"")</f>
        <v/>
      </c>
      <c r="Q438" s="37">
        <f t="shared" si="13"/>
        <v>0</v>
      </c>
    </row>
    <row r="439" spans="12:17" ht="15" customHeight="1">
      <c r="L439" s="70" t="str">
        <f>IF(A439&lt;&gt;"CFA",_xlfn.IFNA(VLOOKUP($G439,Master!$AE:$AI,5,0),""),"")</f>
        <v/>
      </c>
      <c r="Q439" s="37">
        <f t="shared" ref="Q439:Q459" si="14">IF(K439&gt;0&amp;M439&gt;0,K439*M439,"")</f>
        <v>0</v>
      </c>
    </row>
    <row r="440" spans="12:17" ht="15" customHeight="1">
      <c r="L440" s="70" t="str">
        <f>IF(A440&lt;&gt;"CFA",_xlfn.IFNA(VLOOKUP($G440,Master!$AE:$AI,5,0),""),"")</f>
        <v/>
      </c>
      <c r="Q440" s="37">
        <f t="shared" si="14"/>
        <v>0</v>
      </c>
    </row>
    <row r="441" spans="12:17" ht="15" customHeight="1">
      <c r="L441" s="70" t="str">
        <f>IF(A441&lt;&gt;"CFA",_xlfn.IFNA(VLOOKUP($G441,Master!$AE:$AI,5,0),""),"")</f>
        <v/>
      </c>
      <c r="Q441" s="37">
        <f t="shared" si="14"/>
        <v>0</v>
      </c>
    </row>
    <row r="442" spans="12:17" ht="15" customHeight="1">
      <c r="L442" s="70" t="str">
        <f>IF(A442&lt;&gt;"CFA",_xlfn.IFNA(VLOOKUP($G442,Master!$AE:$AI,5,0),""),"")</f>
        <v/>
      </c>
      <c r="Q442" s="37">
        <f t="shared" si="14"/>
        <v>0</v>
      </c>
    </row>
    <row r="443" spans="12:17" ht="15" customHeight="1">
      <c r="L443" s="70" t="str">
        <f>IF(A443&lt;&gt;"CFA",_xlfn.IFNA(VLOOKUP($G443,Master!$AE:$AI,5,0),""),"")</f>
        <v/>
      </c>
      <c r="Q443" s="37">
        <f t="shared" si="14"/>
        <v>0</v>
      </c>
    </row>
    <row r="444" spans="12:17" ht="15" customHeight="1">
      <c r="L444" s="70" t="str">
        <f>IF(A444&lt;&gt;"CFA",_xlfn.IFNA(VLOOKUP($G444,Master!$AE:$AI,5,0),""),"")</f>
        <v/>
      </c>
      <c r="Q444" s="37">
        <f t="shared" si="14"/>
        <v>0</v>
      </c>
    </row>
    <row r="445" spans="12:17" ht="15" customHeight="1">
      <c r="L445" s="70" t="str">
        <f>IF(A445&lt;&gt;"CFA",_xlfn.IFNA(VLOOKUP($G445,Master!$AE:$AI,5,0),""),"")</f>
        <v/>
      </c>
      <c r="Q445" s="37">
        <f t="shared" si="14"/>
        <v>0</v>
      </c>
    </row>
    <row r="446" spans="12:17" ht="15" customHeight="1">
      <c r="L446" s="70" t="str">
        <f>IF(A446&lt;&gt;"CFA",_xlfn.IFNA(VLOOKUP($G446,Master!$AE:$AI,5,0),""),"")</f>
        <v/>
      </c>
      <c r="Q446" s="37">
        <f t="shared" si="14"/>
        <v>0</v>
      </c>
    </row>
    <row r="447" spans="12:17" ht="15" customHeight="1">
      <c r="L447" s="70" t="str">
        <f>IF(A447&lt;&gt;"CFA",_xlfn.IFNA(VLOOKUP($G447,Master!$AE:$AI,5,0),""),"")</f>
        <v/>
      </c>
      <c r="Q447" s="37">
        <f t="shared" si="14"/>
        <v>0</v>
      </c>
    </row>
    <row r="448" spans="12:17" ht="15" customHeight="1">
      <c r="L448" s="70" t="str">
        <f>IF(A448&lt;&gt;"CFA",_xlfn.IFNA(VLOOKUP($G448,Master!$AE:$AI,5,0),""),"")</f>
        <v/>
      </c>
      <c r="Q448" s="37">
        <f t="shared" si="14"/>
        <v>0</v>
      </c>
    </row>
    <row r="449" spans="12:17" ht="15" customHeight="1">
      <c r="L449" s="70" t="str">
        <f>IF(A449&lt;&gt;"CFA",_xlfn.IFNA(VLOOKUP($G449,Master!$AE:$AI,5,0),""),"")</f>
        <v/>
      </c>
      <c r="Q449" s="37">
        <f t="shared" si="14"/>
        <v>0</v>
      </c>
    </row>
    <row r="450" spans="12:17" ht="15" customHeight="1">
      <c r="L450" s="70" t="str">
        <f>IF(A450&lt;&gt;"CFA",_xlfn.IFNA(VLOOKUP($G450,Master!$AE:$AI,5,0),""),"")</f>
        <v/>
      </c>
      <c r="Q450" s="37">
        <f t="shared" si="14"/>
        <v>0</v>
      </c>
    </row>
    <row r="451" spans="12:17" ht="15" customHeight="1">
      <c r="L451" s="70" t="str">
        <f>IF(A451&lt;&gt;"CFA",_xlfn.IFNA(VLOOKUP($G451,Master!$AE:$AI,5,0),""),"")</f>
        <v/>
      </c>
      <c r="Q451" s="37">
        <f t="shared" si="14"/>
        <v>0</v>
      </c>
    </row>
    <row r="452" spans="12:17" ht="15" customHeight="1">
      <c r="L452" s="70" t="str">
        <f>IF(A452&lt;&gt;"CFA",_xlfn.IFNA(VLOOKUP($G452,Master!$AE:$AI,5,0),""),"")</f>
        <v/>
      </c>
      <c r="Q452" s="37">
        <f t="shared" si="14"/>
        <v>0</v>
      </c>
    </row>
    <row r="453" spans="12:17" ht="15" customHeight="1">
      <c r="L453" s="70" t="str">
        <f>IF(A453&lt;&gt;"CFA",_xlfn.IFNA(VLOOKUP($G453,Master!$AE:$AI,5,0),""),"")</f>
        <v/>
      </c>
      <c r="Q453" s="37">
        <f t="shared" si="14"/>
        <v>0</v>
      </c>
    </row>
    <row r="454" spans="12:17" ht="15" customHeight="1">
      <c r="L454" s="70" t="str">
        <f>IF(A454&lt;&gt;"CFA",_xlfn.IFNA(VLOOKUP($G454,Master!$AE:$AI,5,0),""),"")</f>
        <v/>
      </c>
      <c r="Q454" s="37">
        <f t="shared" si="14"/>
        <v>0</v>
      </c>
    </row>
    <row r="455" spans="12:17" ht="15" customHeight="1">
      <c r="L455" s="70" t="str">
        <f>IF(A455&lt;&gt;"CFA",_xlfn.IFNA(VLOOKUP($G455,Master!$AE:$AI,5,0),""),"")</f>
        <v/>
      </c>
      <c r="Q455" s="37">
        <f t="shared" si="14"/>
        <v>0</v>
      </c>
    </row>
    <row r="456" spans="12:17" ht="15" customHeight="1">
      <c r="L456" s="70" t="str">
        <f>IF(A456&lt;&gt;"CFA",_xlfn.IFNA(VLOOKUP($G456,Master!$AE:$AI,5,0),""),"")</f>
        <v/>
      </c>
      <c r="Q456" s="37">
        <f t="shared" si="14"/>
        <v>0</v>
      </c>
    </row>
    <row r="457" spans="12:17" ht="15" customHeight="1">
      <c r="L457" s="70" t="str">
        <f>IF(A457&lt;&gt;"CFA",_xlfn.IFNA(VLOOKUP($G457,Master!$AE:$AI,5,0),""),"")</f>
        <v/>
      </c>
      <c r="Q457" s="37">
        <f t="shared" si="14"/>
        <v>0</v>
      </c>
    </row>
    <row r="458" spans="12:17" ht="15" customHeight="1">
      <c r="L458" s="70" t="str">
        <f>IF(A458&lt;&gt;"CFA",_xlfn.IFNA(VLOOKUP($G458,Master!$AE:$AI,5,0),""),"")</f>
        <v/>
      </c>
      <c r="Q458" s="37">
        <f t="shared" si="14"/>
        <v>0</v>
      </c>
    </row>
    <row r="459" spans="12:17" ht="15" customHeight="1">
      <c r="L459" s="70" t="str">
        <f>IF(A459&lt;&gt;"CFA",_xlfn.IFNA(VLOOKUP($G459,Master!$AE:$AI,5,0),""),"")</f>
        <v/>
      </c>
      <c r="Q459" s="37">
        <f t="shared" si="14"/>
        <v>0</v>
      </c>
    </row>
  </sheetData>
  <autoFilter ref="H1:O1" xr:uid="{217A82DE-71A0-4D1C-913B-F16E91CA4E32}"/>
  <phoneticPr fontId="22" type="noConversion"/>
  <conditionalFormatting sqref="A1:A1048576 C1:C1048576 E1:E1048576 G1:H1048576 K1:K1048576 M1:O1048576">
    <cfRule type="containsBlanks" dxfId="2" priority="4">
      <formula>LEN(TRIM(A1))=0</formula>
    </cfRule>
  </conditionalFormatting>
  <conditionalFormatting sqref="B1:B1048576 D1:D1048576 F1:F1048576 I1:J1048576 L1:L1048576 P1:Q1048576">
    <cfRule type="containsBlanks" dxfId="1" priority="3">
      <formula>LEN(TRIM(B1))=0</formula>
    </cfRule>
  </conditionalFormatting>
  <conditionalFormatting sqref="Q1:Q1048576">
    <cfRule type="cellIs" dxfId="0" priority="1" operator="equal">
      <formula>0</formula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E71404A-BCF1-48E6-9D6E-FB7CDB9216F4}">
          <x14:formula1>
            <xm:f>Master!$G$6:$G$8</xm:f>
          </x14:formula1>
          <xm:sqref>A2:A1048576</xm:sqref>
        </x14:dataValidation>
        <x14:dataValidation type="list" allowBlank="1" showInputMessage="1" showErrorMessage="1" xr:uid="{C5696D0E-E593-48C3-80E5-EAD6DE87C50B}">
          <x14:formula1>
            <xm:f>Master!$AE$2:$AE$7</xm:f>
          </x14:formula1>
          <xm:sqref>G2:G1048576</xm:sqref>
        </x14:dataValidation>
        <x14:dataValidation type="list" allowBlank="1" showInputMessage="1" showErrorMessage="1" xr:uid="{37A1847A-938A-47A2-870D-94DBA3AD11B6}">
          <x14:formula1>
            <xm:f>Master_Section!$H$2:$H$42</xm:f>
          </x14:formula1>
          <xm:sqref>C2:C1048576 E2:E1048576</xm:sqref>
        </x14:dataValidation>
        <x14:dataValidation type="list" showInputMessage="1" showErrorMessage="1" xr:uid="{57FFE111-A99B-4321-86D8-5E8E6AB2EAC8}">
          <x14:formula1>
            <xm:f>Master!$AM$2:$AM$4</xm:f>
          </x14:formula1>
          <xm:sqref>O2:O1048576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7F5A-1FA7-447A-87B8-BCD1D2EB0411}">
  <dimension ref="A1:AO173"/>
  <sheetViews>
    <sheetView showGridLines="0" topLeftCell="AC1" zoomScale="90" zoomScaleNormal="90" workbookViewId="0">
      <selection activeCell="AO2" sqref="AO2"/>
    </sheetView>
  </sheetViews>
  <sheetFormatPr defaultColWidth="8.85546875" defaultRowHeight="18" customHeight="1"/>
  <cols>
    <col min="1" max="1" width="28.42578125" style="4" bestFit="1" customWidth="1"/>
    <col min="2" max="2" width="7.42578125" style="4" customWidth="1"/>
    <col min="3" max="3" width="15" style="4" bestFit="1" customWidth="1"/>
    <col min="4" max="4" width="17" style="4" bestFit="1" customWidth="1"/>
    <col min="5" max="5" width="31.140625" style="4" customWidth="1"/>
    <col min="6" max="6" width="0.85546875" style="4" customWidth="1"/>
    <col min="7" max="7" width="6.42578125" style="4" bestFit="1" customWidth="1"/>
    <col min="8" max="8" width="38" style="4" bestFit="1" customWidth="1"/>
    <col min="9" max="9" width="0.85546875" style="4" customWidth="1"/>
    <col min="10" max="10" width="56.140625" style="49" bestFit="1" customWidth="1"/>
    <col min="11" max="11" width="10.5703125" style="50" bestFit="1" customWidth="1"/>
    <col min="12" max="12" width="12.5703125" style="51" bestFit="1" customWidth="1"/>
    <col min="13" max="13" width="12.42578125" style="51" bestFit="1" customWidth="1"/>
    <col min="14" max="14" width="13.85546875" style="51" bestFit="1" customWidth="1"/>
    <col min="15" max="15" width="50.7109375" style="49" hidden="1" customWidth="1"/>
    <col min="16" max="16" width="0.85546875" style="53" customWidth="1"/>
    <col min="17" max="17" width="28.5703125" style="49" bestFit="1" customWidth="1"/>
    <col min="18" max="18" width="11.42578125" style="50" bestFit="1" customWidth="1"/>
    <col min="19" max="19" width="15.85546875" style="49" bestFit="1" customWidth="1"/>
    <col min="20" max="20" width="19.42578125" style="49" bestFit="1" customWidth="1"/>
    <col min="21" max="21" width="28.5703125" style="49" bestFit="1" customWidth="1"/>
    <col min="22" max="22" width="0.85546875" style="53" customWidth="1"/>
    <col min="23" max="23" width="9.85546875" style="49" bestFit="1" customWidth="1"/>
    <col min="24" max="24" width="19.5703125" style="49" bestFit="1" customWidth="1"/>
    <col min="25" max="25" width="0.85546875" style="53" customWidth="1"/>
    <col min="26" max="26" width="18.42578125" style="29" bestFit="1" customWidth="1"/>
    <col min="27" max="27" width="19" style="30" bestFit="1" customWidth="1"/>
    <col min="28" max="28" width="72.5703125" style="31" bestFit="1" customWidth="1"/>
    <col min="29" max="29" width="8.85546875" style="49"/>
    <col min="30" max="30" width="11.5703125" style="5" bestFit="1" customWidth="1"/>
    <col min="31" max="31" width="30.140625" style="4" bestFit="1" customWidth="1"/>
    <col min="32" max="32" width="11.5703125" style="5" customWidth="1"/>
    <col min="33" max="33" width="11.42578125" style="5" bestFit="1" customWidth="1"/>
    <col min="34" max="34" width="41.42578125" style="4" bestFit="1" customWidth="1"/>
    <col min="35" max="35" width="11.28515625" style="4" bestFit="1" customWidth="1"/>
    <col min="36" max="36" width="16.42578125" style="29" bestFit="1" customWidth="1"/>
    <col min="37" max="37" width="41" style="30" customWidth="1"/>
    <col min="38" max="38" width="2.7109375" style="31" customWidth="1"/>
    <col min="39" max="39" width="14.5703125" style="4" customWidth="1"/>
    <col min="40" max="40" width="14.140625" style="4" bestFit="1" customWidth="1"/>
    <col min="41" max="41" width="37.7109375" style="4" bestFit="1" customWidth="1"/>
    <col min="42" max="16384" width="8.85546875" style="4"/>
  </cols>
  <sheetData>
    <row r="1" spans="1:41" ht="18" customHeight="1">
      <c r="A1" s="13" t="s">
        <v>0</v>
      </c>
      <c r="B1" s="13" t="s">
        <v>200</v>
      </c>
      <c r="C1" s="14" t="s">
        <v>201</v>
      </c>
      <c r="D1" s="14" t="s">
        <v>202</v>
      </c>
      <c r="E1" s="13" t="s">
        <v>0</v>
      </c>
      <c r="G1" s="15" t="s">
        <v>203</v>
      </c>
      <c r="H1" s="15" t="s">
        <v>0</v>
      </c>
      <c r="J1" s="39" t="s">
        <v>317</v>
      </c>
      <c r="K1" s="39" t="s">
        <v>1</v>
      </c>
      <c r="L1" s="40" t="s">
        <v>2</v>
      </c>
      <c r="M1" s="40" t="s">
        <v>3</v>
      </c>
      <c r="N1" s="40" t="s">
        <v>4</v>
      </c>
      <c r="O1" s="39" t="s">
        <v>5</v>
      </c>
      <c r="P1" s="41"/>
      <c r="Q1" s="42" t="s">
        <v>0</v>
      </c>
      <c r="R1" s="42" t="s">
        <v>200</v>
      </c>
      <c r="S1" s="43" t="s">
        <v>201</v>
      </c>
      <c r="T1" s="43" t="s">
        <v>202</v>
      </c>
      <c r="U1" s="42" t="s">
        <v>0</v>
      </c>
      <c r="V1" s="44"/>
      <c r="W1" s="45" t="s">
        <v>203</v>
      </c>
      <c r="X1" s="45" t="s">
        <v>0</v>
      </c>
      <c r="Y1" s="44"/>
      <c r="Z1" s="46" t="s">
        <v>314</v>
      </c>
      <c r="AA1" s="46" t="s">
        <v>315</v>
      </c>
      <c r="AB1" s="47" t="s">
        <v>5</v>
      </c>
      <c r="AC1" s="48"/>
      <c r="AD1" s="16" t="s">
        <v>204</v>
      </c>
      <c r="AE1" s="17" t="s">
        <v>205</v>
      </c>
      <c r="AF1" s="16" t="s">
        <v>204</v>
      </c>
      <c r="AG1" s="16" t="s">
        <v>206</v>
      </c>
      <c r="AH1" s="17" t="s">
        <v>207</v>
      </c>
      <c r="AI1" s="17" t="s">
        <v>300</v>
      </c>
      <c r="AJ1" s="66" t="s">
        <v>354</v>
      </c>
      <c r="AK1" s="67" t="s">
        <v>5</v>
      </c>
      <c r="AL1" s="4"/>
      <c r="AM1" s="32" t="s">
        <v>314</v>
      </c>
      <c r="AN1" s="32" t="s">
        <v>315</v>
      </c>
      <c r="AO1" s="36" t="s">
        <v>5</v>
      </c>
    </row>
    <row r="2" spans="1:41" ht="32.25" customHeight="1">
      <c r="A2" s="18" t="s">
        <v>208</v>
      </c>
      <c r="B2" s="19" t="s">
        <v>209</v>
      </c>
      <c r="C2" s="20" t="s">
        <v>7</v>
      </c>
      <c r="D2" s="21" t="s">
        <v>210</v>
      </c>
      <c r="E2" s="21" t="str">
        <f>A2</f>
        <v>Top Management</v>
      </c>
      <c r="G2" s="21">
        <v>53450</v>
      </c>
      <c r="H2" s="21" t="s">
        <v>211</v>
      </c>
      <c r="J2" s="49" t="s">
        <v>6</v>
      </c>
      <c r="K2" s="50">
        <v>7511101</v>
      </c>
      <c r="L2" s="51" t="s">
        <v>7</v>
      </c>
      <c r="M2" s="52" t="str">
        <f t="shared" ref="M2:M65" si="0">L2&amp;"-"&amp;K2</f>
        <v>SGA-7511101</v>
      </c>
      <c r="N2" s="51" t="s">
        <v>8</v>
      </c>
      <c r="O2" s="49" t="s">
        <v>6</v>
      </c>
      <c r="Q2" s="18" t="s">
        <v>208</v>
      </c>
      <c r="R2" s="19" t="s">
        <v>209</v>
      </c>
      <c r="S2" s="54" t="s">
        <v>7</v>
      </c>
      <c r="T2" s="55" t="s">
        <v>210</v>
      </c>
      <c r="U2" s="55" t="str">
        <f>Q2</f>
        <v>Top Management</v>
      </c>
      <c r="W2" s="55">
        <v>53450</v>
      </c>
      <c r="X2" s="55" t="s">
        <v>211</v>
      </c>
      <c r="Z2" s="34" t="s">
        <v>305</v>
      </c>
      <c r="AA2" s="35" t="s">
        <v>306</v>
      </c>
      <c r="AB2" s="33" t="s">
        <v>307</v>
      </c>
      <c r="AD2" s="22">
        <v>2111100</v>
      </c>
      <c r="AE2" s="21" t="s">
        <v>212</v>
      </c>
      <c r="AF2" s="22">
        <v>2111100</v>
      </c>
      <c r="AG2" s="27">
        <v>7611100</v>
      </c>
      <c r="AH2" s="28" t="s">
        <v>66</v>
      </c>
      <c r="AI2" s="68">
        <v>240</v>
      </c>
      <c r="AJ2" s="68"/>
      <c r="AK2" s="69" t="s">
        <v>348</v>
      </c>
      <c r="AL2" s="4"/>
      <c r="AM2" s="34" t="s">
        <v>305</v>
      </c>
      <c r="AN2" s="35" t="s">
        <v>306</v>
      </c>
      <c r="AO2" s="33" t="s">
        <v>307</v>
      </c>
    </row>
    <row r="3" spans="1:41" ht="32.25" customHeight="1">
      <c r="A3" s="18" t="s">
        <v>213</v>
      </c>
      <c r="B3" s="19" t="s">
        <v>214</v>
      </c>
      <c r="C3" s="20" t="s">
        <v>7</v>
      </c>
      <c r="D3" s="21" t="s">
        <v>210</v>
      </c>
      <c r="E3" s="21" t="str">
        <f t="shared" ref="E3:E43" si="1">A3</f>
        <v>Commissioner</v>
      </c>
      <c r="G3" s="21"/>
      <c r="H3" s="21"/>
      <c r="J3" s="49" t="s">
        <v>9</v>
      </c>
      <c r="K3" s="50">
        <v>7511102</v>
      </c>
      <c r="L3" s="51" t="s">
        <v>7</v>
      </c>
      <c r="M3" s="52" t="str">
        <f t="shared" si="0"/>
        <v>SGA-7511102</v>
      </c>
      <c r="N3" s="51" t="s">
        <v>8</v>
      </c>
      <c r="O3" s="49" t="s">
        <v>10</v>
      </c>
      <c r="Q3" s="18" t="s">
        <v>213</v>
      </c>
      <c r="R3" s="19" t="s">
        <v>214</v>
      </c>
      <c r="S3" s="54" t="s">
        <v>7</v>
      </c>
      <c r="T3" s="55" t="s">
        <v>210</v>
      </c>
      <c r="U3" s="55" t="str">
        <f t="shared" ref="U3:U43" si="2">Q3</f>
        <v>Commissioner</v>
      </c>
      <c r="W3" s="55"/>
      <c r="X3" s="55"/>
      <c r="Z3" s="34" t="s">
        <v>308</v>
      </c>
      <c r="AA3" s="35" t="s">
        <v>309</v>
      </c>
      <c r="AB3" s="33" t="s">
        <v>310</v>
      </c>
      <c r="AD3" s="22">
        <v>2121000</v>
      </c>
      <c r="AE3" s="21" t="s">
        <v>346</v>
      </c>
      <c r="AF3" s="22">
        <v>2121000</v>
      </c>
      <c r="AG3" s="22">
        <v>7611300</v>
      </c>
      <c r="AH3" s="21" t="s">
        <v>69</v>
      </c>
      <c r="AI3" s="68">
        <v>120</v>
      </c>
      <c r="AJ3" s="68"/>
      <c r="AK3" s="69" t="s">
        <v>349</v>
      </c>
      <c r="AL3" s="4"/>
      <c r="AM3" s="34" t="s">
        <v>308</v>
      </c>
      <c r="AN3" s="35" t="s">
        <v>309</v>
      </c>
      <c r="AO3" s="33" t="s">
        <v>310</v>
      </c>
    </row>
    <row r="4" spans="1:41" ht="32.25" customHeight="1">
      <c r="A4" s="18" t="s">
        <v>215</v>
      </c>
      <c r="B4" s="19" t="s">
        <v>216</v>
      </c>
      <c r="C4" s="20" t="s">
        <v>7</v>
      </c>
      <c r="D4" s="21" t="s">
        <v>210</v>
      </c>
      <c r="E4" s="21" t="str">
        <f t="shared" si="1"/>
        <v>Admin &amp; HR</v>
      </c>
      <c r="G4" s="21"/>
      <c r="H4" s="21"/>
      <c r="J4" s="49" t="s">
        <v>11</v>
      </c>
      <c r="K4" s="50">
        <v>7511103</v>
      </c>
      <c r="L4" s="51" t="s">
        <v>7</v>
      </c>
      <c r="M4" s="52" t="str">
        <f t="shared" si="0"/>
        <v>SGA-7511103</v>
      </c>
      <c r="N4" s="51" t="s">
        <v>12</v>
      </c>
      <c r="O4" s="49" t="s">
        <v>13</v>
      </c>
      <c r="Q4" s="18" t="s">
        <v>215</v>
      </c>
      <c r="R4" s="19" t="s">
        <v>216</v>
      </c>
      <c r="S4" s="54" t="s">
        <v>7</v>
      </c>
      <c r="T4" s="55" t="s">
        <v>210</v>
      </c>
      <c r="U4" s="55" t="str">
        <f t="shared" si="2"/>
        <v>Admin &amp; HR</v>
      </c>
      <c r="W4" s="55"/>
      <c r="X4" s="55"/>
      <c r="Z4" s="34" t="s">
        <v>311</v>
      </c>
      <c r="AA4" s="35" t="s">
        <v>312</v>
      </c>
      <c r="AB4" s="33" t="s">
        <v>313</v>
      </c>
      <c r="AD4" s="22">
        <v>2121000</v>
      </c>
      <c r="AE4" s="21" t="s">
        <v>347</v>
      </c>
      <c r="AF4" s="22">
        <v>2121000</v>
      </c>
      <c r="AG4" s="22">
        <v>7611300</v>
      </c>
      <c r="AH4" s="21" t="s">
        <v>69</v>
      </c>
      <c r="AI4" s="68">
        <v>84</v>
      </c>
      <c r="AJ4" s="68"/>
      <c r="AK4" s="69" t="s">
        <v>350</v>
      </c>
      <c r="AL4" s="4"/>
      <c r="AM4" s="34" t="s">
        <v>311</v>
      </c>
      <c r="AN4" s="35" t="s">
        <v>312</v>
      </c>
      <c r="AO4" s="33" t="s">
        <v>313</v>
      </c>
    </row>
    <row r="5" spans="1:41" ht="18" customHeight="1">
      <c r="A5" s="18" t="s">
        <v>218</v>
      </c>
      <c r="B5" s="19" t="s">
        <v>219</v>
      </c>
      <c r="C5" s="20" t="s">
        <v>7</v>
      </c>
      <c r="D5" s="21" t="s">
        <v>210</v>
      </c>
      <c r="E5" s="21" t="str">
        <f t="shared" si="1"/>
        <v>General Affair</v>
      </c>
      <c r="J5" s="49" t="s">
        <v>14</v>
      </c>
      <c r="K5" s="50">
        <v>7511111</v>
      </c>
      <c r="L5" s="51" t="s">
        <v>7</v>
      </c>
      <c r="M5" s="52" t="str">
        <f t="shared" si="0"/>
        <v>SGA-7511111</v>
      </c>
      <c r="N5" s="51" t="s">
        <v>12</v>
      </c>
      <c r="O5" s="49" t="s">
        <v>15</v>
      </c>
      <c r="Q5" s="18" t="s">
        <v>218</v>
      </c>
      <c r="R5" s="19" t="s">
        <v>219</v>
      </c>
      <c r="S5" s="54" t="s">
        <v>7</v>
      </c>
      <c r="T5" s="55" t="s">
        <v>210</v>
      </c>
      <c r="U5" s="55" t="str">
        <f t="shared" si="2"/>
        <v>General Affair</v>
      </c>
      <c r="AD5" s="22">
        <v>2131000</v>
      </c>
      <c r="AE5" s="21" t="s">
        <v>217</v>
      </c>
      <c r="AF5" s="22">
        <v>2131000</v>
      </c>
      <c r="AG5" s="27">
        <v>7611500</v>
      </c>
      <c r="AH5" s="28" t="s">
        <v>71</v>
      </c>
      <c r="AI5" s="68">
        <v>60</v>
      </c>
      <c r="AJ5" s="68"/>
      <c r="AK5" s="69" t="s">
        <v>351</v>
      </c>
      <c r="AL5" s="4"/>
      <c r="AM5" s="29"/>
      <c r="AN5" s="30"/>
      <c r="AO5" s="31"/>
    </row>
    <row r="6" spans="1:41" ht="18" customHeight="1">
      <c r="A6" s="18" t="s">
        <v>221</v>
      </c>
      <c r="B6" s="19" t="s">
        <v>222</v>
      </c>
      <c r="C6" s="20" t="s">
        <v>7</v>
      </c>
      <c r="D6" s="21" t="s">
        <v>210</v>
      </c>
      <c r="E6" s="21" t="str">
        <f t="shared" si="1"/>
        <v>Human Resource</v>
      </c>
      <c r="G6" s="4" t="s">
        <v>303</v>
      </c>
      <c r="J6" s="49" t="s">
        <v>16</v>
      </c>
      <c r="K6" s="50">
        <v>7511112</v>
      </c>
      <c r="L6" s="51" t="s">
        <v>7</v>
      </c>
      <c r="M6" s="52" t="str">
        <f t="shared" si="0"/>
        <v>SGA-7511112</v>
      </c>
      <c r="N6" s="51" t="s">
        <v>12</v>
      </c>
      <c r="O6" s="49" t="s">
        <v>17</v>
      </c>
      <c r="Q6" s="18" t="s">
        <v>221</v>
      </c>
      <c r="R6" s="19" t="s">
        <v>222</v>
      </c>
      <c r="S6" s="54" t="s">
        <v>7</v>
      </c>
      <c r="T6" s="55" t="s">
        <v>210</v>
      </c>
      <c r="U6" s="55" t="str">
        <f t="shared" si="2"/>
        <v>Human Resource</v>
      </c>
      <c r="AD6" s="22">
        <v>2141000</v>
      </c>
      <c r="AE6" s="21" t="s">
        <v>220</v>
      </c>
      <c r="AF6" s="22">
        <v>2141000</v>
      </c>
      <c r="AG6" s="22">
        <v>7611600</v>
      </c>
      <c r="AH6" s="21" t="s">
        <v>73</v>
      </c>
      <c r="AI6" s="68">
        <v>60</v>
      </c>
      <c r="AJ6" s="68" t="s">
        <v>352</v>
      </c>
      <c r="AK6" s="69" t="s">
        <v>353</v>
      </c>
      <c r="AL6" s="4"/>
      <c r="AM6" s="29"/>
      <c r="AN6" s="30"/>
      <c r="AO6" s="31"/>
    </row>
    <row r="7" spans="1:41" ht="18" customHeight="1">
      <c r="A7" s="18" t="s">
        <v>224</v>
      </c>
      <c r="B7" s="19" t="s">
        <v>225</v>
      </c>
      <c r="C7" s="20" t="s">
        <v>7</v>
      </c>
      <c r="D7" s="21" t="s">
        <v>210</v>
      </c>
      <c r="E7" s="21" t="str">
        <f t="shared" si="1"/>
        <v>Health, Safety &amp; Environment</v>
      </c>
      <c r="G7" s="4" t="s">
        <v>304</v>
      </c>
      <c r="J7" s="49" t="s">
        <v>18</v>
      </c>
      <c r="K7" s="50">
        <v>7511121</v>
      </c>
      <c r="L7" s="51" t="s">
        <v>7</v>
      </c>
      <c r="M7" s="52" t="str">
        <f t="shared" si="0"/>
        <v>SGA-7511121</v>
      </c>
      <c r="N7" s="51" t="s">
        <v>12</v>
      </c>
      <c r="O7" s="49" t="s">
        <v>19</v>
      </c>
      <c r="Q7" s="18" t="s">
        <v>224</v>
      </c>
      <c r="R7" s="19" t="s">
        <v>225</v>
      </c>
      <c r="S7" s="54" t="s">
        <v>7</v>
      </c>
      <c r="T7" s="55" t="s">
        <v>210</v>
      </c>
      <c r="U7" s="55" t="str">
        <f t="shared" si="2"/>
        <v>Health, Safety &amp; Environment</v>
      </c>
      <c r="AD7" s="22">
        <v>2221101</v>
      </c>
      <c r="AE7" s="21" t="s">
        <v>223</v>
      </c>
      <c r="AF7" s="22">
        <v>2221101</v>
      </c>
      <c r="AG7" s="22">
        <v>7611700</v>
      </c>
      <c r="AH7" s="21" t="s">
        <v>75</v>
      </c>
      <c r="AI7" s="68">
        <v>60</v>
      </c>
      <c r="AJ7" s="68"/>
      <c r="AK7" s="69"/>
    </row>
    <row r="8" spans="1:41" ht="18" customHeight="1">
      <c r="A8" s="18" t="s">
        <v>226</v>
      </c>
      <c r="B8" s="19" t="s">
        <v>227</v>
      </c>
      <c r="C8" s="20" t="s">
        <v>7</v>
      </c>
      <c r="D8" s="21" t="s">
        <v>210</v>
      </c>
      <c r="E8" s="21" t="str">
        <f t="shared" si="1"/>
        <v>Accounting &amp; Finance</v>
      </c>
      <c r="G8" s="4" t="s">
        <v>345</v>
      </c>
      <c r="J8" s="49" t="s">
        <v>20</v>
      </c>
      <c r="K8" s="50">
        <v>7511122</v>
      </c>
      <c r="L8" s="51" t="s">
        <v>7</v>
      </c>
      <c r="M8" s="52" t="str">
        <f t="shared" si="0"/>
        <v>SGA-7511122</v>
      </c>
      <c r="N8" s="51" t="s">
        <v>12</v>
      </c>
      <c r="O8" s="49" t="s">
        <v>21</v>
      </c>
      <c r="Q8" s="18" t="s">
        <v>226</v>
      </c>
      <c r="R8" s="19" t="s">
        <v>227</v>
      </c>
      <c r="S8" s="54" t="s">
        <v>7</v>
      </c>
      <c r="T8" s="55" t="s">
        <v>210</v>
      </c>
      <c r="U8" s="55" t="str">
        <f t="shared" si="2"/>
        <v>Accounting &amp; Finance</v>
      </c>
    </row>
    <row r="9" spans="1:41" ht="18" customHeight="1">
      <c r="A9" s="18" t="s">
        <v>228</v>
      </c>
      <c r="B9" s="19" t="s">
        <v>229</v>
      </c>
      <c r="C9" s="20" t="s">
        <v>7</v>
      </c>
      <c r="D9" s="21" t="s">
        <v>210</v>
      </c>
      <c r="E9" s="21" t="str">
        <f t="shared" si="1"/>
        <v>Information Technology</v>
      </c>
      <c r="J9" s="49" t="s">
        <v>22</v>
      </c>
      <c r="K9" s="50">
        <v>7511201</v>
      </c>
      <c r="L9" s="51" t="s">
        <v>7</v>
      </c>
      <c r="M9" s="52" t="str">
        <f t="shared" si="0"/>
        <v>SGA-7511201</v>
      </c>
      <c r="N9" s="51" t="s">
        <v>23</v>
      </c>
      <c r="O9" s="49" t="s">
        <v>24</v>
      </c>
      <c r="Q9" s="18" t="s">
        <v>228</v>
      </c>
      <c r="R9" s="19" t="s">
        <v>229</v>
      </c>
      <c r="S9" s="54" t="s">
        <v>7</v>
      </c>
      <c r="T9" s="55" t="s">
        <v>210</v>
      </c>
      <c r="U9" s="55" t="str">
        <f t="shared" si="2"/>
        <v>Information Technology</v>
      </c>
    </row>
    <row r="10" spans="1:41" ht="18" customHeight="1">
      <c r="A10" s="18" t="s">
        <v>230</v>
      </c>
      <c r="B10" s="19" t="s">
        <v>231</v>
      </c>
      <c r="C10" s="20" t="s">
        <v>7</v>
      </c>
      <c r="D10" s="21" t="s">
        <v>210</v>
      </c>
      <c r="E10" s="21" t="str">
        <f t="shared" si="1"/>
        <v>Sales &amp; MKTG Dept.- Automotive</v>
      </c>
      <c r="J10" s="49" t="s">
        <v>25</v>
      </c>
      <c r="K10" s="50">
        <v>7512111</v>
      </c>
      <c r="L10" s="51" t="s">
        <v>7</v>
      </c>
      <c r="M10" s="52" t="str">
        <f t="shared" si="0"/>
        <v>SGA-7512111</v>
      </c>
      <c r="N10" s="51" t="s">
        <v>26</v>
      </c>
      <c r="O10" s="49" t="s">
        <v>27</v>
      </c>
      <c r="Q10" s="18" t="s">
        <v>230</v>
      </c>
      <c r="R10" s="19" t="s">
        <v>231</v>
      </c>
      <c r="S10" s="54" t="s">
        <v>7</v>
      </c>
      <c r="T10" s="55" t="s">
        <v>210</v>
      </c>
      <c r="U10" s="55" t="str">
        <f t="shared" si="2"/>
        <v>Sales &amp; MKTG Dept.- Automotive</v>
      </c>
    </row>
    <row r="11" spans="1:41" ht="18" customHeight="1">
      <c r="A11" s="18" t="s">
        <v>232</v>
      </c>
      <c r="B11" s="19" t="s">
        <v>233</v>
      </c>
      <c r="C11" s="20" t="s">
        <v>7</v>
      </c>
      <c r="D11" s="21" t="s">
        <v>210</v>
      </c>
      <c r="E11" s="21" t="str">
        <f t="shared" si="1"/>
        <v>Marketing</v>
      </c>
      <c r="J11" s="49" t="s">
        <v>28</v>
      </c>
      <c r="K11" s="50">
        <v>7512112</v>
      </c>
      <c r="L11" s="51" t="s">
        <v>7</v>
      </c>
      <c r="M11" s="52" t="str">
        <f t="shared" si="0"/>
        <v>SGA-7512112</v>
      </c>
      <c r="N11" s="51" t="s">
        <v>26</v>
      </c>
      <c r="O11" s="49" t="s">
        <v>29</v>
      </c>
      <c r="Q11" s="18" t="s">
        <v>232</v>
      </c>
      <c r="R11" s="19" t="s">
        <v>233</v>
      </c>
      <c r="S11" s="54" t="s">
        <v>7</v>
      </c>
      <c r="T11" s="55" t="s">
        <v>210</v>
      </c>
      <c r="U11" s="55" t="str">
        <f t="shared" si="2"/>
        <v>Marketing</v>
      </c>
    </row>
    <row r="12" spans="1:41" ht="18" customHeight="1">
      <c r="A12" s="18" t="s">
        <v>234</v>
      </c>
      <c r="B12" s="19" t="s">
        <v>235</v>
      </c>
      <c r="C12" s="20" t="s">
        <v>7</v>
      </c>
      <c r="D12" s="21" t="s">
        <v>210</v>
      </c>
      <c r="E12" s="21" t="str">
        <f t="shared" si="1"/>
        <v>Sales - OEM</v>
      </c>
      <c r="J12" s="49" t="s">
        <v>30</v>
      </c>
      <c r="K12" s="50">
        <v>7514101</v>
      </c>
      <c r="L12" s="51" t="s">
        <v>7</v>
      </c>
      <c r="M12" s="52" t="str">
        <f t="shared" si="0"/>
        <v>SGA-7514101</v>
      </c>
      <c r="N12" s="51" t="s">
        <v>12</v>
      </c>
      <c r="O12" s="49" t="s">
        <v>31</v>
      </c>
      <c r="Q12" s="18" t="s">
        <v>234</v>
      </c>
      <c r="R12" s="19" t="s">
        <v>235</v>
      </c>
      <c r="S12" s="54" t="s">
        <v>7</v>
      </c>
      <c r="T12" s="55" t="s">
        <v>210</v>
      </c>
      <c r="U12" s="55" t="str">
        <f t="shared" si="2"/>
        <v>Sales - OEM</v>
      </c>
    </row>
    <row r="13" spans="1:41" ht="18" customHeight="1">
      <c r="A13" s="18" t="s">
        <v>236</v>
      </c>
      <c r="B13" s="19" t="s">
        <v>237</v>
      </c>
      <c r="C13" s="20" t="s">
        <v>7</v>
      </c>
      <c r="D13" s="21" t="s">
        <v>210</v>
      </c>
      <c r="E13" s="21" t="str">
        <f t="shared" si="1"/>
        <v>Sales - OES</v>
      </c>
      <c r="J13" s="49" t="s">
        <v>32</v>
      </c>
      <c r="K13" s="50">
        <v>7514102</v>
      </c>
      <c r="L13" s="51" t="s">
        <v>7</v>
      </c>
      <c r="M13" s="52" t="str">
        <f t="shared" si="0"/>
        <v>SGA-7514102</v>
      </c>
      <c r="N13" s="51" t="s">
        <v>12</v>
      </c>
      <c r="O13" s="49" t="s">
        <v>33</v>
      </c>
      <c r="Q13" s="18" t="s">
        <v>236</v>
      </c>
      <c r="R13" s="19" t="s">
        <v>237</v>
      </c>
      <c r="S13" s="54" t="s">
        <v>7</v>
      </c>
      <c r="T13" s="55" t="s">
        <v>210</v>
      </c>
      <c r="U13" s="55" t="str">
        <f t="shared" si="2"/>
        <v>Sales - OES</v>
      </c>
    </row>
    <row r="14" spans="1:41" ht="18" customHeight="1">
      <c r="A14" s="18" t="s">
        <v>238</v>
      </c>
      <c r="B14" s="19" t="s">
        <v>239</v>
      </c>
      <c r="C14" s="20" t="s">
        <v>7</v>
      </c>
      <c r="D14" s="21" t="s">
        <v>210</v>
      </c>
      <c r="E14" s="21" t="str">
        <f t="shared" si="1"/>
        <v>Sales - IAM</v>
      </c>
      <c r="J14" s="49" t="s">
        <v>34</v>
      </c>
      <c r="K14" s="50">
        <v>7515401</v>
      </c>
      <c r="L14" s="51" t="s">
        <v>7</v>
      </c>
      <c r="M14" s="52" t="str">
        <f t="shared" si="0"/>
        <v>SGA-7515401</v>
      </c>
      <c r="N14" s="51" t="s">
        <v>26</v>
      </c>
      <c r="O14" s="49" t="s">
        <v>35</v>
      </c>
      <c r="Q14" s="18" t="s">
        <v>238</v>
      </c>
      <c r="R14" s="19" t="s">
        <v>239</v>
      </c>
      <c r="S14" s="54" t="s">
        <v>7</v>
      </c>
      <c r="T14" s="55" t="s">
        <v>210</v>
      </c>
      <c r="U14" s="55" t="str">
        <f t="shared" si="2"/>
        <v>Sales - IAM</v>
      </c>
    </row>
    <row r="15" spans="1:41" ht="18" customHeight="1">
      <c r="A15" s="18" t="s">
        <v>240</v>
      </c>
      <c r="B15" s="19" t="s">
        <v>241</v>
      </c>
      <c r="C15" s="21" t="s">
        <v>176</v>
      </c>
      <c r="D15" s="21" t="s">
        <v>242</v>
      </c>
      <c r="E15" s="21" t="str">
        <f t="shared" si="1"/>
        <v>SP PD- CF</v>
      </c>
      <c r="J15" s="49" t="s">
        <v>36</v>
      </c>
      <c r="K15" s="50">
        <v>7515402</v>
      </c>
      <c r="L15" s="51" t="s">
        <v>7</v>
      </c>
      <c r="M15" s="52" t="str">
        <f t="shared" si="0"/>
        <v>SGA-7515402</v>
      </c>
      <c r="N15" s="51" t="s">
        <v>26</v>
      </c>
      <c r="O15" s="49" t="s">
        <v>37</v>
      </c>
      <c r="Q15" s="18" t="s">
        <v>240</v>
      </c>
      <c r="R15" s="19" t="s">
        <v>241</v>
      </c>
      <c r="S15" s="55" t="s">
        <v>176</v>
      </c>
      <c r="T15" s="55" t="s">
        <v>242</v>
      </c>
      <c r="U15" s="55" t="str">
        <f t="shared" si="2"/>
        <v>SP PD- CF</v>
      </c>
    </row>
    <row r="16" spans="1:41" ht="18" customHeight="1">
      <c r="A16" s="18" t="s">
        <v>243</v>
      </c>
      <c r="B16" s="19" t="s">
        <v>244</v>
      </c>
      <c r="C16" s="21" t="s">
        <v>176</v>
      </c>
      <c r="D16" s="21" t="s">
        <v>242</v>
      </c>
      <c r="E16" s="21" t="str">
        <f t="shared" si="1"/>
        <v>SP PD- CM</v>
      </c>
      <c r="J16" s="49" t="s">
        <v>38</v>
      </c>
      <c r="K16" s="50">
        <v>7515403</v>
      </c>
      <c r="L16" s="51" t="s">
        <v>7</v>
      </c>
      <c r="M16" s="52" t="str">
        <f t="shared" si="0"/>
        <v>SGA-7515403</v>
      </c>
      <c r="N16" s="51" t="s">
        <v>26</v>
      </c>
      <c r="O16" s="49" t="s">
        <v>39</v>
      </c>
      <c r="Q16" s="18" t="s">
        <v>243</v>
      </c>
      <c r="R16" s="19" t="s">
        <v>244</v>
      </c>
      <c r="S16" s="55" t="s">
        <v>176</v>
      </c>
      <c r="T16" s="55" t="s">
        <v>242</v>
      </c>
      <c r="U16" s="55" t="str">
        <f t="shared" si="2"/>
        <v>SP PD- CM</v>
      </c>
    </row>
    <row r="17" spans="1:21" ht="18" customHeight="1">
      <c r="A17" s="23" t="s">
        <v>245</v>
      </c>
      <c r="B17" s="19" t="s">
        <v>246</v>
      </c>
      <c r="C17" s="21" t="s">
        <v>176</v>
      </c>
      <c r="D17" s="21" t="s">
        <v>242</v>
      </c>
      <c r="E17" s="21" t="str">
        <f t="shared" si="1"/>
        <v>SP PD- WT</v>
      </c>
      <c r="J17" s="49" t="s">
        <v>40</v>
      </c>
      <c r="K17" s="50">
        <v>7515404</v>
      </c>
      <c r="L17" s="51" t="s">
        <v>7</v>
      </c>
      <c r="M17" s="52" t="str">
        <f t="shared" si="0"/>
        <v>SGA-7515404</v>
      </c>
      <c r="N17" s="51" t="s">
        <v>26</v>
      </c>
      <c r="O17" s="49" t="s">
        <v>41</v>
      </c>
      <c r="Q17" s="56" t="s">
        <v>245</v>
      </c>
      <c r="R17" s="19" t="s">
        <v>246</v>
      </c>
      <c r="S17" s="55" t="s">
        <v>176</v>
      </c>
      <c r="T17" s="55" t="s">
        <v>242</v>
      </c>
      <c r="U17" s="55" t="str">
        <f t="shared" si="2"/>
        <v>SP PD- WT</v>
      </c>
    </row>
    <row r="18" spans="1:21" ht="18" customHeight="1">
      <c r="A18" s="23" t="s">
        <v>247</v>
      </c>
      <c r="B18" s="19" t="s">
        <v>248</v>
      </c>
      <c r="C18" s="21" t="s">
        <v>176</v>
      </c>
      <c r="D18" s="21" t="s">
        <v>242</v>
      </c>
      <c r="E18" s="21" t="str">
        <f t="shared" si="1"/>
        <v>SP PD- Plating</v>
      </c>
      <c r="J18" s="49" t="s">
        <v>42</v>
      </c>
      <c r="K18" s="50">
        <v>7515405</v>
      </c>
      <c r="L18" s="51" t="s">
        <v>7</v>
      </c>
      <c r="M18" s="52" t="str">
        <f t="shared" si="0"/>
        <v>SGA-7515405</v>
      </c>
      <c r="N18" s="51" t="s">
        <v>26</v>
      </c>
      <c r="O18" s="49" t="s">
        <v>43</v>
      </c>
      <c r="Q18" s="56" t="s">
        <v>247</v>
      </c>
      <c r="R18" s="19" t="s">
        <v>248</v>
      </c>
      <c r="S18" s="55" t="s">
        <v>176</v>
      </c>
      <c r="T18" s="55" t="s">
        <v>242</v>
      </c>
      <c r="U18" s="55" t="str">
        <f t="shared" si="2"/>
        <v>SP PD- Plating</v>
      </c>
    </row>
    <row r="19" spans="1:21" ht="18" customHeight="1">
      <c r="A19" s="23" t="s">
        <v>249</v>
      </c>
      <c r="B19" s="19" t="s">
        <v>250</v>
      </c>
      <c r="C19" s="21" t="s">
        <v>176</v>
      </c>
      <c r="D19" s="21" t="s">
        <v>242</v>
      </c>
      <c r="E19" s="21" t="str">
        <f t="shared" si="1"/>
        <v>SP PD- MS Insp.</v>
      </c>
      <c r="J19" s="49" t="s">
        <v>44</v>
      </c>
      <c r="K19" s="50">
        <v>7515406</v>
      </c>
      <c r="L19" s="51" t="s">
        <v>7</v>
      </c>
      <c r="M19" s="52" t="str">
        <f t="shared" si="0"/>
        <v>SGA-7515406</v>
      </c>
      <c r="N19" s="51" t="s">
        <v>26</v>
      </c>
      <c r="O19" s="49" t="s">
        <v>45</v>
      </c>
      <c r="Q19" s="56" t="s">
        <v>249</v>
      </c>
      <c r="R19" s="19" t="s">
        <v>250</v>
      </c>
      <c r="S19" s="55" t="s">
        <v>176</v>
      </c>
      <c r="T19" s="55" t="s">
        <v>242</v>
      </c>
      <c r="U19" s="55" t="str">
        <f t="shared" si="2"/>
        <v>SP PD- MS Insp.</v>
      </c>
    </row>
    <row r="20" spans="1:21" ht="18" customHeight="1">
      <c r="A20" s="23" t="s">
        <v>251</v>
      </c>
      <c r="B20" s="19" t="s">
        <v>252</v>
      </c>
      <c r="C20" s="21" t="s">
        <v>176</v>
      </c>
      <c r="D20" s="21" t="s">
        <v>242</v>
      </c>
      <c r="E20" s="21" t="str">
        <f t="shared" si="1"/>
        <v>SP PD- Insulator Sealing</v>
      </c>
      <c r="J20" s="49" t="s">
        <v>318</v>
      </c>
      <c r="K20" s="50">
        <v>7515407</v>
      </c>
      <c r="L20" s="51" t="s">
        <v>7</v>
      </c>
      <c r="M20" s="52" t="str">
        <f t="shared" si="0"/>
        <v>SGA-7515407</v>
      </c>
      <c r="N20" s="51" t="s">
        <v>26</v>
      </c>
      <c r="Q20" s="56"/>
      <c r="R20" s="19"/>
      <c r="S20" s="55"/>
      <c r="T20" s="55"/>
      <c r="U20" s="55"/>
    </row>
    <row r="21" spans="1:21" ht="18" customHeight="1">
      <c r="A21" s="23" t="s">
        <v>253</v>
      </c>
      <c r="B21" s="19" t="s">
        <v>254</v>
      </c>
      <c r="C21" s="21" t="s">
        <v>176</v>
      </c>
      <c r="D21" s="21" t="s">
        <v>242</v>
      </c>
      <c r="E21" s="21" t="str">
        <f t="shared" si="1"/>
        <v>SP PD- Assy</v>
      </c>
      <c r="J21" s="49" t="s">
        <v>46</v>
      </c>
      <c r="K21" s="50">
        <v>7515408</v>
      </c>
      <c r="L21" s="51" t="s">
        <v>7</v>
      </c>
      <c r="M21" s="52" t="str">
        <f t="shared" si="0"/>
        <v>SGA-7515408</v>
      </c>
      <c r="N21" s="51" t="s">
        <v>26</v>
      </c>
      <c r="O21" s="49" t="s">
        <v>47</v>
      </c>
      <c r="Q21" s="56" t="s">
        <v>251</v>
      </c>
      <c r="R21" s="19" t="s">
        <v>252</v>
      </c>
      <c r="S21" s="55" t="s">
        <v>176</v>
      </c>
      <c r="T21" s="55" t="s">
        <v>242</v>
      </c>
      <c r="U21" s="55" t="str">
        <f t="shared" si="2"/>
        <v>SP PD- Insulator Sealing</v>
      </c>
    </row>
    <row r="22" spans="1:21" ht="18" customHeight="1">
      <c r="A22" s="23" t="s">
        <v>255</v>
      </c>
      <c r="B22" s="19" t="s">
        <v>256</v>
      </c>
      <c r="C22" s="21" t="s">
        <v>176</v>
      </c>
      <c r="D22" s="21" t="s">
        <v>242</v>
      </c>
      <c r="E22" s="21" t="str">
        <f t="shared" si="1"/>
        <v>SP-PD-Assy-Auto Assembly</v>
      </c>
      <c r="J22" s="49" t="s">
        <v>48</v>
      </c>
      <c r="K22" s="50">
        <v>7515409</v>
      </c>
      <c r="L22" s="51" t="s">
        <v>7</v>
      </c>
      <c r="M22" s="52" t="str">
        <f t="shared" si="0"/>
        <v>SGA-7515409</v>
      </c>
      <c r="N22" s="51" t="s">
        <v>26</v>
      </c>
      <c r="O22" s="49" t="s">
        <v>49</v>
      </c>
      <c r="Q22" s="56" t="s">
        <v>253</v>
      </c>
      <c r="R22" s="19" t="s">
        <v>254</v>
      </c>
      <c r="S22" s="55" t="s">
        <v>176</v>
      </c>
      <c r="T22" s="55" t="s">
        <v>242</v>
      </c>
      <c r="U22" s="55" t="str">
        <f t="shared" si="2"/>
        <v>SP PD- Assy</v>
      </c>
    </row>
    <row r="23" spans="1:21" ht="18" customHeight="1">
      <c r="A23" s="23" t="s">
        <v>257</v>
      </c>
      <c r="B23" s="19" t="s">
        <v>258</v>
      </c>
      <c r="C23" s="21" t="s">
        <v>176</v>
      </c>
      <c r="D23" s="21" t="s">
        <v>242</v>
      </c>
      <c r="E23" s="21" t="str">
        <f t="shared" si="1"/>
        <v>SP PD- Bending</v>
      </c>
      <c r="J23" s="49" t="s">
        <v>50</v>
      </c>
      <c r="K23" s="50">
        <v>7515410</v>
      </c>
      <c r="L23" s="51" t="s">
        <v>7</v>
      </c>
      <c r="M23" s="52" t="str">
        <f t="shared" si="0"/>
        <v>SGA-7515410</v>
      </c>
      <c r="N23" s="51" t="s">
        <v>26</v>
      </c>
      <c r="O23" s="49" t="s">
        <v>51</v>
      </c>
      <c r="Q23" s="56" t="s">
        <v>255</v>
      </c>
      <c r="R23" s="19" t="s">
        <v>256</v>
      </c>
      <c r="S23" s="55" t="s">
        <v>176</v>
      </c>
      <c r="T23" s="55" t="s">
        <v>242</v>
      </c>
      <c r="U23" s="55" t="str">
        <f t="shared" si="2"/>
        <v>SP-PD-Assy-Auto Assembly</v>
      </c>
    </row>
    <row r="24" spans="1:21" ht="18" customHeight="1">
      <c r="A24" s="23" t="s">
        <v>259</v>
      </c>
      <c r="B24" s="19" t="s">
        <v>260</v>
      </c>
      <c r="C24" s="21" t="s">
        <v>176</v>
      </c>
      <c r="D24" s="21" t="s">
        <v>242</v>
      </c>
      <c r="E24" s="21" t="str">
        <f t="shared" si="1"/>
        <v>SP PD- Final Inspection</v>
      </c>
      <c r="J24" s="49" t="s">
        <v>52</v>
      </c>
      <c r="K24" s="50">
        <v>7515499</v>
      </c>
      <c r="L24" s="51" t="s">
        <v>7</v>
      </c>
      <c r="M24" s="52" t="str">
        <f t="shared" si="0"/>
        <v>SGA-7515499</v>
      </c>
      <c r="N24" s="51" t="s">
        <v>26</v>
      </c>
      <c r="O24" s="49" t="s">
        <v>53</v>
      </c>
      <c r="Q24" s="56" t="s">
        <v>257</v>
      </c>
      <c r="R24" s="19" t="s">
        <v>258</v>
      </c>
      <c r="S24" s="55" t="s">
        <v>176</v>
      </c>
      <c r="T24" s="55" t="s">
        <v>242</v>
      </c>
      <c r="U24" s="55" t="str">
        <f t="shared" si="2"/>
        <v>SP PD- Bending</v>
      </c>
    </row>
    <row r="25" spans="1:21" ht="18" customHeight="1">
      <c r="A25" s="23" t="s">
        <v>261</v>
      </c>
      <c r="B25" s="19" t="s">
        <v>262</v>
      </c>
      <c r="C25" s="21" t="s">
        <v>176</v>
      </c>
      <c r="D25" s="21" t="s">
        <v>242</v>
      </c>
      <c r="E25" s="21" t="str">
        <f t="shared" si="1"/>
        <v>SP PD- QC - OEM</v>
      </c>
      <c r="J25" s="49" t="s">
        <v>54</v>
      </c>
      <c r="K25" s="50">
        <v>7516102</v>
      </c>
      <c r="L25" s="51" t="s">
        <v>7</v>
      </c>
      <c r="M25" s="52" t="str">
        <f t="shared" si="0"/>
        <v>SGA-7516102</v>
      </c>
      <c r="N25" s="51" t="s">
        <v>55</v>
      </c>
      <c r="O25" s="49" t="s">
        <v>56</v>
      </c>
      <c r="Q25" s="56" t="s">
        <v>259</v>
      </c>
      <c r="R25" s="19" t="s">
        <v>260</v>
      </c>
      <c r="S25" s="55" t="s">
        <v>176</v>
      </c>
      <c r="T25" s="55" t="s">
        <v>242</v>
      </c>
      <c r="U25" s="55" t="str">
        <f t="shared" si="2"/>
        <v>SP PD- Final Inspection</v>
      </c>
    </row>
    <row r="26" spans="1:21" ht="18" customHeight="1">
      <c r="A26" s="23" t="s">
        <v>263</v>
      </c>
      <c r="B26" s="19" t="s">
        <v>264</v>
      </c>
      <c r="C26" s="21" t="s">
        <v>176</v>
      </c>
      <c r="D26" s="21" t="s">
        <v>242</v>
      </c>
      <c r="E26" s="21" t="str">
        <f t="shared" si="1"/>
        <v>PC PD- Injection</v>
      </c>
      <c r="J26" s="49" t="s">
        <v>57</v>
      </c>
      <c r="K26" s="50">
        <v>7519101</v>
      </c>
      <c r="L26" s="51" t="s">
        <v>7</v>
      </c>
      <c r="M26" s="52" t="str">
        <f t="shared" si="0"/>
        <v>SGA-7519101</v>
      </c>
      <c r="N26" s="51" t="s">
        <v>8</v>
      </c>
      <c r="O26" s="49" t="s">
        <v>58</v>
      </c>
      <c r="Q26" s="56" t="s">
        <v>261</v>
      </c>
      <c r="R26" s="19" t="s">
        <v>262</v>
      </c>
      <c r="S26" s="55" t="s">
        <v>176</v>
      </c>
      <c r="T26" s="55" t="s">
        <v>242</v>
      </c>
      <c r="U26" s="55" t="str">
        <f t="shared" si="2"/>
        <v>SP PD- QC - OEM</v>
      </c>
    </row>
    <row r="27" spans="1:21" ht="18" customHeight="1">
      <c r="A27" s="23" t="s">
        <v>265</v>
      </c>
      <c r="B27" s="19" t="s">
        <v>266</v>
      </c>
      <c r="C27" s="21" t="s">
        <v>176</v>
      </c>
      <c r="D27" s="21" t="s">
        <v>242</v>
      </c>
      <c r="E27" s="21" t="str">
        <f t="shared" si="1"/>
        <v>PC PD- Assy</v>
      </c>
      <c r="J27" s="49" t="s">
        <v>59</v>
      </c>
      <c r="K27" s="50">
        <v>7521101</v>
      </c>
      <c r="L27" s="51" t="s">
        <v>7</v>
      </c>
      <c r="M27" s="52" t="str">
        <f t="shared" si="0"/>
        <v>SGA-7521101</v>
      </c>
      <c r="N27" s="51" t="s">
        <v>12</v>
      </c>
      <c r="O27" s="49" t="s">
        <v>60</v>
      </c>
      <c r="Q27" s="56" t="s">
        <v>263</v>
      </c>
      <c r="R27" s="19" t="s">
        <v>264</v>
      </c>
      <c r="S27" s="55" t="s">
        <v>176</v>
      </c>
      <c r="T27" s="55" t="s">
        <v>242</v>
      </c>
      <c r="U27" s="55" t="str">
        <f t="shared" si="2"/>
        <v>PC PD- Injection</v>
      </c>
    </row>
    <row r="28" spans="1:21" ht="18" customHeight="1">
      <c r="A28" s="23" t="s">
        <v>267</v>
      </c>
      <c r="B28" s="19" t="s">
        <v>268</v>
      </c>
      <c r="C28" s="21" t="s">
        <v>176</v>
      </c>
      <c r="D28" s="21" t="s">
        <v>242</v>
      </c>
      <c r="E28" s="21" t="str">
        <f t="shared" si="1"/>
        <v>PC PD- QC</v>
      </c>
      <c r="J28" s="49" t="s">
        <v>61</v>
      </c>
      <c r="K28" s="50">
        <v>7521102</v>
      </c>
      <c r="L28" s="51" t="s">
        <v>7</v>
      </c>
      <c r="M28" s="52" t="str">
        <f t="shared" si="0"/>
        <v>SGA-7521102</v>
      </c>
      <c r="N28" s="51" t="s">
        <v>23</v>
      </c>
      <c r="O28" s="49" t="s">
        <v>62</v>
      </c>
      <c r="Q28" s="56" t="s">
        <v>265</v>
      </c>
      <c r="R28" s="19" t="s">
        <v>266</v>
      </c>
      <c r="S28" s="55" t="s">
        <v>176</v>
      </c>
      <c r="T28" s="55" t="s">
        <v>242</v>
      </c>
      <c r="U28" s="55" t="str">
        <f t="shared" si="2"/>
        <v>PC PD- Assy</v>
      </c>
    </row>
    <row r="29" spans="1:21" ht="18" customHeight="1">
      <c r="A29" s="23" t="s">
        <v>269</v>
      </c>
      <c r="B29" s="19" t="s">
        <v>270</v>
      </c>
      <c r="C29" s="21" t="s">
        <v>176</v>
      </c>
      <c r="D29" s="21" t="s">
        <v>271</v>
      </c>
      <c r="E29" s="21" t="str">
        <f t="shared" si="1"/>
        <v>Plant Operation (Indirect Mfg)</v>
      </c>
      <c r="J29" s="49" t="s">
        <v>63</v>
      </c>
      <c r="K29" s="50">
        <v>7571101</v>
      </c>
      <c r="L29" s="51" t="s">
        <v>7</v>
      </c>
      <c r="M29" s="52" t="str">
        <f t="shared" si="0"/>
        <v>SGA-7571101</v>
      </c>
      <c r="N29" s="51" t="s">
        <v>64</v>
      </c>
      <c r="O29" s="49" t="s">
        <v>65</v>
      </c>
      <c r="Q29" s="56" t="s">
        <v>267</v>
      </c>
      <c r="R29" s="19" t="s">
        <v>268</v>
      </c>
      <c r="S29" s="55" t="s">
        <v>176</v>
      </c>
      <c r="T29" s="55" t="s">
        <v>242</v>
      </c>
      <c r="U29" s="55" t="str">
        <f t="shared" si="2"/>
        <v>PC PD- QC</v>
      </c>
    </row>
    <row r="30" spans="1:21" ht="18" customHeight="1">
      <c r="A30" s="23" t="s">
        <v>272</v>
      </c>
      <c r="B30" s="19" t="s">
        <v>273</v>
      </c>
      <c r="C30" s="21" t="s">
        <v>176</v>
      </c>
      <c r="D30" s="21" t="s">
        <v>271</v>
      </c>
      <c r="E30" s="21" t="str">
        <f t="shared" si="1"/>
        <v>Production Office</v>
      </c>
      <c r="J30" s="49" t="s">
        <v>66</v>
      </c>
      <c r="K30" s="50">
        <v>7611100</v>
      </c>
      <c r="L30" s="51" t="s">
        <v>7</v>
      </c>
      <c r="M30" s="52" t="str">
        <f t="shared" si="0"/>
        <v>SGA-7611100</v>
      </c>
      <c r="N30" s="51" t="s">
        <v>67</v>
      </c>
      <c r="O30" s="49" t="s">
        <v>68</v>
      </c>
      <c r="Q30" s="56" t="s">
        <v>269</v>
      </c>
      <c r="R30" s="19" t="s">
        <v>270</v>
      </c>
      <c r="S30" s="55" t="s">
        <v>176</v>
      </c>
      <c r="T30" s="55" t="s">
        <v>271</v>
      </c>
      <c r="U30" s="55" t="str">
        <f t="shared" si="2"/>
        <v>Plant Operation (Indirect Mfg)</v>
      </c>
    </row>
    <row r="31" spans="1:21" ht="18" customHeight="1">
      <c r="A31" s="23" t="s">
        <v>274</v>
      </c>
      <c r="B31" s="19" t="s">
        <v>275</v>
      </c>
      <c r="C31" s="21" t="s">
        <v>176</v>
      </c>
      <c r="D31" s="21" t="s">
        <v>271</v>
      </c>
      <c r="E31" s="21" t="str">
        <f t="shared" si="1"/>
        <v>Production Office (SP)</v>
      </c>
      <c r="J31" s="49" t="s">
        <v>69</v>
      </c>
      <c r="K31" s="50">
        <v>7611300</v>
      </c>
      <c r="L31" s="51" t="s">
        <v>7</v>
      </c>
      <c r="M31" s="52" t="str">
        <f t="shared" si="0"/>
        <v>SGA-7611300</v>
      </c>
      <c r="N31" s="51" t="s">
        <v>67</v>
      </c>
      <c r="O31" s="49" t="s">
        <v>70</v>
      </c>
      <c r="Q31" s="56" t="s">
        <v>272</v>
      </c>
      <c r="R31" s="19" t="s">
        <v>273</v>
      </c>
      <c r="S31" s="55" t="s">
        <v>176</v>
      </c>
      <c r="T31" s="55" t="s">
        <v>271</v>
      </c>
      <c r="U31" s="55" t="str">
        <f t="shared" si="2"/>
        <v>Production Office</v>
      </c>
    </row>
    <row r="32" spans="1:21" ht="18" customHeight="1">
      <c r="A32" s="23" t="s">
        <v>276</v>
      </c>
      <c r="B32" s="19" t="s">
        <v>277</v>
      </c>
      <c r="C32" s="21" t="s">
        <v>176</v>
      </c>
      <c r="D32" s="21" t="s">
        <v>271</v>
      </c>
      <c r="E32" s="21" t="str">
        <f t="shared" si="1"/>
        <v>Production Office (PC)</v>
      </c>
      <c r="J32" s="49" t="s">
        <v>319</v>
      </c>
      <c r="K32" s="50">
        <v>7611400</v>
      </c>
      <c r="L32" s="51" t="s">
        <v>7</v>
      </c>
      <c r="M32" s="52" t="str">
        <f t="shared" si="0"/>
        <v>SGA-7611400</v>
      </c>
      <c r="N32" s="51" t="s">
        <v>67</v>
      </c>
      <c r="O32" s="49" t="s">
        <v>320</v>
      </c>
      <c r="Q32" s="56" t="s">
        <v>274</v>
      </c>
      <c r="R32" s="19" t="s">
        <v>275</v>
      </c>
      <c r="S32" s="55" t="s">
        <v>176</v>
      </c>
      <c r="T32" s="55" t="s">
        <v>271</v>
      </c>
      <c r="U32" s="55" t="str">
        <f t="shared" si="2"/>
        <v>Production Office (SP)</v>
      </c>
    </row>
    <row r="33" spans="1:21" ht="18" customHeight="1">
      <c r="A33" s="23" t="s">
        <v>278</v>
      </c>
      <c r="B33" s="19" t="s">
        <v>279</v>
      </c>
      <c r="C33" s="21" t="s">
        <v>176</v>
      </c>
      <c r="D33" s="21" t="s">
        <v>271</v>
      </c>
      <c r="E33" s="21" t="str">
        <f t="shared" si="1"/>
        <v>Quality Assurance</v>
      </c>
      <c r="J33" s="49" t="s">
        <v>71</v>
      </c>
      <c r="K33" s="50">
        <v>7611500</v>
      </c>
      <c r="L33" s="51" t="s">
        <v>7</v>
      </c>
      <c r="M33" s="52" t="str">
        <f t="shared" si="0"/>
        <v>SGA-7611500</v>
      </c>
      <c r="N33" s="51" t="s">
        <v>67</v>
      </c>
      <c r="O33" s="49" t="s">
        <v>72</v>
      </c>
      <c r="Q33" s="56" t="s">
        <v>276</v>
      </c>
      <c r="R33" s="19" t="s">
        <v>277</v>
      </c>
      <c r="S33" s="55" t="s">
        <v>176</v>
      </c>
      <c r="T33" s="55" t="s">
        <v>271</v>
      </c>
      <c r="U33" s="55" t="str">
        <f t="shared" si="2"/>
        <v>Production Office (PC)</v>
      </c>
    </row>
    <row r="34" spans="1:21" ht="18" customHeight="1">
      <c r="A34" s="23" t="s">
        <v>280</v>
      </c>
      <c r="B34" s="19" t="s">
        <v>281</v>
      </c>
      <c r="C34" s="21" t="s">
        <v>176</v>
      </c>
      <c r="D34" s="21" t="s">
        <v>271</v>
      </c>
      <c r="E34" s="21" t="str">
        <f t="shared" si="1"/>
        <v>Quality Control</v>
      </c>
      <c r="J34" s="49" t="s">
        <v>73</v>
      </c>
      <c r="K34" s="50">
        <v>7611600</v>
      </c>
      <c r="L34" s="51" t="s">
        <v>7</v>
      </c>
      <c r="M34" s="52" t="str">
        <f t="shared" si="0"/>
        <v>SGA-7611600</v>
      </c>
      <c r="N34" s="51" t="s">
        <v>67</v>
      </c>
      <c r="O34" s="49" t="s">
        <v>74</v>
      </c>
      <c r="Q34" s="56" t="s">
        <v>278</v>
      </c>
      <c r="R34" s="19" t="s">
        <v>279</v>
      </c>
      <c r="S34" s="55" t="s">
        <v>176</v>
      </c>
      <c r="T34" s="55" t="s">
        <v>271</v>
      </c>
      <c r="U34" s="55" t="str">
        <f t="shared" si="2"/>
        <v>Quality Assurance</v>
      </c>
    </row>
    <row r="35" spans="1:21" ht="18" customHeight="1">
      <c r="A35" s="23" t="s">
        <v>282</v>
      </c>
      <c r="B35" s="19" t="s">
        <v>283</v>
      </c>
      <c r="C35" s="21" t="s">
        <v>176</v>
      </c>
      <c r="D35" s="21" t="s">
        <v>271</v>
      </c>
      <c r="E35" s="21" t="str">
        <f t="shared" si="1"/>
        <v>Maintenance</v>
      </c>
      <c r="J35" s="49" t="s">
        <v>75</v>
      </c>
      <c r="K35" s="50">
        <v>7611700</v>
      </c>
      <c r="L35" s="51" t="s">
        <v>7</v>
      </c>
      <c r="M35" s="52" t="str">
        <f t="shared" si="0"/>
        <v>SGA-7611700</v>
      </c>
      <c r="N35" s="51" t="s">
        <v>67</v>
      </c>
      <c r="O35" s="49" t="s">
        <v>76</v>
      </c>
      <c r="Q35" s="56" t="s">
        <v>280</v>
      </c>
      <c r="R35" s="19" t="s">
        <v>281</v>
      </c>
      <c r="S35" s="55" t="s">
        <v>176</v>
      </c>
      <c r="T35" s="55" t="s">
        <v>271</v>
      </c>
      <c r="U35" s="55" t="str">
        <f t="shared" si="2"/>
        <v>Quality Control</v>
      </c>
    </row>
    <row r="36" spans="1:21" ht="18" customHeight="1">
      <c r="A36" s="23" t="s">
        <v>284</v>
      </c>
      <c r="B36" s="19" t="s">
        <v>285</v>
      </c>
      <c r="C36" s="21" t="s">
        <v>176</v>
      </c>
      <c r="D36" s="21" t="s">
        <v>271</v>
      </c>
      <c r="E36" s="21" t="str">
        <f t="shared" si="1"/>
        <v>Production Engineering</v>
      </c>
      <c r="J36" s="49" t="s">
        <v>321</v>
      </c>
      <c r="K36" s="50">
        <v>7611800</v>
      </c>
      <c r="L36" s="51" t="s">
        <v>7</v>
      </c>
      <c r="M36" s="52" t="str">
        <f t="shared" si="0"/>
        <v>SGA-7611800</v>
      </c>
      <c r="N36" s="51" t="s">
        <v>67</v>
      </c>
      <c r="O36" s="49" t="s">
        <v>322</v>
      </c>
      <c r="Q36" s="56" t="s">
        <v>282</v>
      </c>
      <c r="R36" s="19" t="s">
        <v>283</v>
      </c>
      <c r="S36" s="55" t="s">
        <v>176</v>
      </c>
      <c r="T36" s="55" t="s">
        <v>271</v>
      </c>
      <c r="U36" s="55" t="str">
        <f t="shared" si="2"/>
        <v>Maintenance</v>
      </c>
    </row>
    <row r="37" spans="1:21" ht="18" customHeight="1">
      <c r="A37" s="18" t="s">
        <v>286</v>
      </c>
      <c r="B37" s="19" t="s">
        <v>287</v>
      </c>
      <c r="C37" s="21" t="s">
        <v>176</v>
      </c>
      <c r="D37" s="21" t="s">
        <v>271</v>
      </c>
      <c r="E37" s="21" t="str">
        <f t="shared" si="1"/>
        <v>Supply Procurement</v>
      </c>
      <c r="J37" s="49" t="s">
        <v>77</v>
      </c>
      <c r="K37" s="50">
        <v>7621101</v>
      </c>
      <c r="L37" s="51" t="s">
        <v>7</v>
      </c>
      <c r="M37" s="52" t="str">
        <f t="shared" si="0"/>
        <v>SGA-7621101</v>
      </c>
      <c r="N37" s="51" t="s">
        <v>78</v>
      </c>
      <c r="O37" s="49" t="s">
        <v>79</v>
      </c>
      <c r="Q37" s="56" t="s">
        <v>284</v>
      </c>
      <c r="R37" s="19" t="s">
        <v>285</v>
      </c>
      <c r="S37" s="55" t="s">
        <v>176</v>
      </c>
      <c r="T37" s="55" t="s">
        <v>271</v>
      </c>
      <c r="U37" s="55" t="str">
        <f t="shared" si="2"/>
        <v>Production Engineering</v>
      </c>
    </row>
    <row r="38" spans="1:21" ht="18" customHeight="1">
      <c r="A38" s="18" t="s">
        <v>288</v>
      </c>
      <c r="B38" s="19" t="s">
        <v>289</v>
      </c>
      <c r="C38" s="21" t="s">
        <v>176</v>
      </c>
      <c r="D38" s="21" t="s">
        <v>271</v>
      </c>
      <c r="E38" s="21" t="str">
        <f t="shared" si="1"/>
        <v>Inventory Control</v>
      </c>
      <c r="J38" s="49" t="s">
        <v>80</v>
      </c>
      <c r="K38" s="50">
        <v>7621199</v>
      </c>
      <c r="L38" s="51" t="s">
        <v>7</v>
      </c>
      <c r="M38" s="52" t="str">
        <f t="shared" si="0"/>
        <v>SGA-7621199</v>
      </c>
      <c r="N38" s="51" t="s">
        <v>81</v>
      </c>
      <c r="O38" s="49" t="s">
        <v>82</v>
      </c>
      <c r="Q38" s="18" t="s">
        <v>286</v>
      </c>
      <c r="R38" s="19" t="s">
        <v>287</v>
      </c>
      <c r="S38" s="55" t="s">
        <v>176</v>
      </c>
      <c r="T38" s="55" t="s">
        <v>271</v>
      </c>
      <c r="U38" s="55" t="str">
        <f t="shared" si="2"/>
        <v>Supply Procurement</v>
      </c>
    </row>
    <row r="39" spans="1:21" ht="18" customHeight="1">
      <c r="A39" s="18" t="s">
        <v>290</v>
      </c>
      <c r="B39" s="19" t="s">
        <v>291</v>
      </c>
      <c r="C39" s="21" t="s">
        <v>176</v>
      </c>
      <c r="D39" s="21" t="s">
        <v>271</v>
      </c>
      <c r="E39" s="21" t="str">
        <f t="shared" si="1"/>
        <v>WH Dept.- KD &amp; RM</v>
      </c>
      <c r="J39" s="49" t="s">
        <v>83</v>
      </c>
      <c r="K39" s="50">
        <v>7631101</v>
      </c>
      <c r="L39" s="51" t="s">
        <v>7</v>
      </c>
      <c r="M39" s="52" t="str">
        <f t="shared" si="0"/>
        <v>SGA-7631101</v>
      </c>
      <c r="N39" s="51" t="s">
        <v>84</v>
      </c>
      <c r="O39" s="49" t="s">
        <v>85</v>
      </c>
      <c r="Q39" s="18" t="s">
        <v>288</v>
      </c>
      <c r="R39" s="19" t="s">
        <v>289</v>
      </c>
      <c r="S39" s="55" t="s">
        <v>176</v>
      </c>
      <c r="T39" s="55" t="s">
        <v>271</v>
      </c>
      <c r="U39" s="55" t="str">
        <f t="shared" si="2"/>
        <v>Inventory Control</v>
      </c>
    </row>
    <row r="40" spans="1:21" ht="18" customHeight="1">
      <c r="A40" s="18" t="s">
        <v>290</v>
      </c>
      <c r="B40" s="19" t="s">
        <v>291</v>
      </c>
      <c r="C40" s="21" t="s">
        <v>176</v>
      </c>
      <c r="D40" s="21" t="s">
        <v>271</v>
      </c>
      <c r="E40" s="21" t="str">
        <f t="shared" si="1"/>
        <v>WH Dept.- KD &amp; RM</v>
      </c>
      <c r="J40" s="49" t="s">
        <v>86</v>
      </c>
      <c r="K40" s="50">
        <v>7631102</v>
      </c>
      <c r="L40" s="51" t="s">
        <v>7</v>
      </c>
      <c r="M40" s="52" t="str">
        <f t="shared" si="0"/>
        <v>SGA-7631102</v>
      </c>
      <c r="N40" s="51" t="s">
        <v>87</v>
      </c>
      <c r="O40" s="49" t="s">
        <v>88</v>
      </c>
      <c r="Q40" s="57" t="s">
        <v>292</v>
      </c>
      <c r="R40" s="58" t="s">
        <v>293</v>
      </c>
      <c r="S40" s="59" t="s">
        <v>7</v>
      </c>
      <c r="T40" s="59" t="s">
        <v>210</v>
      </c>
      <c r="U40" s="59" t="str">
        <f t="shared" si="2"/>
        <v>SCM - FG WH</v>
      </c>
    </row>
    <row r="41" spans="1:21" ht="18" customHeight="1">
      <c r="A41" s="18" t="s">
        <v>292</v>
      </c>
      <c r="B41" s="19" t="s">
        <v>293</v>
      </c>
      <c r="C41" s="20" t="s">
        <v>7</v>
      </c>
      <c r="D41" s="21" t="s">
        <v>210</v>
      </c>
      <c r="E41" s="21" t="str">
        <f t="shared" si="1"/>
        <v>SCM - FG WH</v>
      </c>
      <c r="J41" s="49" t="s">
        <v>89</v>
      </c>
      <c r="K41" s="50">
        <v>7641101</v>
      </c>
      <c r="L41" s="51" t="s">
        <v>7</v>
      </c>
      <c r="M41" s="52" t="str">
        <f t="shared" si="0"/>
        <v>SGA-7641101</v>
      </c>
      <c r="N41" s="51" t="s">
        <v>90</v>
      </c>
      <c r="O41" s="49" t="s">
        <v>91</v>
      </c>
      <c r="Q41" s="18" t="s">
        <v>290</v>
      </c>
      <c r="R41" s="19" t="s">
        <v>291</v>
      </c>
      <c r="S41" s="55" t="s">
        <v>176</v>
      </c>
      <c r="T41" s="55" t="s">
        <v>271</v>
      </c>
      <c r="U41" s="55" t="str">
        <f t="shared" si="2"/>
        <v>WH Dept.- KD &amp; RM</v>
      </c>
    </row>
    <row r="42" spans="1:21" ht="18" customHeight="1">
      <c r="A42" s="18" t="s">
        <v>290</v>
      </c>
      <c r="B42" s="19" t="s">
        <v>291</v>
      </c>
      <c r="C42" s="21" t="s">
        <v>176</v>
      </c>
      <c r="D42" s="21" t="s">
        <v>271</v>
      </c>
      <c r="E42" s="21" t="str">
        <f t="shared" si="1"/>
        <v>WH Dept.- KD &amp; RM</v>
      </c>
      <c r="J42" s="49" t="s">
        <v>92</v>
      </c>
      <c r="K42" s="50">
        <v>7641102</v>
      </c>
      <c r="L42" s="51" t="s">
        <v>7</v>
      </c>
      <c r="M42" s="52" t="str">
        <f t="shared" si="0"/>
        <v>SGA-7641102</v>
      </c>
      <c r="N42" s="51" t="s">
        <v>90</v>
      </c>
      <c r="O42" s="49" t="s">
        <v>93</v>
      </c>
      <c r="Q42" s="18" t="s">
        <v>294</v>
      </c>
      <c r="R42" s="19" t="s">
        <v>295</v>
      </c>
      <c r="S42" s="55" t="s">
        <v>176</v>
      </c>
      <c r="T42" s="55" t="s">
        <v>271</v>
      </c>
      <c r="U42" s="55" t="str">
        <f t="shared" si="2"/>
        <v>Continuous Improvement</v>
      </c>
    </row>
    <row r="43" spans="1:21" ht="18" customHeight="1">
      <c r="A43" s="18" t="s">
        <v>294</v>
      </c>
      <c r="B43" s="19" t="s">
        <v>295</v>
      </c>
      <c r="C43" s="21" t="s">
        <v>176</v>
      </c>
      <c r="D43" s="21" t="s">
        <v>271</v>
      </c>
      <c r="E43" s="21" t="str">
        <f t="shared" si="1"/>
        <v>Continuous Improvement</v>
      </c>
      <c r="J43" s="49" t="s">
        <v>94</v>
      </c>
      <c r="K43" s="50">
        <v>7641103</v>
      </c>
      <c r="L43" s="51" t="s">
        <v>7</v>
      </c>
      <c r="M43" s="52" t="str">
        <f t="shared" si="0"/>
        <v>SGA-7641103</v>
      </c>
      <c r="N43" s="51" t="s">
        <v>95</v>
      </c>
      <c r="O43" s="49" t="s">
        <v>96</v>
      </c>
      <c r="Q43" s="49" t="s">
        <v>323</v>
      </c>
      <c r="R43" s="50" t="s">
        <v>324</v>
      </c>
      <c r="U43" s="49" t="str">
        <f t="shared" si="2"/>
        <v>All</v>
      </c>
    </row>
    <row r="44" spans="1:21" ht="18" customHeight="1">
      <c r="J44" s="49" t="s">
        <v>97</v>
      </c>
      <c r="K44" s="50">
        <v>7641104</v>
      </c>
      <c r="L44" s="51" t="s">
        <v>7</v>
      </c>
      <c r="M44" s="52" t="str">
        <f t="shared" si="0"/>
        <v>SGA-7641104</v>
      </c>
      <c r="N44" s="51" t="s">
        <v>95</v>
      </c>
      <c r="O44" s="49" t="s">
        <v>98</v>
      </c>
    </row>
    <row r="45" spans="1:21" ht="18" customHeight="1">
      <c r="J45" s="49" t="s">
        <v>99</v>
      </c>
      <c r="K45" s="50">
        <v>7651101</v>
      </c>
      <c r="L45" s="51" t="s">
        <v>7</v>
      </c>
      <c r="M45" s="52" t="str">
        <f t="shared" si="0"/>
        <v>SGA-7651101</v>
      </c>
      <c r="N45" s="51" t="s">
        <v>78</v>
      </c>
      <c r="O45" s="49" t="s">
        <v>100</v>
      </c>
    </row>
    <row r="46" spans="1:21" ht="18" customHeight="1">
      <c r="J46" s="49" t="s">
        <v>101</v>
      </c>
      <c r="K46" s="50">
        <v>7651102</v>
      </c>
      <c r="L46" s="51" t="s">
        <v>7</v>
      </c>
      <c r="M46" s="52" t="str">
        <f t="shared" si="0"/>
        <v>SGA-7651102</v>
      </c>
      <c r="N46" s="51" t="s">
        <v>78</v>
      </c>
      <c r="O46" s="49" t="s">
        <v>102</v>
      </c>
    </row>
    <row r="47" spans="1:21" ht="18" customHeight="1">
      <c r="J47" s="49" t="s">
        <v>103</v>
      </c>
      <c r="K47" s="50">
        <v>7651103</v>
      </c>
      <c r="L47" s="51" t="s">
        <v>7</v>
      </c>
      <c r="M47" s="52" t="str">
        <f t="shared" si="0"/>
        <v>SGA-7651103</v>
      </c>
      <c r="N47" s="51" t="s">
        <v>78</v>
      </c>
      <c r="O47" s="49" t="s">
        <v>104</v>
      </c>
    </row>
    <row r="48" spans="1:21" ht="18" customHeight="1">
      <c r="J48" s="49" t="s">
        <v>105</v>
      </c>
      <c r="K48" s="50">
        <v>7661101</v>
      </c>
      <c r="L48" s="51" t="s">
        <v>7</v>
      </c>
      <c r="M48" s="52" t="str">
        <f t="shared" si="0"/>
        <v>SGA-7661101</v>
      </c>
      <c r="N48" s="51" t="s">
        <v>106</v>
      </c>
      <c r="O48" s="49" t="s">
        <v>107</v>
      </c>
    </row>
    <row r="49" spans="10:15" ht="18" customHeight="1">
      <c r="J49" s="49" t="s">
        <v>108</v>
      </c>
      <c r="K49" s="50">
        <v>7671102</v>
      </c>
      <c r="L49" s="51" t="s">
        <v>7</v>
      </c>
      <c r="M49" s="52" t="str">
        <f t="shared" si="0"/>
        <v>SGA-7671102</v>
      </c>
      <c r="N49" s="51" t="s">
        <v>95</v>
      </c>
      <c r="O49" s="49" t="s">
        <v>109</v>
      </c>
    </row>
    <row r="50" spans="10:15" ht="18" customHeight="1">
      <c r="J50" s="49" t="s">
        <v>110</v>
      </c>
      <c r="K50" s="50">
        <v>7671103</v>
      </c>
      <c r="L50" s="51" t="s">
        <v>7</v>
      </c>
      <c r="M50" s="52" t="str">
        <f t="shared" si="0"/>
        <v>SGA-7671103</v>
      </c>
      <c r="N50" s="51" t="s">
        <v>95</v>
      </c>
      <c r="O50" s="49" t="s">
        <v>111</v>
      </c>
    </row>
    <row r="51" spans="10:15" ht="18" customHeight="1">
      <c r="J51" s="49" t="s">
        <v>112</v>
      </c>
      <c r="K51" s="50">
        <v>7681101</v>
      </c>
      <c r="L51" s="51" t="s">
        <v>7</v>
      </c>
      <c r="M51" s="52" t="str">
        <f t="shared" si="0"/>
        <v>SGA-7681101</v>
      </c>
      <c r="N51" s="51" t="s">
        <v>95</v>
      </c>
      <c r="O51" s="49" t="s">
        <v>113</v>
      </c>
    </row>
    <row r="52" spans="10:15" ht="18" customHeight="1">
      <c r="J52" s="49" t="s">
        <v>114</v>
      </c>
      <c r="K52" s="50">
        <v>7691000</v>
      </c>
      <c r="L52" s="51" t="s">
        <v>7</v>
      </c>
      <c r="M52" s="52" t="str">
        <f t="shared" si="0"/>
        <v>SGA-7691000</v>
      </c>
      <c r="N52" s="51" t="s">
        <v>95</v>
      </c>
      <c r="O52" s="49" t="s">
        <v>115</v>
      </c>
    </row>
    <row r="53" spans="10:15" ht="18" customHeight="1">
      <c r="J53" s="49" t="s">
        <v>116</v>
      </c>
      <c r="K53" s="50">
        <v>7711101</v>
      </c>
      <c r="L53" s="51" t="s">
        <v>7</v>
      </c>
      <c r="M53" s="52" t="str">
        <f t="shared" si="0"/>
        <v>SGA-7711101</v>
      </c>
      <c r="N53" s="51" t="s">
        <v>95</v>
      </c>
      <c r="O53" s="49" t="s">
        <v>117</v>
      </c>
    </row>
    <row r="54" spans="10:15" ht="18" customHeight="1">
      <c r="J54" s="49" t="s">
        <v>118</v>
      </c>
      <c r="K54" s="50">
        <v>7711102</v>
      </c>
      <c r="L54" s="51" t="s">
        <v>7</v>
      </c>
      <c r="M54" s="52" t="str">
        <f t="shared" si="0"/>
        <v>SGA-7711102</v>
      </c>
      <c r="N54" s="51" t="s">
        <v>119</v>
      </c>
      <c r="O54" s="49" t="s">
        <v>120</v>
      </c>
    </row>
    <row r="55" spans="10:15" ht="18" customHeight="1">
      <c r="J55" s="49" t="s">
        <v>121</v>
      </c>
      <c r="K55" s="50">
        <v>7711103</v>
      </c>
      <c r="L55" s="51" t="s">
        <v>7</v>
      </c>
      <c r="M55" s="52" t="str">
        <f t="shared" si="0"/>
        <v>SGA-7711103</v>
      </c>
      <c r="N55" s="51" t="s">
        <v>95</v>
      </c>
      <c r="O55" s="49" t="s">
        <v>122</v>
      </c>
    </row>
    <row r="56" spans="10:15" ht="18" customHeight="1">
      <c r="J56" s="49" t="s">
        <v>325</v>
      </c>
      <c r="K56" s="50">
        <v>7721101</v>
      </c>
      <c r="L56" s="51" t="s">
        <v>7</v>
      </c>
      <c r="M56" s="52" t="str">
        <f t="shared" si="0"/>
        <v>SGA-7721101</v>
      </c>
      <c r="N56" s="51" t="s">
        <v>95</v>
      </c>
      <c r="O56" s="49" t="s">
        <v>326</v>
      </c>
    </row>
    <row r="57" spans="10:15" ht="18" customHeight="1">
      <c r="J57" s="49" t="s">
        <v>123</v>
      </c>
      <c r="K57" s="50">
        <v>7729101</v>
      </c>
      <c r="L57" s="51" t="s">
        <v>7</v>
      </c>
      <c r="M57" s="52" t="str">
        <f t="shared" si="0"/>
        <v>SGA-7729101</v>
      </c>
      <c r="N57" s="51" t="s">
        <v>124</v>
      </c>
      <c r="O57" s="49" t="s">
        <v>125</v>
      </c>
    </row>
    <row r="58" spans="10:15" ht="18" customHeight="1">
      <c r="J58" s="49" t="s">
        <v>126</v>
      </c>
      <c r="K58" s="50">
        <v>7729103</v>
      </c>
      <c r="L58" s="51" t="s">
        <v>7</v>
      </c>
      <c r="M58" s="52" t="str">
        <f t="shared" si="0"/>
        <v>SGA-7729103</v>
      </c>
      <c r="N58" s="51" t="s">
        <v>127</v>
      </c>
      <c r="O58" s="49" t="s">
        <v>128</v>
      </c>
    </row>
    <row r="59" spans="10:15" ht="18" customHeight="1">
      <c r="J59" s="49" t="s">
        <v>129</v>
      </c>
      <c r="K59" s="50">
        <v>7729105</v>
      </c>
      <c r="L59" s="51" t="s">
        <v>7</v>
      </c>
      <c r="M59" s="52" t="str">
        <f t="shared" si="0"/>
        <v>SGA-7729105</v>
      </c>
      <c r="N59" s="51" t="s">
        <v>95</v>
      </c>
      <c r="O59" s="49" t="s">
        <v>130</v>
      </c>
    </row>
    <row r="60" spans="10:15" ht="18" customHeight="1">
      <c r="J60" s="49" t="s">
        <v>131</v>
      </c>
      <c r="K60" s="50">
        <v>7781101</v>
      </c>
      <c r="L60" s="51" t="s">
        <v>7</v>
      </c>
      <c r="M60" s="52" t="str">
        <f t="shared" si="0"/>
        <v>SGA-7781101</v>
      </c>
      <c r="N60" s="51" t="s">
        <v>95</v>
      </c>
      <c r="O60" s="49" t="s">
        <v>132</v>
      </c>
    </row>
    <row r="61" spans="10:15" ht="18" customHeight="1">
      <c r="J61" s="49" t="s">
        <v>133</v>
      </c>
      <c r="K61" s="50">
        <v>7781103</v>
      </c>
      <c r="L61" s="51" t="s">
        <v>7</v>
      </c>
      <c r="M61" s="52" t="str">
        <f t="shared" si="0"/>
        <v>SGA-7781103</v>
      </c>
      <c r="N61" s="51" t="s">
        <v>95</v>
      </c>
      <c r="O61" s="49" t="s">
        <v>134</v>
      </c>
    </row>
    <row r="62" spans="10:15" ht="18" customHeight="1">
      <c r="J62" s="49" t="s">
        <v>135</v>
      </c>
      <c r="K62" s="50">
        <v>7781104</v>
      </c>
      <c r="L62" s="51" t="s">
        <v>7</v>
      </c>
      <c r="M62" s="52" t="str">
        <f t="shared" si="0"/>
        <v>SGA-7781104</v>
      </c>
      <c r="N62" s="51" t="s">
        <v>95</v>
      </c>
      <c r="O62" s="49" t="s">
        <v>136</v>
      </c>
    </row>
    <row r="63" spans="10:15" ht="18" customHeight="1">
      <c r="J63" s="49" t="s">
        <v>327</v>
      </c>
      <c r="K63" s="50">
        <v>7781105</v>
      </c>
      <c r="L63" s="51" t="s">
        <v>7</v>
      </c>
      <c r="M63" s="52" t="str">
        <f t="shared" si="0"/>
        <v>SGA-7781105</v>
      </c>
      <c r="N63" s="51" t="s">
        <v>95</v>
      </c>
      <c r="O63" s="49" t="s">
        <v>328</v>
      </c>
    </row>
    <row r="64" spans="10:15" ht="18" customHeight="1">
      <c r="J64" s="49" t="s">
        <v>329</v>
      </c>
      <c r="K64" s="50">
        <v>7781106</v>
      </c>
      <c r="L64" s="51" t="s">
        <v>7</v>
      </c>
      <c r="M64" s="52" t="str">
        <f t="shared" si="0"/>
        <v>SGA-7781106</v>
      </c>
      <c r="N64" s="51" t="s">
        <v>95</v>
      </c>
      <c r="O64" s="49" t="s">
        <v>330</v>
      </c>
    </row>
    <row r="65" spans="10:15" ht="18" customHeight="1">
      <c r="J65" s="49" t="s">
        <v>137</v>
      </c>
      <c r="K65" s="50">
        <v>7781107</v>
      </c>
      <c r="L65" s="51" t="s">
        <v>7</v>
      </c>
      <c r="M65" s="52" t="str">
        <f t="shared" si="0"/>
        <v>SGA-7781107</v>
      </c>
      <c r="N65" s="51" t="s">
        <v>138</v>
      </c>
      <c r="O65" s="49" t="s">
        <v>139</v>
      </c>
    </row>
    <row r="66" spans="10:15" ht="18" customHeight="1">
      <c r="J66" s="49" t="s">
        <v>140</v>
      </c>
      <c r="K66" s="50">
        <v>7781111</v>
      </c>
      <c r="L66" s="51" t="s">
        <v>7</v>
      </c>
      <c r="M66" s="52" t="str">
        <f t="shared" ref="M66:M129" si="3">L66&amp;"-"&amp;K66</f>
        <v>SGA-7781111</v>
      </c>
      <c r="N66" s="51" t="s">
        <v>95</v>
      </c>
      <c r="O66" s="49" t="s">
        <v>141</v>
      </c>
    </row>
    <row r="67" spans="10:15" ht="18" customHeight="1">
      <c r="J67" s="49" t="s">
        <v>142</v>
      </c>
      <c r="K67" s="50">
        <v>7781112</v>
      </c>
      <c r="L67" s="51" t="s">
        <v>7</v>
      </c>
      <c r="M67" s="52" t="str">
        <f t="shared" si="3"/>
        <v>SGA-7781112</v>
      </c>
      <c r="N67" s="51" t="s">
        <v>95</v>
      </c>
      <c r="O67" s="49" t="s">
        <v>143</v>
      </c>
    </row>
    <row r="68" spans="10:15" ht="18" customHeight="1">
      <c r="J68" s="49" t="s">
        <v>144</v>
      </c>
      <c r="K68" s="50">
        <v>7781113</v>
      </c>
      <c r="L68" s="51" t="s">
        <v>7</v>
      </c>
      <c r="M68" s="52" t="str">
        <f t="shared" si="3"/>
        <v>SGA-7781113</v>
      </c>
      <c r="N68" s="51" t="s">
        <v>95</v>
      </c>
      <c r="O68" s="49" t="s">
        <v>145</v>
      </c>
    </row>
    <row r="69" spans="10:15" ht="18" customHeight="1">
      <c r="J69" s="49" t="s">
        <v>146</v>
      </c>
      <c r="K69" s="50">
        <v>7411101</v>
      </c>
      <c r="L69" s="51" t="s">
        <v>7</v>
      </c>
      <c r="M69" s="52" t="str">
        <f t="shared" si="3"/>
        <v>SGA-7411101</v>
      </c>
      <c r="N69" s="51" t="s">
        <v>147</v>
      </c>
      <c r="O69" s="49" t="s">
        <v>148</v>
      </c>
    </row>
    <row r="70" spans="10:15" ht="18" customHeight="1">
      <c r="J70" s="49" t="s">
        <v>149</v>
      </c>
      <c r="K70" s="50">
        <v>7411103</v>
      </c>
      <c r="L70" s="51" t="s">
        <v>7</v>
      </c>
      <c r="M70" s="52" t="str">
        <f t="shared" si="3"/>
        <v>SGA-7411103</v>
      </c>
      <c r="N70" s="51" t="s">
        <v>150</v>
      </c>
      <c r="O70" s="49" t="s">
        <v>151</v>
      </c>
    </row>
    <row r="71" spans="10:15" ht="18" customHeight="1">
      <c r="J71" s="49" t="s">
        <v>152</v>
      </c>
      <c r="K71" s="50">
        <v>7411104</v>
      </c>
      <c r="L71" s="51" t="s">
        <v>7</v>
      </c>
      <c r="M71" s="52" t="str">
        <f t="shared" si="3"/>
        <v>SGA-7411104</v>
      </c>
      <c r="N71" s="51" t="s">
        <v>153</v>
      </c>
      <c r="O71" s="49" t="s">
        <v>154</v>
      </c>
    </row>
    <row r="72" spans="10:15" ht="18" customHeight="1">
      <c r="J72" s="49" t="s">
        <v>155</v>
      </c>
      <c r="K72" s="50">
        <v>7431101</v>
      </c>
      <c r="L72" s="51" t="s">
        <v>7</v>
      </c>
      <c r="M72" s="52" t="str">
        <f t="shared" si="3"/>
        <v>SGA-7431101</v>
      </c>
      <c r="N72" s="51" t="s">
        <v>156</v>
      </c>
      <c r="O72" s="49" t="s">
        <v>157</v>
      </c>
    </row>
    <row r="73" spans="10:15" ht="18" customHeight="1">
      <c r="J73" s="49" t="s">
        <v>158</v>
      </c>
      <c r="K73" s="50">
        <v>7451101</v>
      </c>
      <c r="L73" s="51" t="s">
        <v>7</v>
      </c>
      <c r="M73" s="52" t="str">
        <f t="shared" si="3"/>
        <v>SGA-7451101</v>
      </c>
      <c r="N73" s="51" t="s">
        <v>159</v>
      </c>
      <c r="O73" s="49" t="s">
        <v>160</v>
      </c>
    </row>
    <row r="74" spans="10:15" ht="18" customHeight="1">
      <c r="J74" s="49" t="s">
        <v>161</v>
      </c>
      <c r="K74" s="50">
        <v>7451102</v>
      </c>
      <c r="L74" s="51" t="s">
        <v>7</v>
      </c>
      <c r="M74" s="52" t="str">
        <f t="shared" si="3"/>
        <v>SGA-7451102</v>
      </c>
      <c r="N74" s="51" t="s">
        <v>162</v>
      </c>
      <c r="O74" s="49" t="s">
        <v>163</v>
      </c>
    </row>
    <row r="75" spans="10:15" ht="18" customHeight="1">
      <c r="J75" s="49" t="s">
        <v>164</v>
      </c>
      <c r="K75" s="50">
        <v>7451103</v>
      </c>
      <c r="L75" s="51" t="s">
        <v>7</v>
      </c>
      <c r="M75" s="52" t="str">
        <f t="shared" si="3"/>
        <v>SGA-7451103</v>
      </c>
      <c r="N75" s="51" t="s">
        <v>165</v>
      </c>
      <c r="O75" s="49" t="s">
        <v>166</v>
      </c>
    </row>
    <row r="76" spans="10:15" ht="18" customHeight="1">
      <c r="J76" s="60" t="s">
        <v>167</v>
      </c>
      <c r="K76" s="50">
        <v>7461101</v>
      </c>
      <c r="L76" s="51" t="s">
        <v>7</v>
      </c>
      <c r="M76" s="52" t="str">
        <f t="shared" si="3"/>
        <v>SGA-7461101</v>
      </c>
      <c r="N76" s="51" t="s">
        <v>168</v>
      </c>
      <c r="O76" s="49" t="s">
        <v>169</v>
      </c>
    </row>
    <row r="77" spans="10:15" ht="18" customHeight="1">
      <c r="J77" s="49" t="s">
        <v>170</v>
      </c>
      <c r="K77" s="50">
        <v>7411105</v>
      </c>
      <c r="L77" s="51" t="s">
        <v>7</v>
      </c>
      <c r="M77" s="51" t="str">
        <f t="shared" si="3"/>
        <v>SGA-7411105</v>
      </c>
      <c r="N77" s="61" t="s">
        <v>331</v>
      </c>
    </row>
    <row r="78" spans="10:15" ht="18" customHeight="1">
      <c r="J78" s="49" t="s">
        <v>172</v>
      </c>
      <c r="K78" s="50">
        <v>7471201</v>
      </c>
      <c r="L78" s="51" t="s">
        <v>7</v>
      </c>
      <c r="M78" s="51" t="str">
        <f t="shared" si="3"/>
        <v>SGA-7471201</v>
      </c>
      <c r="N78" s="61" t="s">
        <v>331</v>
      </c>
    </row>
    <row r="79" spans="10:15" ht="18" customHeight="1">
      <c r="J79" s="49" t="s">
        <v>173</v>
      </c>
      <c r="K79" s="50">
        <v>7751101</v>
      </c>
      <c r="L79" s="51" t="s">
        <v>7</v>
      </c>
      <c r="M79" s="51" t="str">
        <f t="shared" si="3"/>
        <v>SGA-7751101</v>
      </c>
    </row>
    <row r="80" spans="10:15" ht="18" customHeight="1">
      <c r="J80" s="49" t="s">
        <v>174</v>
      </c>
      <c r="K80" s="50">
        <v>7751102</v>
      </c>
      <c r="L80" s="51" t="s">
        <v>7</v>
      </c>
      <c r="M80" s="51" t="str">
        <f t="shared" si="3"/>
        <v>SGA-7751102</v>
      </c>
    </row>
    <row r="81" spans="10:15" ht="18" customHeight="1">
      <c r="J81" s="49" t="s">
        <v>175</v>
      </c>
      <c r="K81" s="62">
        <v>7111211</v>
      </c>
      <c r="L81" s="62" t="s">
        <v>176</v>
      </c>
      <c r="M81" s="62" t="str">
        <f t="shared" si="3"/>
        <v>MFG-7111211</v>
      </c>
    </row>
    <row r="82" spans="10:15" ht="18" customHeight="1">
      <c r="J82" s="49" t="s">
        <v>332</v>
      </c>
      <c r="K82" s="62">
        <v>7111212</v>
      </c>
      <c r="L82" s="62" t="s">
        <v>176</v>
      </c>
      <c r="M82" s="62" t="str">
        <f t="shared" si="3"/>
        <v>MFG-7111212</v>
      </c>
    </row>
    <row r="83" spans="10:15" ht="18" customHeight="1">
      <c r="J83" s="49" t="s">
        <v>177</v>
      </c>
      <c r="K83" s="62">
        <v>7111221</v>
      </c>
      <c r="L83" s="62" t="s">
        <v>176</v>
      </c>
      <c r="M83" s="62" t="str">
        <f t="shared" si="3"/>
        <v>MFG-7111221</v>
      </c>
    </row>
    <row r="84" spans="10:15" ht="18" customHeight="1">
      <c r="J84" s="49" t="s">
        <v>178</v>
      </c>
      <c r="K84" s="62">
        <v>7111222</v>
      </c>
      <c r="L84" s="62" t="s">
        <v>176</v>
      </c>
      <c r="M84" s="62" t="str">
        <f t="shared" si="3"/>
        <v>MFG-7111222</v>
      </c>
    </row>
    <row r="85" spans="10:15" ht="18" customHeight="1">
      <c r="J85" s="49" t="s">
        <v>179</v>
      </c>
      <c r="K85" s="62">
        <v>7111223</v>
      </c>
      <c r="L85" s="62" t="s">
        <v>176</v>
      </c>
      <c r="M85" s="62" t="str">
        <f t="shared" si="3"/>
        <v>MFG-7111223</v>
      </c>
    </row>
    <row r="86" spans="10:15" ht="18" customHeight="1">
      <c r="J86" s="49" t="s">
        <v>180</v>
      </c>
      <c r="K86" s="62">
        <v>7111311</v>
      </c>
      <c r="L86" s="62" t="s">
        <v>176</v>
      </c>
      <c r="M86" s="62" t="str">
        <f t="shared" si="3"/>
        <v>MFG-7111311</v>
      </c>
    </row>
    <row r="87" spans="10:15" ht="18" customHeight="1">
      <c r="J87" s="49" t="s">
        <v>333</v>
      </c>
      <c r="K87" s="62">
        <v>7111312</v>
      </c>
      <c r="L87" s="62" t="s">
        <v>176</v>
      </c>
      <c r="M87" s="62" t="str">
        <f t="shared" si="3"/>
        <v>MFG-7111312</v>
      </c>
    </row>
    <row r="88" spans="10:15" ht="18" customHeight="1">
      <c r="J88" s="49" t="s">
        <v>181</v>
      </c>
      <c r="K88" s="62">
        <v>7111321</v>
      </c>
      <c r="L88" s="62" t="s">
        <v>176</v>
      </c>
      <c r="M88" s="62" t="str">
        <f t="shared" si="3"/>
        <v>MFG-7111321</v>
      </c>
    </row>
    <row r="89" spans="10:15" ht="18" customHeight="1">
      <c r="J89" s="49" t="s">
        <v>182</v>
      </c>
      <c r="K89" s="62">
        <v>7111322</v>
      </c>
      <c r="L89" s="62" t="s">
        <v>176</v>
      </c>
      <c r="M89" s="62" t="str">
        <f t="shared" si="3"/>
        <v>MFG-7111322</v>
      </c>
    </row>
    <row r="90" spans="10:15" ht="18" customHeight="1">
      <c r="J90" s="49" t="s">
        <v>183</v>
      </c>
      <c r="K90" s="62">
        <v>7111323</v>
      </c>
      <c r="L90" s="62" t="s">
        <v>176</v>
      </c>
      <c r="M90" s="62" t="str">
        <f t="shared" si="3"/>
        <v>MFG-7111323</v>
      </c>
    </row>
    <row r="91" spans="10:15" ht="18" customHeight="1">
      <c r="J91" s="49" t="s">
        <v>334</v>
      </c>
      <c r="K91" s="62">
        <v>7111411</v>
      </c>
      <c r="L91" s="62" t="s">
        <v>176</v>
      </c>
      <c r="M91" s="62" t="str">
        <f t="shared" si="3"/>
        <v>MFG-7111411</v>
      </c>
    </row>
    <row r="92" spans="10:15" ht="18" customHeight="1">
      <c r="J92" s="49" t="s">
        <v>335</v>
      </c>
      <c r="K92" s="62">
        <v>7151101</v>
      </c>
      <c r="L92" s="62" t="s">
        <v>176</v>
      </c>
      <c r="M92" s="62" t="str">
        <f t="shared" si="3"/>
        <v>MFG-7151101</v>
      </c>
    </row>
    <row r="93" spans="10:15" ht="18" customHeight="1">
      <c r="J93" s="49" t="s">
        <v>336</v>
      </c>
      <c r="K93" s="62">
        <v>7200000</v>
      </c>
      <c r="L93" s="62" t="s">
        <v>176</v>
      </c>
      <c r="M93" s="62" t="str">
        <f t="shared" si="3"/>
        <v>MFG-7200000</v>
      </c>
    </row>
    <row r="94" spans="10:15" ht="18" customHeight="1">
      <c r="J94" s="49" t="s">
        <v>184</v>
      </c>
      <c r="K94" s="62">
        <v>7211101</v>
      </c>
      <c r="L94" s="62" t="s">
        <v>176</v>
      </c>
      <c r="M94" s="62" t="str">
        <f t="shared" si="3"/>
        <v>MFG-7211101</v>
      </c>
    </row>
    <row r="95" spans="10:15" ht="18" customHeight="1">
      <c r="J95" s="49" t="s">
        <v>185</v>
      </c>
      <c r="K95" s="62">
        <v>7211102</v>
      </c>
      <c r="L95" s="62" t="s">
        <v>176</v>
      </c>
      <c r="M95" s="62" t="str">
        <f t="shared" si="3"/>
        <v>MFG-7211102</v>
      </c>
      <c r="N95" s="62">
        <v>901</v>
      </c>
      <c r="O95" s="49" t="s">
        <v>186</v>
      </c>
    </row>
    <row r="96" spans="10:15" ht="18" customHeight="1">
      <c r="J96" s="49" t="s">
        <v>187</v>
      </c>
      <c r="K96" s="62">
        <v>7211103</v>
      </c>
      <c r="L96" s="62" t="s">
        <v>176</v>
      </c>
      <c r="M96" s="62" t="str">
        <f t="shared" si="3"/>
        <v>MFG-7211103</v>
      </c>
      <c r="N96" s="62"/>
    </row>
    <row r="97" spans="10:15" ht="18" customHeight="1">
      <c r="J97" s="49" t="s">
        <v>337</v>
      </c>
      <c r="K97" s="62">
        <v>7211104</v>
      </c>
      <c r="L97" s="62" t="s">
        <v>176</v>
      </c>
      <c r="M97" s="62" t="str">
        <f t="shared" si="3"/>
        <v>MFG-7211104</v>
      </c>
      <c r="N97" s="62">
        <v>302</v>
      </c>
    </row>
    <row r="98" spans="10:15" ht="18" customHeight="1">
      <c r="J98" s="49" t="s">
        <v>188</v>
      </c>
      <c r="K98" s="62">
        <v>7221101</v>
      </c>
      <c r="L98" s="62" t="s">
        <v>176</v>
      </c>
      <c r="M98" s="62" t="str">
        <f t="shared" si="3"/>
        <v>MFG-7221101</v>
      </c>
      <c r="N98" s="62">
        <v>302</v>
      </c>
      <c r="O98" s="49" t="s">
        <v>189</v>
      </c>
    </row>
    <row r="99" spans="10:15" ht="18" customHeight="1">
      <c r="J99" s="49" t="s">
        <v>190</v>
      </c>
      <c r="K99" s="62">
        <v>7221102</v>
      </c>
      <c r="L99" s="62" t="s">
        <v>176</v>
      </c>
      <c r="M99" s="62" t="str">
        <f t="shared" si="3"/>
        <v>MFG-7221102</v>
      </c>
      <c r="N99" s="62">
        <v>301</v>
      </c>
      <c r="O99" s="49" t="s">
        <v>191</v>
      </c>
    </row>
    <row r="100" spans="10:15" ht="18" customHeight="1">
      <c r="J100" s="49" t="s">
        <v>6</v>
      </c>
      <c r="K100" s="62">
        <v>7511101</v>
      </c>
      <c r="L100" s="62" t="s">
        <v>176</v>
      </c>
      <c r="M100" s="62" t="str">
        <f t="shared" si="3"/>
        <v>MFG-7511101</v>
      </c>
      <c r="N100" s="62">
        <v>602</v>
      </c>
      <c r="O100" s="49" t="s">
        <v>6</v>
      </c>
    </row>
    <row r="101" spans="10:15" ht="18" customHeight="1">
      <c r="J101" s="49" t="s">
        <v>9</v>
      </c>
      <c r="K101" s="62">
        <v>7511102</v>
      </c>
      <c r="L101" s="62" t="s">
        <v>176</v>
      </c>
      <c r="M101" s="62" t="str">
        <f t="shared" si="3"/>
        <v>MFG-7511102</v>
      </c>
      <c r="N101" s="62">
        <v>602</v>
      </c>
      <c r="O101" s="49" t="s">
        <v>10</v>
      </c>
    </row>
    <row r="102" spans="10:15" ht="18" customHeight="1">
      <c r="J102" s="49" t="s">
        <v>11</v>
      </c>
      <c r="K102" s="62">
        <v>7511103</v>
      </c>
      <c r="L102" s="62" t="s">
        <v>176</v>
      </c>
      <c r="M102" s="62" t="str">
        <f t="shared" si="3"/>
        <v>MFG-7511103</v>
      </c>
      <c r="N102" s="62">
        <v>601</v>
      </c>
      <c r="O102" s="49" t="s">
        <v>13</v>
      </c>
    </row>
    <row r="103" spans="10:15" ht="18" customHeight="1">
      <c r="J103" s="49" t="s">
        <v>14</v>
      </c>
      <c r="K103" s="62">
        <v>7511111</v>
      </c>
      <c r="L103" s="62" t="s">
        <v>176</v>
      </c>
      <c r="M103" s="62" t="str">
        <f t="shared" si="3"/>
        <v>MFG-7511111</v>
      </c>
      <c r="N103" s="62">
        <v>601</v>
      </c>
      <c r="O103" s="49" t="s">
        <v>15</v>
      </c>
    </row>
    <row r="104" spans="10:15" ht="18" customHeight="1">
      <c r="J104" s="49" t="s">
        <v>16</v>
      </c>
      <c r="K104" s="62">
        <v>7511112</v>
      </c>
      <c r="L104" s="62" t="s">
        <v>176</v>
      </c>
      <c r="M104" s="62" t="str">
        <f t="shared" si="3"/>
        <v>MFG-7511112</v>
      </c>
      <c r="N104" s="62">
        <v>601</v>
      </c>
      <c r="O104" s="49" t="s">
        <v>17</v>
      </c>
    </row>
    <row r="105" spans="10:15" ht="18" customHeight="1">
      <c r="J105" s="49" t="s">
        <v>18</v>
      </c>
      <c r="K105" s="62">
        <v>7511121</v>
      </c>
      <c r="L105" s="62" t="s">
        <v>176</v>
      </c>
      <c r="M105" s="62" t="str">
        <f t="shared" si="3"/>
        <v>MFG-7511121</v>
      </c>
      <c r="N105" s="62">
        <v>601</v>
      </c>
      <c r="O105" s="49" t="s">
        <v>19</v>
      </c>
    </row>
    <row r="106" spans="10:15" ht="18" customHeight="1">
      <c r="J106" s="49" t="s">
        <v>20</v>
      </c>
      <c r="K106" s="62">
        <v>7511122</v>
      </c>
      <c r="L106" s="62" t="s">
        <v>176</v>
      </c>
      <c r="M106" s="62" t="str">
        <f t="shared" si="3"/>
        <v>MFG-7511122</v>
      </c>
      <c r="N106" s="62">
        <v>601</v>
      </c>
      <c r="O106" s="49" t="s">
        <v>21</v>
      </c>
    </row>
    <row r="107" spans="10:15" ht="18" customHeight="1">
      <c r="J107" s="49" t="s">
        <v>22</v>
      </c>
      <c r="K107" s="62">
        <v>7511201</v>
      </c>
      <c r="L107" s="62" t="s">
        <v>176</v>
      </c>
      <c r="M107" s="62" t="str">
        <f t="shared" si="3"/>
        <v>MFG-7511201</v>
      </c>
      <c r="N107" s="62">
        <v>603</v>
      </c>
      <c r="O107" s="49" t="s">
        <v>24</v>
      </c>
    </row>
    <row r="108" spans="10:15" ht="18" customHeight="1">
      <c r="J108" s="49" t="s">
        <v>25</v>
      </c>
      <c r="K108" s="62">
        <v>7512111</v>
      </c>
      <c r="L108" s="62" t="s">
        <v>176</v>
      </c>
      <c r="M108" s="62" t="str">
        <f t="shared" si="3"/>
        <v>MFG-7512111</v>
      </c>
      <c r="N108" s="62">
        <v>604</v>
      </c>
      <c r="O108" s="49" t="s">
        <v>27</v>
      </c>
    </row>
    <row r="109" spans="10:15" ht="18" customHeight="1">
      <c r="J109" s="49" t="s">
        <v>28</v>
      </c>
      <c r="K109" s="62">
        <v>7512112</v>
      </c>
      <c r="L109" s="62" t="s">
        <v>176</v>
      </c>
      <c r="M109" s="62" t="str">
        <f t="shared" si="3"/>
        <v>MFG-7512112</v>
      </c>
      <c r="N109" s="62">
        <v>604</v>
      </c>
      <c r="O109" s="49" t="s">
        <v>29</v>
      </c>
    </row>
    <row r="110" spans="10:15" ht="18" customHeight="1">
      <c r="J110" s="49" t="s">
        <v>30</v>
      </c>
      <c r="K110" s="62">
        <v>7514101</v>
      </c>
      <c r="L110" s="62" t="s">
        <v>176</v>
      </c>
      <c r="M110" s="62" t="str">
        <f t="shared" si="3"/>
        <v>MFG-7514101</v>
      </c>
      <c r="N110" s="62">
        <v>601</v>
      </c>
      <c r="O110" s="49" t="s">
        <v>31</v>
      </c>
    </row>
    <row r="111" spans="10:15" ht="18" customHeight="1">
      <c r="J111" s="49" t="s">
        <v>32</v>
      </c>
      <c r="K111" s="62">
        <v>7514102</v>
      </c>
      <c r="L111" s="62" t="s">
        <v>176</v>
      </c>
      <c r="M111" s="62" t="str">
        <f t="shared" si="3"/>
        <v>MFG-7514102</v>
      </c>
      <c r="N111" s="62">
        <v>601</v>
      </c>
      <c r="O111" s="49" t="s">
        <v>33</v>
      </c>
    </row>
    <row r="112" spans="10:15" ht="18" customHeight="1">
      <c r="J112" s="49" t="s">
        <v>34</v>
      </c>
      <c r="K112" s="62">
        <v>7515401</v>
      </c>
      <c r="L112" s="62" t="s">
        <v>176</v>
      </c>
      <c r="M112" s="62" t="str">
        <f t="shared" si="3"/>
        <v>MFG-7515401</v>
      </c>
      <c r="N112" s="62">
        <v>604</v>
      </c>
      <c r="O112" s="49" t="s">
        <v>35</v>
      </c>
    </row>
    <row r="113" spans="10:15" ht="18" customHeight="1">
      <c r="J113" s="49" t="s">
        <v>36</v>
      </c>
      <c r="K113" s="62">
        <v>7515402</v>
      </c>
      <c r="L113" s="62" t="s">
        <v>176</v>
      </c>
      <c r="M113" s="62" t="str">
        <f t="shared" si="3"/>
        <v>MFG-7515402</v>
      </c>
      <c r="N113" s="62">
        <v>604</v>
      </c>
      <c r="O113" s="49" t="s">
        <v>37</v>
      </c>
    </row>
    <row r="114" spans="10:15" ht="18" customHeight="1">
      <c r="J114" s="49" t="s">
        <v>38</v>
      </c>
      <c r="K114" s="62">
        <v>7515403</v>
      </c>
      <c r="L114" s="62" t="s">
        <v>176</v>
      </c>
      <c r="M114" s="62" t="str">
        <f t="shared" si="3"/>
        <v>MFG-7515403</v>
      </c>
      <c r="N114" s="62">
        <v>604</v>
      </c>
      <c r="O114" s="49" t="s">
        <v>39</v>
      </c>
    </row>
    <row r="115" spans="10:15" ht="18" customHeight="1">
      <c r="J115" s="49" t="s">
        <v>40</v>
      </c>
      <c r="K115" s="62">
        <v>7515404</v>
      </c>
      <c r="L115" s="62" t="s">
        <v>176</v>
      </c>
      <c r="M115" s="62" t="str">
        <f t="shared" si="3"/>
        <v>MFG-7515404</v>
      </c>
      <c r="N115" s="62">
        <v>604</v>
      </c>
      <c r="O115" s="49" t="s">
        <v>41</v>
      </c>
    </row>
    <row r="116" spans="10:15" ht="18" customHeight="1">
      <c r="J116" s="49" t="s">
        <v>42</v>
      </c>
      <c r="K116" s="62">
        <v>7515405</v>
      </c>
      <c r="L116" s="62" t="s">
        <v>176</v>
      </c>
      <c r="M116" s="62" t="str">
        <f t="shared" si="3"/>
        <v>MFG-7515405</v>
      </c>
      <c r="N116" s="62">
        <v>604</v>
      </c>
      <c r="O116" s="49" t="s">
        <v>43</v>
      </c>
    </row>
    <row r="117" spans="10:15" ht="18" customHeight="1">
      <c r="J117" s="49" t="s">
        <v>44</v>
      </c>
      <c r="K117" s="62">
        <v>7515406</v>
      </c>
      <c r="L117" s="62" t="s">
        <v>176</v>
      </c>
      <c r="M117" s="62" t="str">
        <f t="shared" si="3"/>
        <v>MFG-7515406</v>
      </c>
      <c r="N117" s="62">
        <v>604</v>
      </c>
      <c r="O117" s="49" t="s">
        <v>45</v>
      </c>
    </row>
    <row r="118" spans="10:15" ht="18" customHeight="1">
      <c r="J118" s="49" t="s">
        <v>318</v>
      </c>
      <c r="K118" s="62">
        <v>7515407</v>
      </c>
      <c r="L118" s="62" t="s">
        <v>176</v>
      </c>
      <c r="M118" s="62" t="str">
        <f t="shared" si="3"/>
        <v>MFG-7515407</v>
      </c>
      <c r="N118" s="62">
        <v>604</v>
      </c>
    </row>
    <row r="119" spans="10:15" ht="18" customHeight="1">
      <c r="J119" s="49" t="s">
        <v>46</v>
      </c>
      <c r="K119" s="62">
        <v>7515408</v>
      </c>
      <c r="L119" s="62" t="s">
        <v>176</v>
      </c>
      <c r="M119" s="62" t="str">
        <f t="shared" si="3"/>
        <v>MFG-7515408</v>
      </c>
      <c r="N119" s="62">
        <v>604</v>
      </c>
      <c r="O119" s="49" t="s">
        <v>47</v>
      </c>
    </row>
    <row r="120" spans="10:15" ht="18" customHeight="1">
      <c r="J120" s="49" t="s">
        <v>48</v>
      </c>
      <c r="K120" s="62">
        <v>7515409</v>
      </c>
      <c r="L120" s="62" t="s">
        <v>176</v>
      </c>
      <c r="M120" s="62" t="str">
        <f t="shared" si="3"/>
        <v>MFG-7515409</v>
      </c>
      <c r="N120" s="62">
        <v>604</v>
      </c>
      <c r="O120" s="49" t="s">
        <v>49</v>
      </c>
    </row>
    <row r="121" spans="10:15" ht="18" customHeight="1">
      <c r="J121" s="49" t="s">
        <v>50</v>
      </c>
      <c r="K121" s="62">
        <v>7515410</v>
      </c>
      <c r="L121" s="62" t="s">
        <v>176</v>
      </c>
      <c r="M121" s="62" t="str">
        <f t="shared" si="3"/>
        <v>MFG-7515410</v>
      </c>
      <c r="N121" s="62">
        <v>604</v>
      </c>
      <c r="O121" s="49" t="s">
        <v>51</v>
      </c>
    </row>
    <row r="122" spans="10:15" ht="18" customHeight="1">
      <c r="J122" s="49" t="s">
        <v>52</v>
      </c>
      <c r="K122" s="62">
        <v>7515499</v>
      </c>
      <c r="L122" s="62" t="s">
        <v>176</v>
      </c>
      <c r="M122" s="62" t="str">
        <f t="shared" si="3"/>
        <v>MFG-7515499</v>
      </c>
      <c r="N122" s="62">
        <v>604</v>
      </c>
      <c r="O122" s="49" t="s">
        <v>53</v>
      </c>
    </row>
    <row r="123" spans="10:15" ht="18" customHeight="1">
      <c r="J123" s="49" t="s">
        <v>54</v>
      </c>
      <c r="K123" s="62">
        <v>7516102</v>
      </c>
      <c r="L123" s="62" t="s">
        <v>176</v>
      </c>
      <c r="M123" s="62" t="str">
        <f t="shared" si="3"/>
        <v>MFG-7516102</v>
      </c>
      <c r="N123" s="62">
        <v>605</v>
      </c>
      <c r="O123" s="49" t="s">
        <v>56</v>
      </c>
    </row>
    <row r="124" spans="10:15" ht="18" customHeight="1">
      <c r="J124" s="49" t="s">
        <v>57</v>
      </c>
      <c r="K124" s="62">
        <v>7519101</v>
      </c>
      <c r="L124" s="62" t="s">
        <v>176</v>
      </c>
      <c r="M124" s="62" t="str">
        <f t="shared" si="3"/>
        <v>MFG-7519101</v>
      </c>
      <c r="N124" s="62">
        <v>602</v>
      </c>
      <c r="O124" s="49" t="s">
        <v>58</v>
      </c>
    </row>
    <row r="125" spans="10:15" ht="18" customHeight="1">
      <c r="J125" s="49" t="s">
        <v>192</v>
      </c>
      <c r="K125" s="62">
        <v>7521101</v>
      </c>
      <c r="L125" s="62" t="s">
        <v>176</v>
      </c>
      <c r="M125" s="62" t="str">
        <f t="shared" si="3"/>
        <v>MFG-7521101</v>
      </c>
      <c r="N125" s="62">
        <v>601</v>
      </c>
      <c r="O125" s="49" t="s">
        <v>60</v>
      </c>
    </row>
    <row r="126" spans="10:15" ht="18" customHeight="1">
      <c r="J126" s="49" t="s">
        <v>61</v>
      </c>
      <c r="K126" s="62">
        <v>7521102</v>
      </c>
      <c r="L126" s="62" t="s">
        <v>176</v>
      </c>
      <c r="M126" s="62" t="str">
        <f t="shared" si="3"/>
        <v>MFG-7521102</v>
      </c>
      <c r="N126" s="62">
        <v>603</v>
      </c>
      <c r="O126" s="49" t="s">
        <v>62</v>
      </c>
    </row>
    <row r="127" spans="10:15" ht="18" customHeight="1">
      <c r="J127" s="49" t="s">
        <v>63</v>
      </c>
      <c r="K127" s="62">
        <v>7571101</v>
      </c>
      <c r="L127" s="62" t="s">
        <v>176</v>
      </c>
      <c r="M127" s="62" t="str">
        <f t="shared" si="3"/>
        <v>MFG-7571101</v>
      </c>
      <c r="N127" s="62">
        <v>606</v>
      </c>
      <c r="O127" s="49" t="s">
        <v>65</v>
      </c>
    </row>
    <row r="128" spans="10:15" ht="18" customHeight="1">
      <c r="J128" s="49" t="s">
        <v>66</v>
      </c>
      <c r="K128" s="62">
        <v>7611100</v>
      </c>
      <c r="L128" s="62" t="s">
        <v>176</v>
      </c>
      <c r="M128" s="62" t="str">
        <f t="shared" si="3"/>
        <v>MFG-7611100</v>
      </c>
      <c r="N128" s="62">
        <v>701</v>
      </c>
      <c r="O128" s="49" t="s">
        <v>68</v>
      </c>
    </row>
    <row r="129" spans="10:15" ht="18" customHeight="1">
      <c r="J129" s="49" t="s">
        <v>69</v>
      </c>
      <c r="K129" s="62">
        <v>7611300</v>
      </c>
      <c r="L129" s="62" t="s">
        <v>176</v>
      </c>
      <c r="M129" s="62" t="str">
        <f t="shared" si="3"/>
        <v>MFG-7611300</v>
      </c>
      <c r="N129" s="62">
        <v>701</v>
      </c>
      <c r="O129" s="49" t="s">
        <v>70</v>
      </c>
    </row>
    <row r="130" spans="10:15" ht="18" customHeight="1">
      <c r="J130" s="49" t="s">
        <v>319</v>
      </c>
      <c r="K130" s="62">
        <v>7611400</v>
      </c>
      <c r="L130" s="62" t="s">
        <v>176</v>
      </c>
      <c r="M130" s="62" t="str">
        <f t="shared" ref="M130:M172" si="4">L130&amp;"-"&amp;K130</f>
        <v>MFG-7611400</v>
      </c>
      <c r="N130" s="62">
        <v>701</v>
      </c>
      <c r="O130" s="49" t="s">
        <v>320</v>
      </c>
    </row>
    <row r="131" spans="10:15" ht="18" customHeight="1">
      <c r="J131" s="49" t="s">
        <v>71</v>
      </c>
      <c r="K131" s="62">
        <v>7611500</v>
      </c>
      <c r="L131" s="62" t="s">
        <v>176</v>
      </c>
      <c r="M131" s="62" t="str">
        <f t="shared" si="4"/>
        <v>MFG-7611500</v>
      </c>
      <c r="N131" s="62">
        <v>701</v>
      </c>
      <c r="O131" s="49" t="s">
        <v>72</v>
      </c>
    </row>
    <row r="132" spans="10:15" ht="18" customHeight="1">
      <c r="J132" s="49" t="s">
        <v>73</v>
      </c>
      <c r="K132" s="62">
        <v>7611600</v>
      </c>
      <c r="L132" s="62" t="s">
        <v>176</v>
      </c>
      <c r="M132" s="62" t="str">
        <f t="shared" si="4"/>
        <v>MFG-7611600</v>
      </c>
      <c r="N132" s="62">
        <v>701</v>
      </c>
      <c r="O132" s="49" t="s">
        <v>74</v>
      </c>
    </row>
    <row r="133" spans="10:15" ht="18" customHeight="1">
      <c r="J133" s="49" t="s">
        <v>75</v>
      </c>
      <c r="K133" s="62">
        <v>7611700</v>
      </c>
      <c r="L133" s="62" t="s">
        <v>176</v>
      </c>
      <c r="M133" s="62" t="str">
        <f t="shared" si="4"/>
        <v>MFG-7611700</v>
      </c>
      <c r="N133" s="62">
        <v>701</v>
      </c>
      <c r="O133" s="49" t="s">
        <v>76</v>
      </c>
    </row>
    <row r="134" spans="10:15" ht="18" customHeight="1">
      <c r="J134" s="49" t="s">
        <v>321</v>
      </c>
      <c r="K134" s="62">
        <v>7611800</v>
      </c>
      <c r="L134" s="62" t="s">
        <v>176</v>
      </c>
      <c r="M134" s="62" t="str">
        <f t="shared" si="4"/>
        <v>MFG-7611800</v>
      </c>
      <c r="N134" s="62">
        <v>701</v>
      </c>
      <c r="O134" s="49" t="s">
        <v>322</v>
      </c>
    </row>
    <row r="135" spans="10:15" ht="18" customHeight="1">
      <c r="J135" s="49" t="s">
        <v>77</v>
      </c>
      <c r="K135" s="62">
        <v>7621101</v>
      </c>
      <c r="L135" s="62" t="s">
        <v>176</v>
      </c>
      <c r="M135" s="62" t="str">
        <f t="shared" si="4"/>
        <v>MFG-7621101</v>
      </c>
      <c r="N135" s="62">
        <v>903</v>
      </c>
      <c r="O135" s="49" t="s">
        <v>79</v>
      </c>
    </row>
    <row r="136" spans="10:15" ht="18" customHeight="1">
      <c r="J136" s="60" t="s">
        <v>80</v>
      </c>
      <c r="K136" s="63">
        <v>7621199</v>
      </c>
      <c r="L136" s="62" t="s">
        <v>176</v>
      </c>
      <c r="M136" s="62" t="str">
        <f t="shared" si="4"/>
        <v>MFG-7621199</v>
      </c>
      <c r="N136" s="62">
        <v>801</v>
      </c>
      <c r="O136" s="49" t="s">
        <v>82</v>
      </c>
    </row>
    <row r="137" spans="10:15" ht="18" customHeight="1">
      <c r="J137" s="49" t="s">
        <v>83</v>
      </c>
      <c r="K137" s="62">
        <v>7631101</v>
      </c>
      <c r="L137" s="62" t="s">
        <v>176</v>
      </c>
      <c r="M137" s="62" t="str">
        <f t="shared" si="4"/>
        <v>MFG-7631101</v>
      </c>
      <c r="N137" s="62">
        <v>501</v>
      </c>
      <c r="O137" s="49" t="s">
        <v>85</v>
      </c>
    </row>
    <row r="138" spans="10:15" ht="18" customHeight="1">
      <c r="J138" s="49" t="s">
        <v>86</v>
      </c>
      <c r="K138" s="62">
        <v>7631102</v>
      </c>
      <c r="L138" s="62" t="s">
        <v>176</v>
      </c>
      <c r="M138" s="62" t="str">
        <f t="shared" si="4"/>
        <v>MFG-7631102</v>
      </c>
      <c r="N138" s="62">
        <v>502</v>
      </c>
      <c r="O138" s="49" t="s">
        <v>88</v>
      </c>
    </row>
    <row r="139" spans="10:15" ht="18" customHeight="1">
      <c r="J139" s="49" t="s">
        <v>89</v>
      </c>
      <c r="K139" s="62">
        <v>7641101</v>
      </c>
      <c r="L139" s="62" t="s">
        <v>176</v>
      </c>
      <c r="M139" s="62" t="str">
        <f t="shared" si="4"/>
        <v>MFG-7641101</v>
      </c>
      <c r="N139" s="62">
        <v>401</v>
      </c>
      <c r="O139" s="49" t="s">
        <v>91</v>
      </c>
    </row>
    <row r="140" spans="10:15" ht="18" customHeight="1">
      <c r="J140" s="49" t="s">
        <v>92</v>
      </c>
      <c r="K140" s="62">
        <v>7641102</v>
      </c>
      <c r="L140" s="62" t="s">
        <v>176</v>
      </c>
      <c r="M140" s="62" t="str">
        <f t="shared" si="4"/>
        <v>MFG-7641102</v>
      </c>
      <c r="N140" s="62">
        <v>401</v>
      </c>
      <c r="O140" s="49" t="s">
        <v>93</v>
      </c>
    </row>
    <row r="141" spans="10:15" ht="18" customHeight="1">
      <c r="J141" s="49" t="s">
        <v>94</v>
      </c>
      <c r="K141" s="62">
        <v>7641103</v>
      </c>
      <c r="L141" s="62" t="s">
        <v>176</v>
      </c>
      <c r="M141" s="62" t="str">
        <f t="shared" si="4"/>
        <v>MFG-7641103</v>
      </c>
      <c r="N141" s="62">
        <v>902</v>
      </c>
      <c r="O141" s="49" t="s">
        <v>96</v>
      </c>
    </row>
    <row r="142" spans="10:15" ht="18" customHeight="1">
      <c r="J142" s="49" t="s">
        <v>97</v>
      </c>
      <c r="K142" s="62">
        <v>7641104</v>
      </c>
      <c r="L142" s="62" t="s">
        <v>176</v>
      </c>
      <c r="M142" s="62" t="str">
        <f t="shared" si="4"/>
        <v>MFG-7641104</v>
      </c>
      <c r="N142" s="62">
        <v>999</v>
      </c>
      <c r="O142" s="49" t="s">
        <v>98</v>
      </c>
    </row>
    <row r="143" spans="10:15" ht="18" customHeight="1">
      <c r="J143" s="49" t="s">
        <v>99</v>
      </c>
      <c r="K143" s="62">
        <v>7651101</v>
      </c>
      <c r="L143" s="62" t="s">
        <v>176</v>
      </c>
      <c r="M143" s="62" t="str">
        <f t="shared" si="4"/>
        <v>MFG-7651101</v>
      </c>
      <c r="N143" s="62">
        <v>903</v>
      </c>
      <c r="O143" s="49" t="s">
        <v>100</v>
      </c>
    </row>
    <row r="144" spans="10:15" ht="18" customHeight="1">
      <c r="J144" s="49" t="s">
        <v>101</v>
      </c>
      <c r="K144" s="62">
        <v>7651102</v>
      </c>
      <c r="L144" s="62" t="s">
        <v>176</v>
      </c>
      <c r="M144" s="62" t="str">
        <f t="shared" si="4"/>
        <v>MFG-7651102</v>
      </c>
      <c r="N144" s="62">
        <v>903</v>
      </c>
      <c r="O144" s="49" t="s">
        <v>102</v>
      </c>
    </row>
    <row r="145" spans="10:15" ht="18" customHeight="1">
      <c r="J145" s="49" t="s">
        <v>103</v>
      </c>
      <c r="K145" s="62">
        <v>7651103</v>
      </c>
      <c r="L145" s="62" t="s">
        <v>176</v>
      </c>
      <c r="M145" s="62" t="str">
        <f t="shared" si="4"/>
        <v>MFG-7651103</v>
      </c>
      <c r="N145" s="62">
        <v>903</v>
      </c>
      <c r="O145" s="49" t="s">
        <v>104</v>
      </c>
    </row>
    <row r="146" spans="10:15" ht="18" customHeight="1">
      <c r="J146" s="49" t="s">
        <v>105</v>
      </c>
      <c r="K146" s="62">
        <v>7661101</v>
      </c>
      <c r="L146" s="62" t="s">
        <v>176</v>
      </c>
      <c r="M146" s="62" t="str">
        <f t="shared" si="4"/>
        <v>MFG-7661101</v>
      </c>
      <c r="N146" s="62">
        <v>999</v>
      </c>
      <c r="O146" s="49" t="s">
        <v>107</v>
      </c>
    </row>
    <row r="147" spans="10:15" ht="18" customHeight="1">
      <c r="J147" s="49" t="s">
        <v>108</v>
      </c>
      <c r="K147" s="62">
        <v>7671102</v>
      </c>
      <c r="L147" s="62" t="s">
        <v>176</v>
      </c>
      <c r="M147" s="62" t="str">
        <f t="shared" si="4"/>
        <v>MFG-7671102</v>
      </c>
      <c r="N147" s="62">
        <v>999</v>
      </c>
      <c r="O147" s="49" t="s">
        <v>109</v>
      </c>
    </row>
    <row r="148" spans="10:15" ht="18" customHeight="1">
      <c r="J148" s="49" t="s">
        <v>110</v>
      </c>
      <c r="K148" s="62">
        <v>7671103</v>
      </c>
      <c r="L148" s="62" t="s">
        <v>176</v>
      </c>
      <c r="M148" s="62" t="str">
        <f t="shared" si="4"/>
        <v>MFG-7671103</v>
      </c>
      <c r="N148" s="62">
        <v>999</v>
      </c>
      <c r="O148" s="49" t="s">
        <v>111</v>
      </c>
    </row>
    <row r="149" spans="10:15" ht="18" customHeight="1">
      <c r="J149" s="49" t="s">
        <v>112</v>
      </c>
      <c r="K149" s="62">
        <v>7681101</v>
      </c>
      <c r="L149" s="62" t="s">
        <v>176</v>
      </c>
      <c r="M149" s="62" t="str">
        <f t="shared" si="4"/>
        <v>MFG-7681101</v>
      </c>
      <c r="N149" s="62">
        <v>999</v>
      </c>
      <c r="O149" s="49" t="s">
        <v>113</v>
      </c>
    </row>
    <row r="150" spans="10:15" ht="18" customHeight="1">
      <c r="J150" s="49" t="s">
        <v>114</v>
      </c>
      <c r="K150" s="62">
        <v>7691000</v>
      </c>
      <c r="L150" s="62" t="s">
        <v>176</v>
      </c>
      <c r="M150" s="62" t="str">
        <f t="shared" si="4"/>
        <v>MFG-7691000</v>
      </c>
      <c r="N150" s="62">
        <v>999</v>
      </c>
      <c r="O150" s="49" t="s">
        <v>115</v>
      </c>
    </row>
    <row r="151" spans="10:15" ht="18" customHeight="1">
      <c r="J151" s="49" t="s">
        <v>116</v>
      </c>
      <c r="K151" s="62">
        <v>7711101</v>
      </c>
      <c r="L151" s="62" t="s">
        <v>176</v>
      </c>
      <c r="M151" s="62" t="str">
        <f t="shared" si="4"/>
        <v>MFG-7711101</v>
      </c>
      <c r="N151" s="62">
        <v>999</v>
      </c>
      <c r="O151" s="49" t="s">
        <v>117</v>
      </c>
    </row>
    <row r="152" spans="10:15" ht="18" customHeight="1">
      <c r="J152" s="49" t="s">
        <v>118</v>
      </c>
      <c r="K152" s="62">
        <v>7711102</v>
      </c>
      <c r="L152" s="62" t="s">
        <v>176</v>
      </c>
      <c r="M152" s="62" t="str">
        <f t="shared" si="4"/>
        <v>MFG-7711102</v>
      </c>
      <c r="N152" s="62">
        <v>904</v>
      </c>
      <c r="O152" s="49" t="s">
        <v>120</v>
      </c>
    </row>
    <row r="153" spans="10:15" ht="18" customHeight="1">
      <c r="J153" s="49" t="s">
        <v>121</v>
      </c>
      <c r="K153" s="62">
        <v>7711103</v>
      </c>
      <c r="L153" s="62" t="s">
        <v>176</v>
      </c>
      <c r="M153" s="62" t="str">
        <f t="shared" si="4"/>
        <v>MFG-7711103</v>
      </c>
      <c r="N153" s="62">
        <v>999</v>
      </c>
      <c r="O153" s="49" t="s">
        <v>122</v>
      </c>
    </row>
    <row r="154" spans="10:15" ht="18" customHeight="1">
      <c r="J154" s="49" t="s">
        <v>325</v>
      </c>
      <c r="K154" s="62">
        <v>7721101</v>
      </c>
      <c r="L154" s="62" t="s">
        <v>176</v>
      </c>
      <c r="M154" s="62" t="str">
        <f t="shared" si="4"/>
        <v>MFG-7721101</v>
      </c>
      <c r="N154" s="62">
        <v>999</v>
      </c>
      <c r="O154" s="49" t="s">
        <v>326</v>
      </c>
    </row>
    <row r="155" spans="10:15" ht="18" customHeight="1">
      <c r="J155" s="49" t="s">
        <v>123</v>
      </c>
      <c r="K155" s="62">
        <v>7729101</v>
      </c>
      <c r="L155" s="62" t="s">
        <v>176</v>
      </c>
      <c r="M155" s="62" t="str">
        <f t="shared" si="4"/>
        <v>MFG-7729101</v>
      </c>
      <c r="N155" s="62">
        <v>905</v>
      </c>
      <c r="O155" s="49" t="s">
        <v>125</v>
      </c>
    </row>
    <row r="156" spans="10:15" ht="18" customHeight="1">
      <c r="J156" s="49" t="s">
        <v>126</v>
      </c>
      <c r="K156" s="62">
        <v>7729103</v>
      </c>
      <c r="L156" s="62" t="s">
        <v>176</v>
      </c>
      <c r="M156" s="62" t="str">
        <f t="shared" si="4"/>
        <v>MFG-7729103</v>
      </c>
      <c r="N156" s="62">
        <v>907</v>
      </c>
      <c r="O156" s="49" t="s">
        <v>128</v>
      </c>
    </row>
    <row r="157" spans="10:15" ht="18" customHeight="1">
      <c r="J157" s="49" t="s">
        <v>129</v>
      </c>
      <c r="K157" s="62">
        <v>7729105</v>
      </c>
      <c r="L157" s="62" t="s">
        <v>176</v>
      </c>
      <c r="M157" s="62" t="str">
        <f t="shared" si="4"/>
        <v>MFG-7729105</v>
      </c>
      <c r="N157" s="62">
        <v>999</v>
      </c>
      <c r="O157" s="49" t="s">
        <v>130</v>
      </c>
    </row>
    <row r="158" spans="10:15" ht="18" customHeight="1">
      <c r="J158" s="49" t="s">
        <v>131</v>
      </c>
      <c r="K158" s="62">
        <v>7781101</v>
      </c>
      <c r="L158" s="62" t="s">
        <v>176</v>
      </c>
      <c r="M158" s="62" t="str">
        <f t="shared" si="4"/>
        <v>MFG-7781101</v>
      </c>
      <c r="N158" s="62">
        <v>999</v>
      </c>
      <c r="O158" s="49" t="s">
        <v>132</v>
      </c>
    </row>
    <row r="159" spans="10:15" ht="18" customHeight="1">
      <c r="J159" s="49" t="s">
        <v>133</v>
      </c>
      <c r="K159" s="62">
        <v>7781103</v>
      </c>
      <c r="L159" s="62" t="s">
        <v>176</v>
      </c>
      <c r="M159" s="62" t="str">
        <f t="shared" si="4"/>
        <v>MFG-7781103</v>
      </c>
      <c r="N159" s="62">
        <v>999</v>
      </c>
      <c r="O159" s="49" t="s">
        <v>134</v>
      </c>
    </row>
    <row r="160" spans="10:15" ht="18" customHeight="1">
      <c r="J160" s="49" t="s">
        <v>135</v>
      </c>
      <c r="K160" s="62">
        <v>7781104</v>
      </c>
      <c r="L160" s="62" t="s">
        <v>176</v>
      </c>
      <c r="M160" s="62" t="str">
        <f t="shared" si="4"/>
        <v>MFG-7781104</v>
      </c>
      <c r="N160" s="62">
        <v>999</v>
      </c>
      <c r="O160" s="49" t="s">
        <v>136</v>
      </c>
    </row>
    <row r="161" spans="10:15" ht="18" customHeight="1">
      <c r="J161" s="49" t="s">
        <v>327</v>
      </c>
      <c r="K161" s="62">
        <v>7781105</v>
      </c>
      <c r="L161" s="62" t="s">
        <v>176</v>
      </c>
      <c r="M161" s="62" t="str">
        <f t="shared" si="4"/>
        <v>MFG-7781105</v>
      </c>
      <c r="N161" s="62">
        <v>999</v>
      </c>
      <c r="O161" s="49" t="s">
        <v>328</v>
      </c>
    </row>
    <row r="162" spans="10:15" ht="18" customHeight="1">
      <c r="J162" s="49" t="s">
        <v>329</v>
      </c>
      <c r="K162" s="62">
        <v>7781106</v>
      </c>
      <c r="L162" s="62" t="s">
        <v>176</v>
      </c>
      <c r="M162" s="62" t="str">
        <f t="shared" si="4"/>
        <v>MFG-7781106</v>
      </c>
      <c r="N162" s="62">
        <v>999</v>
      </c>
      <c r="O162" s="49" t="s">
        <v>330</v>
      </c>
    </row>
    <row r="163" spans="10:15" ht="18" customHeight="1">
      <c r="J163" s="49" t="s">
        <v>137</v>
      </c>
      <c r="K163" s="62">
        <v>7781107</v>
      </c>
      <c r="L163" s="62" t="s">
        <v>176</v>
      </c>
      <c r="M163" s="62" t="str">
        <f t="shared" si="4"/>
        <v>MFG-7781107</v>
      </c>
      <c r="N163" s="62">
        <v>906</v>
      </c>
      <c r="O163" s="49" t="s">
        <v>139</v>
      </c>
    </row>
    <row r="164" spans="10:15" ht="18" customHeight="1">
      <c r="J164" s="49" t="s">
        <v>140</v>
      </c>
      <c r="K164" s="62">
        <v>7781111</v>
      </c>
      <c r="L164" s="62" t="s">
        <v>176</v>
      </c>
      <c r="M164" s="62" t="str">
        <f t="shared" si="4"/>
        <v>MFG-7781111</v>
      </c>
      <c r="N164" s="62">
        <v>999</v>
      </c>
      <c r="O164" s="49" t="s">
        <v>141</v>
      </c>
    </row>
    <row r="165" spans="10:15" ht="18" customHeight="1">
      <c r="J165" s="49" t="s">
        <v>142</v>
      </c>
      <c r="K165" s="62">
        <v>7781112</v>
      </c>
      <c r="L165" s="62" t="s">
        <v>176</v>
      </c>
      <c r="M165" s="62" t="str">
        <f t="shared" si="4"/>
        <v>MFG-7781112</v>
      </c>
      <c r="N165" s="62">
        <v>999</v>
      </c>
      <c r="O165" s="49" t="s">
        <v>143</v>
      </c>
    </row>
    <row r="166" spans="10:15" ht="18" customHeight="1">
      <c r="J166" s="49" t="s">
        <v>144</v>
      </c>
      <c r="K166" s="62">
        <v>7781113</v>
      </c>
      <c r="L166" s="62" t="s">
        <v>176</v>
      </c>
      <c r="M166" s="62" t="str">
        <f t="shared" si="4"/>
        <v>MFG-7781113</v>
      </c>
      <c r="N166" s="62">
        <v>999</v>
      </c>
      <c r="O166" s="49" t="s">
        <v>145</v>
      </c>
    </row>
    <row r="167" spans="10:15" ht="18" customHeight="1">
      <c r="J167" s="49" t="s">
        <v>193</v>
      </c>
      <c r="K167" s="50">
        <v>8291101</v>
      </c>
      <c r="L167" s="51" t="s">
        <v>194</v>
      </c>
      <c r="M167" s="51" t="str">
        <f t="shared" si="4"/>
        <v>OTH-8291101</v>
      </c>
    </row>
    <row r="168" spans="10:15" ht="18" customHeight="1">
      <c r="J168" s="49" t="s">
        <v>195</v>
      </c>
      <c r="K168" s="50">
        <v>8291102</v>
      </c>
      <c r="L168" s="51" t="s">
        <v>194</v>
      </c>
      <c r="M168" s="51" t="str">
        <f t="shared" si="4"/>
        <v>OTH-8291102</v>
      </c>
    </row>
    <row r="169" spans="10:15" ht="18" customHeight="1">
      <c r="J169" s="49" t="s">
        <v>196</v>
      </c>
      <c r="K169" s="50">
        <v>8291201</v>
      </c>
      <c r="L169" s="51" t="s">
        <v>194</v>
      </c>
      <c r="M169" s="51" t="str">
        <f t="shared" si="4"/>
        <v>OTH-8291201</v>
      </c>
    </row>
    <row r="170" spans="10:15" ht="18" customHeight="1">
      <c r="J170" s="49" t="s">
        <v>197</v>
      </c>
      <c r="K170" s="50">
        <v>8291202</v>
      </c>
      <c r="L170" s="51" t="s">
        <v>194</v>
      </c>
      <c r="M170" s="51" t="str">
        <f t="shared" si="4"/>
        <v>OTH-8291202</v>
      </c>
    </row>
    <row r="171" spans="10:15" ht="18" customHeight="1">
      <c r="J171" s="49" t="s">
        <v>198</v>
      </c>
      <c r="K171" s="50">
        <v>8291203</v>
      </c>
      <c r="L171" s="51" t="s">
        <v>194</v>
      </c>
      <c r="M171" s="51" t="str">
        <f t="shared" si="4"/>
        <v>OTH-8291203</v>
      </c>
    </row>
    <row r="172" spans="10:15" ht="18" customHeight="1">
      <c r="J172" s="49" t="s">
        <v>199</v>
      </c>
      <c r="K172" s="50">
        <v>8191101</v>
      </c>
      <c r="L172" s="51" t="s">
        <v>194</v>
      </c>
      <c r="M172" s="51" t="str">
        <f t="shared" si="4"/>
        <v>OTH-8191101</v>
      </c>
    </row>
    <row r="173" spans="10:15" ht="18" customHeight="1">
      <c r="N173" s="64"/>
    </row>
  </sheetData>
  <phoneticPr fontId="24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1871-B522-4360-BDA4-9BF4A4426FC5}">
  <dimension ref="A1:S173"/>
  <sheetViews>
    <sheetView topLeftCell="E1" zoomScale="80" zoomScaleNormal="80" workbookViewId="0">
      <selection activeCell="AO2" sqref="AO2"/>
    </sheetView>
  </sheetViews>
  <sheetFormatPr defaultColWidth="8.85546875" defaultRowHeight="12.75"/>
  <cols>
    <col min="1" max="1" width="56.140625" style="49" bestFit="1" customWidth="1"/>
    <col min="2" max="2" width="10.5703125" style="50" bestFit="1" customWidth="1"/>
    <col min="3" max="3" width="12.5703125" style="51" bestFit="1" customWidth="1"/>
    <col min="4" max="4" width="12.42578125" style="51" bestFit="1" customWidth="1"/>
    <col min="5" max="5" width="13.85546875" style="51" bestFit="1" customWidth="1"/>
    <col min="6" max="6" width="50.7109375" style="49" hidden="1" customWidth="1"/>
    <col min="7" max="7" width="0.85546875" style="53" customWidth="1"/>
    <col min="8" max="8" width="28.5703125" style="49" bestFit="1" customWidth="1"/>
    <col min="9" max="9" width="11.42578125" style="50" bestFit="1" customWidth="1"/>
    <col min="10" max="10" width="15.85546875" style="49" bestFit="1" customWidth="1"/>
    <col min="11" max="11" width="19.42578125" style="49" bestFit="1" customWidth="1"/>
    <col min="12" max="12" width="28.5703125" style="49" bestFit="1" customWidth="1"/>
    <col min="13" max="13" width="0.85546875" style="53" customWidth="1"/>
    <col min="14" max="14" width="9.85546875" style="49" bestFit="1" customWidth="1"/>
    <col min="15" max="15" width="19.5703125" style="49" bestFit="1" customWidth="1"/>
    <col min="16" max="16" width="0.85546875" style="53" customWidth="1"/>
    <col min="17" max="17" width="18.42578125" style="29" bestFit="1" customWidth="1"/>
    <col min="18" max="18" width="19" style="30" bestFit="1" customWidth="1"/>
    <col min="19" max="19" width="72.5703125" style="31" bestFit="1" customWidth="1"/>
    <col min="20" max="16384" width="8.85546875" style="49"/>
  </cols>
  <sheetData>
    <row r="1" spans="1:19" s="48" customFormat="1" ht="60" customHeight="1">
      <c r="A1" s="39" t="s">
        <v>317</v>
      </c>
      <c r="B1" s="39" t="s">
        <v>1</v>
      </c>
      <c r="C1" s="40" t="s">
        <v>2</v>
      </c>
      <c r="D1" s="40" t="s">
        <v>3</v>
      </c>
      <c r="E1" s="40" t="s">
        <v>4</v>
      </c>
      <c r="F1" s="39" t="s">
        <v>5</v>
      </c>
      <c r="G1" s="41"/>
      <c r="H1" s="42" t="s">
        <v>0</v>
      </c>
      <c r="I1" s="42" t="s">
        <v>200</v>
      </c>
      <c r="J1" s="43" t="s">
        <v>201</v>
      </c>
      <c r="K1" s="43" t="s">
        <v>202</v>
      </c>
      <c r="L1" s="42" t="s">
        <v>0</v>
      </c>
      <c r="M1" s="44"/>
      <c r="N1" s="45" t="s">
        <v>203</v>
      </c>
      <c r="O1" s="45" t="s">
        <v>0</v>
      </c>
      <c r="P1" s="44"/>
      <c r="Q1" s="46" t="s">
        <v>314</v>
      </c>
      <c r="R1" s="46" t="s">
        <v>315</v>
      </c>
      <c r="S1" s="47" t="s">
        <v>5</v>
      </c>
    </row>
    <row r="2" spans="1:19" ht="18" customHeight="1">
      <c r="A2" s="49" t="s">
        <v>6</v>
      </c>
      <c r="B2" s="50">
        <v>7511101</v>
      </c>
      <c r="C2" s="51" t="s">
        <v>7</v>
      </c>
      <c r="D2" s="52" t="str">
        <f t="shared" ref="D2:D65" si="0">C2&amp;"-"&amp;B2</f>
        <v>SGA-7511101</v>
      </c>
      <c r="E2" s="51" t="s">
        <v>8</v>
      </c>
      <c r="F2" s="49" t="s">
        <v>6</v>
      </c>
      <c r="H2" s="18" t="s">
        <v>208</v>
      </c>
      <c r="I2" s="19" t="s">
        <v>209</v>
      </c>
      <c r="J2" s="54" t="s">
        <v>7</v>
      </c>
      <c r="K2" s="55" t="s">
        <v>210</v>
      </c>
      <c r="L2" s="55" t="str">
        <f>H2</f>
        <v>Top Management</v>
      </c>
      <c r="N2" s="55">
        <v>53450</v>
      </c>
      <c r="O2" s="55" t="s">
        <v>211</v>
      </c>
      <c r="Q2" s="34" t="s">
        <v>305</v>
      </c>
      <c r="R2" s="35" t="s">
        <v>306</v>
      </c>
      <c r="S2" s="33" t="s">
        <v>307</v>
      </c>
    </row>
    <row r="3" spans="1:19" ht="18" customHeight="1">
      <c r="A3" s="49" t="s">
        <v>9</v>
      </c>
      <c r="B3" s="50">
        <v>7511102</v>
      </c>
      <c r="C3" s="51" t="s">
        <v>7</v>
      </c>
      <c r="D3" s="52" t="str">
        <f t="shared" si="0"/>
        <v>SGA-7511102</v>
      </c>
      <c r="E3" s="51" t="s">
        <v>8</v>
      </c>
      <c r="F3" s="49" t="s">
        <v>10</v>
      </c>
      <c r="H3" s="18" t="s">
        <v>213</v>
      </c>
      <c r="I3" s="19" t="s">
        <v>214</v>
      </c>
      <c r="J3" s="54" t="s">
        <v>7</v>
      </c>
      <c r="K3" s="55" t="s">
        <v>210</v>
      </c>
      <c r="L3" s="55" t="str">
        <f t="shared" ref="L3:L43" si="1">H3</f>
        <v>Commissioner</v>
      </c>
      <c r="N3" s="55"/>
      <c r="O3" s="55"/>
      <c r="Q3" s="34" t="s">
        <v>308</v>
      </c>
      <c r="R3" s="35" t="s">
        <v>309</v>
      </c>
      <c r="S3" s="33" t="s">
        <v>310</v>
      </c>
    </row>
    <row r="4" spans="1:19" ht="18" customHeight="1">
      <c r="A4" s="49" t="s">
        <v>11</v>
      </c>
      <c r="B4" s="50">
        <v>7511103</v>
      </c>
      <c r="C4" s="51" t="s">
        <v>7</v>
      </c>
      <c r="D4" s="52" t="str">
        <f t="shared" si="0"/>
        <v>SGA-7511103</v>
      </c>
      <c r="E4" s="51" t="s">
        <v>12</v>
      </c>
      <c r="F4" s="49" t="s">
        <v>13</v>
      </c>
      <c r="H4" s="18" t="s">
        <v>215</v>
      </c>
      <c r="I4" s="19" t="s">
        <v>216</v>
      </c>
      <c r="J4" s="54" t="s">
        <v>7</v>
      </c>
      <c r="K4" s="55" t="s">
        <v>210</v>
      </c>
      <c r="L4" s="55" t="str">
        <f t="shared" si="1"/>
        <v>Admin &amp; HR</v>
      </c>
      <c r="N4" s="55"/>
      <c r="O4" s="55"/>
      <c r="Q4" s="34" t="s">
        <v>311</v>
      </c>
      <c r="R4" s="35" t="s">
        <v>312</v>
      </c>
      <c r="S4" s="33" t="s">
        <v>313</v>
      </c>
    </row>
    <row r="5" spans="1:19" ht="18" customHeight="1">
      <c r="A5" s="49" t="s">
        <v>14</v>
      </c>
      <c r="B5" s="50">
        <v>7511111</v>
      </c>
      <c r="C5" s="51" t="s">
        <v>7</v>
      </c>
      <c r="D5" s="52" t="str">
        <f t="shared" si="0"/>
        <v>SGA-7511111</v>
      </c>
      <c r="E5" s="51" t="s">
        <v>12</v>
      </c>
      <c r="F5" s="49" t="s">
        <v>15</v>
      </c>
      <c r="H5" s="18" t="s">
        <v>218</v>
      </c>
      <c r="I5" s="19" t="s">
        <v>219</v>
      </c>
      <c r="J5" s="54" t="s">
        <v>7</v>
      </c>
      <c r="K5" s="55" t="s">
        <v>210</v>
      </c>
      <c r="L5" s="55" t="str">
        <f t="shared" si="1"/>
        <v>General Affair</v>
      </c>
    </row>
    <row r="6" spans="1:19" ht="18" customHeight="1">
      <c r="A6" s="49" t="s">
        <v>16</v>
      </c>
      <c r="B6" s="50">
        <v>7511112</v>
      </c>
      <c r="C6" s="51" t="s">
        <v>7</v>
      </c>
      <c r="D6" s="52" t="str">
        <f t="shared" si="0"/>
        <v>SGA-7511112</v>
      </c>
      <c r="E6" s="51" t="s">
        <v>12</v>
      </c>
      <c r="F6" s="49" t="s">
        <v>17</v>
      </c>
      <c r="H6" s="18" t="s">
        <v>221</v>
      </c>
      <c r="I6" s="19" t="s">
        <v>222</v>
      </c>
      <c r="J6" s="54" t="s">
        <v>7</v>
      </c>
      <c r="K6" s="55" t="s">
        <v>210</v>
      </c>
      <c r="L6" s="55" t="str">
        <f t="shared" si="1"/>
        <v>Human Resource</v>
      </c>
    </row>
    <row r="7" spans="1:19" ht="18" customHeight="1">
      <c r="A7" s="49" t="s">
        <v>18</v>
      </c>
      <c r="B7" s="50">
        <v>7511121</v>
      </c>
      <c r="C7" s="51" t="s">
        <v>7</v>
      </c>
      <c r="D7" s="52" t="str">
        <f t="shared" si="0"/>
        <v>SGA-7511121</v>
      </c>
      <c r="E7" s="51" t="s">
        <v>12</v>
      </c>
      <c r="F7" s="49" t="s">
        <v>19</v>
      </c>
      <c r="H7" s="18" t="s">
        <v>224</v>
      </c>
      <c r="I7" s="19" t="s">
        <v>225</v>
      </c>
      <c r="J7" s="54" t="s">
        <v>7</v>
      </c>
      <c r="K7" s="55" t="s">
        <v>210</v>
      </c>
      <c r="L7" s="55" t="str">
        <f t="shared" si="1"/>
        <v>Health, Safety &amp; Environment</v>
      </c>
    </row>
    <row r="8" spans="1:19" ht="18" customHeight="1">
      <c r="A8" s="49" t="s">
        <v>20</v>
      </c>
      <c r="B8" s="50">
        <v>7511122</v>
      </c>
      <c r="C8" s="51" t="s">
        <v>7</v>
      </c>
      <c r="D8" s="52" t="str">
        <f t="shared" si="0"/>
        <v>SGA-7511122</v>
      </c>
      <c r="E8" s="51" t="s">
        <v>12</v>
      </c>
      <c r="F8" s="49" t="s">
        <v>21</v>
      </c>
      <c r="H8" s="18" t="s">
        <v>226</v>
      </c>
      <c r="I8" s="19" t="s">
        <v>227</v>
      </c>
      <c r="J8" s="54" t="s">
        <v>7</v>
      </c>
      <c r="K8" s="55" t="s">
        <v>210</v>
      </c>
      <c r="L8" s="55" t="str">
        <f t="shared" si="1"/>
        <v>Accounting &amp; Finance</v>
      </c>
    </row>
    <row r="9" spans="1:19" ht="18" customHeight="1">
      <c r="A9" s="49" t="s">
        <v>22</v>
      </c>
      <c r="B9" s="50">
        <v>7511201</v>
      </c>
      <c r="C9" s="51" t="s">
        <v>7</v>
      </c>
      <c r="D9" s="52" t="str">
        <f t="shared" si="0"/>
        <v>SGA-7511201</v>
      </c>
      <c r="E9" s="51" t="s">
        <v>23</v>
      </c>
      <c r="F9" s="49" t="s">
        <v>24</v>
      </c>
      <c r="H9" s="18" t="s">
        <v>228</v>
      </c>
      <c r="I9" s="19" t="s">
        <v>229</v>
      </c>
      <c r="J9" s="54" t="s">
        <v>7</v>
      </c>
      <c r="K9" s="55" t="s">
        <v>210</v>
      </c>
      <c r="L9" s="55" t="str">
        <f t="shared" si="1"/>
        <v>Information Technology</v>
      </c>
    </row>
    <row r="10" spans="1:19" ht="18" customHeight="1">
      <c r="A10" s="49" t="s">
        <v>25</v>
      </c>
      <c r="B10" s="50">
        <v>7512111</v>
      </c>
      <c r="C10" s="51" t="s">
        <v>7</v>
      </c>
      <c r="D10" s="52" t="str">
        <f t="shared" si="0"/>
        <v>SGA-7512111</v>
      </c>
      <c r="E10" s="51" t="s">
        <v>26</v>
      </c>
      <c r="F10" s="49" t="s">
        <v>27</v>
      </c>
      <c r="H10" s="18" t="s">
        <v>230</v>
      </c>
      <c r="I10" s="19" t="s">
        <v>231</v>
      </c>
      <c r="J10" s="54" t="s">
        <v>7</v>
      </c>
      <c r="K10" s="55" t="s">
        <v>210</v>
      </c>
      <c r="L10" s="55" t="str">
        <f t="shared" si="1"/>
        <v>Sales &amp; MKTG Dept.- Automotive</v>
      </c>
    </row>
    <row r="11" spans="1:19" ht="18" customHeight="1">
      <c r="A11" s="49" t="s">
        <v>28</v>
      </c>
      <c r="B11" s="50">
        <v>7512112</v>
      </c>
      <c r="C11" s="51" t="s">
        <v>7</v>
      </c>
      <c r="D11" s="52" t="str">
        <f t="shared" si="0"/>
        <v>SGA-7512112</v>
      </c>
      <c r="E11" s="51" t="s">
        <v>26</v>
      </c>
      <c r="F11" s="49" t="s">
        <v>29</v>
      </c>
      <c r="H11" s="18" t="s">
        <v>232</v>
      </c>
      <c r="I11" s="19" t="s">
        <v>233</v>
      </c>
      <c r="J11" s="54" t="s">
        <v>7</v>
      </c>
      <c r="K11" s="55" t="s">
        <v>210</v>
      </c>
      <c r="L11" s="55" t="str">
        <f t="shared" si="1"/>
        <v>Marketing</v>
      </c>
    </row>
    <row r="12" spans="1:19" ht="18" customHeight="1">
      <c r="A12" s="49" t="s">
        <v>30</v>
      </c>
      <c r="B12" s="50">
        <v>7514101</v>
      </c>
      <c r="C12" s="51" t="s">
        <v>7</v>
      </c>
      <c r="D12" s="52" t="str">
        <f t="shared" si="0"/>
        <v>SGA-7514101</v>
      </c>
      <c r="E12" s="51" t="s">
        <v>12</v>
      </c>
      <c r="F12" s="49" t="s">
        <v>31</v>
      </c>
      <c r="H12" s="18" t="s">
        <v>234</v>
      </c>
      <c r="I12" s="19" t="s">
        <v>235</v>
      </c>
      <c r="J12" s="54" t="s">
        <v>7</v>
      </c>
      <c r="K12" s="55" t="s">
        <v>210</v>
      </c>
      <c r="L12" s="55" t="str">
        <f t="shared" si="1"/>
        <v>Sales - OEM</v>
      </c>
    </row>
    <row r="13" spans="1:19" ht="18" customHeight="1">
      <c r="A13" s="49" t="s">
        <v>32</v>
      </c>
      <c r="B13" s="50">
        <v>7514102</v>
      </c>
      <c r="C13" s="51" t="s">
        <v>7</v>
      </c>
      <c r="D13" s="52" t="str">
        <f t="shared" si="0"/>
        <v>SGA-7514102</v>
      </c>
      <c r="E13" s="51" t="s">
        <v>12</v>
      </c>
      <c r="F13" s="49" t="s">
        <v>33</v>
      </c>
      <c r="H13" s="18" t="s">
        <v>236</v>
      </c>
      <c r="I13" s="19" t="s">
        <v>237</v>
      </c>
      <c r="J13" s="54" t="s">
        <v>7</v>
      </c>
      <c r="K13" s="55" t="s">
        <v>210</v>
      </c>
      <c r="L13" s="55" t="str">
        <f t="shared" si="1"/>
        <v>Sales - OES</v>
      </c>
    </row>
    <row r="14" spans="1:19" ht="18" customHeight="1">
      <c r="A14" s="49" t="s">
        <v>34</v>
      </c>
      <c r="B14" s="50">
        <v>7515401</v>
      </c>
      <c r="C14" s="51" t="s">
        <v>7</v>
      </c>
      <c r="D14" s="52" t="str">
        <f t="shared" si="0"/>
        <v>SGA-7515401</v>
      </c>
      <c r="E14" s="51" t="s">
        <v>26</v>
      </c>
      <c r="F14" s="49" t="s">
        <v>35</v>
      </c>
      <c r="H14" s="18" t="s">
        <v>238</v>
      </c>
      <c r="I14" s="19" t="s">
        <v>239</v>
      </c>
      <c r="J14" s="54" t="s">
        <v>7</v>
      </c>
      <c r="K14" s="55" t="s">
        <v>210</v>
      </c>
      <c r="L14" s="55" t="str">
        <f t="shared" si="1"/>
        <v>Sales - IAM</v>
      </c>
    </row>
    <row r="15" spans="1:19" ht="18" customHeight="1">
      <c r="A15" s="49" t="s">
        <v>36</v>
      </c>
      <c r="B15" s="50">
        <v>7515402</v>
      </c>
      <c r="C15" s="51" t="s">
        <v>7</v>
      </c>
      <c r="D15" s="52" t="str">
        <f t="shared" si="0"/>
        <v>SGA-7515402</v>
      </c>
      <c r="E15" s="51" t="s">
        <v>26</v>
      </c>
      <c r="F15" s="49" t="s">
        <v>37</v>
      </c>
      <c r="H15" s="18" t="s">
        <v>355</v>
      </c>
      <c r="I15" s="19" t="s">
        <v>356</v>
      </c>
      <c r="J15" s="54" t="s">
        <v>7</v>
      </c>
      <c r="K15" s="55" t="s">
        <v>210</v>
      </c>
      <c r="L15" s="55" t="s">
        <v>355</v>
      </c>
    </row>
    <row r="16" spans="1:19" ht="18" customHeight="1">
      <c r="A16" s="49" t="s">
        <v>38</v>
      </c>
      <c r="B16" s="50">
        <v>7515403</v>
      </c>
      <c r="C16" s="51" t="s">
        <v>7</v>
      </c>
      <c r="D16" s="52" t="str">
        <f t="shared" si="0"/>
        <v>SGA-7515403</v>
      </c>
      <c r="E16" s="51" t="s">
        <v>26</v>
      </c>
      <c r="F16" s="49" t="s">
        <v>39</v>
      </c>
      <c r="H16" s="18" t="s">
        <v>240</v>
      </c>
      <c r="I16" s="19" t="s">
        <v>241</v>
      </c>
      <c r="J16" s="55" t="s">
        <v>176</v>
      </c>
      <c r="K16" s="55" t="s">
        <v>242</v>
      </c>
      <c r="L16" s="55" t="str">
        <f t="shared" si="1"/>
        <v>SP PD- CF</v>
      </c>
    </row>
    <row r="17" spans="1:12" ht="18" customHeight="1">
      <c r="A17" s="49" t="s">
        <v>40</v>
      </c>
      <c r="B17" s="50">
        <v>7515404</v>
      </c>
      <c r="C17" s="51" t="s">
        <v>7</v>
      </c>
      <c r="D17" s="52" t="str">
        <f t="shared" si="0"/>
        <v>SGA-7515404</v>
      </c>
      <c r="E17" s="51" t="s">
        <v>26</v>
      </c>
      <c r="F17" s="49" t="s">
        <v>41</v>
      </c>
      <c r="H17" s="18" t="s">
        <v>243</v>
      </c>
      <c r="I17" s="19" t="s">
        <v>244</v>
      </c>
      <c r="J17" s="55" t="s">
        <v>176</v>
      </c>
      <c r="K17" s="55" t="s">
        <v>242</v>
      </c>
      <c r="L17" s="55" t="str">
        <f t="shared" si="1"/>
        <v>SP PD- CM</v>
      </c>
    </row>
    <row r="18" spans="1:12" ht="18" customHeight="1">
      <c r="A18" s="49" t="s">
        <v>42</v>
      </c>
      <c r="B18" s="50">
        <v>7515405</v>
      </c>
      <c r="C18" s="51" t="s">
        <v>7</v>
      </c>
      <c r="D18" s="52" t="str">
        <f t="shared" si="0"/>
        <v>SGA-7515405</v>
      </c>
      <c r="E18" s="51" t="s">
        <v>26</v>
      </c>
      <c r="F18" s="49" t="s">
        <v>43</v>
      </c>
      <c r="H18" s="56" t="s">
        <v>245</v>
      </c>
      <c r="I18" s="19" t="s">
        <v>246</v>
      </c>
      <c r="J18" s="55" t="s">
        <v>176</v>
      </c>
      <c r="K18" s="55" t="s">
        <v>242</v>
      </c>
      <c r="L18" s="55" t="str">
        <f t="shared" si="1"/>
        <v>SP PD- WT</v>
      </c>
    </row>
    <row r="19" spans="1:12" ht="18" customHeight="1">
      <c r="A19" s="49" t="s">
        <v>44</v>
      </c>
      <c r="B19" s="50">
        <v>7515406</v>
      </c>
      <c r="C19" s="51" t="s">
        <v>7</v>
      </c>
      <c r="D19" s="52" t="str">
        <f t="shared" si="0"/>
        <v>SGA-7515406</v>
      </c>
      <c r="E19" s="51" t="s">
        <v>26</v>
      </c>
      <c r="F19" s="49" t="s">
        <v>45</v>
      </c>
      <c r="H19" s="56" t="s">
        <v>247</v>
      </c>
      <c r="I19" s="19" t="s">
        <v>248</v>
      </c>
      <c r="J19" s="55" t="s">
        <v>176</v>
      </c>
      <c r="K19" s="55" t="s">
        <v>242</v>
      </c>
      <c r="L19" s="55" t="str">
        <f t="shared" si="1"/>
        <v>SP PD- Plating</v>
      </c>
    </row>
    <row r="20" spans="1:12" ht="18" customHeight="1">
      <c r="A20" s="49" t="s">
        <v>318</v>
      </c>
      <c r="B20" s="50">
        <v>7515407</v>
      </c>
      <c r="C20" s="51" t="s">
        <v>7</v>
      </c>
      <c r="D20" s="52" t="str">
        <f t="shared" si="0"/>
        <v>SGA-7515407</v>
      </c>
      <c r="E20" s="51" t="s">
        <v>26</v>
      </c>
      <c r="H20" s="56" t="s">
        <v>249</v>
      </c>
      <c r="I20" s="19" t="s">
        <v>250</v>
      </c>
      <c r="J20" s="55" t="s">
        <v>176</v>
      </c>
      <c r="K20" s="55" t="s">
        <v>242</v>
      </c>
      <c r="L20" s="55" t="str">
        <f t="shared" si="1"/>
        <v>SP PD- MS Insp.</v>
      </c>
    </row>
    <row r="21" spans="1:12" ht="18" customHeight="1">
      <c r="A21" s="49" t="s">
        <v>46</v>
      </c>
      <c r="B21" s="50">
        <v>7515408</v>
      </c>
      <c r="C21" s="51" t="s">
        <v>7</v>
      </c>
      <c r="D21" s="52" t="str">
        <f t="shared" si="0"/>
        <v>SGA-7515408</v>
      </c>
      <c r="E21" s="51" t="s">
        <v>26</v>
      </c>
      <c r="F21" s="49" t="s">
        <v>47</v>
      </c>
      <c r="H21" s="56" t="s">
        <v>251</v>
      </c>
      <c r="I21" s="19" t="s">
        <v>357</v>
      </c>
      <c r="J21" s="55" t="s">
        <v>176</v>
      </c>
      <c r="K21" s="55" t="s">
        <v>242</v>
      </c>
      <c r="L21" s="55" t="str">
        <f t="shared" si="1"/>
        <v>SP PD- Insulator Sealing</v>
      </c>
    </row>
    <row r="22" spans="1:12" ht="18" customHeight="1">
      <c r="A22" s="49" t="s">
        <v>48</v>
      </c>
      <c r="B22" s="50">
        <v>7515409</v>
      </c>
      <c r="C22" s="51" t="s">
        <v>7</v>
      </c>
      <c r="D22" s="52" t="str">
        <f t="shared" si="0"/>
        <v>SGA-7515409</v>
      </c>
      <c r="E22" s="51" t="s">
        <v>26</v>
      </c>
      <c r="F22" s="49" t="s">
        <v>49</v>
      </c>
      <c r="H22" s="56" t="s">
        <v>253</v>
      </c>
      <c r="I22" s="19" t="s">
        <v>254</v>
      </c>
      <c r="J22" s="55" t="s">
        <v>176</v>
      </c>
      <c r="K22" s="55" t="s">
        <v>242</v>
      </c>
      <c r="L22" s="55" t="str">
        <f t="shared" si="1"/>
        <v>SP PD- Assy</v>
      </c>
    </row>
    <row r="23" spans="1:12" ht="18" customHeight="1">
      <c r="A23" s="49" t="s">
        <v>50</v>
      </c>
      <c r="B23" s="50">
        <v>7515410</v>
      </c>
      <c r="C23" s="51" t="s">
        <v>7</v>
      </c>
      <c r="D23" s="52" t="str">
        <f t="shared" si="0"/>
        <v>SGA-7515410</v>
      </c>
      <c r="E23" s="51" t="s">
        <v>26</v>
      </c>
      <c r="F23" s="49" t="s">
        <v>51</v>
      </c>
      <c r="H23" s="56" t="s">
        <v>255</v>
      </c>
      <c r="I23" s="19" t="s">
        <v>256</v>
      </c>
      <c r="J23" s="55" t="s">
        <v>176</v>
      </c>
      <c r="K23" s="55" t="s">
        <v>242</v>
      </c>
      <c r="L23" s="55" t="str">
        <f t="shared" si="1"/>
        <v>SP-PD-Assy-Auto Assembly</v>
      </c>
    </row>
    <row r="24" spans="1:12" ht="18" customHeight="1">
      <c r="A24" s="49" t="s">
        <v>52</v>
      </c>
      <c r="B24" s="50">
        <v>7515499</v>
      </c>
      <c r="C24" s="51" t="s">
        <v>7</v>
      </c>
      <c r="D24" s="52" t="str">
        <f t="shared" si="0"/>
        <v>SGA-7515499</v>
      </c>
      <c r="E24" s="51" t="s">
        <v>26</v>
      </c>
      <c r="F24" s="49" t="s">
        <v>53</v>
      </c>
      <c r="H24" s="56" t="s">
        <v>257</v>
      </c>
      <c r="I24" s="19" t="s">
        <v>258</v>
      </c>
      <c r="J24" s="55" t="s">
        <v>176</v>
      </c>
      <c r="K24" s="55" t="s">
        <v>242</v>
      </c>
      <c r="L24" s="55" t="str">
        <f t="shared" si="1"/>
        <v>SP PD- Bending</v>
      </c>
    </row>
    <row r="25" spans="1:12" ht="18" customHeight="1">
      <c r="A25" s="49" t="s">
        <v>54</v>
      </c>
      <c r="B25" s="50">
        <v>7516102</v>
      </c>
      <c r="C25" s="51" t="s">
        <v>7</v>
      </c>
      <c r="D25" s="52" t="str">
        <f t="shared" si="0"/>
        <v>SGA-7516102</v>
      </c>
      <c r="E25" s="51" t="s">
        <v>55</v>
      </c>
      <c r="F25" s="49" t="s">
        <v>56</v>
      </c>
      <c r="H25" s="56" t="s">
        <v>259</v>
      </c>
      <c r="I25" s="19" t="s">
        <v>260</v>
      </c>
      <c r="J25" s="55" t="s">
        <v>176</v>
      </c>
      <c r="K25" s="55" t="s">
        <v>242</v>
      </c>
      <c r="L25" s="55" t="str">
        <f t="shared" si="1"/>
        <v>SP PD- Final Inspection</v>
      </c>
    </row>
    <row r="26" spans="1:12" ht="18" customHeight="1">
      <c r="A26" s="49" t="s">
        <v>57</v>
      </c>
      <c r="B26" s="50">
        <v>7519101</v>
      </c>
      <c r="C26" s="51" t="s">
        <v>7</v>
      </c>
      <c r="D26" s="52" t="str">
        <f t="shared" si="0"/>
        <v>SGA-7519101</v>
      </c>
      <c r="E26" s="51" t="s">
        <v>8</v>
      </c>
      <c r="F26" s="49" t="s">
        <v>58</v>
      </c>
      <c r="H26" s="56" t="s">
        <v>261</v>
      </c>
      <c r="I26" s="19" t="s">
        <v>262</v>
      </c>
      <c r="J26" s="55" t="s">
        <v>176</v>
      </c>
      <c r="K26" s="55" t="s">
        <v>242</v>
      </c>
      <c r="L26" s="55" t="str">
        <f t="shared" si="1"/>
        <v>SP PD- QC - OEM</v>
      </c>
    </row>
    <row r="27" spans="1:12" ht="18" customHeight="1">
      <c r="A27" s="49" t="s">
        <v>59</v>
      </c>
      <c r="B27" s="50">
        <v>7521101</v>
      </c>
      <c r="C27" s="51" t="s">
        <v>7</v>
      </c>
      <c r="D27" s="52" t="str">
        <f t="shared" si="0"/>
        <v>SGA-7521101</v>
      </c>
      <c r="E27" s="51" t="s">
        <v>12</v>
      </c>
      <c r="F27" s="49" t="s">
        <v>60</v>
      </c>
      <c r="H27" s="56" t="s">
        <v>263</v>
      </c>
      <c r="I27" s="19" t="s">
        <v>264</v>
      </c>
      <c r="J27" s="55" t="s">
        <v>176</v>
      </c>
      <c r="K27" s="55" t="s">
        <v>242</v>
      </c>
      <c r="L27" s="55" t="str">
        <f t="shared" si="1"/>
        <v>PC PD- Injection</v>
      </c>
    </row>
    <row r="28" spans="1:12" ht="18" customHeight="1">
      <c r="A28" s="49" t="s">
        <v>61</v>
      </c>
      <c r="B28" s="50">
        <v>7521102</v>
      </c>
      <c r="C28" s="51" t="s">
        <v>7</v>
      </c>
      <c r="D28" s="52" t="str">
        <f t="shared" si="0"/>
        <v>SGA-7521102</v>
      </c>
      <c r="E28" s="51" t="s">
        <v>23</v>
      </c>
      <c r="F28" s="49" t="s">
        <v>62</v>
      </c>
      <c r="H28" s="56" t="s">
        <v>265</v>
      </c>
      <c r="I28" s="19" t="s">
        <v>266</v>
      </c>
      <c r="J28" s="55" t="s">
        <v>176</v>
      </c>
      <c r="K28" s="55" t="s">
        <v>242</v>
      </c>
      <c r="L28" s="55" t="str">
        <f t="shared" si="1"/>
        <v>PC PD- Assy</v>
      </c>
    </row>
    <row r="29" spans="1:12" ht="18" customHeight="1">
      <c r="A29" s="49" t="s">
        <v>63</v>
      </c>
      <c r="B29" s="50">
        <v>7571101</v>
      </c>
      <c r="C29" s="51" t="s">
        <v>7</v>
      </c>
      <c r="D29" s="52" t="str">
        <f t="shared" si="0"/>
        <v>SGA-7571101</v>
      </c>
      <c r="E29" s="51" t="s">
        <v>64</v>
      </c>
      <c r="F29" s="49" t="s">
        <v>65</v>
      </c>
      <c r="H29" s="56" t="s">
        <v>267</v>
      </c>
      <c r="I29" s="19" t="s">
        <v>268</v>
      </c>
      <c r="J29" s="55" t="s">
        <v>176</v>
      </c>
      <c r="K29" s="55" t="s">
        <v>242</v>
      </c>
      <c r="L29" s="55" t="str">
        <f t="shared" si="1"/>
        <v>PC PD- QC</v>
      </c>
    </row>
    <row r="30" spans="1:12" ht="18" customHeight="1">
      <c r="A30" s="49" t="s">
        <v>66</v>
      </c>
      <c r="B30" s="50">
        <v>7611100</v>
      </c>
      <c r="C30" s="51" t="s">
        <v>7</v>
      </c>
      <c r="D30" s="52" t="str">
        <f t="shared" si="0"/>
        <v>SGA-7611100</v>
      </c>
      <c r="E30" s="51" t="s">
        <v>67</v>
      </c>
      <c r="F30" s="49" t="s">
        <v>68</v>
      </c>
      <c r="H30" s="56" t="s">
        <v>269</v>
      </c>
      <c r="I30" s="19" t="s">
        <v>270</v>
      </c>
      <c r="J30" s="55" t="s">
        <v>176</v>
      </c>
      <c r="K30" s="55" t="s">
        <v>271</v>
      </c>
      <c r="L30" s="55" t="str">
        <f t="shared" si="1"/>
        <v>Plant Operation (Indirect Mfg)</v>
      </c>
    </row>
    <row r="31" spans="1:12" ht="18" customHeight="1">
      <c r="A31" s="49" t="s">
        <v>69</v>
      </c>
      <c r="B31" s="50">
        <v>7611300</v>
      </c>
      <c r="C31" s="51" t="s">
        <v>7</v>
      </c>
      <c r="D31" s="52" t="str">
        <f t="shared" si="0"/>
        <v>SGA-7611300</v>
      </c>
      <c r="E31" s="51" t="s">
        <v>67</v>
      </c>
      <c r="F31" s="49" t="s">
        <v>70</v>
      </c>
      <c r="H31" s="56" t="s">
        <v>272</v>
      </c>
      <c r="I31" s="19" t="s">
        <v>273</v>
      </c>
      <c r="J31" s="55" t="s">
        <v>176</v>
      </c>
      <c r="K31" s="55" t="s">
        <v>271</v>
      </c>
      <c r="L31" s="55" t="str">
        <f t="shared" si="1"/>
        <v>Production Office</v>
      </c>
    </row>
    <row r="32" spans="1:12" ht="18" customHeight="1">
      <c r="A32" s="49" t="s">
        <v>319</v>
      </c>
      <c r="B32" s="50">
        <v>7611400</v>
      </c>
      <c r="C32" s="51" t="s">
        <v>7</v>
      </c>
      <c r="D32" s="52" t="str">
        <f t="shared" si="0"/>
        <v>SGA-7611400</v>
      </c>
      <c r="E32" s="51" t="s">
        <v>67</v>
      </c>
      <c r="F32" s="49" t="s">
        <v>320</v>
      </c>
      <c r="H32" s="56" t="s">
        <v>274</v>
      </c>
      <c r="I32" s="19" t="s">
        <v>275</v>
      </c>
      <c r="J32" s="55" t="s">
        <v>176</v>
      </c>
      <c r="K32" s="55" t="s">
        <v>271</v>
      </c>
      <c r="L32" s="55" t="str">
        <f t="shared" si="1"/>
        <v>Production Office (SP)</v>
      </c>
    </row>
    <row r="33" spans="1:12" ht="18" customHeight="1">
      <c r="A33" s="49" t="s">
        <v>71</v>
      </c>
      <c r="B33" s="50">
        <v>7611500</v>
      </c>
      <c r="C33" s="51" t="s">
        <v>7</v>
      </c>
      <c r="D33" s="52" t="str">
        <f t="shared" si="0"/>
        <v>SGA-7611500</v>
      </c>
      <c r="E33" s="51" t="s">
        <v>67</v>
      </c>
      <c r="F33" s="49" t="s">
        <v>72</v>
      </c>
      <c r="H33" s="56" t="s">
        <v>276</v>
      </c>
      <c r="I33" s="19" t="s">
        <v>277</v>
      </c>
      <c r="J33" s="55" t="s">
        <v>176</v>
      </c>
      <c r="K33" s="55" t="s">
        <v>271</v>
      </c>
      <c r="L33" s="55" t="str">
        <f t="shared" si="1"/>
        <v>Production Office (PC)</v>
      </c>
    </row>
    <row r="34" spans="1:12" ht="18" customHeight="1">
      <c r="A34" s="49" t="s">
        <v>73</v>
      </c>
      <c r="B34" s="50">
        <v>7611600</v>
      </c>
      <c r="C34" s="51" t="s">
        <v>7</v>
      </c>
      <c r="D34" s="52" t="str">
        <f t="shared" si="0"/>
        <v>SGA-7611600</v>
      </c>
      <c r="E34" s="51" t="s">
        <v>67</v>
      </c>
      <c r="F34" s="49" t="s">
        <v>74</v>
      </c>
      <c r="H34" s="56" t="s">
        <v>278</v>
      </c>
      <c r="I34" s="19" t="s">
        <v>279</v>
      </c>
      <c r="J34" s="55" t="s">
        <v>176</v>
      </c>
      <c r="K34" s="55" t="s">
        <v>271</v>
      </c>
      <c r="L34" s="55" t="str">
        <f t="shared" si="1"/>
        <v>Quality Assurance</v>
      </c>
    </row>
    <row r="35" spans="1:12" ht="18" customHeight="1">
      <c r="A35" s="49" t="s">
        <v>75</v>
      </c>
      <c r="B35" s="50">
        <v>7611700</v>
      </c>
      <c r="C35" s="51" t="s">
        <v>7</v>
      </c>
      <c r="D35" s="52" t="str">
        <f t="shared" si="0"/>
        <v>SGA-7611700</v>
      </c>
      <c r="E35" s="51" t="s">
        <v>67</v>
      </c>
      <c r="F35" s="49" t="s">
        <v>76</v>
      </c>
      <c r="H35" s="56" t="s">
        <v>280</v>
      </c>
      <c r="I35" s="19" t="s">
        <v>281</v>
      </c>
      <c r="J35" s="55" t="s">
        <v>176</v>
      </c>
      <c r="K35" s="55" t="s">
        <v>271</v>
      </c>
      <c r="L35" s="55" t="str">
        <f t="shared" si="1"/>
        <v>Quality Control</v>
      </c>
    </row>
    <row r="36" spans="1:12" ht="18" customHeight="1">
      <c r="A36" s="49" t="s">
        <v>321</v>
      </c>
      <c r="B36" s="50">
        <v>7611800</v>
      </c>
      <c r="C36" s="51" t="s">
        <v>7</v>
      </c>
      <c r="D36" s="52" t="str">
        <f t="shared" si="0"/>
        <v>SGA-7611800</v>
      </c>
      <c r="E36" s="51" t="s">
        <v>67</v>
      </c>
      <c r="F36" s="49" t="s">
        <v>322</v>
      </c>
      <c r="H36" s="56" t="s">
        <v>282</v>
      </c>
      <c r="I36" s="19" t="s">
        <v>283</v>
      </c>
      <c r="J36" s="55" t="s">
        <v>176</v>
      </c>
      <c r="K36" s="55" t="s">
        <v>271</v>
      </c>
      <c r="L36" s="55" t="str">
        <f t="shared" si="1"/>
        <v>Maintenance</v>
      </c>
    </row>
    <row r="37" spans="1:12" ht="18" customHeight="1">
      <c r="A37" s="49" t="s">
        <v>77</v>
      </c>
      <c r="B37" s="50">
        <v>7621101</v>
      </c>
      <c r="C37" s="51" t="s">
        <v>7</v>
      </c>
      <c r="D37" s="52" t="str">
        <f t="shared" si="0"/>
        <v>SGA-7621101</v>
      </c>
      <c r="E37" s="51" t="s">
        <v>78</v>
      </c>
      <c r="F37" s="49" t="s">
        <v>79</v>
      </c>
      <c r="H37" s="56" t="s">
        <v>284</v>
      </c>
      <c r="I37" s="19" t="s">
        <v>285</v>
      </c>
      <c r="J37" s="55" t="s">
        <v>176</v>
      </c>
      <c r="K37" s="55" t="s">
        <v>271</v>
      </c>
      <c r="L37" s="55" t="str">
        <f t="shared" si="1"/>
        <v>Production Engineering</v>
      </c>
    </row>
    <row r="38" spans="1:12" ht="18" customHeight="1">
      <c r="A38" s="49" t="s">
        <v>80</v>
      </c>
      <c r="B38" s="50">
        <v>7621199</v>
      </c>
      <c r="C38" s="51" t="s">
        <v>7</v>
      </c>
      <c r="D38" s="52" t="str">
        <f t="shared" si="0"/>
        <v>SGA-7621199</v>
      </c>
      <c r="E38" s="51" t="s">
        <v>81</v>
      </c>
      <c r="F38" s="49" t="s">
        <v>82</v>
      </c>
      <c r="H38" s="18" t="s">
        <v>286</v>
      </c>
      <c r="I38" s="19" t="s">
        <v>287</v>
      </c>
      <c r="J38" s="55" t="s">
        <v>176</v>
      </c>
      <c r="K38" s="55" t="s">
        <v>271</v>
      </c>
      <c r="L38" s="55" t="str">
        <f t="shared" si="1"/>
        <v>Supply Procurement</v>
      </c>
    </row>
    <row r="39" spans="1:12" ht="18" customHeight="1">
      <c r="A39" s="49" t="s">
        <v>83</v>
      </c>
      <c r="B39" s="50">
        <v>7631101</v>
      </c>
      <c r="C39" s="51" t="s">
        <v>7</v>
      </c>
      <c r="D39" s="52" t="str">
        <f t="shared" si="0"/>
        <v>SGA-7631101</v>
      </c>
      <c r="E39" s="51" t="s">
        <v>84</v>
      </c>
      <c r="F39" s="49" t="s">
        <v>85</v>
      </c>
      <c r="H39" s="18" t="s">
        <v>288</v>
      </c>
      <c r="I39" s="19" t="s">
        <v>289</v>
      </c>
      <c r="J39" s="55" t="s">
        <v>176</v>
      </c>
      <c r="K39" s="55" t="s">
        <v>271</v>
      </c>
      <c r="L39" s="55" t="str">
        <f t="shared" si="1"/>
        <v>Inventory Control</v>
      </c>
    </row>
    <row r="40" spans="1:12" ht="18" customHeight="1">
      <c r="A40" s="49" t="s">
        <v>86</v>
      </c>
      <c r="B40" s="50">
        <v>7631102</v>
      </c>
      <c r="C40" s="51" t="s">
        <v>7</v>
      </c>
      <c r="D40" s="52" t="str">
        <f t="shared" si="0"/>
        <v>SGA-7631102</v>
      </c>
      <c r="E40" s="51" t="s">
        <v>87</v>
      </c>
      <c r="F40" s="49" t="s">
        <v>88</v>
      </c>
      <c r="H40" s="57" t="s">
        <v>292</v>
      </c>
      <c r="I40" s="58" t="s">
        <v>293</v>
      </c>
      <c r="J40" s="59" t="s">
        <v>7</v>
      </c>
      <c r="K40" s="59" t="s">
        <v>210</v>
      </c>
      <c r="L40" s="59" t="str">
        <f t="shared" si="1"/>
        <v>SCM - FG WH</v>
      </c>
    </row>
    <row r="41" spans="1:12" ht="18" customHeight="1">
      <c r="A41" s="49" t="s">
        <v>89</v>
      </c>
      <c r="B41" s="50">
        <v>7641101</v>
      </c>
      <c r="C41" s="51" t="s">
        <v>7</v>
      </c>
      <c r="D41" s="52" t="str">
        <f t="shared" si="0"/>
        <v>SGA-7641101</v>
      </c>
      <c r="E41" s="51" t="s">
        <v>90</v>
      </c>
      <c r="F41" s="49" t="s">
        <v>91</v>
      </c>
      <c r="H41" s="18" t="s">
        <v>290</v>
      </c>
      <c r="I41" s="19" t="s">
        <v>291</v>
      </c>
      <c r="J41" s="55" t="s">
        <v>176</v>
      </c>
      <c r="K41" s="55" t="s">
        <v>271</v>
      </c>
      <c r="L41" s="55" t="str">
        <f t="shared" si="1"/>
        <v>WH Dept.- KD &amp; RM</v>
      </c>
    </row>
    <row r="42" spans="1:12" ht="18" customHeight="1">
      <c r="A42" s="49" t="s">
        <v>92</v>
      </c>
      <c r="B42" s="50">
        <v>7641102</v>
      </c>
      <c r="C42" s="51" t="s">
        <v>7</v>
      </c>
      <c r="D42" s="52" t="str">
        <f t="shared" si="0"/>
        <v>SGA-7641102</v>
      </c>
      <c r="E42" s="51" t="s">
        <v>90</v>
      </c>
      <c r="F42" s="49" t="s">
        <v>93</v>
      </c>
      <c r="H42" s="18" t="s">
        <v>294</v>
      </c>
      <c r="I42" s="19" t="s">
        <v>295</v>
      </c>
      <c r="J42" s="55" t="s">
        <v>176</v>
      </c>
      <c r="K42" s="55" t="s">
        <v>271</v>
      </c>
      <c r="L42" s="55" t="str">
        <f t="shared" si="1"/>
        <v>Continuous Improvement</v>
      </c>
    </row>
    <row r="43" spans="1:12" ht="18" customHeight="1">
      <c r="A43" s="49" t="s">
        <v>94</v>
      </c>
      <c r="B43" s="50">
        <v>7641103</v>
      </c>
      <c r="C43" s="51" t="s">
        <v>7</v>
      </c>
      <c r="D43" s="52" t="str">
        <f t="shared" si="0"/>
        <v>SGA-7641103</v>
      </c>
      <c r="E43" s="51" t="s">
        <v>95</v>
      </c>
      <c r="F43" s="49" t="s">
        <v>96</v>
      </c>
      <c r="H43" s="49" t="s">
        <v>323</v>
      </c>
      <c r="I43" s="50" t="s">
        <v>324</v>
      </c>
      <c r="L43" s="49" t="str">
        <f t="shared" si="1"/>
        <v>All</v>
      </c>
    </row>
    <row r="44" spans="1:12" ht="18" customHeight="1">
      <c r="A44" s="49" t="s">
        <v>97</v>
      </c>
      <c r="B44" s="50">
        <v>7641104</v>
      </c>
      <c r="C44" s="51" t="s">
        <v>7</v>
      </c>
      <c r="D44" s="52" t="str">
        <f t="shared" si="0"/>
        <v>SGA-7641104</v>
      </c>
      <c r="E44" s="51" t="s">
        <v>95</v>
      </c>
      <c r="F44" s="49" t="s">
        <v>98</v>
      </c>
    </row>
    <row r="45" spans="1:12" ht="18" customHeight="1">
      <c r="A45" s="49" t="s">
        <v>99</v>
      </c>
      <c r="B45" s="50">
        <v>7651101</v>
      </c>
      <c r="C45" s="51" t="s">
        <v>7</v>
      </c>
      <c r="D45" s="52" t="str">
        <f t="shared" si="0"/>
        <v>SGA-7651101</v>
      </c>
      <c r="E45" s="51" t="s">
        <v>78</v>
      </c>
      <c r="F45" s="49" t="s">
        <v>100</v>
      </c>
    </row>
    <row r="46" spans="1:12" ht="18" customHeight="1">
      <c r="A46" s="49" t="s">
        <v>101</v>
      </c>
      <c r="B46" s="50">
        <v>7651102</v>
      </c>
      <c r="C46" s="51" t="s">
        <v>7</v>
      </c>
      <c r="D46" s="52" t="str">
        <f t="shared" si="0"/>
        <v>SGA-7651102</v>
      </c>
      <c r="E46" s="51" t="s">
        <v>78</v>
      </c>
      <c r="F46" s="49" t="s">
        <v>102</v>
      </c>
    </row>
    <row r="47" spans="1:12" ht="18" customHeight="1">
      <c r="A47" s="49" t="s">
        <v>103</v>
      </c>
      <c r="B47" s="50">
        <v>7651103</v>
      </c>
      <c r="C47" s="51" t="s">
        <v>7</v>
      </c>
      <c r="D47" s="52" t="str">
        <f t="shared" si="0"/>
        <v>SGA-7651103</v>
      </c>
      <c r="E47" s="51" t="s">
        <v>78</v>
      </c>
      <c r="F47" s="49" t="s">
        <v>104</v>
      </c>
    </row>
    <row r="48" spans="1:12" ht="18" customHeight="1">
      <c r="A48" s="49" t="s">
        <v>105</v>
      </c>
      <c r="B48" s="50">
        <v>7661101</v>
      </c>
      <c r="C48" s="51" t="s">
        <v>7</v>
      </c>
      <c r="D48" s="52" t="str">
        <f t="shared" si="0"/>
        <v>SGA-7661101</v>
      </c>
      <c r="E48" s="51" t="s">
        <v>106</v>
      </c>
      <c r="F48" s="49" t="s">
        <v>107</v>
      </c>
    </row>
    <row r="49" spans="1:6" ht="18" customHeight="1">
      <c r="A49" s="49" t="s">
        <v>108</v>
      </c>
      <c r="B49" s="50">
        <v>7671102</v>
      </c>
      <c r="C49" s="51" t="s">
        <v>7</v>
      </c>
      <c r="D49" s="52" t="str">
        <f t="shared" si="0"/>
        <v>SGA-7671102</v>
      </c>
      <c r="E49" s="51" t="s">
        <v>95</v>
      </c>
      <c r="F49" s="49" t="s">
        <v>109</v>
      </c>
    </row>
    <row r="50" spans="1:6" ht="18" customHeight="1">
      <c r="A50" s="49" t="s">
        <v>110</v>
      </c>
      <c r="B50" s="50">
        <v>7671103</v>
      </c>
      <c r="C50" s="51" t="s">
        <v>7</v>
      </c>
      <c r="D50" s="52" t="str">
        <f t="shared" si="0"/>
        <v>SGA-7671103</v>
      </c>
      <c r="E50" s="51" t="s">
        <v>95</v>
      </c>
      <c r="F50" s="49" t="s">
        <v>111</v>
      </c>
    </row>
    <row r="51" spans="1:6" ht="18" customHeight="1">
      <c r="A51" s="49" t="s">
        <v>112</v>
      </c>
      <c r="B51" s="50">
        <v>7681101</v>
      </c>
      <c r="C51" s="51" t="s">
        <v>7</v>
      </c>
      <c r="D51" s="52" t="str">
        <f t="shared" si="0"/>
        <v>SGA-7681101</v>
      </c>
      <c r="E51" s="51" t="s">
        <v>95</v>
      </c>
      <c r="F51" s="49" t="s">
        <v>113</v>
      </c>
    </row>
    <row r="52" spans="1:6" ht="18" customHeight="1">
      <c r="A52" s="49" t="s">
        <v>114</v>
      </c>
      <c r="B52" s="50">
        <v>7691000</v>
      </c>
      <c r="C52" s="51" t="s">
        <v>7</v>
      </c>
      <c r="D52" s="52" t="str">
        <f t="shared" si="0"/>
        <v>SGA-7691000</v>
      </c>
      <c r="E52" s="51" t="s">
        <v>95</v>
      </c>
      <c r="F52" s="49" t="s">
        <v>115</v>
      </c>
    </row>
    <row r="53" spans="1:6" ht="18" customHeight="1">
      <c r="A53" s="49" t="s">
        <v>116</v>
      </c>
      <c r="B53" s="50">
        <v>7711101</v>
      </c>
      <c r="C53" s="51" t="s">
        <v>7</v>
      </c>
      <c r="D53" s="52" t="str">
        <f t="shared" si="0"/>
        <v>SGA-7711101</v>
      </c>
      <c r="E53" s="51" t="s">
        <v>95</v>
      </c>
      <c r="F53" s="49" t="s">
        <v>117</v>
      </c>
    </row>
    <row r="54" spans="1:6" ht="18" customHeight="1">
      <c r="A54" s="49" t="s">
        <v>118</v>
      </c>
      <c r="B54" s="50">
        <v>7711102</v>
      </c>
      <c r="C54" s="51" t="s">
        <v>7</v>
      </c>
      <c r="D54" s="52" t="str">
        <f t="shared" si="0"/>
        <v>SGA-7711102</v>
      </c>
      <c r="E54" s="51" t="s">
        <v>119</v>
      </c>
      <c r="F54" s="49" t="s">
        <v>120</v>
      </c>
    </row>
    <row r="55" spans="1:6" ht="18" customHeight="1">
      <c r="A55" s="49" t="s">
        <v>121</v>
      </c>
      <c r="B55" s="50">
        <v>7711103</v>
      </c>
      <c r="C55" s="51" t="s">
        <v>7</v>
      </c>
      <c r="D55" s="52" t="str">
        <f t="shared" si="0"/>
        <v>SGA-7711103</v>
      </c>
      <c r="E55" s="51" t="s">
        <v>95</v>
      </c>
      <c r="F55" s="49" t="s">
        <v>122</v>
      </c>
    </row>
    <row r="56" spans="1:6" ht="18" customHeight="1">
      <c r="A56" s="49" t="s">
        <v>325</v>
      </c>
      <c r="B56" s="50">
        <v>7721101</v>
      </c>
      <c r="C56" s="51" t="s">
        <v>7</v>
      </c>
      <c r="D56" s="52" t="str">
        <f t="shared" si="0"/>
        <v>SGA-7721101</v>
      </c>
      <c r="E56" s="51" t="s">
        <v>95</v>
      </c>
      <c r="F56" s="49" t="s">
        <v>326</v>
      </c>
    </row>
    <row r="57" spans="1:6" ht="18" customHeight="1">
      <c r="A57" s="49" t="s">
        <v>123</v>
      </c>
      <c r="B57" s="50">
        <v>7729101</v>
      </c>
      <c r="C57" s="51" t="s">
        <v>7</v>
      </c>
      <c r="D57" s="52" t="str">
        <f t="shared" si="0"/>
        <v>SGA-7729101</v>
      </c>
      <c r="E57" s="51" t="s">
        <v>124</v>
      </c>
      <c r="F57" s="49" t="s">
        <v>125</v>
      </c>
    </row>
    <row r="58" spans="1:6" ht="18" customHeight="1">
      <c r="A58" s="49" t="s">
        <v>126</v>
      </c>
      <c r="B58" s="50">
        <v>7729103</v>
      </c>
      <c r="C58" s="51" t="s">
        <v>7</v>
      </c>
      <c r="D58" s="52" t="str">
        <f t="shared" si="0"/>
        <v>SGA-7729103</v>
      </c>
      <c r="E58" s="51" t="s">
        <v>127</v>
      </c>
      <c r="F58" s="49" t="s">
        <v>128</v>
      </c>
    </row>
    <row r="59" spans="1:6" ht="18" customHeight="1">
      <c r="A59" s="49" t="s">
        <v>129</v>
      </c>
      <c r="B59" s="50">
        <v>7729105</v>
      </c>
      <c r="C59" s="51" t="s">
        <v>7</v>
      </c>
      <c r="D59" s="52" t="str">
        <f t="shared" si="0"/>
        <v>SGA-7729105</v>
      </c>
      <c r="E59" s="51" t="s">
        <v>95</v>
      </c>
      <c r="F59" s="49" t="s">
        <v>130</v>
      </c>
    </row>
    <row r="60" spans="1:6" ht="18" customHeight="1">
      <c r="A60" s="49" t="s">
        <v>131</v>
      </c>
      <c r="B60" s="50">
        <v>7781101</v>
      </c>
      <c r="C60" s="51" t="s">
        <v>7</v>
      </c>
      <c r="D60" s="52" t="str">
        <f t="shared" si="0"/>
        <v>SGA-7781101</v>
      </c>
      <c r="E60" s="51" t="s">
        <v>95</v>
      </c>
      <c r="F60" s="49" t="s">
        <v>132</v>
      </c>
    </row>
    <row r="61" spans="1:6" ht="18" customHeight="1">
      <c r="A61" s="49" t="s">
        <v>133</v>
      </c>
      <c r="B61" s="50">
        <v>7781103</v>
      </c>
      <c r="C61" s="51" t="s">
        <v>7</v>
      </c>
      <c r="D61" s="52" t="str">
        <f t="shared" si="0"/>
        <v>SGA-7781103</v>
      </c>
      <c r="E61" s="51" t="s">
        <v>95</v>
      </c>
      <c r="F61" s="49" t="s">
        <v>134</v>
      </c>
    </row>
    <row r="62" spans="1:6" ht="18" customHeight="1">
      <c r="A62" s="49" t="s">
        <v>135</v>
      </c>
      <c r="B62" s="50">
        <v>7781104</v>
      </c>
      <c r="C62" s="51" t="s">
        <v>7</v>
      </c>
      <c r="D62" s="52" t="str">
        <f t="shared" si="0"/>
        <v>SGA-7781104</v>
      </c>
      <c r="E62" s="51" t="s">
        <v>95</v>
      </c>
      <c r="F62" s="49" t="s">
        <v>136</v>
      </c>
    </row>
    <row r="63" spans="1:6" ht="18" customHeight="1">
      <c r="A63" s="49" t="s">
        <v>327</v>
      </c>
      <c r="B63" s="50">
        <v>7781105</v>
      </c>
      <c r="C63" s="51" t="s">
        <v>7</v>
      </c>
      <c r="D63" s="52" t="str">
        <f t="shared" si="0"/>
        <v>SGA-7781105</v>
      </c>
      <c r="E63" s="51" t="s">
        <v>95</v>
      </c>
      <c r="F63" s="49" t="s">
        <v>328</v>
      </c>
    </row>
    <row r="64" spans="1:6" ht="18" customHeight="1">
      <c r="A64" s="49" t="s">
        <v>329</v>
      </c>
      <c r="B64" s="50">
        <v>7781106</v>
      </c>
      <c r="C64" s="51" t="s">
        <v>7</v>
      </c>
      <c r="D64" s="52" t="str">
        <f t="shared" si="0"/>
        <v>SGA-7781106</v>
      </c>
      <c r="E64" s="51" t="s">
        <v>95</v>
      </c>
      <c r="F64" s="49" t="s">
        <v>330</v>
      </c>
    </row>
    <row r="65" spans="1:6" ht="18" customHeight="1">
      <c r="A65" s="49" t="s">
        <v>137</v>
      </c>
      <c r="B65" s="50">
        <v>7781107</v>
      </c>
      <c r="C65" s="51" t="s">
        <v>7</v>
      </c>
      <c r="D65" s="52" t="str">
        <f t="shared" si="0"/>
        <v>SGA-7781107</v>
      </c>
      <c r="E65" s="51" t="s">
        <v>138</v>
      </c>
      <c r="F65" s="49" t="s">
        <v>139</v>
      </c>
    </row>
    <row r="66" spans="1:6" ht="18" customHeight="1">
      <c r="A66" s="49" t="s">
        <v>140</v>
      </c>
      <c r="B66" s="50">
        <v>7781111</v>
      </c>
      <c r="C66" s="51" t="s">
        <v>7</v>
      </c>
      <c r="D66" s="52" t="str">
        <f t="shared" ref="D66:D129" si="2">C66&amp;"-"&amp;B66</f>
        <v>SGA-7781111</v>
      </c>
      <c r="E66" s="51" t="s">
        <v>95</v>
      </c>
      <c r="F66" s="49" t="s">
        <v>141</v>
      </c>
    </row>
    <row r="67" spans="1:6" ht="18" customHeight="1">
      <c r="A67" s="49" t="s">
        <v>142</v>
      </c>
      <c r="B67" s="50">
        <v>7781112</v>
      </c>
      <c r="C67" s="51" t="s">
        <v>7</v>
      </c>
      <c r="D67" s="52" t="str">
        <f t="shared" si="2"/>
        <v>SGA-7781112</v>
      </c>
      <c r="E67" s="51" t="s">
        <v>95</v>
      </c>
      <c r="F67" s="49" t="s">
        <v>143</v>
      </c>
    </row>
    <row r="68" spans="1:6" ht="18" customHeight="1">
      <c r="A68" s="49" t="s">
        <v>144</v>
      </c>
      <c r="B68" s="50">
        <v>7781113</v>
      </c>
      <c r="C68" s="51" t="s">
        <v>7</v>
      </c>
      <c r="D68" s="52" t="str">
        <f t="shared" si="2"/>
        <v>SGA-7781113</v>
      </c>
      <c r="E68" s="51" t="s">
        <v>95</v>
      </c>
      <c r="F68" s="49" t="s">
        <v>145</v>
      </c>
    </row>
    <row r="69" spans="1:6" ht="18" customHeight="1">
      <c r="A69" s="49" t="s">
        <v>146</v>
      </c>
      <c r="B69" s="50">
        <v>7411101</v>
      </c>
      <c r="C69" s="51" t="s">
        <v>7</v>
      </c>
      <c r="D69" s="52" t="str">
        <f t="shared" si="2"/>
        <v>SGA-7411101</v>
      </c>
      <c r="E69" s="51" t="s">
        <v>147</v>
      </c>
      <c r="F69" s="49" t="s">
        <v>148</v>
      </c>
    </row>
    <row r="70" spans="1:6" ht="18" customHeight="1">
      <c r="A70" s="49" t="s">
        <v>149</v>
      </c>
      <c r="B70" s="50">
        <v>7411103</v>
      </c>
      <c r="C70" s="51" t="s">
        <v>7</v>
      </c>
      <c r="D70" s="52" t="str">
        <f t="shared" si="2"/>
        <v>SGA-7411103</v>
      </c>
      <c r="E70" s="51" t="s">
        <v>150</v>
      </c>
      <c r="F70" s="49" t="s">
        <v>151</v>
      </c>
    </row>
    <row r="71" spans="1:6" ht="18" customHeight="1">
      <c r="A71" s="49" t="s">
        <v>152</v>
      </c>
      <c r="B71" s="50">
        <v>7411104</v>
      </c>
      <c r="C71" s="51" t="s">
        <v>7</v>
      </c>
      <c r="D71" s="52" t="str">
        <f t="shared" si="2"/>
        <v>SGA-7411104</v>
      </c>
      <c r="E71" s="51" t="s">
        <v>153</v>
      </c>
      <c r="F71" s="49" t="s">
        <v>154</v>
      </c>
    </row>
    <row r="72" spans="1:6" ht="18" customHeight="1">
      <c r="A72" s="49" t="s">
        <v>155</v>
      </c>
      <c r="B72" s="50">
        <v>7431101</v>
      </c>
      <c r="C72" s="51" t="s">
        <v>7</v>
      </c>
      <c r="D72" s="52" t="str">
        <f t="shared" si="2"/>
        <v>SGA-7431101</v>
      </c>
      <c r="E72" s="51" t="s">
        <v>156</v>
      </c>
      <c r="F72" s="49" t="s">
        <v>157</v>
      </c>
    </row>
    <row r="73" spans="1:6" ht="18" customHeight="1">
      <c r="A73" s="49" t="s">
        <v>158</v>
      </c>
      <c r="B73" s="50">
        <v>7451101</v>
      </c>
      <c r="C73" s="51" t="s">
        <v>7</v>
      </c>
      <c r="D73" s="52" t="str">
        <f t="shared" si="2"/>
        <v>SGA-7451101</v>
      </c>
      <c r="E73" s="51" t="s">
        <v>159</v>
      </c>
      <c r="F73" s="49" t="s">
        <v>160</v>
      </c>
    </row>
    <row r="74" spans="1:6" ht="18" customHeight="1">
      <c r="A74" s="49" t="s">
        <v>161</v>
      </c>
      <c r="B74" s="50">
        <v>7451102</v>
      </c>
      <c r="C74" s="51" t="s">
        <v>7</v>
      </c>
      <c r="D74" s="52" t="str">
        <f t="shared" si="2"/>
        <v>SGA-7451102</v>
      </c>
      <c r="E74" s="51" t="s">
        <v>162</v>
      </c>
      <c r="F74" s="49" t="s">
        <v>163</v>
      </c>
    </row>
    <row r="75" spans="1:6" ht="18" customHeight="1">
      <c r="A75" s="49" t="s">
        <v>164</v>
      </c>
      <c r="B75" s="50">
        <v>7451103</v>
      </c>
      <c r="C75" s="51" t="s">
        <v>7</v>
      </c>
      <c r="D75" s="52" t="str">
        <f t="shared" si="2"/>
        <v>SGA-7451103</v>
      </c>
      <c r="E75" s="51" t="s">
        <v>165</v>
      </c>
      <c r="F75" s="49" t="s">
        <v>166</v>
      </c>
    </row>
    <row r="76" spans="1:6" ht="18" customHeight="1">
      <c r="A76" s="60" t="s">
        <v>167</v>
      </c>
      <c r="B76" s="50">
        <v>7461101</v>
      </c>
      <c r="C76" s="51" t="s">
        <v>7</v>
      </c>
      <c r="D76" s="52" t="str">
        <f t="shared" si="2"/>
        <v>SGA-7461101</v>
      </c>
      <c r="E76" s="51" t="s">
        <v>168</v>
      </c>
      <c r="F76" s="49" t="s">
        <v>169</v>
      </c>
    </row>
    <row r="77" spans="1:6" ht="18" customHeight="1">
      <c r="A77" s="49" t="s">
        <v>170</v>
      </c>
      <c r="B77" s="50">
        <v>7411105</v>
      </c>
      <c r="C77" s="51" t="s">
        <v>7</v>
      </c>
      <c r="D77" s="51" t="str">
        <f t="shared" si="2"/>
        <v>SGA-7411105</v>
      </c>
      <c r="E77" s="61" t="s">
        <v>331</v>
      </c>
    </row>
    <row r="78" spans="1:6" ht="18" customHeight="1">
      <c r="A78" s="49" t="s">
        <v>172</v>
      </c>
      <c r="B78" s="50">
        <v>7471201</v>
      </c>
      <c r="C78" s="51" t="s">
        <v>7</v>
      </c>
      <c r="D78" s="51" t="str">
        <f t="shared" si="2"/>
        <v>SGA-7471201</v>
      </c>
      <c r="E78" s="61" t="s">
        <v>331</v>
      </c>
    </row>
    <row r="79" spans="1:6" ht="18" customHeight="1">
      <c r="A79" s="49" t="s">
        <v>173</v>
      </c>
      <c r="B79" s="50">
        <v>7751101</v>
      </c>
      <c r="C79" s="51" t="s">
        <v>7</v>
      </c>
      <c r="D79" s="51" t="str">
        <f t="shared" si="2"/>
        <v>SGA-7751101</v>
      </c>
    </row>
    <row r="80" spans="1:6" ht="18" customHeight="1">
      <c r="A80" s="49" t="s">
        <v>174</v>
      </c>
      <c r="B80" s="50">
        <v>7751102</v>
      </c>
      <c r="C80" s="51" t="s">
        <v>7</v>
      </c>
      <c r="D80" s="51" t="str">
        <f t="shared" si="2"/>
        <v>SGA-7751102</v>
      </c>
    </row>
    <row r="81" spans="1:6" ht="18" customHeight="1">
      <c r="A81" s="49" t="s">
        <v>175</v>
      </c>
      <c r="B81" s="62">
        <v>7111211</v>
      </c>
      <c r="C81" s="62" t="s">
        <v>176</v>
      </c>
      <c r="D81" s="62" t="str">
        <f t="shared" si="2"/>
        <v>MFG-7111211</v>
      </c>
    </row>
    <row r="82" spans="1:6" ht="18" customHeight="1">
      <c r="A82" s="49" t="s">
        <v>332</v>
      </c>
      <c r="B82" s="62">
        <v>7111212</v>
      </c>
      <c r="C82" s="62" t="s">
        <v>176</v>
      </c>
      <c r="D82" s="62" t="str">
        <f t="shared" si="2"/>
        <v>MFG-7111212</v>
      </c>
    </row>
    <row r="83" spans="1:6" ht="18" customHeight="1">
      <c r="A83" s="49" t="s">
        <v>177</v>
      </c>
      <c r="B83" s="62">
        <v>7111221</v>
      </c>
      <c r="C83" s="62" t="s">
        <v>176</v>
      </c>
      <c r="D83" s="62" t="str">
        <f t="shared" si="2"/>
        <v>MFG-7111221</v>
      </c>
    </row>
    <row r="84" spans="1:6" ht="18" customHeight="1">
      <c r="A84" s="49" t="s">
        <v>178</v>
      </c>
      <c r="B84" s="62">
        <v>7111222</v>
      </c>
      <c r="C84" s="62" t="s">
        <v>176</v>
      </c>
      <c r="D84" s="62" t="str">
        <f t="shared" si="2"/>
        <v>MFG-7111222</v>
      </c>
    </row>
    <row r="85" spans="1:6" ht="18" customHeight="1">
      <c r="A85" s="49" t="s">
        <v>179</v>
      </c>
      <c r="B85" s="62">
        <v>7111223</v>
      </c>
      <c r="C85" s="62" t="s">
        <v>176</v>
      </c>
      <c r="D85" s="62" t="str">
        <f t="shared" si="2"/>
        <v>MFG-7111223</v>
      </c>
    </row>
    <row r="86" spans="1:6" ht="18" customHeight="1">
      <c r="A86" s="49" t="s">
        <v>180</v>
      </c>
      <c r="B86" s="62">
        <v>7111311</v>
      </c>
      <c r="C86" s="62" t="s">
        <v>176</v>
      </c>
      <c r="D86" s="62" t="str">
        <f t="shared" si="2"/>
        <v>MFG-7111311</v>
      </c>
    </row>
    <row r="87" spans="1:6" ht="18" customHeight="1">
      <c r="A87" s="49" t="s">
        <v>333</v>
      </c>
      <c r="B87" s="62">
        <v>7111312</v>
      </c>
      <c r="C87" s="62" t="s">
        <v>176</v>
      </c>
      <c r="D87" s="62" t="str">
        <f t="shared" si="2"/>
        <v>MFG-7111312</v>
      </c>
    </row>
    <row r="88" spans="1:6" ht="18" customHeight="1">
      <c r="A88" s="49" t="s">
        <v>181</v>
      </c>
      <c r="B88" s="62">
        <v>7111321</v>
      </c>
      <c r="C88" s="62" t="s">
        <v>176</v>
      </c>
      <c r="D88" s="62" t="str">
        <f t="shared" si="2"/>
        <v>MFG-7111321</v>
      </c>
    </row>
    <row r="89" spans="1:6" ht="18" customHeight="1">
      <c r="A89" s="49" t="s">
        <v>182</v>
      </c>
      <c r="B89" s="62">
        <v>7111322</v>
      </c>
      <c r="C89" s="62" t="s">
        <v>176</v>
      </c>
      <c r="D89" s="62" t="str">
        <f t="shared" si="2"/>
        <v>MFG-7111322</v>
      </c>
    </row>
    <row r="90" spans="1:6" ht="18" customHeight="1">
      <c r="A90" s="49" t="s">
        <v>183</v>
      </c>
      <c r="B90" s="62">
        <v>7111323</v>
      </c>
      <c r="C90" s="62" t="s">
        <v>176</v>
      </c>
      <c r="D90" s="62" t="str">
        <f t="shared" si="2"/>
        <v>MFG-7111323</v>
      </c>
    </row>
    <row r="91" spans="1:6" ht="18" customHeight="1">
      <c r="A91" s="49" t="s">
        <v>334</v>
      </c>
      <c r="B91" s="62">
        <v>7111411</v>
      </c>
      <c r="C91" s="62" t="s">
        <v>176</v>
      </c>
      <c r="D91" s="62" t="str">
        <f t="shared" si="2"/>
        <v>MFG-7111411</v>
      </c>
    </row>
    <row r="92" spans="1:6" ht="18" customHeight="1">
      <c r="A92" s="49" t="s">
        <v>335</v>
      </c>
      <c r="B92" s="62">
        <v>7151101</v>
      </c>
      <c r="C92" s="62" t="s">
        <v>176</v>
      </c>
      <c r="D92" s="62" t="str">
        <f t="shared" si="2"/>
        <v>MFG-7151101</v>
      </c>
    </row>
    <row r="93" spans="1:6" ht="18" customHeight="1">
      <c r="A93" s="49" t="s">
        <v>336</v>
      </c>
      <c r="B93" s="62">
        <v>7200000</v>
      </c>
      <c r="C93" s="62" t="s">
        <v>176</v>
      </c>
      <c r="D93" s="62" t="str">
        <f t="shared" si="2"/>
        <v>MFG-7200000</v>
      </c>
    </row>
    <row r="94" spans="1:6" ht="18" customHeight="1">
      <c r="A94" s="49" t="s">
        <v>184</v>
      </c>
      <c r="B94" s="62">
        <v>7211101</v>
      </c>
      <c r="C94" s="62" t="s">
        <v>176</v>
      </c>
      <c r="D94" s="62" t="str">
        <f t="shared" si="2"/>
        <v>MFG-7211101</v>
      </c>
    </row>
    <row r="95" spans="1:6" ht="18" customHeight="1">
      <c r="A95" s="49" t="s">
        <v>185</v>
      </c>
      <c r="B95" s="62">
        <v>7211102</v>
      </c>
      <c r="C95" s="62" t="s">
        <v>176</v>
      </c>
      <c r="D95" s="62" t="str">
        <f t="shared" si="2"/>
        <v>MFG-7211102</v>
      </c>
      <c r="E95" s="62">
        <v>901</v>
      </c>
      <c r="F95" s="49" t="s">
        <v>186</v>
      </c>
    </row>
    <row r="96" spans="1:6" ht="18" customHeight="1">
      <c r="A96" s="49" t="s">
        <v>187</v>
      </c>
      <c r="B96" s="62">
        <v>7211103</v>
      </c>
      <c r="C96" s="62" t="s">
        <v>176</v>
      </c>
      <c r="D96" s="62" t="str">
        <f t="shared" si="2"/>
        <v>MFG-7211103</v>
      </c>
      <c r="E96" s="62"/>
    </row>
    <row r="97" spans="1:6" ht="18" customHeight="1">
      <c r="A97" s="49" t="s">
        <v>337</v>
      </c>
      <c r="B97" s="62">
        <v>7211104</v>
      </c>
      <c r="C97" s="62" t="s">
        <v>176</v>
      </c>
      <c r="D97" s="62" t="str">
        <f t="shared" si="2"/>
        <v>MFG-7211104</v>
      </c>
      <c r="E97" s="62">
        <v>302</v>
      </c>
    </row>
    <row r="98" spans="1:6" ht="18" customHeight="1">
      <c r="A98" s="49" t="s">
        <v>188</v>
      </c>
      <c r="B98" s="62">
        <v>7221101</v>
      </c>
      <c r="C98" s="62" t="s">
        <v>176</v>
      </c>
      <c r="D98" s="62" t="str">
        <f t="shared" si="2"/>
        <v>MFG-7221101</v>
      </c>
      <c r="E98" s="62">
        <v>302</v>
      </c>
      <c r="F98" s="49" t="s">
        <v>189</v>
      </c>
    </row>
    <row r="99" spans="1:6" ht="18" customHeight="1">
      <c r="A99" s="49" t="s">
        <v>190</v>
      </c>
      <c r="B99" s="62">
        <v>7221102</v>
      </c>
      <c r="C99" s="62" t="s">
        <v>176</v>
      </c>
      <c r="D99" s="62" t="str">
        <f t="shared" si="2"/>
        <v>MFG-7221102</v>
      </c>
      <c r="E99" s="62">
        <v>301</v>
      </c>
      <c r="F99" s="49" t="s">
        <v>191</v>
      </c>
    </row>
    <row r="100" spans="1:6" ht="18" customHeight="1">
      <c r="A100" s="49" t="s">
        <v>6</v>
      </c>
      <c r="B100" s="62">
        <v>7511101</v>
      </c>
      <c r="C100" s="62" t="s">
        <v>176</v>
      </c>
      <c r="D100" s="62" t="str">
        <f t="shared" si="2"/>
        <v>MFG-7511101</v>
      </c>
      <c r="E100" s="62">
        <v>602</v>
      </c>
      <c r="F100" s="49" t="s">
        <v>6</v>
      </c>
    </row>
    <row r="101" spans="1:6" ht="18" customHeight="1">
      <c r="A101" s="49" t="s">
        <v>9</v>
      </c>
      <c r="B101" s="62">
        <v>7511102</v>
      </c>
      <c r="C101" s="62" t="s">
        <v>176</v>
      </c>
      <c r="D101" s="62" t="str">
        <f t="shared" si="2"/>
        <v>MFG-7511102</v>
      </c>
      <c r="E101" s="62">
        <v>602</v>
      </c>
      <c r="F101" s="49" t="s">
        <v>10</v>
      </c>
    </row>
    <row r="102" spans="1:6" ht="18" customHeight="1">
      <c r="A102" s="49" t="s">
        <v>11</v>
      </c>
      <c r="B102" s="62">
        <v>7511103</v>
      </c>
      <c r="C102" s="62" t="s">
        <v>176</v>
      </c>
      <c r="D102" s="62" t="str">
        <f t="shared" si="2"/>
        <v>MFG-7511103</v>
      </c>
      <c r="E102" s="62">
        <v>601</v>
      </c>
      <c r="F102" s="49" t="s">
        <v>13</v>
      </c>
    </row>
    <row r="103" spans="1:6" ht="18" customHeight="1">
      <c r="A103" s="49" t="s">
        <v>14</v>
      </c>
      <c r="B103" s="62">
        <v>7511111</v>
      </c>
      <c r="C103" s="62" t="s">
        <v>176</v>
      </c>
      <c r="D103" s="62" t="str">
        <f t="shared" si="2"/>
        <v>MFG-7511111</v>
      </c>
      <c r="E103" s="62">
        <v>601</v>
      </c>
      <c r="F103" s="49" t="s">
        <v>15</v>
      </c>
    </row>
    <row r="104" spans="1:6" ht="18" customHeight="1">
      <c r="A104" s="49" t="s">
        <v>16</v>
      </c>
      <c r="B104" s="62">
        <v>7511112</v>
      </c>
      <c r="C104" s="62" t="s">
        <v>176</v>
      </c>
      <c r="D104" s="62" t="str">
        <f t="shared" si="2"/>
        <v>MFG-7511112</v>
      </c>
      <c r="E104" s="62">
        <v>601</v>
      </c>
      <c r="F104" s="49" t="s">
        <v>17</v>
      </c>
    </row>
    <row r="105" spans="1:6" ht="18" customHeight="1">
      <c r="A105" s="49" t="s">
        <v>18</v>
      </c>
      <c r="B105" s="62">
        <v>7511121</v>
      </c>
      <c r="C105" s="62" t="s">
        <v>176</v>
      </c>
      <c r="D105" s="62" t="str">
        <f t="shared" si="2"/>
        <v>MFG-7511121</v>
      </c>
      <c r="E105" s="62">
        <v>601</v>
      </c>
      <c r="F105" s="49" t="s">
        <v>19</v>
      </c>
    </row>
    <row r="106" spans="1:6" ht="18" customHeight="1">
      <c r="A106" s="49" t="s">
        <v>20</v>
      </c>
      <c r="B106" s="62">
        <v>7511122</v>
      </c>
      <c r="C106" s="62" t="s">
        <v>176</v>
      </c>
      <c r="D106" s="62" t="str">
        <f t="shared" si="2"/>
        <v>MFG-7511122</v>
      </c>
      <c r="E106" s="62">
        <v>601</v>
      </c>
      <c r="F106" s="49" t="s">
        <v>21</v>
      </c>
    </row>
    <row r="107" spans="1:6" ht="18" customHeight="1">
      <c r="A107" s="49" t="s">
        <v>22</v>
      </c>
      <c r="B107" s="62">
        <v>7511201</v>
      </c>
      <c r="C107" s="62" t="s">
        <v>176</v>
      </c>
      <c r="D107" s="62" t="str">
        <f t="shared" si="2"/>
        <v>MFG-7511201</v>
      </c>
      <c r="E107" s="62">
        <v>603</v>
      </c>
      <c r="F107" s="49" t="s">
        <v>24</v>
      </c>
    </row>
    <row r="108" spans="1:6" ht="18" customHeight="1">
      <c r="A108" s="49" t="s">
        <v>25</v>
      </c>
      <c r="B108" s="62">
        <v>7512111</v>
      </c>
      <c r="C108" s="62" t="s">
        <v>176</v>
      </c>
      <c r="D108" s="62" t="str">
        <f t="shared" si="2"/>
        <v>MFG-7512111</v>
      </c>
      <c r="E108" s="62">
        <v>604</v>
      </c>
      <c r="F108" s="49" t="s">
        <v>27</v>
      </c>
    </row>
    <row r="109" spans="1:6" ht="18" customHeight="1">
      <c r="A109" s="49" t="s">
        <v>28</v>
      </c>
      <c r="B109" s="62">
        <v>7512112</v>
      </c>
      <c r="C109" s="62" t="s">
        <v>176</v>
      </c>
      <c r="D109" s="62" t="str">
        <f t="shared" si="2"/>
        <v>MFG-7512112</v>
      </c>
      <c r="E109" s="62">
        <v>604</v>
      </c>
      <c r="F109" s="49" t="s">
        <v>29</v>
      </c>
    </row>
    <row r="110" spans="1:6" ht="18" customHeight="1">
      <c r="A110" s="49" t="s">
        <v>30</v>
      </c>
      <c r="B110" s="62">
        <v>7514101</v>
      </c>
      <c r="C110" s="62" t="s">
        <v>176</v>
      </c>
      <c r="D110" s="62" t="str">
        <f t="shared" si="2"/>
        <v>MFG-7514101</v>
      </c>
      <c r="E110" s="62">
        <v>601</v>
      </c>
      <c r="F110" s="49" t="s">
        <v>31</v>
      </c>
    </row>
    <row r="111" spans="1:6" ht="18" customHeight="1">
      <c r="A111" s="49" t="s">
        <v>32</v>
      </c>
      <c r="B111" s="62">
        <v>7514102</v>
      </c>
      <c r="C111" s="62" t="s">
        <v>176</v>
      </c>
      <c r="D111" s="62" t="str">
        <f t="shared" si="2"/>
        <v>MFG-7514102</v>
      </c>
      <c r="E111" s="62">
        <v>601</v>
      </c>
      <c r="F111" s="49" t="s">
        <v>33</v>
      </c>
    </row>
    <row r="112" spans="1:6" ht="18" customHeight="1">
      <c r="A112" s="49" t="s">
        <v>34</v>
      </c>
      <c r="B112" s="62">
        <v>7515401</v>
      </c>
      <c r="C112" s="62" t="s">
        <v>176</v>
      </c>
      <c r="D112" s="62" t="str">
        <f t="shared" si="2"/>
        <v>MFG-7515401</v>
      </c>
      <c r="E112" s="62">
        <v>604</v>
      </c>
      <c r="F112" s="49" t="s">
        <v>35</v>
      </c>
    </row>
    <row r="113" spans="1:6" ht="18" customHeight="1">
      <c r="A113" s="49" t="s">
        <v>36</v>
      </c>
      <c r="B113" s="62">
        <v>7515402</v>
      </c>
      <c r="C113" s="62" t="s">
        <v>176</v>
      </c>
      <c r="D113" s="62" t="str">
        <f t="shared" si="2"/>
        <v>MFG-7515402</v>
      </c>
      <c r="E113" s="62">
        <v>604</v>
      </c>
      <c r="F113" s="49" t="s">
        <v>37</v>
      </c>
    </row>
    <row r="114" spans="1:6" ht="18" customHeight="1">
      <c r="A114" s="49" t="s">
        <v>38</v>
      </c>
      <c r="B114" s="62">
        <v>7515403</v>
      </c>
      <c r="C114" s="62" t="s">
        <v>176</v>
      </c>
      <c r="D114" s="62" t="str">
        <f t="shared" si="2"/>
        <v>MFG-7515403</v>
      </c>
      <c r="E114" s="62">
        <v>604</v>
      </c>
      <c r="F114" s="49" t="s">
        <v>39</v>
      </c>
    </row>
    <row r="115" spans="1:6" ht="18" customHeight="1">
      <c r="A115" s="49" t="s">
        <v>40</v>
      </c>
      <c r="B115" s="62">
        <v>7515404</v>
      </c>
      <c r="C115" s="62" t="s">
        <v>176</v>
      </c>
      <c r="D115" s="62" t="str">
        <f t="shared" si="2"/>
        <v>MFG-7515404</v>
      </c>
      <c r="E115" s="62">
        <v>604</v>
      </c>
      <c r="F115" s="49" t="s">
        <v>41</v>
      </c>
    </row>
    <row r="116" spans="1:6" ht="18" customHeight="1">
      <c r="A116" s="49" t="s">
        <v>42</v>
      </c>
      <c r="B116" s="62">
        <v>7515405</v>
      </c>
      <c r="C116" s="62" t="s">
        <v>176</v>
      </c>
      <c r="D116" s="62" t="str">
        <f t="shared" si="2"/>
        <v>MFG-7515405</v>
      </c>
      <c r="E116" s="62">
        <v>604</v>
      </c>
      <c r="F116" s="49" t="s">
        <v>43</v>
      </c>
    </row>
    <row r="117" spans="1:6" ht="18" customHeight="1">
      <c r="A117" s="49" t="s">
        <v>44</v>
      </c>
      <c r="B117" s="62">
        <v>7515406</v>
      </c>
      <c r="C117" s="62" t="s">
        <v>176</v>
      </c>
      <c r="D117" s="62" t="str">
        <f t="shared" si="2"/>
        <v>MFG-7515406</v>
      </c>
      <c r="E117" s="62">
        <v>604</v>
      </c>
      <c r="F117" s="49" t="s">
        <v>45</v>
      </c>
    </row>
    <row r="118" spans="1:6" ht="18" customHeight="1">
      <c r="A118" s="49" t="s">
        <v>318</v>
      </c>
      <c r="B118" s="62">
        <v>7515407</v>
      </c>
      <c r="C118" s="62" t="s">
        <v>176</v>
      </c>
      <c r="D118" s="62" t="str">
        <f t="shared" si="2"/>
        <v>MFG-7515407</v>
      </c>
      <c r="E118" s="62">
        <v>604</v>
      </c>
    </row>
    <row r="119" spans="1:6" ht="18" customHeight="1">
      <c r="A119" s="49" t="s">
        <v>46</v>
      </c>
      <c r="B119" s="62">
        <v>7515408</v>
      </c>
      <c r="C119" s="62" t="s">
        <v>176</v>
      </c>
      <c r="D119" s="62" t="str">
        <f t="shared" si="2"/>
        <v>MFG-7515408</v>
      </c>
      <c r="E119" s="62">
        <v>604</v>
      </c>
      <c r="F119" s="49" t="s">
        <v>47</v>
      </c>
    </row>
    <row r="120" spans="1:6" ht="18" customHeight="1">
      <c r="A120" s="49" t="s">
        <v>48</v>
      </c>
      <c r="B120" s="62">
        <v>7515409</v>
      </c>
      <c r="C120" s="62" t="s">
        <v>176</v>
      </c>
      <c r="D120" s="62" t="str">
        <f t="shared" si="2"/>
        <v>MFG-7515409</v>
      </c>
      <c r="E120" s="62">
        <v>604</v>
      </c>
      <c r="F120" s="49" t="s">
        <v>49</v>
      </c>
    </row>
    <row r="121" spans="1:6" ht="18" customHeight="1">
      <c r="A121" s="49" t="s">
        <v>50</v>
      </c>
      <c r="B121" s="62">
        <v>7515410</v>
      </c>
      <c r="C121" s="62" t="s">
        <v>176</v>
      </c>
      <c r="D121" s="62" t="str">
        <f t="shared" si="2"/>
        <v>MFG-7515410</v>
      </c>
      <c r="E121" s="62">
        <v>604</v>
      </c>
      <c r="F121" s="49" t="s">
        <v>51</v>
      </c>
    </row>
    <row r="122" spans="1:6" ht="18" customHeight="1">
      <c r="A122" s="49" t="s">
        <v>52</v>
      </c>
      <c r="B122" s="62">
        <v>7515499</v>
      </c>
      <c r="C122" s="62" t="s">
        <v>176</v>
      </c>
      <c r="D122" s="62" t="str">
        <f t="shared" si="2"/>
        <v>MFG-7515499</v>
      </c>
      <c r="E122" s="62">
        <v>604</v>
      </c>
      <c r="F122" s="49" t="s">
        <v>53</v>
      </c>
    </row>
    <row r="123" spans="1:6" ht="18" customHeight="1">
      <c r="A123" s="49" t="s">
        <v>54</v>
      </c>
      <c r="B123" s="62">
        <v>7516102</v>
      </c>
      <c r="C123" s="62" t="s">
        <v>176</v>
      </c>
      <c r="D123" s="62" t="str">
        <f t="shared" si="2"/>
        <v>MFG-7516102</v>
      </c>
      <c r="E123" s="62">
        <v>605</v>
      </c>
      <c r="F123" s="49" t="s">
        <v>56</v>
      </c>
    </row>
    <row r="124" spans="1:6" ht="18" customHeight="1">
      <c r="A124" s="49" t="s">
        <v>57</v>
      </c>
      <c r="B124" s="62">
        <v>7519101</v>
      </c>
      <c r="C124" s="62" t="s">
        <v>176</v>
      </c>
      <c r="D124" s="62" t="str">
        <f t="shared" si="2"/>
        <v>MFG-7519101</v>
      </c>
      <c r="E124" s="62">
        <v>602</v>
      </c>
      <c r="F124" s="49" t="s">
        <v>58</v>
      </c>
    </row>
    <row r="125" spans="1:6" ht="18" customHeight="1">
      <c r="A125" s="49" t="s">
        <v>192</v>
      </c>
      <c r="B125" s="62">
        <v>7521101</v>
      </c>
      <c r="C125" s="62" t="s">
        <v>176</v>
      </c>
      <c r="D125" s="62" t="str">
        <f t="shared" si="2"/>
        <v>MFG-7521101</v>
      </c>
      <c r="E125" s="62">
        <v>601</v>
      </c>
      <c r="F125" s="49" t="s">
        <v>60</v>
      </c>
    </row>
    <row r="126" spans="1:6" ht="18" customHeight="1">
      <c r="A126" s="49" t="s">
        <v>61</v>
      </c>
      <c r="B126" s="62">
        <v>7521102</v>
      </c>
      <c r="C126" s="62" t="s">
        <v>176</v>
      </c>
      <c r="D126" s="62" t="str">
        <f t="shared" si="2"/>
        <v>MFG-7521102</v>
      </c>
      <c r="E126" s="62">
        <v>603</v>
      </c>
      <c r="F126" s="49" t="s">
        <v>62</v>
      </c>
    </row>
    <row r="127" spans="1:6" ht="18" customHeight="1">
      <c r="A127" s="49" t="s">
        <v>63</v>
      </c>
      <c r="B127" s="62">
        <v>7571101</v>
      </c>
      <c r="C127" s="62" t="s">
        <v>176</v>
      </c>
      <c r="D127" s="62" t="str">
        <f t="shared" si="2"/>
        <v>MFG-7571101</v>
      </c>
      <c r="E127" s="62">
        <v>606</v>
      </c>
      <c r="F127" s="49" t="s">
        <v>65</v>
      </c>
    </row>
    <row r="128" spans="1:6" ht="18" customHeight="1">
      <c r="A128" s="49" t="s">
        <v>66</v>
      </c>
      <c r="B128" s="62">
        <v>7611100</v>
      </c>
      <c r="C128" s="62" t="s">
        <v>176</v>
      </c>
      <c r="D128" s="62" t="str">
        <f t="shared" si="2"/>
        <v>MFG-7611100</v>
      </c>
      <c r="E128" s="62">
        <v>701</v>
      </c>
      <c r="F128" s="49" t="s">
        <v>68</v>
      </c>
    </row>
    <row r="129" spans="1:6" ht="18" customHeight="1">
      <c r="A129" s="49" t="s">
        <v>69</v>
      </c>
      <c r="B129" s="62">
        <v>7611300</v>
      </c>
      <c r="C129" s="62" t="s">
        <v>176</v>
      </c>
      <c r="D129" s="62" t="str">
        <f t="shared" si="2"/>
        <v>MFG-7611300</v>
      </c>
      <c r="E129" s="62">
        <v>701</v>
      </c>
      <c r="F129" s="49" t="s">
        <v>70</v>
      </c>
    </row>
    <row r="130" spans="1:6" ht="18" customHeight="1">
      <c r="A130" s="49" t="s">
        <v>319</v>
      </c>
      <c r="B130" s="62">
        <v>7611400</v>
      </c>
      <c r="C130" s="62" t="s">
        <v>176</v>
      </c>
      <c r="D130" s="62" t="str">
        <f t="shared" ref="D130:D172" si="3">C130&amp;"-"&amp;B130</f>
        <v>MFG-7611400</v>
      </c>
      <c r="E130" s="62">
        <v>701</v>
      </c>
      <c r="F130" s="49" t="s">
        <v>320</v>
      </c>
    </row>
    <row r="131" spans="1:6" ht="18" customHeight="1">
      <c r="A131" s="49" t="s">
        <v>71</v>
      </c>
      <c r="B131" s="62">
        <v>7611500</v>
      </c>
      <c r="C131" s="62" t="s">
        <v>176</v>
      </c>
      <c r="D131" s="62" t="str">
        <f t="shared" si="3"/>
        <v>MFG-7611500</v>
      </c>
      <c r="E131" s="62">
        <v>701</v>
      </c>
      <c r="F131" s="49" t="s">
        <v>72</v>
      </c>
    </row>
    <row r="132" spans="1:6" ht="18" customHeight="1">
      <c r="A132" s="49" t="s">
        <v>73</v>
      </c>
      <c r="B132" s="62">
        <v>7611600</v>
      </c>
      <c r="C132" s="62" t="s">
        <v>176</v>
      </c>
      <c r="D132" s="62" t="str">
        <f t="shared" si="3"/>
        <v>MFG-7611600</v>
      </c>
      <c r="E132" s="62">
        <v>701</v>
      </c>
      <c r="F132" s="49" t="s">
        <v>74</v>
      </c>
    </row>
    <row r="133" spans="1:6" ht="18" customHeight="1">
      <c r="A133" s="49" t="s">
        <v>75</v>
      </c>
      <c r="B133" s="62">
        <v>7611700</v>
      </c>
      <c r="C133" s="62" t="s">
        <v>176</v>
      </c>
      <c r="D133" s="62" t="str">
        <f t="shared" si="3"/>
        <v>MFG-7611700</v>
      </c>
      <c r="E133" s="62">
        <v>701</v>
      </c>
      <c r="F133" s="49" t="s">
        <v>76</v>
      </c>
    </row>
    <row r="134" spans="1:6" ht="18" customHeight="1">
      <c r="A134" s="49" t="s">
        <v>321</v>
      </c>
      <c r="B134" s="62">
        <v>7611800</v>
      </c>
      <c r="C134" s="62" t="s">
        <v>176</v>
      </c>
      <c r="D134" s="62" t="str">
        <f t="shared" si="3"/>
        <v>MFG-7611800</v>
      </c>
      <c r="E134" s="62">
        <v>701</v>
      </c>
      <c r="F134" s="49" t="s">
        <v>322</v>
      </c>
    </row>
    <row r="135" spans="1:6" ht="18" customHeight="1">
      <c r="A135" s="49" t="s">
        <v>77</v>
      </c>
      <c r="B135" s="62">
        <v>7621101</v>
      </c>
      <c r="C135" s="62" t="s">
        <v>176</v>
      </c>
      <c r="D135" s="62" t="str">
        <f t="shared" si="3"/>
        <v>MFG-7621101</v>
      </c>
      <c r="E135" s="62">
        <v>903</v>
      </c>
      <c r="F135" s="49" t="s">
        <v>79</v>
      </c>
    </row>
    <row r="136" spans="1:6" ht="18" customHeight="1">
      <c r="A136" s="60" t="s">
        <v>80</v>
      </c>
      <c r="B136" s="63">
        <v>7621199</v>
      </c>
      <c r="C136" s="62" t="s">
        <v>176</v>
      </c>
      <c r="D136" s="62" t="str">
        <f t="shared" si="3"/>
        <v>MFG-7621199</v>
      </c>
      <c r="E136" s="62">
        <v>801</v>
      </c>
      <c r="F136" s="49" t="s">
        <v>82</v>
      </c>
    </row>
    <row r="137" spans="1:6" ht="18" customHeight="1">
      <c r="A137" s="49" t="s">
        <v>83</v>
      </c>
      <c r="B137" s="62">
        <v>7631101</v>
      </c>
      <c r="C137" s="62" t="s">
        <v>176</v>
      </c>
      <c r="D137" s="62" t="str">
        <f t="shared" si="3"/>
        <v>MFG-7631101</v>
      </c>
      <c r="E137" s="62">
        <v>501</v>
      </c>
      <c r="F137" s="49" t="s">
        <v>85</v>
      </c>
    </row>
    <row r="138" spans="1:6" ht="18" customHeight="1">
      <c r="A138" s="49" t="s">
        <v>86</v>
      </c>
      <c r="B138" s="62">
        <v>7631102</v>
      </c>
      <c r="C138" s="62" t="s">
        <v>176</v>
      </c>
      <c r="D138" s="62" t="str">
        <f t="shared" si="3"/>
        <v>MFG-7631102</v>
      </c>
      <c r="E138" s="62">
        <v>502</v>
      </c>
      <c r="F138" s="49" t="s">
        <v>88</v>
      </c>
    </row>
    <row r="139" spans="1:6" ht="18" customHeight="1">
      <c r="A139" s="49" t="s">
        <v>89</v>
      </c>
      <c r="B139" s="62">
        <v>7641101</v>
      </c>
      <c r="C139" s="62" t="s">
        <v>176</v>
      </c>
      <c r="D139" s="62" t="str">
        <f t="shared" si="3"/>
        <v>MFG-7641101</v>
      </c>
      <c r="E139" s="62">
        <v>401</v>
      </c>
      <c r="F139" s="49" t="s">
        <v>91</v>
      </c>
    </row>
    <row r="140" spans="1:6" ht="18" customHeight="1">
      <c r="A140" s="49" t="s">
        <v>92</v>
      </c>
      <c r="B140" s="62">
        <v>7641102</v>
      </c>
      <c r="C140" s="62" t="s">
        <v>176</v>
      </c>
      <c r="D140" s="62" t="str">
        <f t="shared" si="3"/>
        <v>MFG-7641102</v>
      </c>
      <c r="E140" s="62">
        <v>401</v>
      </c>
      <c r="F140" s="49" t="s">
        <v>93</v>
      </c>
    </row>
    <row r="141" spans="1:6" ht="18" customHeight="1">
      <c r="A141" s="49" t="s">
        <v>94</v>
      </c>
      <c r="B141" s="62">
        <v>7641103</v>
      </c>
      <c r="C141" s="62" t="s">
        <v>176</v>
      </c>
      <c r="D141" s="62" t="str">
        <f t="shared" si="3"/>
        <v>MFG-7641103</v>
      </c>
      <c r="E141" s="62">
        <v>902</v>
      </c>
      <c r="F141" s="49" t="s">
        <v>96</v>
      </c>
    </row>
    <row r="142" spans="1:6" ht="18" customHeight="1">
      <c r="A142" s="49" t="s">
        <v>97</v>
      </c>
      <c r="B142" s="62">
        <v>7641104</v>
      </c>
      <c r="C142" s="62" t="s">
        <v>176</v>
      </c>
      <c r="D142" s="62" t="str">
        <f t="shared" si="3"/>
        <v>MFG-7641104</v>
      </c>
      <c r="E142" s="62">
        <v>999</v>
      </c>
      <c r="F142" s="49" t="s">
        <v>98</v>
      </c>
    </row>
    <row r="143" spans="1:6" ht="18" customHeight="1">
      <c r="A143" s="49" t="s">
        <v>99</v>
      </c>
      <c r="B143" s="62">
        <v>7651101</v>
      </c>
      <c r="C143" s="62" t="s">
        <v>176</v>
      </c>
      <c r="D143" s="62" t="str">
        <f t="shared" si="3"/>
        <v>MFG-7651101</v>
      </c>
      <c r="E143" s="62">
        <v>903</v>
      </c>
      <c r="F143" s="49" t="s">
        <v>100</v>
      </c>
    </row>
    <row r="144" spans="1:6" ht="18" customHeight="1">
      <c r="A144" s="49" t="s">
        <v>101</v>
      </c>
      <c r="B144" s="62">
        <v>7651102</v>
      </c>
      <c r="C144" s="62" t="s">
        <v>176</v>
      </c>
      <c r="D144" s="62" t="str">
        <f t="shared" si="3"/>
        <v>MFG-7651102</v>
      </c>
      <c r="E144" s="62">
        <v>903</v>
      </c>
      <c r="F144" s="49" t="s">
        <v>102</v>
      </c>
    </row>
    <row r="145" spans="1:6" ht="18" customHeight="1">
      <c r="A145" s="49" t="s">
        <v>103</v>
      </c>
      <c r="B145" s="62">
        <v>7651103</v>
      </c>
      <c r="C145" s="62" t="s">
        <v>176</v>
      </c>
      <c r="D145" s="62" t="str">
        <f t="shared" si="3"/>
        <v>MFG-7651103</v>
      </c>
      <c r="E145" s="62">
        <v>903</v>
      </c>
      <c r="F145" s="49" t="s">
        <v>104</v>
      </c>
    </row>
    <row r="146" spans="1:6" ht="18" customHeight="1">
      <c r="A146" s="49" t="s">
        <v>105</v>
      </c>
      <c r="B146" s="62">
        <v>7661101</v>
      </c>
      <c r="C146" s="62" t="s">
        <v>176</v>
      </c>
      <c r="D146" s="62" t="str">
        <f t="shared" si="3"/>
        <v>MFG-7661101</v>
      </c>
      <c r="E146" s="62">
        <v>999</v>
      </c>
      <c r="F146" s="49" t="s">
        <v>107</v>
      </c>
    </row>
    <row r="147" spans="1:6" ht="18" customHeight="1">
      <c r="A147" s="49" t="s">
        <v>108</v>
      </c>
      <c r="B147" s="62">
        <v>7671102</v>
      </c>
      <c r="C147" s="62" t="s">
        <v>176</v>
      </c>
      <c r="D147" s="62" t="str">
        <f t="shared" si="3"/>
        <v>MFG-7671102</v>
      </c>
      <c r="E147" s="62">
        <v>999</v>
      </c>
      <c r="F147" s="49" t="s">
        <v>109</v>
      </c>
    </row>
    <row r="148" spans="1:6" ht="18" customHeight="1">
      <c r="A148" s="49" t="s">
        <v>110</v>
      </c>
      <c r="B148" s="62">
        <v>7671103</v>
      </c>
      <c r="C148" s="62" t="s">
        <v>176</v>
      </c>
      <c r="D148" s="62" t="str">
        <f t="shared" si="3"/>
        <v>MFG-7671103</v>
      </c>
      <c r="E148" s="62">
        <v>999</v>
      </c>
      <c r="F148" s="49" t="s">
        <v>111</v>
      </c>
    </row>
    <row r="149" spans="1:6" ht="18" customHeight="1">
      <c r="A149" s="49" t="s">
        <v>112</v>
      </c>
      <c r="B149" s="62">
        <v>7681101</v>
      </c>
      <c r="C149" s="62" t="s">
        <v>176</v>
      </c>
      <c r="D149" s="62" t="str">
        <f t="shared" si="3"/>
        <v>MFG-7681101</v>
      </c>
      <c r="E149" s="62">
        <v>999</v>
      </c>
      <c r="F149" s="49" t="s">
        <v>113</v>
      </c>
    </row>
    <row r="150" spans="1:6" ht="18" customHeight="1">
      <c r="A150" s="49" t="s">
        <v>114</v>
      </c>
      <c r="B150" s="62">
        <v>7691000</v>
      </c>
      <c r="C150" s="62" t="s">
        <v>176</v>
      </c>
      <c r="D150" s="62" t="str">
        <f t="shared" si="3"/>
        <v>MFG-7691000</v>
      </c>
      <c r="E150" s="62">
        <v>999</v>
      </c>
      <c r="F150" s="49" t="s">
        <v>115</v>
      </c>
    </row>
    <row r="151" spans="1:6" ht="18" customHeight="1">
      <c r="A151" s="49" t="s">
        <v>116</v>
      </c>
      <c r="B151" s="62">
        <v>7711101</v>
      </c>
      <c r="C151" s="62" t="s">
        <v>176</v>
      </c>
      <c r="D151" s="62" t="str">
        <f t="shared" si="3"/>
        <v>MFG-7711101</v>
      </c>
      <c r="E151" s="62">
        <v>999</v>
      </c>
      <c r="F151" s="49" t="s">
        <v>117</v>
      </c>
    </row>
    <row r="152" spans="1:6" ht="18" customHeight="1">
      <c r="A152" s="49" t="s">
        <v>118</v>
      </c>
      <c r="B152" s="62">
        <v>7711102</v>
      </c>
      <c r="C152" s="62" t="s">
        <v>176</v>
      </c>
      <c r="D152" s="62" t="str">
        <f t="shared" si="3"/>
        <v>MFG-7711102</v>
      </c>
      <c r="E152" s="62">
        <v>904</v>
      </c>
      <c r="F152" s="49" t="s">
        <v>120</v>
      </c>
    </row>
    <row r="153" spans="1:6" ht="18" customHeight="1">
      <c r="A153" s="49" t="s">
        <v>121</v>
      </c>
      <c r="B153" s="62">
        <v>7711103</v>
      </c>
      <c r="C153" s="62" t="s">
        <v>176</v>
      </c>
      <c r="D153" s="62" t="str">
        <f t="shared" si="3"/>
        <v>MFG-7711103</v>
      </c>
      <c r="E153" s="62">
        <v>999</v>
      </c>
      <c r="F153" s="49" t="s">
        <v>122</v>
      </c>
    </row>
    <row r="154" spans="1:6" ht="18" customHeight="1">
      <c r="A154" s="49" t="s">
        <v>325</v>
      </c>
      <c r="B154" s="62">
        <v>7721101</v>
      </c>
      <c r="C154" s="62" t="s">
        <v>176</v>
      </c>
      <c r="D154" s="62" t="str">
        <f t="shared" si="3"/>
        <v>MFG-7721101</v>
      </c>
      <c r="E154" s="62">
        <v>999</v>
      </c>
      <c r="F154" s="49" t="s">
        <v>326</v>
      </c>
    </row>
    <row r="155" spans="1:6" ht="18" customHeight="1">
      <c r="A155" s="49" t="s">
        <v>123</v>
      </c>
      <c r="B155" s="62">
        <v>7729101</v>
      </c>
      <c r="C155" s="62" t="s">
        <v>176</v>
      </c>
      <c r="D155" s="62" t="str">
        <f t="shared" si="3"/>
        <v>MFG-7729101</v>
      </c>
      <c r="E155" s="62">
        <v>905</v>
      </c>
      <c r="F155" s="49" t="s">
        <v>125</v>
      </c>
    </row>
    <row r="156" spans="1:6" ht="18" customHeight="1">
      <c r="A156" s="49" t="s">
        <v>126</v>
      </c>
      <c r="B156" s="62">
        <v>7729103</v>
      </c>
      <c r="C156" s="62" t="s">
        <v>176</v>
      </c>
      <c r="D156" s="62" t="str">
        <f t="shared" si="3"/>
        <v>MFG-7729103</v>
      </c>
      <c r="E156" s="62">
        <v>907</v>
      </c>
      <c r="F156" s="49" t="s">
        <v>128</v>
      </c>
    </row>
    <row r="157" spans="1:6" ht="18" customHeight="1">
      <c r="A157" s="49" t="s">
        <v>129</v>
      </c>
      <c r="B157" s="62">
        <v>7729105</v>
      </c>
      <c r="C157" s="62" t="s">
        <v>176</v>
      </c>
      <c r="D157" s="62" t="str">
        <f t="shared" si="3"/>
        <v>MFG-7729105</v>
      </c>
      <c r="E157" s="62">
        <v>999</v>
      </c>
      <c r="F157" s="49" t="s">
        <v>130</v>
      </c>
    </row>
    <row r="158" spans="1:6" ht="18" customHeight="1">
      <c r="A158" s="49" t="s">
        <v>131</v>
      </c>
      <c r="B158" s="62">
        <v>7781101</v>
      </c>
      <c r="C158" s="62" t="s">
        <v>176</v>
      </c>
      <c r="D158" s="62" t="str">
        <f t="shared" si="3"/>
        <v>MFG-7781101</v>
      </c>
      <c r="E158" s="62">
        <v>999</v>
      </c>
      <c r="F158" s="49" t="s">
        <v>132</v>
      </c>
    </row>
    <row r="159" spans="1:6" ht="18" customHeight="1">
      <c r="A159" s="49" t="s">
        <v>133</v>
      </c>
      <c r="B159" s="62">
        <v>7781103</v>
      </c>
      <c r="C159" s="62" t="s">
        <v>176</v>
      </c>
      <c r="D159" s="62" t="str">
        <f t="shared" si="3"/>
        <v>MFG-7781103</v>
      </c>
      <c r="E159" s="62">
        <v>999</v>
      </c>
      <c r="F159" s="49" t="s">
        <v>134</v>
      </c>
    </row>
    <row r="160" spans="1:6" ht="18" customHeight="1">
      <c r="A160" s="49" t="s">
        <v>135</v>
      </c>
      <c r="B160" s="62">
        <v>7781104</v>
      </c>
      <c r="C160" s="62" t="s">
        <v>176</v>
      </c>
      <c r="D160" s="62" t="str">
        <f t="shared" si="3"/>
        <v>MFG-7781104</v>
      </c>
      <c r="E160" s="62">
        <v>999</v>
      </c>
      <c r="F160" s="49" t="s">
        <v>136</v>
      </c>
    </row>
    <row r="161" spans="1:6" ht="18" customHeight="1">
      <c r="A161" s="49" t="s">
        <v>327</v>
      </c>
      <c r="B161" s="62">
        <v>7781105</v>
      </c>
      <c r="C161" s="62" t="s">
        <v>176</v>
      </c>
      <c r="D161" s="62" t="str">
        <f t="shared" si="3"/>
        <v>MFG-7781105</v>
      </c>
      <c r="E161" s="62">
        <v>999</v>
      </c>
      <c r="F161" s="49" t="s">
        <v>328</v>
      </c>
    </row>
    <row r="162" spans="1:6" ht="18" customHeight="1">
      <c r="A162" s="49" t="s">
        <v>329</v>
      </c>
      <c r="B162" s="62">
        <v>7781106</v>
      </c>
      <c r="C162" s="62" t="s">
        <v>176</v>
      </c>
      <c r="D162" s="62" t="str">
        <f t="shared" si="3"/>
        <v>MFG-7781106</v>
      </c>
      <c r="E162" s="62">
        <v>999</v>
      </c>
      <c r="F162" s="49" t="s">
        <v>330</v>
      </c>
    </row>
    <row r="163" spans="1:6" ht="18" customHeight="1">
      <c r="A163" s="49" t="s">
        <v>137</v>
      </c>
      <c r="B163" s="62">
        <v>7781107</v>
      </c>
      <c r="C163" s="62" t="s">
        <v>176</v>
      </c>
      <c r="D163" s="62" t="str">
        <f t="shared" si="3"/>
        <v>MFG-7781107</v>
      </c>
      <c r="E163" s="62">
        <v>906</v>
      </c>
      <c r="F163" s="49" t="s">
        <v>139</v>
      </c>
    </row>
    <row r="164" spans="1:6" ht="18" customHeight="1">
      <c r="A164" s="49" t="s">
        <v>140</v>
      </c>
      <c r="B164" s="62">
        <v>7781111</v>
      </c>
      <c r="C164" s="62" t="s">
        <v>176</v>
      </c>
      <c r="D164" s="62" t="str">
        <f t="shared" si="3"/>
        <v>MFG-7781111</v>
      </c>
      <c r="E164" s="62">
        <v>999</v>
      </c>
      <c r="F164" s="49" t="s">
        <v>141</v>
      </c>
    </row>
    <row r="165" spans="1:6" ht="18" customHeight="1">
      <c r="A165" s="49" t="s">
        <v>142</v>
      </c>
      <c r="B165" s="62">
        <v>7781112</v>
      </c>
      <c r="C165" s="62" t="s">
        <v>176</v>
      </c>
      <c r="D165" s="62" t="str">
        <f t="shared" si="3"/>
        <v>MFG-7781112</v>
      </c>
      <c r="E165" s="62">
        <v>999</v>
      </c>
      <c r="F165" s="49" t="s">
        <v>143</v>
      </c>
    </row>
    <row r="166" spans="1:6" ht="18" customHeight="1">
      <c r="A166" s="49" t="s">
        <v>144</v>
      </c>
      <c r="B166" s="62">
        <v>7781113</v>
      </c>
      <c r="C166" s="62" t="s">
        <v>176</v>
      </c>
      <c r="D166" s="62" t="str">
        <f t="shared" si="3"/>
        <v>MFG-7781113</v>
      </c>
      <c r="E166" s="62">
        <v>999</v>
      </c>
      <c r="F166" s="49" t="s">
        <v>145</v>
      </c>
    </row>
    <row r="167" spans="1:6" ht="18" customHeight="1">
      <c r="A167" s="49" t="s">
        <v>193</v>
      </c>
      <c r="B167" s="50">
        <v>8291101</v>
      </c>
      <c r="C167" s="51" t="s">
        <v>194</v>
      </c>
      <c r="D167" s="51" t="str">
        <f t="shared" si="3"/>
        <v>OTH-8291101</v>
      </c>
    </row>
    <row r="168" spans="1:6" ht="18" customHeight="1">
      <c r="A168" s="49" t="s">
        <v>195</v>
      </c>
      <c r="B168" s="50">
        <v>8291102</v>
      </c>
      <c r="C168" s="51" t="s">
        <v>194</v>
      </c>
      <c r="D168" s="51" t="str">
        <f t="shared" si="3"/>
        <v>OTH-8291102</v>
      </c>
    </row>
    <row r="169" spans="1:6" ht="18" customHeight="1">
      <c r="A169" s="49" t="s">
        <v>196</v>
      </c>
      <c r="B169" s="50">
        <v>8291201</v>
      </c>
      <c r="C169" s="51" t="s">
        <v>194</v>
      </c>
      <c r="D169" s="51" t="str">
        <f t="shared" si="3"/>
        <v>OTH-8291201</v>
      </c>
    </row>
    <row r="170" spans="1:6" ht="18" customHeight="1">
      <c r="A170" s="49" t="s">
        <v>197</v>
      </c>
      <c r="B170" s="50">
        <v>8291202</v>
      </c>
      <c r="C170" s="51" t="s">
        <v>194</v>
      </c>
      <c r="D170" s="51" t="str">
        <f t="shared" si="3"/>
        <v>OTH-8291202</v>
      </c>
    </row>
    <row r="171" spans="1:6" ht="18" customHeight="1">
      <c r="A171" s="49" t="s">
        <v>198</v>
      </c>
      <c r="B171" s="50">
        <v>8291203</v>
      </c>
      <c r="C171" s="51" t="s">
        <v>194</v>
      </c>
      <c r="D171" s="51" t="str">
        <f t="shared" si="3"/>
        <v>OTH-8291203</v>
      </c>
    </row>
    <row r="172" spans="1:6" ht="18" customHeight="1">
      <c r="A172" s="49" t="s">
        <v>199</v>
      </c>
      <c r="B172" s="50">
        <v>8191101</v>
      </c>
      <c r="C172" s="51" t="s">
        <v>194</v>
      </c>
      <c r="D172" s="51" t="str">
        <f t="shared" si="3"/>
        <v>OTH-8191101</v>
      </c>
    </row>
    <row r="173" spans="1:6" ht="18" customHeight="1">
      <c r="E173" s="64"/>
    </row>
  </sheetData>
  <phoneticPr fontId="2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86C78-A7C3-4058-9DEC-53815F5CD0C1}">
  <sheetPr>
    <pageSetUpPr fitToPage="1"/>
  </sheetPr>
  <dimension ref="A1:F155"/>
  <sheetViews>
    <sheetView zoomScale="80" zoomScaleNormal="80" workbookViewId="0">
      <pane xSplit="1" ySplit="1" topLeftCell="B2" activePane="bottomRight" state="frozen"/>
      <selection activeCell="AO2" sqref="AO2"/>
      <selection pane="topRight" activeCell="AO2" sqref="AO2"/>
      <selection pane="bottomLeft" activeCell="AO2" sqref="AO2"/>
      <selection pane="bottomRight" activeCell="AO2" sqref="AO2"/>
    </sheetView>
  </sheetViews>
  <sheetFormatPr defaultColWidth="8.85546875" defaultRowHeight="18" customHeight="1"/>
  <cols>
    <col min="1" max="1" width="44.42578125" style="4" bestFit="1" customWidth="1"/>
    <col min="2" max="2" width="8.42578125" style="5" customWidth="1"/>
    <col min="3" max="3" width="8.5703125" style="6" customWidth="1"/>
    <col min="4" max="4" width="12.140625" style="6" bestFit="1" customWidth="1"/>
    <col min="5" max="5" width="10.5703125" style="6" customWidth="1"/>
    <col min="6" max="6" width="163.42578125" style="4" bestFit="1" customWidth="1"/>
    <col min="7" max="16384" width="8.85546875" style="4"/>
  </cols>
  <sheetData>
    <row r="1" spans="1:6" s="3" customFormat="1" ht="6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ht="18" customHeight="1">
      <c r="A2" s="4" t="s">
        <v>6</v>
      </c>
      <c r="B2" s="5">
        <v>7511101</v>
      </c>
      <c r="C2" s="6" t="s">
        <v>7</v>
      </c>
      <c r="D2" s="7" t="str">
        <f t="shared" ref="D2:D65" si="0">C2&amp;"-"&amp;B2</f>
        <v>SGA-7511101</v>
      </c>
      <c r="E2" s="6" t="s">
        <v>8</v>
      </c>
      <c r="F2" s="4" t="s">
        <v>6</v>
      </c>
    </row>
    <row r="3" spans="1:6" ht="18" customHeight="1">
      <c r="A3" s="4" t="s">
        <v>9</v>
      </c>
      <c r="B3" s="5">
        <v>7511102</v>
      </c>
      <c r="C3" s="6" t="s">
        <v>7</v>
      </c>
      <c r="D3" s="7" t="str">
        <f t="shared" si="0"/>
        <v>SGA-7511102</v>
      </c>
      <c r="E3" s="6" t="s">
        <v>8</v>
      </c>
      <c r="F3" s="4" t="s">
        <v>10</v>
      </c>
    </row>
    <row r="4" spans="1:6" ht="18" customHeight="1">
      <c r="A4" s="4" t="s">
        <v>11</v>
      </c>
      <c r="B4" s="5">
        <v>7511103</v>
      </c>
      <c r="C4" s="6" t="s">
        <v>7</v>
      </c>
      <c r="D4" s="7" t="str">
        <f t="shared" si="0"/>
        <v>SGA-7511103</v>
      </c>
      <c r="E4" s="6" t="s">
        <v>12</v>
      </c>
      <c r="F4" s="4" t="s">
        <v>13</v>
      </c>
    </row>
    <row r="5" spans="1:6" ht="18" customHeight="1">
      <c r="A5" s="4" t="s">
        <v>14</v>
      </c>
      <c r="B5" s="5">
        <v>7511111</v>
      </c>
      <c r="C5" s="6" t="s">
        <v>7</v>
      </c>
      <c r="D5" s="7" t="str">
        <f t="shared" si="0"/>
        <v>SGA-7511111</v>
      </c>
      <c r="E5" s="6" t="s">
        <v>12</v>
      </c>
      <c r="F5" s="4" t="s">
        <v>15</v>
      </c>
    </row>
    <row r="6" spans="1:6" ht="18" customHeight="1">
      <c r="A6" s="4" t="s">
        <v>16</v>
      </c>
      <c r="B6" s="5">
        <v>7511112</v>
      </c>
      <c r="C6" s="6" t="s">
        <v>7</v>
      </c>
      <c r="D6" s="7" t="str">
        <f t="shared" si="0"/>
        <v>SGA-7511112</v>
      </c>
      <c r="E6" s="6" t="s">
        <v>12</v>
      </c>
      <c r="F6" s="4" t="s">
        <v>17</v>
      </c>
    </row>
    <row r="7" spans="1:6" ht="18" customHeight="1">
      <c r="A7" s="4" t="s">
        <v>18</v>
      </c>
      <c r="B7" s="5">
        <v>7511121</v>
      </c>
      <c r="C7" s="6" t="s">
        <v>7</v>
      </c>
      <c r="D7" s="7" t="str">
        <f t="shared" si="0"/>
        <v>SGA-7511121</v>
      </c>
      <c r="E7" s="6" t="s">
        <v>12</v>
      </c>
      <c r="F7" s="4" t="s">
        <v>19</v>
      </c>
    </row>
    <row r="8" spans="1:6" ht="18" customHeight="1">
      <c r="A8" s="4" t="s">
        <v>20</v>
      </c>
      <c r="B8" s="5">
        <v>7511122</v>
      </c>
      <c r="C8" s="6" t="s">
        <v>7</v>
      </c>
      <c r="D8" s="7" t="str">
        <f t="shared" si="0"/>
        <v>SGA-7511122</v>
      </c>
      <c r="E8" s="6" t="s">
        <v>12</v>
      </c>
      <c r="F8" s="4" t="s">
        <v>21</v>
      </c>
    </row>
    <row r="9" spans="1:6" ht="18" customHeight="1">
      <c r="A9" s="4" t="s">
        <v>22</v>
      </c>
      <c r="B9" s="5">
        <v>7511201</v>
      </c>
      <c r="C9" s="6" t="s">
        <v>7</v>
      </c>
      <c r="D9" s="7" t="str">
        <f t="shared" si="0"/>
        <v>SGA-7511201</v>
      </c>
      <c r="E9" s="6" t="s">
        <v>23</v>
      </c>
      <c r="F9" s="4" t="s">
        <v>24</v>
      </c>
    </row>
    <row r="10" spans="1:6" ht="18" customHeight="1">
      <c r="A10" s="4" t="s">
        <v>25</v>
      </c>
      <c r="B10" s="5">
        <v>7512111</v>
      </c>
      <c r="C10" s="6" t="s">
        <v>7</v>
      </c>
      <c r="D10" s="7" t="str">
        <f t="shared" si="0"/>
        <v>SGA-7512111</v>
      </c>
      <c r="E10" s="6" t="s">
        <v>26</v>
      </c>
      <c r="F10" s="4" t="s">
        <v>27</v>
      </c>
    </row>
    <row r="11" spans="1:6" ht="18" customHeight="1">
      <c r="A11" s="4" t="s">
        <v>28</v>
      </c>
      <c r="B11" s="5">
        <v>7512112</v>
      </c>
      <c r="C11" s="6" t="s">
        <v>7</v>
      </c>
      <c r="D11" s="7" t="str">
        <f t="shared" si="0"/>
        <v>SGA-7512112</v>
      </c>
      <c r="E11" s="6" t="s">
        <v>26</v>
      </c>
      <c r="F11" s="4" t="s">
        <v>29</v>
      </c>
    </row>
    <row r="12" spans="1:6" ht="18" customHeight="1">
      <c r="A12" s="4" t="s">
        <v>30</v>
      </c>
      <c r="B12" s="5">
        <v>7514101</v>
      </c>
      <c r="C12" s="6" t="s">
        <v>7</v>
      </c>
      <c r="D12" s="7" t="str">
        <f t="shared" si="0"/>
        <v>SGA-7514101</v>
      </c>
      <c r="E12" s="6" t="s">
        <v>12</v>
      </c>
      <c r="F12" s="4" t="s">
        <v>31</v>
      </c>
    </row>
    <row r="13" spans="1:6" ht="18" customHeight="1">
      <c r="A13" s="4" t="s">
        <v>32</v>
      </c>
      <c r="B13" s="5">
        <v>7514102</v>
      </c>
      <c r="C13" s="6" t="s">
        <v>7</v>
      </c>
      <c r="D13" s="7" t="str">
        <f t="shared" si="0"/>
        <v>SGA-7514102</v>
      </c>
      <c r="E13" s="6" t="s">
        <v>12</v>
      </c>
      <c r="F13" s="4" t="s">
        <v>33</v>
      </c>
    </row>
    <row r="14" spans="1:6" ht="18" customHeight="1">
      <c r="A14" s="4" t="s">
        <v>34</v>
      </c>
      <c r="B14" s="5">
        <v>7515401</v>
      </c>
      <c r="C14" s="6" t="s">
        <v>7</v>
      </c>
      <c r="D14" s="7" t="str">
        <f t="shared" si="0"/>
        <v>SGA-7515401</v>
      </c>
      <c r="E14" s="6" t="s">
        <v>26</v>
      </c>
      <c r="F14" s="4" t="s">
        <v>35</v>
      </c>
    </row>
    <row r="15" spans="1:6" ht="18" customHeight="1">
      <c r="A15" s="4" t="s">
        <v>36</v>
      </c>
      <c r="B15" s="5">
        <v>7515402</v>
      </c>
      <c r="C15" s="6" t="s">
        <v>7</v>
      </c>
      <c r="D15" s="7" t="str">
        <f t="shared" si="0"/>
        <v>SGA-7515402</v>
      </c>
      <c r="E15" s="6" t="s">
        <v>26</v>
      </c>
      <c r="F15" s="4" t="s">
        <v>37</v>
      </c>
    </row>
    <row r="16" spans="1:6" ht="18" customHeight="1">
      <c r="A16" s="4" t="s">
        <v>38</v>
      </c>
      <c r="B16" s="5">
        <v>7515403</v>
      </c>
      <c r="C16" s="6" t="s">
        <v>7</v>
      </c>
      <c r="D16" s="7" t="str">
        <f t="shared" si="0"/>
        <v>SGA-7515403</v>
      </c>
      <c r="E16" s="6" t="s">
        <v>26</v>
      </c>
      <c r="F16" s="4" t="s">
        <v>39</v>
      </c>
    </row>
    <row r="17" spans="1:6" ht="18" customHeight="1">
      <c r="A17" s="4" t="s">
        <v>40</v>
      </c>
      <c r="B17" s="5">
        <v>7515404</v>
      </c>
      <c r="C17" s="6" t="s">
        <v>7</v>
      </c>
      <c r="D17" s="7" t="str">
        <f t="shared" si="0"/>
        <v>SGA-7515404</v>
      </c>
      <c r="E17" s="6" t="s">
        <v>26</v>
      </c>
      <c r="F17" s="4" t="s">
        <v>41</v>
      </c>
    </row>
    <row r="18" spans="1:6" ht="18" customHeight="1">
      <c r="A18" s="4" t="s">
        <v>42</v>
      </c>
      <c r="B18" s="5">
        <v>7515405</v>
      </c>
      <c r="C18" s="6" t="s">
        <v>7</v>
      </c>
      <c r="D18" s="7" t="str">
        <f t="shared" si="0"/>
        <v>SGA-7515405</v>
      </c>
      <c r="E18" s="6" t="s">
        <v>26</v>
      </c>
      <c r="F18" s="4" t="s">
        <v>43</v>
      </c>
    </row>
    <row r="19" spans="1:6" ht="18" customHeight="1">
      <c r="A19" s="4" t="s">
        <v>44</v>
      </c>
      <c r="B19" s="5">
        <v>7515406</v>
      </c>
      <c r="C19" s="6" t="s">
        <v>7</v>
      </c>
      <c r="D19" s="7" t="str">
        <f t="shared" si="0"/>
        <v>SGA-7515406</v>
      </c>
      <c r="E19" s="6" t="s">
        <v>26</v>
      </c>
      <c r="F19" s="4" t="s">
        <v>45</v>
      </c>
    </row>
    <row r="20" spans="1:6" ht="18" customHeight="1">
      <c r="A20" s="4" t="s">
        <v>46</v>
      </c>
      <c r="B20" s="5">
        <v>7515408</v>
      </c>
      <c r="C20" s="6" t="s">
        <v>7</v>
      </c>
      <c r="D20" s="7" t="str">
        <f t="shared" si="0"/>
        <v>SGA-7515408</v>
      </c>
      <c r="E20" s="6" t="s">
        <v>26</v>
      </c>
      <c r="F20" s="4" t="s">
        <v>47</v>
      </c>
    </row>
    <row r="21" spans="1:6" ht="18" customHeight="1">
      <c r="A21" s="4" t="s">
        <v>48</v>
      </c>
      <c r="B21" s="5">
        <v>7515409</v>
      </c>
      <c r="C21" s="6" t="s">
        <v>7</v>
      </c>
      <c r="D21" s="7" t="str">
        <f t="shared" si="0"/>
        <v>SGA-7515409</v>
      </c>
      <c r="E21" s="6" t="s">
        <v>26</v>
      </c>
      <c r="F21" s="4" t="s">
        <v>49</v>
      </c>
    </row>
    <row r="22" spans="1:6" ht="18" customHeight="1">
      <c r="A22" s="4" t="s">
        <v>50</v>
      </c>
      <c r="B22" s="5">
        <v>7515410</v>
      </c>
      <c r="C22" s="6" t="s">
        <v>7</v>
      </c>
      <c r="D22" s="7" t="str">
        <f t="shared" si="0"/>
        <v>SGA-7515410</v>
      </c>
      <c r="E22" s="6" t="s">
        <v>26</v>
      </c>
      <c r="F22" s="4" t="s">
        <v>51</v>
      </c>
    </row>
    <row r="23" spans="1:6" ht="18" customHeight="1">
      <c r="A23" s="4" t="s">
        <v>52</v>
      </c>
      <c r="B23" s="5">
        <v>7515499</v>
      </c>
      <c r="C23" s="6" t="s">
        <v>7</v>
      </c>
      <c r="D23" s="7" t="str">
        <f t="shared" si="0"/>
        <v>SGA-7515499</v>
      </c>
      <c r="E23" s="6" t="s">
        <v>26</v>
      </c>
      <c r="F23" s="4" t="s">
        <v>53</v>
      </c>
    </row>
    <row r="24" spans="1:6" ht="18" customHeight="1">
      <c r="A24" s="4" t="s">
        <v>54</v>
      </c>
      <c r="B24" s="5">
        <v>7516102</v>
      </c>
      <c r="C24" s="6" t="s">
        <v>7</v>
      </c>
      <c r="D24" s="7" t="str">
        <f t="shared" si="0"/>
        <v>SGA-7516102</v>
      </c>
      <c r="E24" s="6" t="s">
        <v>55</v>
      </c>
      <c r="F24" s="4" t="s">
        <v>56</v>
      </c>
    </row>
    <row r="25" spans="1:6" ht="18" customHeight="1">
      <c r="A25" s="4" t="s">
        <v>57</v>
      </c>
      <c r="B25" s="5">
        <v>7519101</v>
      </c>
      <c r="C25" s="6" t="s">
        <v>7</v>
      </c>
      <c r="D25" s="7" t="str">
        <f t="shared" si="0"/>
        <v>SGA-7519101</v>
      </c>
      <c r="E25" s="6" t="s">
        <v>8</v>
      </c>
      <c r="F25" s="4" t="s">
        <v>58</v>
      </c>
    </row>
    <row r="26" spans="1:6" ht="18" customHeight="1">
      <c r="A26" s="4" t="s">
        <v>59</v>
      </c>
      <c r="B26" s="5">
        <v>7521101</v>
      </c>
      <c r="C26" s="6" t="s">
        <v>7</v>
      </c>
      <c r="D26" s="7" t="str">
        <f t="shared" si="0"/>
        <v>SGA-7521101</v>
      </c>
      <c r="E26" s="6" t="s">
        <v>12</v>
      </c>
      <c r="F26" s="4" t="s">
        <v>60</v>
      </c>
    </row>
    <row r="27" spans="1:6" ht="18" customHeight="1">
      <c r="A27" s="4" t="s">
        <v>61</v>
      </c>
      <c r="B27" s="5">
        <v>7521102</v>
      </c>
      <c r="C27" s="6" t="s">
        <v>7</v>
      </c>
      <c r="D27" s="7" t="str">
        <f t="shared" si="0"/>
        <v>SGA-7521102</v>
      </c>
      <c r="E27" s="6" t="s">
        <v>23</v>
      </c>
      <c r="F27" s="4" t="s">
        <v>62</v>
      </c>
    </row>
    <row r="28" spans="1:6" ht="18" customHeight="1">
      <c r="A28" s="4" t="s">
        <v>63</v>
      </c>
      <c r="B28" s="5">
        <v>7571101</v>
      </c>
      <c r="C28" s="6" t="s">
        <v>7</v>
      </c>
      <c r="D28" s="7" t="str">
        <f t="shared" si="0"/>
        <v>SGA-7571101</v>
      </c>
      <c r="E28" s="6" t="s">
        <v>64</v>
      </c>
      <c r="F28" s="4" t="s">
        <v>65</v>
      </c>
    </row>
    <row r="29" spans="1:6" ht="18" customHeight="1">
      <c r="A29" s="4" t="s">
        <v>66</v>
      </c>
      <c r="B29" s="5">
        <v>7611100</v>
      </c>
      <c r="C29" s="6" t="s">
        <v>7</v>
      </c>
      <c r="D29" s="7" t="str">
        <f t="shared" si="0"/>
        <v>SGA-7611100</v>
      </c>
      <c r="E29" s="6" t="s">
        <v>67</v>
      </c>
      <c r="F29" s="4" t="s">
        <v>68</v>
      </c>
    </row>
    <row r="30" spans="1:6" ht="18" customHeight="1">
      <c r="A30" s="4" t="s">
        <v>69</v>
      </c>
      <c r="B30" s="5">
        <v>7611300</v>
      </c>
      <c r="C30" s="6" t="s">
        <v>7</v>
      </c>
      <c r="D30" s="7" t="str">
        <f t="shared" si="0"/>
        <v>SGA-7611300</v>
      </c>
      <c r="E30" s="6" t="s">
        <v>67</v>
      </c>
      <c r="F30" s="4" t="s">
        <v>70</v>
      </c>
    </row>
    <row r="31" spans="1:6" ht="18" customHeight="1">
      <c r="A31" s="4" t="s">
        <v>71</v>
      </c>
      <c r="B31" s="5">
        <v>7611500</v>
      </c>
      <c r="C31" s="6" t="s">
        <v>7</v>
      </c>
      <c r="D31" s="7" t="str">
        <f t="shared" si="0"/>
        <v>SGA-7611500</v>
      </c>
      <c r="E31" s="6" t="s">
        <v>67</v>
      </c>
      <c r="F31" s="4" t="s">
        <v>72</v>
      </c>
    </row>
    <row r="32" spans="1:6" ht="18" customHeight="1">
      <c r="A32" s="4" t="s">
        <v>73</v>
      </c>
      <c r="B32" s="5">
        <v>7611600</v>
      </c>
      <c r="C32" s="6" t="s">
        <v>7</v>
      </c>
      <c r="D32" s="7" t="str">
        <f t="shared" si="0"/>
        <v>SGA-7611600</v>
      </c>
      <c r="E32" s="6" t="s">
        <v>67</v>
      </c>
      <c r="F32" s="4" t="s">
        <v>74</v>
      </c>
    </row>
    <row r="33" spans="1:6" ht="18" customHeight="1">
      <c r="A33" s="4" t="s">
        <v>75</v>
      </c>
      <c r="B33" s="5">
        <v>7611700</v>
      </c>
      <c r="C33" s="6" t="s">
        <v>7</v>
      </c>
      <c r="D33" s="7" t="str">
        <f t="shared" si="0"/>
        <v>SGA-7611700</v>
      </c>
      <c r="E33" s="6" t="s">
        <v>67</v>
      </c>
      <c r="F33" s="4" t="s">
        <v>76</v>
      </c>
    </row>
    <row r="34" spans="1:6" ht="18" customHeight="1">
      <c r="A34" s="4" t="s">
        <v>77</v>
      </c>
      <c r="B34" s="5">
        <v>7621101</v>
      </c>
      <c r="C34" s="6" t="s">
        <v>7</v>
      </c>
      <c r="D34" s="7" t="str">
        <f t="shared" si="0"/>
        <v>SGA-7621101</v>
      </c>
      <c r="E34" s="6" t="s">
        <v>78</v>
      </c>
      <c r="F34" s="4" t="s">
        <v>79</v>
      </c>
    </row>
    <row r="35" spans="1:6" ht="18" customHeight="1">
      <c r="A35" s="4" t="s">
        <v>80</v>
      </c>
      <c r="B35" s="5">
        <v>7621199</v>
      </c>
      <c r="C35" s="6" t="s">
        <v>7</v>
      </c>
      <c r="D35" s="7" t="str">
        <f t="shared" si="0"/>
        <v>SGA-7621199</v>
      </c>
      <c r="E35" s="6" t="s">
        <v>81</v>
      </c>
      <c r="F35" s="4" t="s">
        <v>82</v>
      </c>
    </row>
    <row r="36" spans="1:6" ht="18" customHeight="1">
      <c r="A36" s="4" t="s">
        <v>83</v>
      </c>
      <c r="B36" s="5">
        <v>7631101</v>
      </c>
      <c r="C36" s="6" t="s">
        <v>7</v>
      </c>
      <c r="D36" s="7" t="str">
        <f t="shared" si="0"/>
        <v>SGA-7631101</v>
      </c>
      <c r="E36" s="6" t="s">
        <v>84</v>
      </c>
      <c r="F36" s="4" t="s">
        <v>85</v>
      </c>
    </row>
    <row r="37" spans="1:6" ht="18" customHeight="1">
      <c r="A37" s="4" t="s">
        <v>86</v>
      </c>
      <c r="B37" s="5">
        <v>7631102</v>
      </c>
      <c r="C37" s="6" t="s">
        <v>7</v>
      </c>
      <c r="D37" s="7" t="str">
        <f t="shared" si="0"/>
        <v>SGA-7631102</v>
      </c>
      <c r="E37" s="6" t="s">
        <v>87</v>
      </c>
      <c r="F37" s="4" t="s">
        <v>88</v>
      </c>
    </row>
    <row r="38" spans="1:6" ht="18" customHeight="1">
      <c r="A38" s="4" t="s">
        <v>89</v>
      </c>
      <c r="B38" s="5">
        <v>7641101</v>
      </c>
      <c r="C38" s="6" t="s">
        <v>7</v>
      </c>
      <c r="D38" s="7" t="str">
        <f t="shared" si="0"/>
        <v>SGA-7641101</v>
      </c>
      <c r="E38" s="6" t="s">
        <v>90</v>
      </c>
      <c r="F38" s="4" t="s">
        <v>91</v>
      </c>
    </row>
    <row r="39" spans="1:6" ht="18" customHeight="1">
      <c r="A39" s="4" t="s">
        <v>92</v>
      </c>
      <c r="B39" s="5">
        <v>7641102</v>
      </c>
      <c r="C39" s="6" t="s">
        <v>7</v>
      </c>
      <c r="D39" s="7" t="str">
        <f t="shared" si="0"/>
        <v>SGA-7641102</v>
      </c>
      <c r="E39" s="6" t="s">
        <v>90</v>
      </c>
      <c r="F39" s="4" t="s">
        <v>93</v>
      </c>
    </row>
    <row r="40" spans="1:6" ht="18" customHeight="1">
      <c r="A40" s="4" t="s">
        <v>94</v>
      </c>
      <c r="B40" s="5">
        <v>7641103</v>
      </c>
      <c r="C40" s="6" t="s">
        <v>7</v>
      </c>
      <c r="D40" s="7" t="str">
        <f t="shared" si="0"/>
        <v>SGA-7641103</v>
      </c>
      <c r="E40" s="6" t="s">
        <v>95</v>
      </c>
      <c r="F40" s="4" t="s">
        <v>96</v>
      </c>
    </row>
    <row r="41" spans="1:6" ht="18" customHeight="1">
      <c r="A41" s="4" t="s">
        <v>97</v>
      </c>
      <c r="B41" s="5">
        <v>7641104</v>
      </c>
      <c r="C41" s="6" t="s">
        <v>7</v>
      </c>
      <c r="D41" s="7" t="str">
        <f t="shared" si="0"/>
        <v>SGA-7641104</v>
      </c>
      <c r="E41" s="6" t="s">
        <v>95</v>
      </c>
      <c r="F41" s="4" t="s">
        <v>98</v>
      </c>
    </row>
    <row r="42" spans="1:6" ht="18" customHeight="1">
      <c r="A42" s="4" t="s">
        <v>99</v>
      </c>
      <c r="B42" s="5">
        <v>7651101</v>
      </c>
      <c r="C42" s="6" t="s">
        <v>7</v>
      </c>
      <c r="D42" s="7" t="str">
        <f t="shared" si="0"/>
        <v>SGA-7651101</v>
      </c>
      <c r="E42" s="6" t="s">
        <v>78</v>
      </c>
      <c r="F42" s="4" t="s">
        <v>100</v>
      </c>
    </row>
    <row r="43" spans="1:6" ht="18" customHeight="1">
      <c r="A43" s="4" t="s">
        <v>101</v>
      </c>
      <c r="B43" s="5">
        <v>7651102</v>
      </c>
      <c r="C43" s="6" t="s">
        <v>7</v>
      </c>
      <c r="D43" s="7" t="str">
        <f t="shared" si="0"/>
        <v>SGA-7651102</v>
      </c>
      <c r="E43" s="6" t="s">
        <v>78</v>
      </c>
      <c r="F43" s="4" t="s">
        <v>102</v>
      </c>
    </row>
    <row r="44" spans="1:6" ht="18" customHeight="1">
      <c r="A44" s="4" t="s">
        <v>103</v>
      </c>
      <c r="B44" s="5">
        <v>7651103</v>
      </c>
      <c r="C44" s="6" t="s">
        <v>7</v>
      </c>
      <c r="D44" s="7" t="str">
        <f t="shared" si="0"/>
        <v>SGA-7651103</v>
      </c>
      <c r="E44" s="6" t="s">
        <v>78</v>
      </c>
      <c r="F44" s="4" t="s">
        <v>104</v>
      </c>
    </row>
    <row r="45" spans="1:6" ht="18" customHeight="1">
      <c r="A45" s="4" t="s">
        <v>105</v>
      </c>
      <c r="B45" s="5">
        <v>7661101</v>
      </c>
      <c r="C45" s="6" t="s">
        <v>7</v>
      </c>
      <c r="D45" s="7" t="str">
        <f t="shared" si="0"/>
        <v>SGA-7661101</v>
      </c>
      <c r="E45" s="6" t="s">
        <v>106</v>
      </c>
      <c r="F45" s="4" t="s">
        <v>107</v>
      </c>
    </row>
    <row r="46" spans="1:6" ht="18" customHeight="1">
      <c r="A46" s="4" t="s">
        <v>108</v>
      </c>
      <c r="B46" s="5">
        <v>7671102</v>
      </c>
      <c r="C46" s="6" t="s">
        <v>7</v>
      </c>
      <c r="D46" s="7" t="str">
        <f t="shared" si="0"/>
        <v>SGA-7671102</v>
      </c>
      <c r="E46" s="6" t="s">
        <v>95</v>
      </c>
      <c r="F46" s="4" t="s">
        <v>109</v>
      </c>
    </row>
    <row r="47" spans="1:6" ht="18" customHeight="1">
      <c r="A47" s="4" t="s">
        <v>110</v>
      </c>
      <c r="B47" s="5">
        <v>7671103</v>
      </c>
      <c r="C47" s="6" t="s">
        <v>7</v>
      </c>
      <c r="D47" s="7" t="str">
        <f t="shared" si="0"/>
        <v>SGA-7671103</v>
      </c>
      <c r="E47" s="6" t="s">
        <v>95</v>
      </c>
      <c r="F47" s="4" t="s">
        <v>111</v>
      </c>
    </row>
    <row r="48" spans="1:6" ht="18" customHeight="1">
      <c r="A48" s="4" t="s">
        <v>112</v>
      </c>
      <c r="B48" s="5">
        <v>7681101</v>
      </c>
      <c r="C48" s="6" t="s">
        <v>7</v>
      </c>
      <c r="D48" s="7" t="str">
        <f t="shared" si="0"/>
        <v>SGA-7681101</v>
      </c>
      <c r="E48" s="6" t="s">
        <v>95</v>
      </c>
      <c r="F48" s="4" t="s">
        <v>113</v>
      </c>
    </row>
    <row r="49" spans="1:6" ht="18" customHeight="1">
      <c r="A49" s="4" t="s">
        <v>114</v>
      </c>
      <c r="B49" s="5">
        <v>7691000</v>
      </c>
      <c r="C49" s="6" t="s">
        <v>7</v>
      </c>
      <c r="D49" s="7" t="str">
        <f t="shared" si="0"/>
        <v>SGA-7691000</v>
      </c>
      <c r="E49" s="6" t="s">
        <v>95</v>
      </c>
      <c r="F49" s="4" t="s">
        <v>115</v>
      </c>
    </row>
    <row r="50" spans="1:6" ht="18" customHeight="1">
      <c r="A50" s="4" t="s">
        <v>116</v>
      </c>
      <c r="B50" s="5">
        <v>7711101</v>
      </c>
      <c r="C50" s="6" t="s">
        <v>7</v>
      </c>
      <c r="D50" s="7" t="str">
        <f t="shared" si="0"/>
        <v>SGA-7711101</v>
      </c>
      <c r="E50" s="6" t="s">
        <v>95</v>
      </c>
      <c r="F50" s="4" t="s">
        <v>117</v>
      </c>
    </row>
    <row r="51" spans="1:6" ht="18" customHeight="1">
      <c r="A51" s="4" t="s">
        <v>118</v>
      </c>
      <c r="B51" s="5">
        <v>7711102</v>
      </c>
      <c r="C51" s="6" t="s">
        <v>7</v>
      </c>
      <c r="D51" s="7" t="str">
        <f t="shared" si="0"/>
        <v>SGA-7711102</v>
      </c>
      <c r="E51" s="6" t="s">
        <v>119</v>
      </c>
      <c r="F51" s="4" t="s">
        <v>120</v>
      </c>
    </row>
    <row r="52" spans="1:6" ht="18" customHeight="1">
      <c r="A52" s="4" t="s">
        <v>121</v>
      </c>
      <c r="B52" s="5">
        <v>7711103</v>
      </c>
      <c r="C52" s="6" t="s">
        <v>7</v>
      </c>
      <c r="D52" s="7" t="str">
        <f t="shared" si="0"/>
        <v>SGA-7711103</v>
      </c>
      <c r="E52" s="6" t="s">
        <v>95</v>
      </c>
      <c r="F52" s="4" t="s">
        <v>122</v>
      </c>
    </row>
    <row r="53" spans="1:6" ht="18" customHeight="1">
      <c r="A53" s="4" t="s">
        <v>123</v>
      </c>
      <c r="B53" s="5">
        <v>7729101</v>
      </c>
      <c r="C53" s="6" t="s">
        <v>7</v>
      </c>
      <c r="D53" s="7" t="str">
        <f t="shared" si="0"/>
        <v>SGA-7729101</v>
      </c>
      <c r="E53" s="6" t="s">
        <v>124</v>
      </c>
      <c r="F53" s="4" t="s">
        <v>125</v>
      </c>
    </row>
    <row r="54" spans="1:6" ht="18" customHeight="1">
      <c r="A54" s="4" t="s">
        <v>126</v>
      </c>
      <c r="B54" s="5">
        <v>7729103</v>
      </c>
      <c r="C54" s="6" t="s">
        <v>7</v>
      </c>
      <c r="D54" s="7" t="str">
        <f t="shared" si="0"/>
        <v>SGA-7729103</v>
      </c>
      <c r="E54" s="6" t="s">
        <v>127</v>
      </c>
      <c r="F54" s="4" t="s">
        <v>128</v>
      </c>
    </row>
    <row r="55" spans="1:6" ht="18" customHeight="1">
      <c r="A55" s="4" t="s">
        <v>129</v>
      </c>
      <c r="B55" s="5">
        <v>7729105</v>
      </c>
      <c r="C55" s="6" t="s">
        <v>7</v>
      </c>
      <c r="D55" s="7" t="str">
        <f t="shared" si="0"/>
        <v>SGA-7729105</v>
      </c>
      <c r="E55" s="6" t="s">
        <v>95</v>
      </c>
      <c r="F55" s="4" t="s">
        <v>130</v>
      </c>
    </row>
    <row r="56" spans="1:6" ht="18" customHeight="1">
      <c r="A56" s="4" t="s">
        <v>131</v>
      </c>
      <c r="B56" s="5">
        <v>7781101</v>
      </c>
      <c r="C56" s="6" t="s">
        <v>7</v>
      </c>
      <c r="D56" s="7" t="str">
        <f t="shared" si="0"/>
        <v>SGA-7781101</v>
      </c>
      <c r="E56" s="6" t="s">
        <v>95</v>
      </c>
      <c r="F56" s="4" t="s">
        <v>132</v>
      </c>
    </row>
    <row r="57" spans="1:6" ht="18" customHeight="1">
      <c r="A57" s="4" t="s">
        <v>133</v>
      </c>
      <c r="B57" s="5">
        <v>7781103</v>
      </c>
      <c r="C57" s="6" t="s">
        <v>7</v>
      </c>
      <c r="D57" s="7" t="str">
        <f t="shared" si="0"/>
        <v>SGA-7781103</v>
      </c>
      <c r="E57" s="6" t="s">
        <v>95</v>
      </c>
      <c r="F57" s="4" t="s">
        <v>134</v>
      </c>
    </row>
    <row r="58" spans="1:6" ht="18" customHeight="1">
      <c r="A58" s="4" t="s">
        <v>135</v>
      </c>
      <c r="B58" s="5">
        <v>7781104</v>
      </c>
      <c r="C58" s="6" t="s">
        <v>7</v>
      </c>
      <c r="D58" s="7" t="str">
        <f t="shared" si="0"/>
        <v>SGA-7781104</v>
      </c>
      <c r="E58" s="6" t="s">
        <v>95</v>
      </c>
      <c r="F58" s="4" t="s">
        <v>136</v>
      </c>
    </row>
    <row r="59" spans="1:6" ht="18" customHeight="1">
      <c r="A59" s="4" t="s">
        <v>137</v>
      </c>
      <c r="B59" s="5">
        <v>7781107</v>
      </c>
      <c r="C59" s="6" t="s">
        <v>7</v>
      </c>
      <c r="D59" s="7" t="str">
        <f t="shared" si="0"/>
        <v>SGA-7781107</v>
      </c>
      <c r="E59" s="6" t="s">
        <v>138</v>
      </c>
      <c r="F59" s="4" t="s">
        <v>139</v>
      </c>
    </row>
    <row r="60" spans="1:6" ht="18" customHeight="1">
      <c r="A60" s="4" t="s">
        <v>140</v>
      </c>
      <c r="B60" s="5">
        <v>7781111</v>
      </c>
      <c r="C60" s="6" t="s">
        <v>7</v>
      </c>
      <c r="D60" s="7" t="str">
        <f t="shared" si="0"/>
        <v>SGA-7781111</v>
      </c>
      <c r="E60" s="6" t="s">
        <v>95</v>
      </c>
      <c r="F60" s="4" t="s">
        <v>141</v>
      </c>
    </row>
    <row r="61" spans="1:6" ht="18" customHeight="1">
      <c r="A61" s="4" t="s">
        <v>142</v>
      </c>
      <c r="B61" s="5">
        <v>7781112</v>
      </c>
      <c r="C61" s="6" t="s">
        <v>7</v>
      </c>
      <c r="D61" s="7" t="str">
        <f t="shared" si="0"/>
        <v>SGA-7781112</v>
      </c>
      <c r="E61" s="6" t="s">
        <v>95</v>
      </c>
      <c r="F61" s="4" t="s">
        <v>143</v>
      </c>
    </row>
    <row r="62" spans="1:6" ht="18" customHeight="1">
      <c r="A62" s="4" t="s">
        <v>144</v>
      </c>
      <c r="B62" s="5">
        <v>7781113</v>
      </c>
      <c r="C62" s="6" t="s">
        <v>7</v>
      </c>
      <c r="D62" s="7" t="str">
        <f t="shared" si="0"/>
        <v>SGA-7781113</v>
      </c>
      <c r="E62" s="6" t="s">
        <v>95</v>
      </c>
      <c r="F62" s="4" t="s">
        <v>145</v>
      </c>
    </row>
    <row r="63" spans="1:6" ht="18" customHeight="1">
      <c r="A63" s="4" t="s">
        <v>146</v>
      </c>
      <c r="B63" s="5">
        <v>7411101</v>
      </c>
      <c r="C63" s="6" t="s">
        <v>7</v>
      </c>
      <c r="D63" s="7" t="str">
        <f t="shared" si="0"/>
        <v>SGA-7411101</v>
      </c>
      <c r="E63" s="6" t="s">
        <v>147</v>
      </c>
      <c r="F63" s="4" t="s">
        <v>148</v>
      </c>
    </row>
    <row r="64" spans="1:6" ht="18" customHeight="1">
      <c r="A64" s="4" t="s">
        <v>149</v>
      </c>
      <c r="B64" s="5">
        <v>7411103</v>
      </c>
      <c r="C64" s="6" t="s">
        <v>7</v>
      </c>
      <c r="D64" s="7" t="str">
        <f t="shared" si="0"/>
        <v>SGA-7411103</v>
      </c>
      <c r="E64" s="6" t="s">
        <v>150</v>
      </c>
      <c r="F64" s="4" t="s">
        <v>151</v>
      </c>
    </row>
    <row r="65" spans="1:6" ht="18" customHeight="1">
      <c r="A65" s="4" t="s">
        <v>152</v>
      </c>
      <c r="B65" s="5">
        <v>7411104</v>
      </c>
      <c r="C65" s="6" t="s">
        <v>7</v>
      </c>
      <c r="D65" s="7" t="str">
        <f t="shared" si="0"/>
        <v>SGA-7411104</v>
      </c>
      <c r="E65" s="6" t="s">
        <v>153</v>
      </c>
      <c r="F65" s="4" t="s">
        <v>154</v>
      </c>
    </row>
    <row r="66" spans="1:6" ht="18" customHeight="1">
      <c r="A66" s="4" t="s">
        <v>155</v>
      </c>
      <c r="B66" s="5">
        <v>7431101</v>
      </c>
      <c r="C66" s="6" t="s">
        <v>7</v>
      </c>
      <c r="D66" s="7" t="str">
        <f t="shared" ref="D66:D129" si="1">C66&amp;"-"&amp;B66</f>
        <v>SGA-7431101</v>
      </c>
      <c r="E66" s="6" t="s">
        <v>156</v>
      </c>
      <c r="F66" s="4" t="s">
        <v>157</v>
      </c>
    </row>
    <row r="67" spans="1:6" ht="18" customHeight="1">
      <c r="A67" s="4" t="s">
        <v>158</v>
      </c>
      <c r="B67" s="5">
        <v>7451101</v>
      </c>
      <c r="C67" s="6" t="s">
        <v>7</v>
      </c>
      <c r="D67" s="7" t="str">
        <f t="shared" si="1"/>
        <v>SGA-7451101</v>
      </c>
      <c r="E67" s="6" t="s">
        <v>159</v>
      </c>
      <c r="F67" s="4" t="s">
        <v>160</v>
      </c>
    </row>
    <row r="68" spans="1:6" ht="18" customHeight="1">
      <c r="A68" s="4" t="s">
        <v>161</v>
      </c>
      <c r="B68" s="5">
        <v>7451102</v>
      </c>
      <c r="C68" s="6" t="s">
        <v>7</v>
      </c>
      <c r="D68" s="7" t="str">
        <f t="shared" si="1"/>
        <v>SGA-7451102</v>
      </c>
      <c r="E68" s="6" t="s">
        <v>162</v>
      </c>
      <c r="F68" s="4" t="s">
        <v>163</v>
      </c>
    </row>
    <row r="69" spans="1:6" ht="18" customHeight="1">
      <c r="A69" s="4" t="s">
        <v>164</v>
      </c>
      <c r="B69" s="5">
        <v>7451103</v>
      </c>
      <c r="C69" s="6" t="s">
        <v>7</v>
      </c>
      <c r="D69" s="7" t="str">
        <f t="shared" si="1"/>
        <v>SGA-7451103</v>
      </c>
      <c r="E69" s="6" t="s">
        <v>165</v>
      </c>
      <c r="F69" s="4" t="s">
        <v>166</v>
      </c>
    </row>
    <row r="70" spans="1:6" ht="18" customHeight="1">
      <c r="A70" s="8" t="s">
        <v>167</v>
      </c>
      <c r="B70" s="5">
        <v>7461101</v>
      </c>
      <c r="C70" s="6" t="s">
        <v>7</v>
      </c>
      <c r="D70" s="7" t="str">
        <f t="shared" si="1"/>
        <v>SGA-7461101</v>
      </c>
      <c r="E70" s="6" t="s">
        <v>168</v>
      </c>
      <c r="F70" s="4" t="s">
        <v>169</v>
      </c>
    </row>
    <row r="71" spans="1:6" ht="18" customHeight="1">
      <c r="A71" s="4" t="s">
        <v>170</v>
      </c>
      <c r="B71" s="5">
        <v>7411105</v>
      </c>
      <c r="C71" s="6" t="s">
        <v>7</v>
      </c>
      <c r="D71" s="6" t="str">
        <f t="shared" si="1"/>
        <v>SGA-7411105</v>
      </c>
      <c r="E71" s="9" t="s">
        <v>171</v>
      </c>
    </row>
    <row r="72" spans="1:6" ht="18" customHeight="1">
      <c r="A72" s="4" t="s">
        <v>172</v>
      </c>
      <c r="B72" s="5">
        <v>7471201</v>
      </c>
      <c r="C72" s="6" t="s">
        <v>7</v>
      </c>
      <c r="D72" s="6" t="str">
        <f t="shared" si="1"/>
        <v>SGA-7471201</v>
      </c>
      <c r="E72" s="9" t="s">
        <v>171</v>
      </c>
    </row>
    <row r="73" spans="1:6" ht="18" customHeight="1">
      <c r="A73" s="4" t="s">
        <v>173</v>
      </c>
      <c r="B73" s="5">
        <v>7751101</v>
      </c>
      <c r="C73" s="6" t="s">
        <v>7</v>
      </c>
      <c r="D73" s="6" t="str">
        <f t="shared" si="1"/>
        <v>SGA-7751101</v>
      </c>
    </row>
    <row r="74" spans="1:6" ht="18" customHeight="1">
      <c r="A74" s="4" t="s">
        <v>174</v>
      </c>
      <c r="B74" s="5">
        <v>7751102</v>
      </c>
      <c r="C74" s="6" t="s">
        <v>7</v>
      </c>
      <c r="D74" s="6" t="str">
        <f t="shared" si="1"/>
        <v>SGA-7751102</v>
      </c>
    </row>
    <row r="75" spans="1:6" ht="18" customHeight="1">
      <c r="A75" s="4" t="s">
        <v>175</v>
      </c>
      <c r="B75" s="10">
        <v>7111211</v>
      </c>
      <c r="C75" s="10" t="s">
        <v>176</v>
      </c>
      <c r="D75" s="10" t="str">
        <f t="shared" si="1"/>
        <v>MFG-7111211</v>
      </c>
    </row>
    <row r="76" spans="1:6" ht="18" customHeight="1">
      <c r="A76" s="4" t="s">
        <v>177</v>
      </c>
      <c r="B76" s="10">
        <v>7111221</v>
      </c>
      <c r="C76" s="10" t="s">
        <v>176</v>
      </c>
      <c r="D76" s="10" t="str">
        <f t="shared" si="1"/>
        <v>MFG-7111221</v>
      </c>
    </row>
    <row r="77" spans="1:6" ht="18" customHeight="1">
      <c r="A77" s="4" t="s">
        <v>178</v>
      </c>
      <c r="B77" s="10">
        <v>7111222</v>
      </c>
      <c r="C77" s="10" t="s">
        <v>176</v>
      </c>
      <c r="D77" s="10" t="str">
        <f t="shared" si="1"/>
        <v>MFG-7111222</v>
      </c>
    </row>
    <row r="78" spans="1:6" ht="18" customHeight="1">
      <c r="A78" s="4" t="s">
        <v>179</v>
      </c>
      <c r="B78" s="10">
        <v>7111223</v>
      </c>
      <c r="C78" s="10" t="s">
        <v>176</v>
      </c>
      <c r="D78" s="10" t="str">
        <f t="shared" si="1"/>
        <v>MFG-7111223</v>
      </c>
    </row>
    <row r="79" spans="1:6" ht="18" customHeight="1">
      <c r="A79" s="4" t="s">
        <v>180</v>
      </c>
      <c r="B79" s="10">
        <v>7111311</v>
      </c>
      <c r="C79" s="10" t="s">
        <v>176</v>
      </c>
      <c r="D79" s="10" t="str">
        <f t="shared" si="1"/>
        <v>MFG-7111311</v>
      </c>
    </row>
    <row r="80" spans="1:6" ht="18" customHeight="1">
      <c r="A80" s="4" t="s">
        <v>181</v>
      </c>
      <c r="B80" s="10">
        <v>7111321</v>
      </c>
      <c r="C80" s="10" t="s">
        <v>176</v>
      </c>
      <c r="D80" s="10" t="str">
        <f t="shared" si="1"/>
        <v>MFG-7111321</v>
      </c>
    </row>
    <row r="81" spans="1:6" ht="18" customHeight="1">
      <c r="A81" s="4" t="s">
        <v>182</v>
      </c>
      <c r="B81" s="10">
        <v>7111322</v>
      </c>
      <c r="C81" s="10" t="s">
        <v>176</v>
      </c>
      <c r="D81" s="10" t="str">
        <f t="shared" si="1"/>
        <v>MFG-7111322</v>
      </c>
    </row>
    <row r="82" spans="1:6" ht="18" customHeight="1">
      <c r="A82" s="4" t="s">
        <v>183</v>
      </c>
      <c r="B82" s="10">
        <v>7111323</v>
      </c>
      <c r="C82" s="10" t="s">
        <v>176</v>
      </c>
      <c r="D82" s="10" t="str">
        <f t="shared" si="1"/>
        <v>MFG-7111323</v>
      </c>
    </row>
    <row r="83" spans="1:6" ht="18" customHeight="1">
      <c r="A83" s="4" t="s">
        <v>184</v>
      </c>
      <c r="B83" s="10">
        <v>7211101</v>
      </c>
      <c r="C83" s="10" t="s">
        <v>176</v>
      </c>
      <c r="D83" s="10" t="str">
        <f t="shared" si="1"/>
        <v>MFG-7211101</v>
      </c>
    </row>
    <row r="84" spans="1:6" ht="18" customHeight="1">
      <c r="A84" s="4" t="s">
        <v>185</v>
      </c>
      <c r="B84" s="10">
        <v>7211102</v>
      </c>
      <c r="C84" s="10" t="s">
        <v>176</v>
      </c>
      <c r="D84" s="10" t="str">
        <f t="shared" si="1"/>
        <v>MFG-7211102</v>
      </c>
      <c r="E84" s="10">
        <v>901</v>
      </c>
      <c r="F84" s="4" t="s">
        <v>186</v>
      </c>
    </row>
    <row r="85" spans="1:6" ht="18" customHeight="1">
      <c r="A85" s="4" t="s">
        <v>187</v>
      </c>
      <c r="B85" s="10">
        <v>7211103</v>
      </c>
      <c r="C85" s="10" t="s">
        <v>176</v>
      </c>
      <c r="D85" s="10" t="str">
        <f t="shared" si="1"/>
        <v>MFG-7211103</v>
      </c>
      <c r="E85" s="10"/>
    </row>
    <row r="86" spans="1:6" ht="18" customHeight="1">
      <c r="A86" s="4" t="s">
        <v>188</v>
      </c>
      <c r="B86" s="10">
        <v>7221101</v>
      </c>
      <c r="C86" s="10" t="s">
        <v>176</v>
      </c>
      <c r="D86" s="10" t="str">
        <f t="shared" si="1"/>
        <v>MFG-7221101</v>
      </c>
      <c r="E86" s="10">
        <v>302</v>
      </c>
      <c r="F86" s="4" t="s">
        <v>189</v>
      </c>
    </row>
    <row r="87" spans="1:6" ht="18" customHeight="1">
      <c r="A87" s="4" t="s">
        <v>190</v>
      </c>
      <c r="B87" s="10">
        <v>7221102</v>
      </c>
      <c r="C87" s="10" t="s">
        <v>176</v>
      </c>
      <c r="D87" s="10" t="str">
        <f t="shared" si="1"/>
        <v>MFG-7221102</v>
      </c>
      <c r="E87" s="10">
        <v>301</v>
      </c>
      <c r="F87" s="4" t="s">
        <v>191</v>
      </c>
    </row>
    <row r="88" spans="1:6" ht="18" customHeight="1">
      <c r="A88" s="4" t="s">
        <v>6</v>
      </c>
      <c r="B88" s="10">
        <v>7511101</v>
      </c>
      <c r="C88" s="10" t="s">
        <v>176</v>
      </c>
      <c r="D88" s="10" t="str">
        <f t="shared" si="1"/>
        <v>MFG-7511101</v>
      </c>
      <c r="E88" s="10">
        <v>602</v>
      </c>
      <c r="F88" s="4" t="s">
        <v>6</v>
      </c>
    </row>
    <row r="89" spans="1:6" ht="18" customHeight="1">
      <c r="A89" s="4" t="s">
        <v>9</v>
      </c>
      <c r="B89" s="10">
        <v>7511102</v>
      </c>
      <c r="C89" s="10" t="s">
        <v>176</v>
      </c>
      <c r="D89" s="10" t="str">
        <f t="shared" si="1"/>
        <v>MFG-7511102</v>
      </c>
      <c r="E89" s="10">
        <v>602</v>
      </c>
      <c r="F89" s="4" t="s">
        <v>10</v>
      </c>
    </row>
    <row r="90" spans="1:6" ht="18" customHeight="1">
      <c r="A90" s="4" t="s">
        <v>11</v>
      </c>
      <c r="B90" s="10">
        <v>7511103</v>
      </c>
      <c r="C90" s="10" t="s">
        <v>176</v>
      </c>
      <c r="D90" s="10" t="str">
        <f t="shared" si="1"/>
        <v>MFG-7511103</v>
      </c>
      <c r="E90" s="10">
        <v>601</v>
      </c>
      <c r="F90" s="4" t="s">
        <v>13</v>
      </c>
    </row>
    <row r="91" spans="1:6" ht="18" customHeight="1">
      <c r="A91" s="4" t="s">
        <v>14</v>
      </c>
      <c r="B91" s="10">
        <v>7511111</v>
      </c>
      <c r="C91" s="10" t="s">
        <v>176</v>
      </c>
      <c r="D91" s="10" t="str">
        <f t="shared" si="1"/>
        <v>MFG-7511111</v>
      </c>
      <c r="E91" s="10">
        <v>601</v>
      </c>
      <c r="F91" s="4" t="s">
        <v>15</v>
      </c>
    </row>
    <row r="92" spans="1:6" ht="18" customHeight="1">
      <c r="A92" s="4" t="s">
        <v>16</v>
      </c>
      <c r="B92" s="10">
        <v>7511112</v>
      </c>
      <c r="C92" s="10" t="s">
        <v>176</v>
      </c>
      <c r="D92" s="10" t="str">
        <f t="shared" si="1"/>
        <v>MFG-7511112</v>
      </c>
      <c r="E92" s="10">
        <v>601</v>
      </c>
      <c r="F92" s="4" t="s">
        <v>17</v>
      </c>
    </row>
    <row r="93" spans="1:6" ht="18" customHeight="1">
      <c r="A93" s="4" t="s">
        <v>18</v>
      </c>
      <c r="B93" s="10">
        <v>7511121</v>
      </c>
      <c r="C93" s="10" t="s">
        <v>176</v>
      </c>
      <c r="D93" s="10" t="str">
        <f t="shared" si="1"/>
        <v>MFG-7511121</v>
      </c>
      <c r="E93" s="10">
        <v>601</v>
      </c>
      <c r="F93" s="4" t="s">
        <v>19</v>
      </c>
    </row>
    <row r="94" spans="1:6" ht="18" customHeight="1">
      <c r="A94" s="4" t="s">
        <v>20</v>
      </c>
      <c r="B94" s="10">
        <v>7511122</v>
      </c>
      <c r="C94" s="10" t="s">
        <v>176</v>
      </c>
      <c r="D94" s="10" t="str">
        <f t="shared" si="1"/>
        <v>MFG-7511122</v>
      </c>
      <c r="E94" s="10">
        <v>601</v>
      </c>
      <c r="F94" s="4" t="s">
        <v>21</v>
      </c>
    </row>
    <row r="95" spans="1:6" ht="18" customHeight="1">
      <c r="A95" s="4" t="s">
        <v>22</v>
      </c>
      <c r="B95" s="10">
        <v>7511201</v>
      </c>
      <c r="C95" s="10" t="s">
        <v>176</v>
      </c>
      <c r="D95" s="10" t="str">
        <f t="shared" si="1"/>
        <v>MFG-7511201</v>
      </c>
      <c r="E95" s="10">
        <v>603</v>
      </c>
      <c r="F95" s="4" t="s">
        <v>24</v>
      </c>
    </row>
    <row r="96" spans="1:6" ht="18" customHeight="1">
      <c r="A96" s="4" t="s">
        <v>25</v>
      </c>
      <c r="B96" s="10">
        <v>7512111</v>
      </c>
      <c r="C96" s="10" t="s">
        <v>176</v>
      </c>
      <c r="D96" s="10" t="str">
        <f t="shared" si="1"/>
        <v>MFG-7512111</v>
      </c>
      <c r="E96" s="10">
        <v>604</v>
      </c>
      <c r="F96" s="4" t="s">
        <v>27</v>
      </c>
    </row>
    <row r="97" spans="1:6" ht="18" customHeight="1">
      <c r="A97" s="4" t="s">
        <v>28</v>
      </c>
      <c r="B97" s="10">
        <v>7512112</v>
      </c>
      <c r="C97" s="10" t="s">
        <v>176</v>
      </c>
      <c r="D97" s="10" t="str">
        <f t="shared" si="1"/>
        <v>MFG-7512112</v>
      </c>
      <c r="E97" s="10">
        <v>604</v>
      </c>
      <c r="F97" s="4" t="s">
        <v>29</v>
      </c>
    </row>
    <row r="98" spans="1:6" ht="18" customHeight="1">
      <c r="A98" s="4" t="s">
        <v>30</v>
      </c>
      <c r="B98" s="10">
        <v>7514101</v>
      </c>
      <c r="C98" s="10" t="s">
        <v>176</v>
      </c>
      <c r="D98" s="10" t="str">
        <f t="shared" si="1"/>
        <v>MFG-7514101</v>
      </c>
      <c r="E98" s="10">
        <v>601</v>
      </c>
      <c r="F98" s="4" t="s">
        <v>31</v>
      </c>
    </row>
    <row r="99" spans="1:6" ht="18" customHeight="1">
      <c r="A99" s="4" t="s">
        <v>32</v>
      </c>
      <c r="B99" s="10">
        <v>7514102</v>
      </c>
      <c r="C99" s="10" t="s">
        <v>176</v>
      </c>
      <c r="D99" s="10" t="str">
        <f t="shared" si="1"/>
        <v>MFG-7514102</v>
      </c>
      <c r="E99" s="10">
        <v>601</v>
      </c>
      <c r="F99" s="4" t="s">
        <v>33</v>
      </c>
    </row>
    <row r="100" spans="1:6" ht="18" customHeight="1">
      <c r="A100" s="4" t="s">
        <v>34</v>
      </c>
      <c r="B100" s="10">
        <v>7515401</v>
      </c>
      <c r="C100" s="10" t="s">
        <v>176</v>
      </c>
      <c r="D100" s="10" t="str">
        <f t="shared" si="1"/>
        <v>MFG-7515401</v>
      </c>
      <c r="E100" s="10">
        <v>604</v>
      </c>
      <c r="F100" s="4" t="s">
        <v>35</v>
      </c>
    </row>
    <row r="101" spans="1:6" ht="18" customHeight="1">
      <c r="A101" s="4" t="s">
        <v>36</v>
      </c>
      <c r="B101" s="10">
        <v>7515402</v>
      </c>
      <c r="C101" s="10" t="s">
        <v>176</v>
      </c>
      <c r="D101" s="10" t="str">
        <f t="shared" si="1"/>
        <v>MFG-7515402</v>
      </c>
      <c r="E101" s="10">
        <v>604</v>
      </c>
      <c r="F101" s="4" t="s">
        <v>37</v>
      </c>
    </row>
    <row r="102" spans="1:6" ht="18" customHeight="1">
      <c r="A102" s="4" t="s">
        <v>38</v>
      </c>
      <c r="B102" s="10">
        <v>7515403</v>
      </c>
      <c r="C102" s="10" t="s">
        <v>176</v>
      </c>
      <c r="D102" s="10" t="str">
        <f t="shared" si="1"/>
        <v>MFG-7515403</v>
      </c>
      <c r="E102" s="10">
        <v>604</v>
      </c>
      <c r="F102" s="4" t="s">
        <v>39</v>
      </c>
    </row>
    <row r="103" spans="1:6" ht="18" customHeight="1">
      <c r="A103" s="4" t="s">
        <v>40</v>
      </c>
      <c r="B103" s="10">
        <v>7515404</v>
      </c>
      <c r="C103" s="10" t="s">
        <v>176</v>
      </c>
      <c r="D103" s="10" t="str">
        <f t="shared" si="1"/>
        <v>MFG-7515404</v>
      </c>
      <c r="E103" s="10">
        <v>604</v>
      </c>
      <c r="F103" s="4" t="s">
        <v>41</v>
      </c>
    </row>
    <row r="104" spans="1:6" ht="18" customHeight="1">
      <c r="A104" s="4" t="s">
        <v>42</v>
      </c>
      <c r="B104" s="10">
        <v>7515405</v>
      </c>
      <c r="C104" s="10" t="s">
        <v>176</v>
      </c>
      <c r="D104" s="10" t="str">
        <f t="shared" si="1"/>
        <v>MFG-7515405</v>
      </c>
      <c r="E104" s="10">
        <v>604</v>
      </c>
      <c r="F104" s="4" t="s">
        <v>43</v>
      </c>
    </row>
    <row r="105" spans="1:6" ht="18" customHeight="1">
      <c r="A105" s="4" t="s">
        <v>44</v>
      </c>
      <c r="B105" s="10">
        <v>7515406</v>
      </c>
      <c r="C105" s="10" t="s">
        <v>176</v>
      </c>
      <c r="D105" s="10" t="str">
        <f t="shared" si="1"/>
        <v>MFG-7515406</v>
      </c>
      <c r="E105" s="10">
        <v>604</v>
      </c>
      <c r="F105" s="4" t="s">
        <v>45</v>
      </c>
    </row>
    <row r="106" spans="1:6" ht="18" customHeight="1">
      <c r="A106" s="4" t="s">
        <v>46</v>
      </c>
      <c r="B106" s="10">
        <v>7515408</v>
      </c>
      <c r="C106" s="10" t="s">
        <v>176</v>
      </c>
      <c r="D106" s="10" t="str">
        <f t="shared" si="1"/>
        <v>MFG-7515408</v>
      </c>
      <c r="E106" s="10">
        <v>604</v>
      </c>
      <c r="F106" s="4" t="s">
        <v>47</v>
      </c>
    </row>
    <row r="107" spans="1:6" ht="18" customHeight="1">
      <c r="A107" s="4" t="s">
        <v>48</v>
      </c>
      <c r="B107" s="10">
        <v>7515409</v>
      </c>
      <c r="C107" s="10" t="s">
        <v>176</v>
      </c>
      <c r="D107" s="10" t="str">
        <f t="shared" si="1"/>
        <v>MFG-7515409</v>
      </c>
      <c r="E107" s="10">
        <v>604</v>
      </c>
      <c r="F107" s="4" t="s">
        <v>49</v>
      </c>
    </row>
    <row r="108" spans="1:6" ht="18" customHeight="1">
      <c r="A108" s="4" t="s">
        <v>50</v>
      </c>
      <c r="B108" s="10">
        <v>7515410</v>
      </c>
      <c r="C108" s="10" t="s">
        <v>176</v>
      </c>
      <c r="D108" s="10" t="str">
        <f t="shared" si="1"/>
        <v>MFG-7515410</v>
      </c>
      <c r="E108" s="10">
        <v>604</v>
      </c>
      <c r="F108" s="4" t="s">
        <v>51</v>
      </c>
    </row>
    <row r="109" spans="1:6" ht="18" customHeight="1">
      <c r="A109" s="4" t="s">
        <v>52</v>
      </c>
      <c r="B109" s="10">
        <v>7515499</v>
      </c>
      <c r="C109" s="10" t="s">
        <v>176</v>
      </c>
      <c r="D109" s="10" t="str">
        <f t="shared" si="1"/>
        <v>MFG-7515499</v>
      </c>
      <c r="E109" s="10">
        <v>604</v>
      </c>
      <c r="F109" s="4" t="s">
        <v>53</v>
      </c>
    </row>
    <row r="110" spans="1:6" ht="18" customHeight="1">
      <c r="A110" s="4" t="s">
        <v>54</v>
      </c>
      <c r="B110" s="10">
        <v>7516102</v>
      </c>
      <c r="C110" s="10" t="s">
        <v>176</v>
      </c>
      <c r="D110" s="10" t="str">
        <f t="shared" si="1"/>
        <v>MFG-7516102</v>
      </c>
      <c r="E110" s="10">
        <v>605</v>
      </c>
      <c r="F110" s="4" t="s">
        <v>56</v>
      </c>
    </row>
    <row r="111" spans="1:6" ht="18" customHeight="1">
      <c r="A111" s="4" t="s">
        <v>57</v>
      </c>
      <c r="B111" s="10">
        <v>7519101</v>
      </c>
      <c r="C111" s="10" t="s">
        <v>176</v>
      </c>
      <c r="D111" s="10" t="str">
        <f t="shared" si="1"/>
        <v>MFG-7519101</v>
      </c>
      <c r="E111" s="10">
        <v>602</v>
      </c>
      <c r="F111" s="4" t="s">
        <v>58</v>
      </c>
    </row>
    <row r="112" spans="1:6" ht="18" customHeight="1">
      <c r="A112" s="4" t="s">
        <v>192</v>
      </c>
      <c r="B112" s="10">
        <v>7521101</v>
      </c>
      <c r="C112" s="10" t="s">
        <v>176</v>
      </c>
      <c r="D112" s="10" t="str">
        <f t="shared" si="1"/>
        <v>MFG-7521101</v>
      </c>
      <c r="E112" s="10">
        <v>601</v>
      </c>
      <c r="F112" s="4" t="s">
        <v>60</v>
      </c>
    </row>
    <row r="113" spans="1:6" ht="18" customHeight="1">
      <c r="A113" s="4" t="s">
        <v>61</v>
      </c>
      <c r="B113" s="10">
        <v>7521102</v>
      </c>
      <c r="C113" s="10" t="s">
        <v>176</v>
      </c>
      <c r="D113" s="10" t="str">
        <f t="shared" si="1"/>
        <v>MFG-7521102</v>
      </c>
      <c r="E113" s="10">
        <v>603</v>
      </c>
      <c r="F113" s="4" t="s">
        <v>62</v>
      </c>
    </row>
    <row r="114" spans="1:6" ht="18" customHeight="1">
      <c r="A114" s="4" t="s">
        <v>63</v>
      </c>
      <c r="B114" s="10">
        <v>7571101</v>
      </c>
      <c r="C114" s="10" t="s">
        <v>176</v>
      </c>
      <c r="D114" s="10" t="str">
        <f t="shared" si="1"/>
        <v>MFG-7571101</v>
      </c>
      <c r="E114" s="10">
        <v>606</v>
      </c>
      <c r="F114" s="4" t="s">
        <v>65</v>
      </c>
    </row>
    <row r="115" spans="1:6" ht="18" customHeight="1">
      <c r="A115" s="4" t="s">
        <v>66</v>
      </c>
      <c r="B115" s="10">
        <v>7611100</v>
      </c>
      <c r="C115" s="10" t="s">
        <v>176</v>
      </c>
      <c r="D115" s="10" t="str">
        <f t="shared" si="1"/>
        <v>MFG-7611100</v>
      </c>
      <c r="E115" s="10">
        <v>701</v>
      </c>
      <c r="F115" s="4" t="s">
        <v>68</v>
      </c>
    </row>
    <row r="116" spans="1:6" ht="18" customHeight="1">
      <c r="A116" s="4" t="s">
        <v>69</v>
      </c>
      <c r="B116" s="10">
        <v>7611300</v>
      </c>
      <c r="C116" s="10" t="s">
        <v>176</v>
      </c>
      <c r="D116" s="10" t="str">
        <f t="shared" si="1"/>
        <v>MFG-7611300</v>
      </c>
      <c r="E116" s="10">
        <v>701</v>
      </c>
      <c r="F116" s="4" t="s">
        <v>70</v>
      </c>
    </row>
    <row r="117" spans="1:6" ht="18" customHeight="1">
      <c r="A117" s="4" t="s">
        <v>71</v>
      </c>
      <c r="B117" s="10">
        <v>7611500</v>
      </c>
      <c r="C117" s="10" t="s">
        <v>176</v>
      </c>
      <c r="D117" s="10" t="str">
        <f t="shared" si="1"/>
        <v>MFG-7611500</v>
      </c>
      <c r="E117" s="10">
        <v>701</v>
      </c>
      <c r="F117" s="4" t="s">
        <v>72</v>
      </c>
    </row>
    <row r="118" spans="1:6" ht="18" customHeight="1">
      <c r="A118" s="4" t="s">
        <v>73</v>
      </c>
      <c r="B118" s="10">
        <v>7611600</v>
      </c>
      <c r="C118" s="10" t="s">
        <v>176</v>
      </c>
      <c r="D118" s="10" t="str">
        <f t="shared" si="1"/>
        <v>MFG-7611600</v>
      </c>
      <c r="E118" s="10">
        <v>701</v>
      </c>
      <c r="F118" s="4" t="s">
        <v>74</v>
      </c>
    </row>
    <row r="119" spans="1:6" ht="18" customHeight="1">
      <c r="A119" s="4" t="s">
        <v>75</v>
      </c>
      <c r="B119" s="10">
        <v>7611700</v>
      </c>
      <c r="C119" s="10" t="s">
        <v>176</v>
      </c>
      <c r="D119" s="10" t="str">
        <f t="shared" si="1"/>
        <v>MFG-7611700</v>
      </c>
      <c r="E119" s="10">
        <v>701</v>
      </c>
      <c r="F119" s="4" t="s">
        <v>76</v>
      </c>
    </row>
    <row r="120" spans="1:6" ht="18" customHeight="1">
      <c r="A120" s="4" t="s">
        <v>77</v>
      </c>
      <c r="B120" s="10">
        <v>7621101</v>
      </c>
      <c r="C120" s="10" t="s">
        <v>176</v>
      </c>
      <c r="D120" s="10" t="str">
        <f t="shared" si="1"/>
        <v>MFG-7621101</v>
      </c>
      <c r="E120" s="10">
        <v>903</v>
      </c>
      <c r="F120" s="4" t="s">
        <v>79</v>
      </c>
    </row>
    <row r="121" spans="1:6" ht="18" customHeight="1">
      <c r="A121" s="8" t="s">
        <v>80</v>
      </c>
      <c r="B121" s="11">
        <v>7621199</v>
      </c>
      <c r="C121" s="10" t="s">
        <v>176</v>
      </c>
      <c r="D121" s="10" t="str">
        <f t="shared" si="1"/>
        <v>MFG-7621199</v>
      </c>
      <c r="E121" s="10">
        <v>801</v>
      </c>
      <c r="F121" s="4" t="s">
        <v>82</v>
      </c>
    </row>
    <row r="122" spans="1:6" ht="18" customHeight="1">
      <c r="A122" s="4" t="s">
        <v>83</v>
      </c>
      <c r="B122" s="10">
        <v>7631101</v>
      </c>
      <c r="C122" s="10" t="s">
        <v>176</v>
      </c>
      <c r="D122" s="10" t="str">
        <f t="shared" si="1"/>
        <v>MFG-7631101</v>
      </c>
      <c r="E122" s="10">
        <v>501</v>
      </c>
      <c r="F122" s="4" t="s">
        <v>85</v>
      </c>
    </row>
    <row r="123" spans="1:6" ht="18" customHeight="1">
      <c r="A123" s="4" t="s">
        <v>86</v>
      </c>
      <c r="B123" s="10">
        <v>7631102</v>
      </c>
      <c r="C123" s="10" t="s">
        <v>176</v>
      </c>
      <c r="D123" s="10" t="str">
        <f t="shared" si="1"/>
        <v>MFG-7631102</v>
      </c>
      <c r="E123" s="10">
        <v>502</v>
      </c>
      <c r="F123" s="4" t="s">
        <v>88</v>
      </c>
    </row>
    <row r="124" spans="1:6" ht="18" customHeight="1">
      <c r="A124" s="4" t="s">
        <v>89</v>
      </c>
      <c r="B124" s="10">
        <v>7641101</v>
      </c>
      <c r="C124" s="10" t="s">
        <v>176</v>
      </c>
      <c r="D124" s="10" t="str">
        <f t="shared" si="1"/>
        <v>MFG-7641101</v>
      </c>
      <c r="E124" s="10">
        <v>401</v>
      </c>
      <c r="F124" s="4" t="s">
        <v>91</v>
      </c>
    </row>
    <row r="125" spans="1:6" ht="18" customHeight="1">
      <c r="A125" s="4" t="s">
        <v>92</v>
      </c>
      <c r="B125" s="10">
        <v>7641102</v>
      </c>
      <c r="C125" s="10" t="s">
        <v>176</v>
      </c>
      <c r="D125" s="10" t="str">
        <f t="shared" si="1"/>
        <v>MFG-7641102</v>
      </c>
      <c r="E125" s="10">
        <v>401</v>
      </c>
      <c r="F125" s="4" t="s">
        <v>93</v>
      </c>
    </row>
    <row r="126" spans="1:6" ht="18" customHeight="1">
      <c r="A126" s="4" t="s">
        <v>94</v>
      </c>
      <c r="B126" s="10">
        <v>7641103</v>
      </c>
      <c r="C126" s="10" t="s">
        <v>176</v>
      </c>
      <c r="D126" s="10" t="str">
        <f t="shared" si="1"/>
        <v>MFG-7641103</v>
      </c>
      <c r="E126" s="10">
        <v>902</v>
      </c>
      <c r="F126" s="4" t="s">
        <v>96</v>
      </c>
    </row>
    <row r="127" spans="1:6" ht="18" customHeight="1">
      <c r="A127" s="4" t="s">
        <v>97</v>
      </c>
      <c r="B127" s="10">
        <v>7641104</v>
      </c>
      <c r="C127" s="10" t="s">
        <v>176</v>
      </c>
      <c r="D127" s="10" t="str">
        <f t="shared" si="1"/>
        <v>MFG-7641104</v>
      </c>
      <c r="E127" s="10">
        <v>999</v>
      </c>
      <c r="F127" s="4" t="s">
        <v>98</v>
      </c>
    </row>
    <row r="128" spans="1:6" ht="18" customHeight="1">
      <c r="A128" s="4" t="s">
        <v>99</v>
      </c>
      <c r="B128" s="10">
        <v>7651101</v>
      </c>
      <c r="C128" s="10" t="s">
        <v>176</v>
      </c>
      <c r="D128" s="10" t="str">
        <f t="shared" si="1"/>
        <v>MFG-7651101</v>
      </c>
      <c r="E128" s="10">
        <v>903</v>
      </c>
      <c r="F128" s="4" t="s">
        <v>100</v>
      </c>
    </row>
    <row r="129" spans="1:6" ht="18" customHeight="1">
      <c r="A129" s="4" t="s">
        <v>101</v>
      </c>
      <c r="B129" s="10">
        <v>7651102</v>
      </c>
      <c r="C129" s="10" t="s">
        <v>176</v>
      </c>
      <c r="D129" s="10" t="str">
        <f t="shared" si="1"/>
        <v>MFG-7651102</v>
      </c>
      <c r="E129" s="10">
        <v>903</v>
      </c>
      <c r="F129" s="4" t="s">
        <v>102</v>
      </c>
    </row>
    <row r="130" spans="1:6" ht="18" customHeight="1">
      <c r="A130" s="4" t="s">
        <v>103</v>
      </c>
      <c r="B130" s="10">
        <v>7651103</v>
      </c>
      <c r="C130" s="10" t="s">
        <v>176</v>
      </c>
      <c r="D130" s="10" t="str">
        <f t="shared" ref="D130:D154" si="2">C130&amp;"-"&amp;B130</f>
        <v>MFG-7651103</v>
      </c>
      <c r="E130" s="10">
        <v>903</v>
      </c>
      <c r="F130" s="4" t="s">
        <v>104</v>
      </c>
    </row>
    <row r="131" spans="1:6" ht="18" customHeight="1">
      <c r="A131" s="4" t="s">
        <v>105</v>
      </c>
      <c r="B131" s="10">
        <v>7661101</v>
      </c>
      <c r="C131" s="10" t="s">
        <v>176</v>
      </c>
      <c r="D131" s="10" t="str">
        <f t="shared" si="2"/>
        <v>MFG-7661101</v>
      </c>
      <c r="E131" s="10">
        <v>999</v>
      </c>
      <c r="F131" s="4" t="s">
        <v>107</v>
      </c>
    </row>
    <row r="132" spans="1:6" ht="18" customHeight="1">
      <c r="A132" s="4" t="s">
        <v>108</v>
      </c>
      <c r="B132" s="10">
        <v>7671102</v>
      </c>
      <c r="C132" s="10" t="s">
        <v>176</v>
      </c>
      <c r="D132" s="10" t="str">
        <f t="shared" si="2"/>
        <v>MFG-7671102</v>
      </c>
      <c r="E132" s="10">
        <v>999</v>
      </c>
      <c r="F132" s="4" t="s">
        <v>109</v>
      </c>
    </row>
    <row r="133" spans="1:6" ht="18" customHeight="1">
      <c r="A133" s="4" t="s">
        <v>110</v>
      </c>
      <c r="B133" s="10">
        <v>7671103</v>
      </c>
      <c r="C133" s="10" t="s">
        <v>176</v>
      </c>
      <c r="D133" s="10" t="str">
        <f t="shared" si="2"/>
        <v>MFG-7671103</v>
      </c>
      <c r="E133" s="10">
        <v>999</v>
      </c>
      <c r="F133" s="4" t="s">
        <v>111</v>
      </c>
    </row>
    <row r="134" spans="1:6" ht="18" customHeight="1">
      <c r="A134" s="4" t="s">
        <v>112</v>
      </c>
      <c r="B134" s="10">
        <v>7681101</v>
      </c>
      <c r="C134" s="10" t="s">
        <v>176</v>
      </c>
      <c r="D134" s="10" t="str">
        <f t="shared" si="2"/>
        <v>MFG-7681101</v>
      </c>
      <c r="E134" s="10">
        <v>999</v>
      </c>
      <c r="F134" s="4" t="s">
        <v>113</v>
      </c>
    </row>
    <row r="135" spans="1:6" ht="18" customHeight="1">
      <c r="A135" s="4" t="s">
        <v>114</v>
      </c>
      <c r="B135" s="10">
        <v>7691000</v>
      </c>
      <c r="C135" s="10" t="s">
        <v>176</v>
      </c>
      <c r="D135" s="10" t="str">
        <f t="shared" si="2"/>
        <v>MFG-7691000</v>
      </c>
      <c r="E135" s="10">
        <v>999</v>
      </c>
      <c r="F135" s="4" t="s">
        <v>115</v>
      </c>
    </row>
    <row r="136" spans="1:6" ht="18" customHeight="1">
      <c r="A136" s="4" t="s">
        <v>116</v>
      </c>
      <c r="B136" s="10">
        <v>7711101</v>
      </c>
      <c r="C136" s="10" t="s">
        <v>176</v>
      </c>
      <c r="D136" s="10" t="str">
        <f t="shared" si="2"/>
        <v>MFG-7711101</v>
      </c>
      <c r="E136" s="10">
        <v>999</v>
      </c>
      <c r="F136" s="4" t="s">
        <v>117</v>
      </c>
    </row>
    <row r="137" spans="1:6" ht="18" customHeight="1">
      <c r="A137" s="4" t="s">
        <v>118</v>
      </c>
      <c r="B137" s="10">
        <v>7711102</v>
      </c>
      <c r="C137" s="10" t="s">
        <v>176</v>
      </c>
      <c r="D137" s="10" t="str">
        <f t="shared" si="2"/>
        <v>MFG-7711102</v>
      </c>
      <c r="E137" s="10">
        <v>904</v>
      </c>
      <c r="F137" s="4" t="s">
        <v>120</v>
      </c>
    </row>
    <row r="138" spans="1:6" ht="18" customHeight="1">
      <c r="A138" s="4" t="s">
        <v>121</v>
      </c>
      <c r="B138" s="10">
        <v>7711103</v>
      </c>
      <c r="C138" s="10" t="s">
        <v>176</v>
      </c>
      <c r="D138" s="10" t="str">
        <f t="shared" si="2"/>
        <v>MFG-7711103</v>
      </c>
      <c r="E138" s="10">
        <v>999</v>
      </c>
      <c r="F138" s="4" t="s">
        <v>122</v>
      </c>
    </row>
    <row r="139" spans="1:6" ht="18" customHeight="1">
      <c r="A139" s="4" t="s">
        <v>123</v>
      </c>
      <c r="B139" s="10">
        <v>7729101</v>
      </c>
      <c r="C139" s="10" t="s">
        <v>176</v>
      </c>
      <c r="D139" s="10" t="str">
        <f t="shared" si="2"/>
        <v>MFG-7729101</v>
      </c>
      <c r="E139" s="10">
        <v>905</v>
      </c>
      <c r="F139" s="4" t="s">
        <v>125</v>
      </c>
    </row>
    <row r="140" spans="1:6" ht="18" customHeight="1">
      <c r="A140" s="4" t="s">
        <v>126</v>
      </c>
      <c r="B140" s="10">
        <v>7729103</v>
      </c>
      <c r="C140" s="10" t="s">
        <v>176</v>
      </c>
      <c r="D140" s="10" t="str">
        <f t="shared" si="2"/>
        <v>MFG-7729103</v>
      </c>
      <c r="E140" s="10">
        <v>907</v>
      </c>
      <c r="F140" s="4" t="s">
        <v>128</v>
      </c>
    </row>
    <row r="141" spans="1:6" ht="18" customHeight="1">
      <c r="A141" s="4" t="s">
        <v>129</v>
      </c>
      <c r="B141" s="10">
        <v>7729105</v>
      </c>
      <c r="C141" s="10" t="s">
        <v>176</v>
      </c>
      <c r="D141" s="10" t="str">
        <f t="shared" si="2"/>
        <v>MFG-7729105</v>
      </c>
      <c r="E141" s="10">
        <v>999</v>
      </c>
      <c r="F141" s="4" t="s">
        <v>130</v>
      </c>
    </row>
    <row r="142" spans="1:6" ht="18" customHeight="1">
      <c r="A142" s="4" t="s">
        <v>131</v>
      </c>
      <c r="B142" s="10">
        <v>7781101</v>
      </c>
      <c r="C142" s="10" t="s">
        <v>176</v>
      </c>
      <c r="D142" s="10" t="str">
        <f t="shared" si="2"/>
        <v>MFG-7781101</v>
      </c>
      <c r="E142" s="10">
        <v>999</v>
      </c>
      <c r="F142" s="4" t="s">
        <v>132</v>
      </c>
    </row>
    <row r="143" spans="1:6" ht="18" customHeight="1">
      <c r="A143" s="4" t="s">
        <v>133</v>
      </c>
      <c r="B143" s="10">
        <v>7781103</v>
      </c>
      <c r="C143" s="10" t="s">
        <v>176</v>
      </c>
      <c r="D143" s="10" t="str">
        <f t="shared" si="2"/>
        <v>MFG-7781103</v>
      </c>
      <c r="E143" s="10">
        <v>999</v>
      </c>
      <c r="F143" s="4" t="s">
        <v>134</v>
      </c>
    </row>
    <row r="144" spans="1:6" ht="18" customHeight="1">
      <c r="A144" s="4" t="s">
        <v>135</v>
      </c>
      <c r="B144" s="10">
        <v>7781104</v>
      </c>
      <c r="C144" s="10" t="s">
        <v>176</v>
      </c>
      <c r="D144" s="10" t="str">
        <f t="shared" si="2"/>
        <v>MFG-7781104</v>
      </c>
      <c r="E144" s="10">
        <v>999</v>
      </c>
      <c r="F144" s="4" t="s">
        <v>136</v>
      </c>
    </row>
    <row r="145" spans="1:6" ht="18" customHeight="1">
      <c r="A145" s="4" t="s">
        <v>137</v>
      </c>
      <c r="B145" s="10">
        <v>7781107</v>
      </c>
      <c r="C145" s="10" t="s">
        <v>176</v>
      </c>
      <c r="D145" s="10" t="str">
        <f t="shared" si="2"/>
        <v>MFG-7781107</v>
      </c>
      <c r="E145" s="10">
        <v>906</v>
      </c>
      <c r="F145" s="4" t="s">
        <v>139</v>
      </c>
    </row>
    <row r="146" spans="1:6" ht="18" customHeight="1">
      <c r="A146" s="4" t="s">
        <v>140</v>
      </c>
      <c r="B146" s="10">
        <v>7781111</v>
      </c>
      <c r="C146" s="10" t="s">
        <v>176</v>
      </c>
      <c r="D146" s="10" t="str">
        <f t="shared" si="2"/>
        <v>MFG-7781111</v>
      </c>
      <c r="E146" s="10">
        <v>999</v>
      </c>
      <c r="F146" s="4" t="s">
        <v>141</v>
      </c>
    </row>
    <row r="147" spans="1:6" ht="18" customHeight="1">
      <c r="A147" s="4" t="s">
        <v>142</v>
      </c>
      <c r="B147" s="10">
        <v>7781112</v>
      </c>
      <c r="C147" s="10" t="s">
        <v>176</v>
      </c>
      <c r="D147" s="10" t="str">
        <f t="shared" si="2"/>
        <v>MFG-7781112</v>
      </c>
      <c r="E147" s="10">
        <v>999</v>
      </c>
      <c r="F147" s="4" t="s">
        <v>143</v>
      </c>
    </row>
    <row r="148" spans="1:6" ht="18" customHeight="1">
      <c r="A148" s="4" t="s">
        <v>144</v>
      </c>
      <c r="B148" s="10">
        <v>7781113</v>
      </c>
      <c r="C148" s="10" t="s">
        <v>176</v>
      </c>
      <c r="D148" s="10" t="str">
        <f t="shared" si="2"/>
        <v>MFG-7781113</v>
      </c>
      <c r="E148" s="10">
        <v>999</v>
      </c>
      <c r="F148" s="4" t="s">
        <v>145</v>
      </c>
    </row>
    <row r="149" spans="1:6" ht="18" customHeight="1">
      <c r="A149" s="4" t="s">
        <v>193</v>
      </c>
      <c r="B149" s="5">
        <v>8291101</v>
      </c>
      <c r="C149" s="6" t="s">
        <v>194</v>
      </c>
      <c r="D149" s="6" t="str">
        <f t="shared" si="2"/>
        <v>OTH-8291101</v>
      </c>
    </row>
    <row r="150" spans="1:6" ht="18" customHeight="1">
      <c r="A150" s="4" t="s">
        <v>195</v>
      </c>
      <c r="B150" s="5">
        <v>8291102</v>
      </c>
      <c r="C150" s="6" t="s">
        <v>194</v>
      </c>
      <c r="D150" s="6" t="str">
        <f t="shared" si="2"/>
        <v>OTH-8291102</v>
      </c>
    </row>
    <row r="151" spans="1:6" ht="18" customHeight="1">
      <c r="A151" s="4" t="s">
        <v>196</v>
      </c>
      <c r="B151" s="5">
        <v>8291201</v>
      </c>
      <c r="C151" s="6" t="s">
        <v>194</v>
      </c>
      <c r="D151" s="6" t="str">
        <f t="shared" si="2"/>
        <v>OTH-8291201</v>
      </c>
    </row>
    <row r="152" spans="1:6" ht="18" customHeight="1">
      <c r="A152" s="4" t="s">
        <v>197</v>
      </c>
      <c r="B152" s="5">
        <v>8291202</v>
      </c>
      <c r="C152" s="6" t="s">
        <v>194</v>
      </c>
      <c r="D152" s="6" t="str">
        <f t="shared" si="2"/>
        <v>OTH-8291202</v>
      </c>
    </row>
    <row r="153" spans="1:6" ht="18" customHeight="1">
      <c r="A153" s="4" t="s">
        <v>198</v>
      </c>
      <c r="B153" s="5">
        <v>8291203</v>
      </c>
      <c r="C153" s="6" t="s">
        <v>194</v>
      </c>
      <c r="D153" s="6" t="str">
        <f t="shared" si="2"/>
        <v>OTH-8291203</v>
      </c>
    </row>
    <row r="154" spans="1:6" ht="18" customHeight="1">
      <c r="A154" s="4" t="s">
        <v>199</v>
      </c>
      <c r="B154" s="5">
        <v>8191101</v>
      </c>
      <c r="C154" s="6" t="s">
        <v>194</v>
      </c>
      <c r="D154" s="6" t="str">
        <f t="shared" si="2"/>
        <v>OTH-8191101</v>
      </c>
    </row>
    <row r="155" spans="1:6" ht="18" customHeight="1">
      <c r="E155" s="12"/>
    </row>
  </sheetData>
  <phoneticPr fontId="24"/>
  <pageMargins left="0.25" right="0.25" top="0.75" bottom="0.75" header="0.3" footer="0.3"/>
  <pageSetup paperSize="9" scale="6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6C908-891A-4794-88BF-4603A66FB4C2}">
  <dimension ref="A1"/>
  <sheetViews>
    <sheetView workbookViewId="0">
      <selection activeCell="AO2" sqref="AO2"/>
    </sheetView>
  </sheetViews>
  <sheetFormatPr defaultRowHeight="15"/>
  <sheetData>
    <row r="1" spans="1:1">
      <c r="A1" t="s">
        <v>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3344F-8A9E-45F8-A59E-57E01FB26749}">
  <dimension ref="A1:C4"/>
  <sheetViews>
    <sheetView showGridLines="0" workbookViewId="0">
      <selection activeCell="C16" sqref="C16"/>
    </sheetView>
  </sheetViews>
  <sheetFormatPr defaultRowHeight="15"/>
  <cols>
    <col min="1" max="1" width="13.42578125" bestFit="1" customWidth="1"/>
    <col min="2" max="2" width="14.140625" bestFit="1" customWidth="1"/>
    <col min="3" max="3" width="72.7109375" bestFit="1" customWidth="1"/>
  </cols>
  <sheetData>
    <row r="1" spans="1:3">
      <c r="A1" s="46" t="s">
        <v>314</v>
      </c>
      <c r="B1" s="46" t="s">
        <v>315</v>
      </c>
      <c r="C1" s="46" t="s">
        <v>5</v>
      </c>
    </row>
    <row r="2" spans="1:3">
      <c r="A2" s="84" t="s">
        <v>305</v>
      </c>
      <c r="B2" s="35" t="s">
        <v>306</v>
      </c>
      <c r="C2" s="35" t="s">
        <v>307</v>
      </c>
    </row>
    <row r="3" spans="1:3">
      <c r="A3" s="84" t="s">
        <v>308</v>
      </c>
      <c r="B3" s="35" t="s">
        <v>309</v>
      </c>
      <c r="C3" s="35" t="s">
        <v>310</v>
      </c>
    </row>
    <row r="4" spans="1:3">
      <c r="A4" s="84" t="s">
        <v>311</v>
      </c>
      <c r="B4" s="35" t="s">
        <v>312</v>
      </c>
      <c r="C4" s="35" t="s">
        <v>313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46985-1BE6-4291-B706-C09EE8B9A257}">
  <dimension ref="A1"/>
  <sheetViews>
    <sheetView tabSelected="1" workbookViewId="0">
      <selection activeCell="B22" sqref="B22"/>
    </sheetView>
  </sheetViews>
  <sheetFormatPr defaultRowHeight="15"/>
  <cols>
    <col min="1" max="1" width="39.85546875" bestFit="1" customWidth="1"/>
  </cols>
  <sheetData>
    <row r="1" spans="1:1">
      <c r="A1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Master</vt:lpstr>
      <vt:lpstr>Master_Section</vt:lpstr>
      <vt:lpstr>COA</vt:lpstr>
      <vt:lpstr>Password</vt:lpstr>
      <vt:lpstr>Priority</vt:lpstr>
      <vt:lpstr>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Wiyani Utari</dc:creator>
  <cp:lastModifiedBy>User 40 NGKBUSI</cp:lastModifiedBy>
  <dcterms:created xsi:type="dcterms:W3CDTF">2020-10-12T08:41:42Z</dcterms:created>
  <dcterms:modified xsi:type="dcterms:W3CDTF">2024-09-25T04:37:36Z</dcterms:modified>
</cp:coreProperties>
</file>
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02A04F6A-F8A9-423D-BFDB-FF2CCE1916D7}" xr6:coauthVersionLast="47" xr6:coauthVersionMax="47" xr10:uidLastSave="{00000000-0000-0000-0000-000000000000}"/>
  <x:bookViews>
    <x:workbookView xWindow="-23148" yWindow="-1116" windowWidth="23256" windowHeight="12456" firstSheet="0" activeTab="0" xr2:uid="{C53FDC34-7892-4F4E-9408-2EF96F6145C2}"/>
  </x:bookViews>
  <x:sheets>
    <x:sheet name="Data" sheetId="1" r:id="rId1"/>
    <x:sheet name="V1" sheetId="5" state="hidden" r:id="rId2"/>
    <x:sheet name="Master" sheetId="2" state="hidden" r:id="rId3"/>
    <x:sheet name="Priority" sheetId="4" r:id="rId4"/>
    <x:sheet name="Password" sheetId="3" state="hidden" r:id="rId5"/>
  </x:sheets>
  <x:externalReferences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  <x:externalReference r:id="rId16"/>
    <x:externalReference r:id="rId17"/>
    <x:externalReference r:id="rId18"/>
  </x:externalReferences>
  <x:definedNames>
    <x:definedName name="__j102" localSheetId="2">#REF!</x:definedName>
    <x:definedName name="_Fill" localSheetId="2" hidden="1">#REF!</x:definedName>
    <x:definedName name="_j102" localSheetId="2">#REF!</x:definedName>
    <x:definedName name="_Key1" localSheetId="2" hidden="1">#REF!</x:definedName>
    <x:definedName name="_Sort" localSheetId="2" hidden="1">#REF!</x:definedName>
    <x:definedName name="HTML_Control" localSheetId="2" hidden="1">{"'Stock November   ' 99'!$A$1:$AF$46"}</x:definedName>
    <x:definedName name="PRINT_AREA_MI" localSheetId="2">#REF!</x:definedName>
    <x:definedName name="Tgl" localSheetId="2">#REF!</x:definedName>
    <x:definedName name="tgll" localSheetId="2">#REF!</x:definedName>
    <x:definedName name="tr" localSheetId="2">#REF!</x:definedName>
    <x:definedName name="uj" localSheetId="2" hidden="1">{"'Stock November   ' 99'!$A$1:$AF$46"}</x:definedName>
    <x:definedName name="uji" localSheetId="2" hidden="1">{"'Stock November   ' 99'!$A$1:$AF$46"}</x:definedName>
    <x:definedName name="ﾃﾞｰﾀ海市" localSheetId="2">#REF!</x:definedName>
    <x:definedName name="ルピア" localSheetId="2">#REF!</x:definedName>
    <x:definedName name="予算ﾚｰﾄ" localSheetId="2">#REF!</x:definedName>
    <x:definedName name="今" localSheetId="2">#REF!</x:definedName>
    <x:definedName name="印刷領域" localSheetId="2">#REF!</x:definedName>
    <x:definedName name="品種別実績" localSheetId="2">#REF!</x:definedName>
    <x:definedName name="実績レート" localSheetId="2">#REF!</x:definedName>
    <x:definedName name="対象日数" localSheetId="2">#REF!</x:definedName>
    <x:definedName name="技術開発経費181" localSheetId="2">#REF!</x:definedName>
    <x:definedName name="日数" localSheetId="2">#REF!</x:definedName>
    <x:definedName name="期" localSheetId="2">#REF!</x:definedName>
    <x:definedName name="決算期区分" localSheetId="2">#REF!</x:definedName>
    <x:definedName name="為替" localSheetId="2">#REF!</x:definedName>
    <x:definedName name="為替レートEU" localSheetId="2">#REF!</x:definedName>
    <x:definedName name="補助部門比率" localSheetId="2">#REF!</x:definedName>
    <x:definedName name="補助部門費_設計以外181" localSheetId="2">#REF!</x:definedName>
    <x:definedName name="補助部門費_設計以外182" localSheetId="2">#REF!</x:definedName>
    <x:definedName name="__j102" localSheetId="4">#REF!</x:definedName>
    <x:definedName name="_Fill" localSheetId="4" hidden="1">#REF!</x:definedName>
    <x:definedName name="_j102" localSheetId="4">#REF!</x:definedName>
    <x:definedName name="_Key1" localSheetId="4" hidden="1">#REF!</x:definedName>
    <x:definedName name="_Sort" localSheetId="4" hidden="1">#REF!</x:definedName>
    <x:definedName name="aa" localSheetId="4">#REF!</x:definedName>
    <x:definedName name="AB" localSheetId="4">#REF!</x:definedName>
    <x:definedName name="HTML_Control" localSheetId="4" hidden="1">{"'Stock November   ' 99'!$A$1:$AF$46"}</x:definedName>
    <x:definedName name="kissa" localSheetId="4">#REF!</x:definedName>
    <x:definedName name="kissakei" localSheetId="4">#REF!</x:definedName>
    <x:definedName name="kk" localSheetId="4">#REF!</x:definedName>
    <x:definedName name="Print_Area_MI" localSheetId="4">#REF!</x:definedName>
    <x:definedName name="PRINT_TITLES_MI" localSheetId="4">#REF!</x:definedName>
    <x:definedName name="ry" localSheetId="4">#REF!</x:definedName>
    <x:definedName name="Tgl" localSheetId="4">#REF!</x:definedName>
    <x:definedName name="tgll" localSheetId="4">#REF!</x:definedName>
    <x:definedName name="tr" localSheetId="4">#REF!</x:definedName>
    <x:definedName name="uj" localSheetId="4" hidden="1">{"'Stock November   ' 99'!$A$1:$AF$46"}</x:definedName>
    <x:definedName name="uji" localSheetId="4" hidden="1">{"'Stock November   ' 99'!$A$1:$AF$46"}</x:definedName>
    <x:definedName name="ﾃﾞｰﾀ海市" localSheetId="4">#REF!</x:definedName>
    <x:definedName name="ルピア" localSheetId="4">#REF!</x:definedName>
    <x:definedName name="予算ﾚｰﾄ" localSheetId="4">#REF!</x:definedName>
    <x:definedName name="今" localSheetId="4">#REF!</x:definedName>
    <x:definedName name="出発" localSheetId="4">[6]支援計画・０４!$G$4:$G$171</x:definedName>
    <x:definedName name="到着" localSheetId="4">[6]支援計画・０４!$F$4:$F$171</x:definedName>
    <x:definedName name="印刷領域" localSheetId="4">#REF!</x:definedName>
    <x:definedName name="品種別実績" localSheetId="4">#REF!</x:definedName>
    <x:definedName name="商品群" localSheetId="4">[8]テーブル!$B$2:$B$7</x:definedName>
    <x:definedName name="実績レート" localSheetId="4">#REF!</x:definedName>
    <x:definedName name="対象日数" localSheetId="4">#REF!</x:definedName>
    <x:definedName name="技術開発経費181" localSheetId="4">#REF!</x:definedName>
    <x:definedName name="担当者" localSheetId="4">[8]テーブル!$F$2:$F$24</x:definedName>
    <x:definedName name="日付" localSheetId="4">[6]支援計画・０４!$J$4:$CW$4</x:definedName>
    <x:definedName name="日数" localSheetId="4">#REF!</x:definedName>
    <x:definedName name="期" localSheetId="4">#REF!</x:definedName>
    <x:definedName name="機能分類リスト" localSheetId="4">[12]開発計画品番リスト!#REF!</x:definedName>
    <x:definedName name="比率" localSheetId="4">[13]調達計画!#REF!</x:definedName>
    <x:definedName name="決算期区分" localSheetId="4">#REF!</x:definedName>
    <x:definedName name="為替" localSheetId="4">#REF!</x:definedName>
    <x:definedName name="為替レートEU" localSheetId="4">#REF!</x:definedName>
    <x:definedName name="生産拠点" localSheetId="4">[8]テーブル!$C$2:$C$6</x:definedName>
    <x:definedName name="立上年" localSheetId="4">[8]テーブル!$A$2:$A$11</x:definedName>
    <x:definedName name="立上月" localSheetId="4">[8]テーブル!$D$2:$D$13</x:definedName>
    <x:definedName name="補助部門比率" localSheetId="4">#REF!</x:definedName>
    <x:definedName name="補助部門費_設計以外181" localSheetId="4">#REF!</x:definedName>
    <x:definedName name="補助部門費_設計以外182" localSheetId="4">#REF!</x:definedName>
    <x:definedName name="__j102">#REF!</x:definedName>
    <x:definedName name="_1">#N/A</x:definedName>
    <x:definedName name="_Fill" hidden="1">#REF!</x:definedName>
    <x:definedName name="_xlnm._FilterDatabase" hidden="1">[2]金具工程見出し!$A$9:$K$9</x:definedName>
    <x:definedName name="_j102">#REF!</x:definedName>
    <x:definedName name="_Key1" hidden="1">#REF!</x:definedName>
    <x:definedName name="_Order1" hidden="1">255</x:definedName>
    <x:definedName name="_Sort" hidden="1">#REF!</x:definedName>
    <x:definedName name="aa">#REF!</x:definedName>
    <x:definedName name="AB">#REF!</x:definedName>
    <x:definedName name="ai">#REF!</x:definedName>
    <x:definedName name="as">#REF!</x:definedName>
    <x:definedName name="assit">#REF!</x:definedName>
    <x:definedName name="b">#REF!</x:definedName>
    <x:definedName name="BC">#REF!</x:definedName>
    <x:definedName name="BI">#REF!</x:definedName>
    <x:definedName name="BO">#REF!</x:definedName>
    <x:definedName name="cc">#REF!</x:definedName>
    <x:definedName name="ccc" hidden="1">#REF!</x:definedName>
    <x:definedName name="CH">#REF!</x:definedName>
    <x:definedName name="CI">#REF!</x:definedName>
    <x:definedName name="Ck_for">#REF!</x:definedName>
    <x:definedName name="Ck_in">#REF!</x:definedName>
    <x:definedName name="Ck_out">#REF!</x:definedName>
    <x:definedName name="d">#REF!</x:definedName>
    <x:definedName name="_xlnm.Database">#REF!</x:definedName>
    <x:definedName name="dd">#REF!</x:definedName>
    <x:definedName name="ddd" hidden="1">#REF!</x:definedName>
    <x:definedName name="DF">#REF!</x:definedName>
    <x:definedName name="e">#REF!</x:definedName>
    <x:definedName name="edy">#REF!</x:definedName>
    <x:definedName name="ee">#REF!</x:definedName>
    <x:definedName name="eXCRATE">#REF!</x:definedName>
    <x:definedName name="exrate">#REF!</x:definedName>
    <x:definedName name="F">#REF!</x:definedName>
    <x:definedName name="fcb">#REF!</x:definedName>
    <x:definedName name="FG">#REF!</x:definedName>
    <x:definedName name="g">#REF!</x:definedName>
    <x:definedName name="gg">#REF!</x:definedName>
    <x:definedName name="HF">#REF!</x:definedName>
    <x:definedName name="HTML_CodePage" hidden="1">1252</x:definedName>
    <x:definedName name="HTML_Control" hidden="1">{"'Stock November   ' 99'!$A$1:$AF$46"}</x:definedName>
    <x:definedName name="HTML_Description" hidden="1">""</x:definedName>
    <x:definedName name="HTML_Email" hidden="1">""</x:definedName>
    <x:definedName name="HTML_Header" hidden="1">"Stock November   ' 99"</x:definedName>
    <x:definedName name="HTML_LastUpdate" hidden="1">"11/18/99"</x:definedName>
    <x:definedName name="HTML_LineAfter" hidden="1">FALSE</x:definedName>
    <x:definedName name="HTML_LineBefore" hidden="1">FALSE</x:definedName>
    <x:definedName name="HTML_Name" hidden="1">"Production Control"</x:definedName>
    <x:definedName name="HTML_OBDlg2" hidden="1">TRUE</x:definedName>
    <x:definedName name="HTML_OBDlg4" hidden="1">TRUE</x:definedName>
    <x:definedName name="HTML_OS" hidden="1">0</x:definedName>
    <x:definedName name="HTML_PathFile" hidden="1">"\\Se 01\data se01\stock_nov99.htm"</x:definedName>
    <x:definedName name="HTML_Title" hidden="1">"Stock_November"</x:definedName>
    <x:definedName name="kissa">#REF!</x:definedName>
    <x:definedName name="kissakei">#REF!</x:definedName>
    <x:definedName name="kk">#REF!</x:definedName>
    <x:definedName name="kkk">#REF!</x:definedName>
    <x:definedName name="kkkk">#REF!</x:definedName>
    <x:definedName name="l">#REF!</x:definedName>
    <x:definedName name="L_01">#REF!</x:definedName>
    <x:definedName name="LIA">#REF!</x:definedName>
    <x:definedName name="LILI">#REF!</x:definedName>
    <x:definedName name="LINA">#REF!</x:definedName>
    <x:definedName name="m">#REF!</x:definedName>
    <x:definedName name="Manufacturing">#REF!</x:definedName>
    <x:definedName name="MR">#REF!</x:definedName>
    <x:definedName name="nittk">#REF!</x:definedName>
    <x:definedName name="nittk_ok">#REF!</x:definedName>
    <x:definedName name="nittoukei">#REF!</x:definedName>
    <x:definedName name="Plan" hidden="1">[1]金具工程見出し!$A$9:$K$9</x:definedName>
    <x:definedName name="PRINT_AREA_MI">#REF!</x:definedName>
    <x:definedName name="PRINT_TITLES_MI">#REF!</x:definedName>
    <x:definedName name="ry">#REF!</x:definedName>
    <x:definedName name="ryohikei">#REF!</x:definedName>
    <x:definedName name="S">#REF!</x:definedName>
    <x:definedName name="sais">#REF!</x:definedName>
    <x:definedName name="saisyuu">#REF!</x:definedName>
    <x:definedName name="se">#REF!</x:definedName>
    <x:definedName name="sett">#REF!</x:definedName>
    <x:definedName name="setta">#REF!</x:definedName>
    <x:definedName name="settaihikei">#REF!</x:definedName>
    <x:definedName name="settaikousai">#REF!</x:definedName>
    <x:definedName name="SEX">#REF!</x:definedName>
    <x:definedName name="shu">#REF!</x:definedName>
    <x:definedName name="shukuhakukei">#REF!</x:definedName>
    <x:definedName name="so">#REF!</x:definedName>
    <x:definedName name="son">#REF!</x:definedName>
    <x:definedName name="sonot">#REF!</x:definedName>
    <x:definedName name="sonotakei">#REF!</x:definedName>
    <x:definedName name="ST">#REF!</x:definedName>
    <x:definedName name="stt">#REF!</x:definedName>
    <x:definedName name="SX">#REF!</x:definedName>
    <x:definedName name="sxx">#REF!</x:definedName>
    <x:definedName name="test">[3]出力②!$G$7:$I$19</x:definedName>
    <x:definedName name="test2">[3]グラフ用!$E$3:$F$14</x:definedName>
    <x:definedName name="test3">[3]グラフ用!$H$5:$J$13</x:definedName>
    <x:definedName name="test4">[3]グラフ用!$I$4:$J$13</x:definedName>
    <x:definedName name="Tgl">#REF!</x:definedName>
    <x:definedName name="tgll">#REF!</x:definedName>
    <x:definedName name="tr">#REF!</x:definedName>
    <x:definedName name="train">#REF!</x:definedName>
    <x:definedName name="TRIAL">#REF!</x:definedName>
    <x:definedName name="tttttttttttt">#REF!</x:definedName>
    <x:definedName name="tu">#REF!</x:definedName>
    <x:definedName name="tuusinhikei">#REF!</x:definedName>
    <x:definedName name="u">#REF!</x:definedName>
    <x:definedName name="uj" hidden="1">{"'Stock November   ' 99'!$A$1:$AF$46"}</x:definedName>
    <x:definedName name="uji" hidden="1">{"'Stock November   ' 99'!$A$1:$AF$46"}</x:definedName>
    <x:definedName name="UT">#REF!</x:definedName>
    <x:definedName name="uu">#REF!</x:definedName>
    <x:definedName name="ww">#REF!</x:definedName>
    <x:definedName name="ﾃﾞｰﾀセ直販">'[4]ｺﾋﾟｰ用（直セ）'!$E$12</x:definedName>
    <x:definedName name="ﾃﾞｰﾀプラント">'[4]ｺﾋﾟｰ用（海プ）'!$E$1:$Y$97</x:definedName>
    <x:definedName name="ﾃﾞｰﾀ海プ">'[4]ｺﾋﾟｰ用（海プ）'!$D$7</x:definedName>
    <x:definedName name="ﾃﾞｰﾀ海市">#REF!</x:definedName>
    <x:definedName name="ﾃﾞｰﾀ直販ｾﾝｻｰ">'[4]ｺﾋﾟｰ用（直セ）'!$E$1:$Y$34</x:definedName>
    <x:definedName name="プラントｺｰﾄﾞ">'[4]ｺﾋﾟｰ用（海プ）'!$F$1:$Z$209</x:definedName>
    <x:definedName name="リスト">[5]リスト!$C$1:$C$150</x:definedName>
    <x:definedName name="ルピア">#REF!</x:definedName>
    <x:definedName name="予算ﾚｰﾄ">#REF!</x:definedName>
    <x:definedName name="今">#REF!</x:definedName>
    <x:definedName name="仲介">#REF!</x:definedName>
    <x:definedName name="元">#REF!</x:definedName>
    <x:definedName name="円">#REF!</x:definedName>
    <x:definedName name="円vsドル_レート">#REF!</x:definedName>
    <x:definedName name="出発">[7]支援計画・０４!$G$4:$G$171</x:definedName>
    <x:definedName name="到着">[7]支援計画・０４!$F$4:$F$171</x:definedName>
    <x:definedName name="印刷領域">#REF!</x:definedName>
    <x:definedName name="品種別ｺｰﾄﾞ">'[4]ｺﾋﾟｰ用（全社）'!$F$1:$Z$245</x:definedName>
    <x:definedName name="品種別出荷ﾃﾞｰﾀ">'[4]ｺﾋﾟｰ用（全社）'!$E$1:$X$65536</x:definedName>
    <x:definedName name="品種別出荷ﾃﾞｰﾀ全社">'[4]ｺﾋﾟｰ用（全社）'!$E$1:$X$65536</x:definedName>
    <x:definedName name="品種別実績">#REF!</x:definedName>
    <x:definedName name="商品群">[9]テーブル!$B$2:$B$7</x:definedName>
    <x:definedName name="実績レート">#REF!</x:definedName>
    <x:definedName name="対象日数">#REF!</x:definedName>
    <x:definedName name="技術開発経費181">#REF!</x:definedName>
    <x:definedName name="技術開発経費182">#REF!</x:definedName>
    <x:definedName name="担当者">[9]テーブル!$F$2:$F$24</x:definedName>
    <x:definedName name="支援まとめ">'[10]予定日別1-6'!$U$4:$GV$4</x:definedName>
    <x:definedName name="日付">[7]支援計画・０４!$J$4:$CW$4</x:definedName>
    <x:definedName name="日数">#REF!</x:definedName>
    <x:definedName name="期">#REF!</x:definedName>
    <x:definedName name="梱包_Ｍ３">'[11]KB,MOLD ESTIMATE.00'!$F$13:$X$13</x:definedName>
    <x:definedName name="機能分類リスト">[12]開発計画品番リスト!#REF!</x:definedName>
    <x:definedName name="比率">[13]調達計画!#REF!</x:definedName>
    <x:definedName name="決算期区分">#REF!</x:definedName>
    <x:definedName name="為替">#REF!</x:definedName>
    <x:definedName name="為替レートEU">#REF!</x:definedName>
    <x:definedName name="為替レートUS">#REF!</x:definedName>
    <x:definedName name="生産拠点">[9]テーブル!$C$2:$C$6</x:definedName>
    <x:definedName name="直販ｺｰﾄﾞ">'[4]ｺﾋﾟｰ用（直セ）'!$F$1:$AN$263</x:definedName>
    <x:definedName name="立上年">[9]テーブル!$A$2:$A$11</x:definedName>
    <x:definedName name="立上月">[9]テーブル!$D$2:$D$13</x:definedName>
    <x:definedName name="補助部門比率">#REF!</x:definedName>
    <x:definedName name="補助部門費_設計以外181">#REF!</x:definedName>
    <x:definedName name="補助部門費_設計以外182">#REF!</x:definedName>
    <x:definedName name="販管費率">#REF!</x:definedName>
    <x:definedName name="輸入">#REF!</x:definedName>
    <x:definedName name="配布先">#REF!</x:definedName>
    <x:definedName name="開発経費合計181">#REF!</x:definedName>
    <x:definedName name="開発経費合計182">#REF!</x:definedName>
    <x:definedName name="雇用">#REF!</x:definedName>
    <x:definedName name="電話代補助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62" i="1"/>
  <x:c r="D62" i="1"/>
  <x:c r="F62" i="1"/>
  <x:c r="I62" i="1"/>
  <x:c r="J62" i="1"/>
  <x:c r="AC62" i="1"/>
  <x:c r="AD62" i="1"/>
  <x:c r="B63" i="1"/>
  <x:c r="D63" i="1"/>
  <x:c r="F63" i="1"/>
  <x:c r="I63" i="1"/>
  <x:c r="J63" i="1"/>
  <x:c r="AC63" i="1"/>
  <x:c r="AD63" i="1"/>
  <x:c r="B64" i="1"/>
  <x:c r="D64" i="1"/>
  <x:c r="F64" i="1"/>
  <x:c r="I64" i="1"/>
  <x:c r="J64" i="1"/>
  <x:c r="AC64" i="1"/>
  <x:c r="AD64" i="1"/>
  <x:c r="B65" i="1"/>
  <x:c r="D65" i="1"/>
  <x:c r="F65" i="1"/>
  <x:c r="I65" i="1"/>
  <x:c r="J65" i="1"/>
  <x:c r="AC65" i="1"/>
  <x:c r="AD65" i="1"/>
  <x:c r="B66" i="1"/>
  <x:c r="D66" i="1"/>
  <x:c r="F66" i="1"/>
  <x:c r="I66" i="1"/>
  <x:c r="J66" i="1"/>
  <x:c r="AC66" i="1"/>
  <x:c r="AD66" i="1"/>
  <x:c r="B67" i="1"/>
  <x:c r="D67" i="1"/>
  <x:c r="F67" i="1"/>
  <x:c r="I67" i="1"/>
  <x:c r="J67" i="1"/>
  <x:c r="AC67" i="1"/>
  <x:c r="AD67" i="1"/>
  <x:c r="B68" i="1"/>
  <x:c r="D68" i="1"/>
  <x:c r="F68" i="1"/>
  <x:c r="I68" i="1"/>
  <x:c r="J68" i="1"/>
  <x:c r="AC68" i="1"/>
  <x:c r="AD68" i="1"/>
  <x:c r="B69" i="1"/>
  <x:c r="D69" i="1"/>
  <x:c r="F69" i="1"/>
  <x:c r="I69" i="1"/>
  <x:c r="J69" i="1"/>
  <x:c r="AC69" i="1"/>
  <x:c r="AD69" i="1"/>
  <x:c r="B70" i="1"/>
  <x:c r="D70" i="1"/>
  <x:c r="F70" i="1"/>
  <x:c r="I70" i="1"/>
  <x:c r="J70" i="1"/>
  <x:c r="AC70" i="1"/>
  <x:c r="AD70" i="1"/>
  <x:c r="B71" i="1"/>
  <x:c r="D71" i="1"/>
  <x:c r="F71" i="1"/>
  <x:c r="I71" i="1"/>
  <x:c r="J71" i="1"/>
  <x:c r="AC71" i="1"/>
  <x:c r="AD71" i="1"/>
  <x:c r="B72" i="1"/>
  <x:c r="D72" i="1"/>
  <x:c r="F72" i="1"/>
  <x:c r="I72" i="1"/>
  <x:c r="J72" i="1"/>
  <x:c r="AC72" i="1"/>
  <x:c r="AD72" i="1"/>
  <x:c r="B73" i="1"/>
  <x:c r="D73" i="1"/>
  <x:c r="F73" i="1"/>
  <x:c r="I73" i="1"/>
  <x:c r="J73" i="1"/>
  <x:c r="AC73" i="1"/>
  <x:c r="AD73" i="1"/>
  <x:c r="B74" i="1"/>
  <x:c r="D74" i="1"/>
  <x:c r="F74" i="1"/>
  <x:c r="I74" i="1"/>
  <x:c r="J74" i="1"/>
  <x:c r="AC74" i="1"/>
  <x:c r="AD74" i="1"/>
  <x:c r="B75" i="1"/>
  <x:c r="D75" i="1"/>
  <x:c r="F75" i="1"/>
  <x:c r="I75" i="1"/>
  <x:c r="J75" i="1"/>
  <x:c r="AC75" i="1"/>
  <x:c r="AD75" i="1"/>
  <x:c r="B76" i="1"/>
  <x:c r="D76" i="1"/>
  <x:c r="F76" i="1"/>
  <x:c r="I76" i="1"/>
  <x:c r="J76" i="1"/>
  <x:c r="AC76" i="1"/>
  <x:c r="AD76" i="1"/>
  <x:c r="B77" i="1"/>
  <x:c r="D77" i="1"/>
  <x:c r="F77" i="1"/>
  <x:c r="I77" i="1"/>
  <x:c r="J77" i="1"/>
  <x:c r="AC77" i="1"/>
  <x:c r="AD77" i="1"/>
  <x:c r="B78" i="1"/>
  <x:c r="D78" i="1"/>
  <x:c r="F78" i="1"/>
  <x:c r="I78" i="1"/>
  <x:c r="J78" i="1"/>
  <x:c r="AC78" i="1"/>
  <x:c r="AD78" i="1"/>
  <x:c r="B79" i="1"/>
  <x:c r="D79" i="1"/>
  <x:c r="F79" i="1"/>
  <x:c r="I79" i="1"/>
  <x:c r="J79" i="1"/>
  <x:c r="AC79" i="1"/>
  <x:c r="AD79" i="1"/>
  <x:c r="B80" i="1"/>
  <x:c r="D80" i="1"/>
  <x:c r="F80" i="1"/>
  <x:c r="I80" i="1"/>
  <x:c r="J80" i="1"/>
  <x:c r="AC80" i="1"/>
  <x:c r="AD80" i="1"/>
  <x:c r="B81" i="1"/>
  <x:c r="D81" i="1"/>
  <x:c r="F81" i="1"/>
  <x:c r="I81" i="1"/>
  <x:c r="J81" i="1"/>
  <x:c r="AC81" i="1"/>
  <x:c r="AD81" i="1"/>
  <x:c r="B82" i="1"/>
  <x:c r="D82" i="1"/>
  <x:c r="F82" i="1"/>
  <x:c r="I82" i="1"/>
  <x:c r="J82" i="1"/>
  <x:c r="AC82" i="1"/>
  <x:c r="AD82" i="1"/>
  <x:c r="B83" i="1"/>
  <x:c r="D83" i="1"/>
  <x:c r="F83" i="1"/>
  <x:c r="I83" i="1"/>
  <x:c r="J83" i="1"/>
  <x:c r="AC83" i="1"/>
  <x:c r="AD83" i="1"/>
  <x:c r="B84" i="1"/>
  <x:c r="D84" i="1"/>
  <x:c r="F84" i="1"/>
  <x:c r="I84" i="1"/>
  <x:c r="J84" i="1"/>
  <x:c r="AC84" i="1"/>
  <x:c r="AD84" i="1"/>
  <x:c r="B85" i="1"/>
  <x:c r="D85" i="1"/>
  <x:c r="F85" i="1"/>
  <x:c r="I85" i="1"/>
  <x:c r="J85" i="1"/>
  <x:c r="AC85" i="1"/>
  <x:c r="AD85" i="1"/>
  <x:c r="B86" i="1"/>
  <x:c r="D86" i="1"/>
  <x:c r="F86" i="1"/>
  <x:c r="I86" i="1"/>
  <x:c r="J86" i="1"/>
  <x:c r="AC86" i="1"/>
  <x:c r="AD86" i="1"/>
  <x:c r="B87" i="1"/>
  <x:c r="D87" i="1"/>
  <x:c r="F87" i="1"/>
  <x:c r="I87" i="1"/>
  <x:c r="J87" i="1"/>
  <x:c r="AC87" i="1"/>
  <x:c r="AD87" i="1"/>
  <x:c r="B88" i="1"/>
  <x:c r="D88" i="1"/>
  <x:c r="F88" i="1"/>
  <x:c r="I88" i="1"/>
  <x:c r="J88" i="1"/>
  <x:c r="AC88" i="1"/>
  <x:c r="AD88" i="1"/>
  <x:c r="B89" i="1"/>
  <x:c r="D89" i="1"/>
  <x:c r="F89" i="1"/>
  <x:c r="I89" i="1"/>
  <x:c r="J89" i="1"/>
  <x:c r="AC89" i="1"/>
  <x:c r="AD89" i="1"/>
  <x:c r="B90" i="1"/>
  <x:c r="D90" i="1"/>
  <x:c r="F90" i="1"/>
  <x:c r="I90" i="1"/>
  <x:c r="J90" i="1"/>
  <x:c r="AC90" i="1"/>
  <x:c r="AD90" i="1"/>
  <x:c r="B91" i="1"/>
  <x:c r="D91" i="1"/>
  <x:c r="F91" i="1"/>
  <x:c r="I91" i="1"/>
  <x:c r="J91" i="1"/>
  <x:c r="AC91" i="1"/>
  <x:c r="AD91" i="1"/>
  <x:c r="B92" i="1"/>
  <x:c r="D92" i="1"/>
  <x:c r="F92" i="1"/>
  <x:c r="I92" i="1"/>
  <x:c r="J92" i="1"/>
  <x:c r="AC92" i="1"/>
  <x:c r="AD92" i="1"/>
  <x:c r="B93" i="1"/>
  <x:c r="D93" i="1"/>
  <x:c r="F93" i="1"/>
  <x:c r="I93" i="1"/>
  <x:c r="J93" i="1"/>
  <x:c r="AC93" i="1"/>
  <x:c r="AD93" i="1"/>
  <x:c r="B94" i="1"/>
  <x:c r="D94" i="1"/>
  <x:c r="F94" i="1"/>
  <x:c r="I94" i="1"/>
  <x:c r="J94" i="1"/>
  <x:c r="AC94" i="1"/>
  <x:c r="AD94" i="1"/>
  <x:c r="B95" i="1"/>
  <x:c r="D95" i="1"/>
  <x:c r="F95" i="1"/>
  <x:c r="I95" i="1"/>
  <x:c r="J95" i="1"/>
  <x:c r="AC95" i="1"/>
  <x:c r="AD95" i="1"/>
  <x:c r="B96" i="1"/>
  <x:c r="D96" i="1"/>
  <x:c r="F96" i="1"/>
  <x:c r="I96" i="1"/>
  <x:c r="J96" i="1"/>
  <x:c r="AC96" i="1"/>
  <x:c r="AD96" i="1"/>
  <x:c r="B97" i="1"/>
  <x:c r="D97" i="1"/>
  <x:c r="F97" i="1"/>
  <x:c r="I97" i="1"/>
  <x:c r="J97" i="1"/>
  <x:c r="AC97" i="1"/>
  <x:c r="AD97" i="1"/>
  <x:c r="B98" i="1"/>
  <x:c r="D98" i="1"/>
  <x:c r="F98" i="1"/>
  <x:c r="I98" i="1"/>
  <x:c r="J98" i="1"/>
  <x:c r="AC98" i="1"/>
  <x:c r="AD98" i="1"/>
  <x:c r="B99" i="1"/>
  <x:c r="D99" i="1"/>
  <x:c r="F99" i="1"/>
  <x:c r="I99" i="1"/>
  <x:c r="J99" i="1"/>
  <x:c r="AC99" i="1"/>
  <x:c r="AD99" i="1"/>
  <x:c r="B100" i="1"/>
  <x:c r="D100" i="1"/>
  <x:c r="F100" i="1"/>
  <x:c r="I100" i="1"/>
  <x:c r="J100" i="1"/>
  <x:c r="AC100" i="1"/>
  <x:c r="AD100" i="1"/>
  <x:c r="B101" i="1"/>
  <x:c r="D101" i="1"/>
  <x:c r="F101" i="1"/>
  <x:c r="I101" i="1"/>
  <x:c r="J101" i="1"/>
  <x:c r="AC101" i="1"/>
  <x:c r="AD101" i="1"/>
  <x:c r="B102" i="1"/>
  <x:c r="D102" i="1"/>
  <x:c r="F102" i="1"/>
  <x:c r="I102" i="1"/>
  <x:c r="J102" i="1"/>
  <x:c r="AC102" i="1"/>
  <x:c r="AD102" i="1"/>
  <x:c r="B103" i="1"/>
  <x:c r="D103" i="1"/>
  <x:c r="F103" i="1"/>
  <x:c r="I103" i="1"/>
  <x:c r="J103" i="1"/>
  <x:c r="AC103" i="1"/>
  <x:c r="AD103" i="1"/>
  <x:c r="B104" i="1"/>
  <x:c r="D104" i="1"/>
  <x:c r="F104" i="1"/>
  <x:c r="I104" i="1"/>
  <x:c r="J104" i="1"/>
  <x:c r="AC104" i="1"/>
  <x:c r="AD104" i="1"/>
  <x:c r="B105" i="1"/>
  <x:c r="D105" i="1"/>
  <x:c r="F105" i="1"/>
  <x:c r="I105" i="1"/>
  <x:c r="J105" i="1"/>
  <x:c r="AC105" i="1"/>
  <x:c r="AD105" i="1"/>
  <x:c r="B106" i="1"/>
  <x:c r="D106" i="1"/>
  <x:c r="F106" i="1"/>
  <x:c r="I106" i="1"/>
  <x:c r="J106" i="1"/>
  <x:c r="AC106" i="1"/>
  <x:c r="AD106" i="1"/>
  <x:c r="B107" i="1"/>
  <x:c r="D107" i="1"/>
  <x:c r="F107" i="1"/>
  <x:c r="I107" i="1"/>
  <x:c r="J107" i="1"/>
  <x:c r="AC107" i="1"/>
  <x:c r="AD107" i="1"/>
  <x:c r="B108" i="1"/>
  <x:c r="D108" i="1"/>
  <x:c r="F108" i="1"/>
  <x:c r="I108" i="1"/>
  <x:c r="J108" i="1"/>
  <x:c r="AC108" i="1"/>
  <x:c r="AD108" i="1"/>
  <x:c r="B109" i="1"/>
  <x:c r="D109" i="1"/>
  <x:c r="F109" i="1"/>
  <x:c r="I109" i="1"/>
  <x:c r="J109" i="1"/>
  <x:c r="AC109" i="1"/>
  <x:c r="AD109" i="1"/>
  <x:c r="B110" i="1"/>
  <x:c r="D110" i="1"/>
  <x:c r="F110" i="1"/>
  <x:c r="I110" i="1"/>
  <x:c r="J110" i="1"/>
  <x:c r="AC110" i="1"/>
  <x:c r="AD110" i="1"/>
  <x:c r="B111" i="1"/>
  <x:c r="D111" i="1"/>
  <x:c r="F111" i="1"/>
  <x:c r="I111" i="1"/>
  <x:c r="J111" i="1"/>
  <x:c r="AC111" i="1"/>
  <x:c r="AD111" i="1"/>
  <x:c r="B112" i="1"/>
  <x:c r="D112" i="1"/>
  <x:c r="F112" i="1"/>
  <x:c r="I112" i="1"/>
  <x:c r="J112" i="1"/>
  <x:c r="AC112" i="1"/>
  <x:c r="AD112" i="1"/>
  <x:c r="B113" i="1"/>
  <x:c r="D113" i="1"/>
  <x:c r="F113" i="1"/>
  <x:c r="I113" i="1"/>
  <x:c r="J113" i="1"/>
  <x:c r="AC113" i="1"/>
  <x:c r="AD113" i="1"/>
  <x:c r="B114" i="1"/>
  <x:c r="D114" i="1"/>
  <x:c r="F114" i="1"/>
  <x:c r="I114" i="1"/>
  <x:c r="J114" i="1"/>
  <x:c r="AC114" i="1"/>
  <x:c r="AD114" i="1"/>
  <x:c r="B115" i="1"/>
  <x:c r="D115" i="1"/>
  <x:c r="F115" i="1"/>
  <x:c r="I115" i="1"/>
  <x:c r="J115" i="1"/>
  <x:c r="AC115" i="1"/>
  <x:c r="AD115" i="1"/>
  <x:c r="B116" i="1"/>
  <x:c r="D116" i="1"/>
  <x:c r="F116" i="1"/>
  <x:c r="I116" i="1"/>
  <x:c r="J116" i="1"/>
  <x:c r="AC116" i="1"/>
  <x:c r="AD116" i="1"/>
  <x:c r="B117" i="1"/>
  <x:c r="D117" i="1"/>
  <x:c r="F117" i="1"/>
  <x:c r="I117" i="1"/>
  <x:c r="J117" i="1"/>
  <x:c r="AC117" i="1"/>
  <x:c r="AD117" i="1"/>
  <x:c r="B118" i="1"/>
  <x:c r="D118" i="1"/>
  <x:c r="F118" i="1"/>
  <x:c r="I118" i="1"/>
  <x:c r="J118" i="1"/>
  <x:c r="AC118" i="1"/>
  <x:c r="AD118" i="1"/>
  <x:c r="B119" i="1"/>
  <x:c r="D119" i="1"/>
  <x:c r="F119" i="1"/>
  <x:c r="I119" i="1"/>
  <x:c r="J119" i="1"/>
  <x:c r="AC119" i="1"/>
  <x:c r="AD119" i="1"/>
  <x:c r="B120" i="1"/>
  <x:c r="D120" i="1"/>
  <x:c r="F120" i="1"/>
  <x:c r="I120" i="1"/>
  <x:c r="J120" i="1"/>
  <x:c r="AC120" i="1"/>
  <x:c r="AD120" i="1"/>
  <x:c r="B121" i="1"/>
  <x:c r="D121" i="1"/>
  <x:c r="F121" i="1"/>
  <x:c r="I121" i="1"/>
  <x:c r="J121" i="1"/>
  <x:c r="AC121" i="1"/>
  <x:c r="AD121" i="1"/>
  <x:c r="B122" i="1"/>
  <x:c r="D122" i="1"/>
  <x:c r="F122" i="1"/>
  <x:c r="I122" i="1"/>
  <x:c r="J122" i="1"/>
  <x:c r="AC122" i="1"/>
  <x:c r="AD122" i="1"/>
  <x:c r="B123" i="1"/>
  <x:c r="D123" i="1"/>
  <x:c r="F123" i="1"/>
  <x:c r="I123" i="1"/>
  <x:c r="J123" i="1"/>
  <x:c r="AC123" i="1"/>
  <x:c r="AD123" i="1"/>
  <x:c r="B124" i="1"/>
  <x:c r="D124" i="1"/>
  <x:c r="F124" i="1"/>
  <x:c r="I124" i="1"/>
  <x:c r="J124" i="1"/>
  <x:c r="AC124" i="1"/>
  <x:c r="AD124" i="1"/>
  <x:c r="B125" i="1"/>
  <x:c r="D125" i="1"/>
  <x:c r="F125" i="1"/>
  <x:c r="I125" i="1"/>
  <x:c r="J125" i="1"/>
  <x:c r="AC125" i="1"/>
  <x:c r="AD125" i="1"/>
  <x:c r="B126" i="1"/>
  <x:c r="D126" i="1"/>
  <x:c r="F126" i="1"/>
  <x:c r="I126" i="1"/>
  <x:c r="J126" i="1"/>
  <x:c r="AC126" i="1"/>
  <x:c r="AD126" i="1"/>
  <x:c r="B127" i="1"/>
  <x:c r="D127" i="1"/>
  <x:c r="F127" i="1"/>
  <x:c r="I127" i="1"/>
  <x:c r="J127" i="1"/>
  <x:c r="AC127" i="1"/>
  <x:c r="AD127" i="1"/>
  <x:c r="B128" i="1"/>
  <x:c r="D128" i="1"/>
  <x:c r="F128" i="1"/>
  <x:c r="I128" i="1"/>
  <x:c r="J128" i="1"/>
  <x:c r="AC128" i="1"/>
  <x:c r="AD128" i="1"/>
  <x:c r="B129" i="1"/>
  <x:c r="D129" i="1"/>
  <x:c r="F129" i="1"/>
  <x:c r="I129" i="1"/>
  <x:c r="J129" i="1"/>
  <x:c r="AC129" i="1"/>
  <x:c r="AD129" i="1"/>
  <x:c r="B130" i="1"/>
  <x:c r="D130" i="1"/>
  <x:c r="F130" i="1"/>
  <x:c r="I130" i="1"/>
  <x:c r="J130" i="1"/>
  <x:c r="AC130" i="1"/>
  <x:c r="AD130" i="1"/>
  <x:c r="B131" i="1"/>
  <x:c r="D131" i="1"/>
  <x:c r="F131" i="1"/>
  <x:c r="I131" i="1"/>
  <x:c r="J131" i="1"/>
  <x:c r="AC131" i="1"/>
  <x:c r="AD131" i="1"/>
  <x:c r="B132" i="1"/>
  <x:c r="D132" i="1"/>
  <x:c r="F132" i="1"/>
  <x:c r="I132" i="1"/>
  <x:c r="J132" i="1"/>
  <x:c r="AC132" i="1"/>
  <x:c r="AD132" i="1"/>
  <x:c r="B133" i="1"/>
  <x:c r="D133" i="1"/>
  <x:c r="F133" i="1"/>
  <x:c r="I133" i="1"/>
  <x:c r="J133" i="1"/>
  <x:c r="AC133" i="1"/>
  <x:c r="AD133" i="1"/>
  <x:c r="B134" i="1"/>
  <x:c r="D134" i="1"/>
  <x:c r="F134" i="1"/>
  <x:c r="I134" i="1"/>
  <x:c r="J134" i="1"/>
  <x:c r="AC134" i="1"/>
  <x:c r="AD134" i="1"/>
  <x:c r="B135" i="1"/>
  <x:c r="D135" i="1"/>
  <x:c r="F135" i="1"/>
  <x:c r="I135" i="1"/>
  <x:c r="J135" i="1"/>
  <x:c r="AC135" i="1"/>
  <x:c r="AD135" i="1"/>
  <x:c r="B136" i="1"/>
  <x:c r="D136" i="1"/>
  <x:c r="F136" i="1"/>
  <x:c r="I136" i="1"/>
  <x:c r="J136" i="1"/>
  <x:c r="AC136" i="1"/>
  <x:c r="AD136" i="1"/>
  <x:c r="B137" i="1"/>
  <x:c r="D137" i="1"/>
  <x:c r="F137" i="1"/>
  <x:c r="I137" i="1"/>
  <x:c r="J137" i="1"/>
  <x:c r="AC137" i="1"/>
  <x:c r="AD137" i="1"/>
  <x:c r="B138" i="1"/>
  <x:c r="D138" i="1"/>
  <x:c r="F138" i="1"/>
  <x:c r="I138" i="1"/>
  <x:c r="J138" i="1"/>
  <x:c r="AC138" i="1"/>
  <x:c r="AD138" i="1"/>
  <x:c r="B139" i="1"/>
  <x:c r="D139" i="1"/>
  <x:c r="F139" i="1"/>
  <x:c r="I139" i="1"/>
  <x:c r="J139" i="1"/>
  <x:c r="AC139" i="1"/>
  <x:c r="AD139" i="1"/>
  <x:c r="B140" i="1"/>
  <x:c r="D140" i="1"/>
  <x:c r="F140" i="1"/>
  <x:c r="I140" i="1"/>
  <x:c r="J140" i="1"/>
  <x:c r="AC140" i="1"/>
  <x:c r="AD140" i="1"/>
  <x:c r="B141" i="1"/>
  <x:c r="D141" i="1"/>
  <x:c r="F141" i="1"/>
  <x:c r="I141" i="1"/>
  <x:c r="J141" i="1"/>
  <x:c r="AC141" i="1"/>
  <x:c r="AD141" i="1"/>
  <x:c r="B142" i="1"/>
  <x:c r="D142" i="1"/>
  <x:c r="F142" i="1"/>
  <x:c r="I142" i="1"/>
  <x:c r="J142" i="1"/>
  <x:c r="AC142" i="1"/>
  <x:c r="AD142" i="1"/>
  <x:c r="B143" i="1"/>
  <x:c r="D143" i="1"/>
  <x:c r="F143" i="1"/>
  <x:c r="I143" i="1"/>
  <x:c r="J143" i="1"/>
  <x:c r="AC143" i="1"/>
  <x:c r="AD143" i="1"/>
  <x:c r="B144" i="1"/>
  <x:c r="D144" i="1"/>
  <x:c r="F144" i="1"/>
  <x:c r="I144" i="1"/>
  <x:c r="J144" i="1"/>
  <x:c r="AC144" i="1"/>
  <x:c r="AD144" i="1"/>
  <x:c r="B145" i="1"/>
  <x:c r="D145" i="1"/>
  <x:c r="F145" i="1"/>
  <x:c r="I145" i="1"/>
  <x:c r="J145" i="1"/>
  <x:c r="AC145" i="1"/>
  <x:c r="AD145" i="1"/>
  <x:c r="B146" i="1"/>
  <x:c r="D146" i="1"/>
  <x:c r="F146" i="1"/>
  <x:c r="I146" i="1"/>
  <x:c r="J146" i="1"/>
  <x:c r="AC146" i="1"/>
  <x:c r="AD146" i="1"/>
  <x:c r="B147" i="1"/>
  <x:c r="D147" i="1"/>
  <x:c r="F147" i="1"/>
  <x:c r="I147" i="1"/>
  <x:c r="J147" i="1"/>
  <x:c r="AC147" i="1"/>
  <x:c r="AD147" i="1"/>
  <x:c r="B148" i="1"/>
  <x:c r="D148" i="1"/>
  <x:c r="F148" i="1"/>
  <x:c r="I148" i="1"/>
  <x:c r="J148" i="1"/>
  <x:c r="AC148" i="1"/>
  <x:c r="AD148" i="1"/>
  <x:c r="B149" i="1"/>
  <x:c r="D149" i="1"/>
  <x:c r="F149" i="1"/>
  <x:c r="I149" i="1"/>
  <x:c r="J149" i="1"/>
  <x:c r="AC149" i="1"/>
  <x:c r="AD149" i="1"/>
  <x:c r="B150" i="1"/>
  <x:c r="D150" i="1"/>
  <x:c r="F150" i="1"/>
  <x:c r="I150" i="1"/>
  <x:c r="J150" i="1"/>
  <x:c r="AC150" i="1"/>
  <x:c r="AD150" i="1"/>
  <x:c r="B151" i="1"/>
  <x:c r="D151" i="1"/>
  <x:c r="F151" i="1"/>
  <x:c r="I151" i="1"/>
  <x:c r="J151" i="1"/>
  <x:c r="AC151" i="1"/>
  <x:c r="AD151" i="1"/>
  <x:c r="B152" i="1"/>
  <x:c r="D152" i="1"/>
  <x:c r="F152" i="1"/>
  <x:c r="I152" i="1"/>
  <x:c r="J152" i="1"/>
  <x:c r="AC152" i="1"/>
  <x:c r="AD152" i="1"/>
  <x:c r="B153" i="1"/>
  <x:c r="D153" i="1"/>
  <x:c r="F153" i="1"/>
  <x:c r="I153" i="1"/>
  <x:c r="J153" i="1"/>
  <x:c r="AC153" i="1"/>
  <x:c r="AD153" i="1"/>
  <x:c r="B154" i="1"/>
  <x:c r="D154" i="1"/>
  <x:c r="F154" i="1"/>
  <x:c r="I154" i="1"/>
  <x:c r="J154" i="1"/>
  <x:c r="AC154" i="1"/>
  <x:c r="AD154" i="1"/>
  <x:c r="B155" i="1"/>
  <x:c r="D155" i="1"/>
  <x:c r="F155" i="1"/>
  <x:c r="I155" i="1"/>
  <x:c r="J155" i="1"/>
  <x:c r="AC155" i="1"/>
  <x:c r="AD155" i="1"/>
  <x:c r="B156" i="1"/>
  <x:c r="D156" i="1"/>
  <x:c r="F156" i="1"/>
  <x:c r="I156" i="1"/>
  <x:c r="J156" i="1"/>
  <x:c r="AC156" i="1"/>
  <x:c r="AD156" i="1"/>
  <x:c r="B157" i="1"/>
  <x:c r="D157" i="1"/>
  <x:c r="F157" i="1"/>
  <x:c r="I157" i="1"/>
  <x:c r="J157" i="1"/>
  <x:c r="AC157" i="1"/>
  <x:c r="AD157" i="1"/>
  <x:c r="B158" i="1"/>
  <x:c r="D158" i="1"/>
  <x:c r="F158" i="1"/>
  <x:c r="I158" i="1"/>
  <x:c r="J158" i="1"/>
  <x:c r="AC158" i="1"/>
  <x:c r="AD158" i="1"/>
  <x:c r="B159" i="1"/>
  <x:c r="D159" i="1"/>
  <x:c r="F159" i="1"/>
  <x:c r="I159" i="1"/>
  <x:c r="J159" i="1"/>
  <x:c r="AC159" i="1"/>
  <x:c r="AD159" i="1"/>
  <x:c r="B160" i="1"/>
  <x:c r="D160" i="1"/>
  <x:c r="F160" i="1"/>
  <x:c r="I160" i="1"/>
  <x:c r="J160" i="1"/>
  <x:c r="AC160" i="1"/>
  <x:c r="AD160" i="1"/>
  <x:c r="B161" i="1"/>
  <x:c r="D161" i="1"/>
  <x:c r="F161" i="1"/>
  <x:c r="I161" i="1"/>
  <x:c r="J161" i="1"/>
  <x:c r="AC161" i="1"/>
  <x:c r="AD161" i="1"/>
  <x:c r="B162" i="1"/>
  <x:c r="D162" i="1"/>
  <x:c r="F162" i="1"/>
  <x:c r="I162" i="1"/>
  <x:c r="J162" i="1"/>
  <x:c r="AC162" i="1"/>
  <x:c r="AD162" i="1"/>
  <x:c r="B163" i="1"/>
  <x:c r="D163" i="1"/>
  <x:c r="F163" i="1"/>
  <x:c r="I163" i="1"/>
  <x:c r="J163" i="1"/>
  <x:c r="AC163" i="1"/>
  <x:c r="AD163" i="1"/>
  <x:c r="B164" i="1"/>
  <x:c r="D164" i="1"/>
  <x:c r="F164" i="1"/>
  <x:c r="I164" i="1"/>
  <x:c r="J164" i="1"/>
  <x:c r="AC164" i="1"/>
  <x:c r="AD164" i="1"/>
  <x:c r="B165" i="1"/>
  <x:c r="D165" i="1"/>
  <x:c r="F165" i="1"/>
  <x:c r="I165" i="1"/>
  <x:c r="J165" i="1"/>
  <x:c r="AC165" i="1"/>
  <x:c r="AD165" i="1"/>
  <x:c r="B166" i="1"/>
  <x:c r="D166" i="1"/>
  <x:c r="F166" i="1"/>
  <x:c r="I166" i="1"/>
  <x:c r="J166" i="1"/>
  <x:c r="AC166" i="1"/>
  <x:c r="AD166" i="1"/>
  <x:c r="B167" i="1"/>
  <x:c r="D167" i="1"/>
  <x:c r="F167" i="1"/>
  <x:c r="I167" i="1"/>
  <x:c r="J167" i="1"/>
  <x:c r="AC167" i="1"/>
  <x:c r="AD167" i="1"/>
  <x:c r="B168" i="1"/>
  <x:c r="D168" i="1"/>
  <x:c r="F168" i="1"/>
  <x:c r="I168" i="1"/>
  <x:c r="J168" i="1"/>
  <x:c r="AC168" i="1"/>
  <x:c r="AD168" i="1"/>
  <x:c r="B169" i="1"/>
  <x:c r="D169" i="1"/>
  <x:c r="F169" i="1"/>
  <x:c r="I169" i="1"/>
  <x:c r="J169" i="1"/>
  <x:c r="AC169" i="1"/>
  <x:c r="AD169" i="1"/>
  <x:c r="B170" i="1"/>
  <x:c r="D170" i="1"/>
  <x:c r="F170" i="1"/>
  <x:c r="I170" i="1"/>
  <x:c r="J170" i="1"/>
  <x:c r="AC170" i="1"/>
  <x:c r="AD170" i="1"/>
  <x:c r="B171" i="1"/>
  <x:c r="D171" i="1"/>
  <x:c r="F171" i="1"/>
  <x:c r="I171" i="1"/>
  <x:c r="J171" i="1"/>
  <x:c r="AC171" i="1"/>
  <x:c r="AD171" i="1"/>
  <x:c r="B172" i="1"/>
  <x:c r="D172" i="1"/>
  <x:c r="F172" i="1"/>
  <x:c r="I172" i="1"/>
  <x:c r="J172" i="1"/>
  <x:c r="AC172" i="1"/>
  <x:c r="AD172" i="1"/>
  <x:c r="B173" i="1"/>
  <x:c r="D173" i="1"/>
  <x:c r="F173" i="1"/>
  <x:c r="I173" i="1"/>
  <x:c r="J173" i="1"/>
  <x:c r="AC173" i="1"/>
  <x:c r="AD173" i="1"/>
  <x:c r="B174" i="1"/>
  <x:c r="D174" i="1"/>
  <x:c r="F174" i="1"/>
  <x:c r="I174" i="1"/>
  <x:c r="J174" i="1"/>
  <x:c r="AC174" i="1"/>
  <x:c r="AD174" i="1"/>
  <x:c r="B175" i="1"/>
  <x:c r="D175" i="1"/>
  <x:c r="F175" i="1"/>
  <x:c r="I175" i="1"/>
  <x:c r="J175" i="1"/>
  <x:c r="AC175" i="1"/>
  <x:c r="AD175" i="1"/>
  <x:c r="B176" i="1"/>
  <x:c r="D176" i="1"/>
  <x:c r="F176" i="1"/>
  <x:c r="I176" i="1"/>
  <x:c r="J176" i="1"/>
  <x:c r="AC176" i="1"/>
  <x:c r="AD176" i="1"/>
  <x:c r="B177" i="1"/>
  <x:c r="D177" i="1"/>
  <x:c r="F177" i="1"/>
  <x:c r="I177" i="1"/>
  <x:c r="J177" i="1"/>
  <x:c r="AC177" i="1"/>
  <x:c r="AD177" i="1"/>
  <x:c r="B178" i="1"/>
  <x:c r="D178" i="1"/>
  <x:c r="F178" i="1"/>
  <x:c r="I178" i="1"/>
  <x:c r="J178" i="1"/>
  <x:c r="AC178" i="1"/>
  <x:c r="AD178" i="1"/>
  <x:c r="B179" i="1"/>
  <x:c r="D179" i="1"/>
  <x:c r="F179" i="1"/>
  <x:c r="I179" i="1"/>
  <x:c r="J179" i="1"/>
  <x:c r="AC179" i="1"/>
  <x:c r="AD179" i="1"/>
  <x:c r="B180" i="1"/>
  <x:c r="D180" i="1"/>
  <x:c r="F180" i="1"/>
  <x:c r="I180" i="1"/>
  <x:c r="J180" i="1"/>
  <x:c r="AC180" i="1"/>
  <x:c r="AD180" i="1"/>
  <x:c r="B181" i="1"/>
  <x:c r="D181" i="1"/>
  <x:c r="F181" i="1"/>
  <x:c r="I181" i="1"/>
  <x:c r="J181" i="1"/>
  <x:c r="AC181" i="1"/>
  <x:c r="AD181" i="1"/>
  <x:c r="B182" i="1"/>
  <x:c r="D182" i="1"/>
  <x:c r="F182" i="1"/>
  <x:c r="I182" i="1"/>
  <x:c r="J182" i="1"/>
  <x:c r="AC182" i="1"/>
  <x:c r="AD182" i="1"/>
  <x:c r="B183" i="1"/>
  <x:c r="D183" i="1"/>
  <x:c r="F183" i="1"/>
  <x:c r="I183" i="1"/>
  <x:c r="J183" i="1"/>
  <x:c r="AC183" i="1"/>
  <x:c r="AD183" i="1"/>
  <x:c r="B184" i="1"/>
  <x:c r="D184" i="1"/>
  <x:c r="F184" i="1"/>
  <x:c r="I184" i="1"/>
  <x:c r="J184" i="1"/>
  <x:c r="AC184" i="1"/>
  <x:c r="AD184" i="1"/>
  <x:c r="B185" i="1"/>
  <x:c r="D185" i="1"/>
  <x:c r="F185" i="1"/>
  <x:c r="I185" i="1"/>
  <x:c r="J185" i="1"/>
  <x:c r="AC185" i="1"/>
  <x:c r="AD185" i="1"/>
  <x:c r="B186" i="1"/>
  <x:c r="D186" i="1"/>
  <x:c r="F186" i="1"/>
  <x:c r="I186" i="1"/>
  <x:c r="J186" i="1"/>
  <x:c r="AC186" i="1"/>
  <x:c r="AD186" i="1"/>
  <x:c r="B187" i="1"/>
  <x:c r="D187" i="1"/>
  <x:c r="F187" i="1"/>
  <x:c r="I187" i="1"/>
  <x:c r="J187" i="1"/>
  <x:c r="AC187" i="1"/>
  <x:c r="AD187" i="1"/>
  <x:c r="B188" i="1"/>
  <x:c r="D188" i="1"/>
  <x:c r="F188" i="1"/>
  <x:c r="I188" i="1"/>
  <x:c r="J188" i="1"/>
  <x:c r="AC188" i="1"/>
  <x:c r="AD188" i="1"/>
  <x:c r="B189" i="1"/>
  <x:c r="D189" i="1"/>
  <x:c r="F189" i="1"/>
  <x:c r="I189" i="1"/>
  <x:c r="J189" i="1"/>
  <x:c r="AC189" i="1"/>
  <x:c r="AD189" i="1"/>
  <x:c r="B190" i="1"/>
  <x:c r="D190" i="1"/>
  <x:c r="F190" i="1"/>
  <x:c r="I190" i="1"/>
  <x:c r="J190" i="1"/>
  <x:c r="AC190" i="1"/>
  <x:c r="AD190" i="1"/>
  <x:c r="B191" i="1"/>
  <x:c r="D191" i="1"/>
  <x:c r="F191" i="1"/>
  <x:c r="I191" i="1"/>
  <x:c r="J191" i="1"/>
  <x:c r="AC191" i="1"/>
  <x:c r="AD191" i="1"/>
  <x:c r="B192" i="1"/>
  <x:c r="D192" i="1"/>
  <x:c r="F192" i="1"/>
  <x:c r="I192" i="1"/>
  <x:c r="J192" i="1"/>
  <x:c r="AC192" i="1"/>
  <x:c r="AD192" i="1"/>
  <x:c r="B193" i="1"/>
  <x:c r="D193" i="1"/>
  <x:c r="F193" i="1"/>
  <x:c r="I193" i="1"/>
  <x:c r="J193" i="1"/>
  <x:c r="AC193" i="1"/>
  <x:c r="AD193" i="1"/>
  <x:c r="B194" i="1"/>
  <x:c r="D194" i="1"/>
  <x:c r="F194" i="1"/>
  <x:c r="I194" i="1"/>
  <x:c r="J194" i="1"/>
  <x:c r="AC194" i="1"/>
  <x:c r="AD194" i="1"/>
  <x:c r="B195" i="1"/>
  <x:c r="D195" i="1"/>
  <x:c r="F195" i="1"/>
  <x:c r="I195" i="1"/>
  <x:c r="J195" i="1"/>
  <x:c r="AC195" i="1"/>
  <x:c r="AD195" i="1"/>
  <x:c r="B196" i="1"/>
  <x:c r="D196" i="1"/>
  <x:c r="F196" i="1"/>
  <x:c r="I196" i="1"/>
  <x:c r="J196" i="1"/>
  <x:c r="AC196" i="1"/>
  <x:c r="AD196" i="1"/>
  <x:c r="B197" i="1"/>
  <x:c r="D197" i="1"/>
  <x:c r="F197" i="1"/>
  <x:c r="I197" i="1"/>
  <x:c r="J197" i="1"/>
  <x:c r="AC197" i="1"/>
  <x:c r="AD197" i="1"/>
  <x:c r="B198" i="1"/>
  <x:c r="D198" i="1"/>
  <x:c r="F198" i="1"/>
  <x:c r="I198" i="1"/>
  <x:c r="J198" i="1"/>
  <x:c r="AC198" i="1"/>
  <x:c r="AD198" i="1"/>
  <x:c r="B199" i="1"/>
  <x:c r="D199" i="1"/>
  <x:c r="F199" i="1"/>
  <x:c r="I199" i="1"/>
  <x:c r="J199" i="1"/>
  <x:c r="AC199" i="1"/>
  <x:c r="AD199" i="1"/>
  <x:c r="B200" i="1"/>
  <x:c r="D200" i="1"/>
  <x:c r="F200" i="1"/>
  <x:c r="I200" i="1"/>
  <x:c r="J200" i="1"/>
  <x:c r="AC200" i="1"/>
  <x:c r="AD200" i="1"/>
  <x:c r="B201" i="1"/>
  <x:c r="D201" i="1"/>
  <x:c r="F201" i="1"/>
  <x:c r="I201" i="1"/>
  <x:c r="J201" i="1"/>
  <x:c r="AC201" i="1"/>
  <x:c r="AD201" i="1"/>
  <x:c r="B202" i="1"/>
  <x:c r="D202" i="1"/>
  <x:c r="F202" i="1"/>
  <x:c r="I202" i="1"/>
  <x:c r="J202" i="1"/>
  <x:c r="AC202" i="1"/>
  <x:c r="AD202" i="1"/>
  <x:c r="B203" i="1"/>
  <x:c r="D203" i="1"/>
  <x:c r="F203" i="1"/>
  <x:c r="I203" i="1"/>
  <x:c r="J203" i="1"/>
  <x:c r="AC203" i="1"/>
  <x:c r="AD203" i="1"/>
  <x:c r="B204" i="1"/>
  <x:c r="D204" i="1"/>
  <x:c r="F204" i="1"/>
  <x:c r="I204" i="1"/>
  <x:c r="J204" i="1"/>
  <x:c r="AC204" i="1"/>
  <x:c r="AD204" i="1"/>
  <x:c r="B205" i="1"/>
  <x:c r="D205" i="1"/>
  <x:c r="F205" i="1"/>
  <x:c r="I205" i="1"/>
  <x:c r="J205" i="1"/>
  <x:c r="AC205" i="1"/>
  <x:c r="AD205" i="1"/>
  <x:c r="B206" i="1"/>
  <x:c r="D206" i="1"/>
  <x:c r="F206" i="1"/>
  <x:c r="I206" i="1"/>
  <x:c r="J206" i="1"/>
  <x:c r="AC206" i="1"/>
  <x:c r="AD206" i="1"/>
  <x:c r="B207" i="1"/>
  <x:c r="D207" i="1"/>
  <x:c r="F207" i="1"/>
  <x:c r="I207" i="1"/>
  <x:c r="J207" i="1"/>
  <x:c r="AC207" i="1"/>
  <x:c r="AD207" i="1"/>
  <x:c r="B208" i="1"/>
  <x:c r="D208" i="1"/>
  <x:c r="F208" i="1"/>
  <x:c r="I208" i="1"/>
  <x:c r="J208" i="1"/>
  <x:c r="AC208" i="1"/>
  <x:c r="AD208" i="1"/>
  <x:c r="B209" i="1"/>
  <x:c r="D209" i="1"/>
  <x:c r="F209" i="1"/>
  <x:c r="I209" i="1"/>
  <x:c r="J209" i="1"/>
  <x:c r="AC209" i="1"/>
  <x:c r="AD209" i="1"/>
  <x:c r="B210" i="1"/>
  <x:c r="D210" i="1"/>
  <x:c r="F210" i="1"/>
  <x:c r="I210" i="1"/>
  <x:c r="J210" i="1"/>
  <x:c r="AC210" i="1"/>
  <x:c r="AD210" i="1"/>
  <x:c r="B211" i="1"/>
  <x:c r="D211" i="1"/>
  <x:c r="F211" i="1"/>
  <x:c r="I211" i="1"/>
  <x:c r="J211" i="1"/>
  <x:c r="AC211" i="1"/>
  <x:c r="AD211" i="1"/>
  <x:c r="B212" i="1"/>
  <x:c r="D212" i="1"/>
  <x:c r="F212" i="1"/>
  <x:c r="I212" i="1"/>
  <x:c r="J212" i="1"/>
  <x:c r="AC212" i="1"/>
  <x:c r="AD212" i="1"/>
  <x:c r="B213" i="1"/>
  <x:c r="D213" i="1"/>
  <x:c r="F213" i="1"/>
  <x:c r="I213" i="1"/>
  <x:c r="J213" i="1"/>
  <x:c r="AC213" i="1"/>
  <x:c r="AD213" i="1"/>
  <x:c r="B214" i="1"/>
  <x:c r="D214" i="1"/>
  <x:c r="F214" i="1"/>
  <x:c r="I214" i="1"/>
  <x:c r="J214" i="1"/>
  <x:c r="AC214" i="1"/>
  <x:c r="AD214" i="1"/>
  <x:c r="B215" i="1"/>
  <x:c r="D215" i="1"/>
  <x:c r="F215" i="1"/>
  <x:c r="I215" i="1"/>
  <x:c r="J215" i="1"/>
  <x:c r="AC215" i="1"/>
  <x:c r="AD215" i="1"/>
  <x:c r="B216" i="1"/>
  <x:c r="D216" i="1"/>
  <x:c r="F216" i="1"/>
  <x:c r="I216" i="1"/>
  <x:c r="J216" i="1"/>
  <x:c r="AC216" i="1"/>
  <x:c r="AD216" i="1"/>
  <x:c r="B217" i="1"/>
  <x:c r="D217" i="1"/>
  <x:c r="F217" i="1"/>
  <x:c r="I217" i="1"/>
  <x:c r="J217" i="1"/>
  <x:c r="AC217" i="1"/>
  <x:c r="AD217" i="1"/>
  <x:c r="B218" i="1"/>
  <x:c r="D218" i="1"/>
  <x:c r="F218" i="1"/>
  <x:c r="I218" i="1"/>
  <x:c r="J218" i="1"/>
  <x:c r="AC218" i="1"/>
  <x:c r="AD218" i="1"/>
  <x:c r="B219" i="1"/>
  <x:c r="D219" i="1"/>
  <x:c r="F219" i="1"/>
  <x:c r="I219" i="1"/>
  <x:c r="J219" i="1"/>
  <x:c r="AC219" i="1"/>
  <x:c r="AD219" i="1"/>
  <x:c r="B220" i="1"/>
  <x:c r="D220" i="1"/>
  <x:c r="F220" i="1"/>
  <x:c r="I220" i="1"/>
  <x:c r="J220" i="1"/>
  <x:c r="AC220" i="1"/>
  <x:c r="AD220" i="1"/>
  <x:c r="B221" i="1"/>
  <x:c r="D221" i="1"/>
  <x:c r="F221" i="1"/>
  <x:c r="I221" i="1"/>
  <x:c r="J221" i="1"/>
  <x:c r="AC221" i="1"/>
  <x:c r="AD221" i="1"/>
  <x:c r="B222" i="1"/>
  <x:c r="D222" i="1"/>
  <x:c r="F222" i="1"/>
  <x:c r="I222" i="1"/>
  <x:c r="J222" i="1"/>
  <x:c r="AC222" i="1"/>
  <x:c r="AD222" i="1"/>
  <x:c r="B223" i="1"/>
  <x:c r="D223" i="1"/>
  <x:c r="F223" i="1"/>
  <x:c r="I223" i="1"/>
  <x:c r="J223" i="1"/>
  <x:c r="AC223" i="1"/>
  <x:c r="AD223" i="1"/>
  <x:c r="B224" i="1"/>
  <x:c r="D224" i="1"/>
  <x:c r="F224" i="1"/>
  <x:c r="I224" i="1"/>
  <x:c r="J224" i="1"/>
  <x:c r="AC224" i="1"/>
  <x:c r="AD224" i="1"/>
  <x:c r="B225" i="1"/>
  <x:c r="D225" i="1"/>
  <x:c r="F225" i="1"/>
  <x:c r="I225" i="1"/>
  <x:c r="J225" i="1"/>
  <x:c r="AC225" i="1"/>
  <x:c r="AD225" i="1"/>
  <x:c r="B226" i="1"/>
  <x:c r="D226" i="1"/>
  <x:c r="F226" i="1"/>
  <x:c r="I226" i="1"/>
  <x:c r="J226" i="1"/>
  <x:c r="AC226" i="1"/>
  <x:c r="AD226" i="1"/>
  <x:c r="B227" i="1"/>
  <x:c r="D227" i="1"/>
  <x:c r="F227" i="1"/>
  <x:c r="I227" i="1"/>
  <x:c r="J227" i="1"/>
  <x:c r="AC227" i="1"/>
  <x:c r="AD227" i="1"/>
  <x:c r="B228" i="1"/>
  <x:c r="D228" i="1"/>
  <x:c r="F228" i="1"/>
  <x:c r="I228" i="1"/>
  <x:c r="J228" i="1"/>
  <x:c r="AC228" i="1"/>
  <x:c r="AD228" i="1"/>
  <x:c r="B229" i="1"/>
  <x:c r="D229" i="1"/>
  <x:c r="F229" i="1"/>
  <x:c r="I229" i="1"/>
  <x:c r="J229" i="1"/>
  <x:c r="AC229" i="1"/>
  <x:c r="AD229" i="1"/>
  <x:c r="B230" i="1"/>
  <x:c r="D230" i="1"/>
  <x:c r="F230" i="1"/>
  <x:c r="I230" i="1"/>
  <x:c r="J230" i="1"/>
  <x:c r="AC230" i="1"/>
  <x:c r="AD230" i="1"/>
  <x:c r="B231" i="1"/>
  <x:c r="D231" i="1"/>
  <x:c r="F231" i="1"/>
  <x:c r="I231" i="1"/>
  <x:c r="J231" i="1"/>
  <x:c r="AC231" i="1"/>
  <x:c r="AD231" i="1"/>
  <x:c r="B232" i="1"/>
  <x:c r="D232" i="1"/>
  <x:c r="F232" i="1"/>
  <x:c r="I232" i="1"/>
  <x:c r="J232" i="1"/>
  <x:c r="AC232" i="1"/>
  <x:c r="AD232" i="1"/>
  <x:c r="B233" i="1"/>
  <x:c r="D233" i="1"/>
  <x:c r="F233" i="1"/>
  <x:c r="I233" i="1"/>
  <x:c r="J233" i="1"/>
  <x:c r="AC233" i="1"/>
  <x:c r="AD233" i="1"/>
  <x:c r="B234" i="1"/>
  <x:c r="D234" i="1"/>
  <x:c r="F234" i="1"/>
  <x:c r="I234" i="1"/>
  <x:c r="J234" i="1"/>
  <x:c r="AC234" i="1"/>
  <x:c r="AD234" i="1"/>
  <x:c r="B235" i="1"/>
  <x:c r="D235" i="1"/>
  <x:c r="F235" i="1"/>
  <x:c r="I235" i="1"/>
  <x:c r="J235" i="1"/>
  <x:c r="AC235" i="1"/>
  <x:c r="AD235" i="1"/>
  <x:c r="B236" i="1"/>
  <x:c r="D236" i="1"/>
  <x:c r="F236" i="1"/>
  <x:c r="I236" i="1"/>
  <x:c r="J236" i="1"/>
  <x:c r="AC236" i="1"/>
  <x:c r="AD236" i="1"/>
  <x:c r="B237" i="1"/>
  <x:c r="D237" i="1"/>
  <x:c r="F237" i="1"/>
  <x:c r="I237" i="1"/>
  <x:c r="J237" i="1"/>
  <x:c r="AC237" i="1"/>
  <x:c r="AD237" i="1"/>
  <x:c r="B238" i="1"/>
  <x:c r="D238" i="1"/>
  <x:c r="F238" i="1"/>
  <x:c r="I238" i="1"/>
  <x:c r="J238" i="1"/>
  <x:c r="AC238" i="1"/>
  <x:c r="AD238" i="1"/>
  <x:c r="B239" i="1"/>
  <x:c r="D239" i="1"/>
  <x:c r="F239" i="1"/>
  <x:c r="I239" i="1"/>
  <x:c r="J239" i="1"/>
  <x:c r="AC239" i="1"/>
  <x:c r="AD239" i="1"/>
  <x:c r="B240" i="1"/>
  <x:c r="D240" i="1"/>
  <x:c r="F240" i="1"/>
  <x:c r="I240" i="1"/>
  <x:c r="J240" i="1"/>
  <x:c r="AC240" i="1"/>
  <x:c r="AD240" i="1"/>
  <x:c r="B241" i="1"/>
  <x:c r="D241" i="1"/>
  <x:c r="F241" i="1"/>
  <x:c r="I241" i="1"/>
  <x:c r="J241" i="1"/>
  <x:c r="AC241" i="1"/>
  <x:c r="AD241" i="1"/>
  <x:c r="B242" i="1"/>
  <x:c r="D242" i="1"/>
  <x:c r="F242" i="1"/>
  <x:c r="I242" i="1"/>
  <x:c r="J242" i="1"/>
  <x:c r="AC242" i="1"/>
  <x:c r="AD242" i="1"/>
  <x:c r="B243" i="1"/>
  <x:c r="D243" i="1"/>
  <x:c r="F243" i="1"/>
  <x:c r="I243" i="1"/>
  <x:c r="J243" i="1"/>
  <x:c r="AC243" i="1"/>
  <x:c r="AD243" i="1"/>
  <x:c r="B244" i="1"/>
  <x:c r="D244" i="1"/>
  <x:c r="F244" i="1"/>
  <x:c r="I244" i="1"/>
  <x:c r="J244" i="1"/>
  <x:c r="AC244" i="1"/>
  <x:c r="AD244" i="1"/>
  <x:c r="B245" i="1"/>
  <x:c r="D245" i="1"/>
  <x:c r="F245" i="1"/>
  <x:c r="I245" i="1"/>
  <x:c r="J245" i="1"/>
  <x:c r="AC245" i="1"/>
  <x:c r="AD245" i="1"/>
  <x:c r="B246" i="1"/>
  <x:c r="D246" i="1"/>
  <x:c r="F246" i="1"/>
  <x:c r="I246" i="1"/>
  <x:c r="J246" i="1"/>
  <x:c r="AC246" i="1"/>
  <x:c r="AD246" i="1"/>
  <x:c r="B247" i="1"/>
  <x:c r="D247" i="1"/>
  <x:c r="F247" i="1"/>
  <x:c r="I247" i="1"/>
  <x:c r="J247" i="1"/>
  <x:c r="AC247" i="1"/>
  <x:c r="AD247" i="1"/>
  <x:c r="B248" i="1"/>
  <x:c r="D248" i="1"/>
  <x:c r="F248" i="1"/>
  <x:c r="I248" i="1"/>
  <x:c r="J248" i="1"/>
  <x:c r="AC248" i="1"/>
  <x:c r="AD248" i="1"/>
  <x:c r="B249" i="1"/>
  <x:c r="D249" i="1"/>
  <x:c r="F249" i="1"/>
  <x:c r="I249" i="1"/>
  <x:c r="J249" i="1"/>
  <x:c r="AC249" i="1"/>
  <x:c r="AD249" i="1"/>
  <x:c r="B250" i="1"/>
  <x:c r="D250" i="1"/>
  <x:c r="F250" i="1"/>
  <x:c r="I250" i="1"/>
  <x:c r="J250" i="1"/>
  <x:c r="AC250" i="1"/>
  <x:c r="AD250" i="1"/>
  <x:c r="B251" i="1"/>
  <x:c r="D251" i="1"/>
  <x:c r="F251" i="1"/>
  <x:c r="I251" i="1"/>
  <x:c r="J251" i="1"/>
  <x:c r="AC251" i="1"/>
  <x:c r="AD251" i="1"/>
  <x:c r="B252" i="1"/>
  <x:c r="D252" i="1"/>
  <x:c r="F252" i="1"/>
  <x:c r="I252" i="1"/>
  <x:c r="J252" i="1"/>
  <x:c r="AC252" i="1"/>
  <x:c r="AD252" i="1"/>
  <x:c r="B253" i="1"/>
  <x:c r="D253" i="1"/>
  <x:c r="F253" i="1"/>
  <x:c r="I253" i="1"/>
  <x:c r="J253" i="1"/>
  <x:c r="AC253" i="1"/>
  <x:c r="AD253" i="1"/>
  <x:c r="B254" i="1"/>
  <x:c r="D254" i="1"/>
  <x:c r="F254" i="1"/>
  <x:c r="I254" i="1"/>
  <x:c r="J254" i="1"/>
  <x:c r="AC254" i="1"/>
  <x:c r="AD254" i="1"/>
  <x:c r="B255" i="1"/>
  <x:c r="D255" i="1"/>
  <x:c r="F255" i="1"/>
  <x:c r="I255" i="1"/>
  <x:c r="J255" i="1"/>
  <x:c r="AC255" i="1"/>
  <x:c r="AD255" i="1"/>
  <x:c r="B256" i="1"/>
  <x:c r="D256" i="1"/>
  <x:c r="F256" i="1"/>
  <x:c r="I256" i="1"/>
  <x:c r="J256" i="1"/>
  <x:c r="AC256" i="1"/>
  <x:c r="AD256" i="1"/>
  <x:c r="B257" i="1"/>
  <x:c r="D257" i="1"/>
  <x:c r="F257" i="1"/>
  <x:c r="I257" i="1"/>
  <x:c r="J257" i="1"/>
  <x:c r="AC257" i="1"/>
  <x:c r="AD257" i="1"/>
  <x:c r="B258" i="1"/>
  <x:c r="D258" i="1"/>
  <x:c r="F258" i="1"/>
  <x:c r="I258" i="1"/>
  <x:c r="J258" i="1"/>
  <x:c r="AC258" i="1"/>
  <x:c r="AD258" i="1"/>
  <x:c r="B259" i="1"/>
  <x:c r="D259" i="1"/>
  <x:c r="F259" i="1"/>
  <x:c r="I259" i="1"/>
  <x:c r="J259" i="1"/>
  <x:c r="AC259" i="1"/>
  <x:c r="AD259" i="1"/>
  <x:c r="B260" i="1"/>
  <x:c r="D260" i="1"/>
  <x:c r="F260" i="1"/>
  <x:c r="I260" i="1"/>
  <x:c r="J260" i="1"/>
  <x:c r="AC260" i="1"/>
  <x:c r="AD260" i="1"/>
  <x:c r="B261" i="1"/>
  <x:c r="D261" i="1"/>
  <x:c r="F261" i="1"/>
  <x:c r="I261" i="1"/>
  <x:c r="J261" i="1"/>
  <x:c r="AC261" i="1"/>
  <x:c r="AD261" i="1"/>
  <x:c r="B262" i="1"/>
  <x:c r="D262" i="1"/>
  <x:c r="F262" i="1"/>
  <x:c r="I262" i="1"/>
  <x:c r="J262" i="1"/>
  <x:c r="AC262" i="1"/>
  <x:c r="AD262" i="1"/>
  <x:c r="B263" i="1"/>
  <x:c r="D263" i="1"/>
  <x:c r="F263" i="1"/>
  <x:c r="I263" i="1"/>
  <x:c r="J263" i="1"/>
  <x:c r="AC263" i="1"/>
  <x:c r="AD263" i="1"/>
  <x:c r="B264" i="1"/>
  <x:c r="D264" i="1"/>
  <x:c r="F264" i="1"/>
  <x:c r="I264" i="1"/>
  <x:c r="J264" i="1"/>
  <x:c r="AC264" i="1"/>
  <x:c r="AD264" i="1"/>
  <x:c r="B265" i="1"/>
  <x:c r="D265" i="1"/>
  <x:c r="F265" i="1"/>
  <x:c r="I265" i="1"/>
  <x:c r="J265" i="1"/>
  <x:c r="AC265" i="1"/>
  <x:c r="AD265" i="1"/>
  <x:c r="B266" i="1"/>
  <x:c r="D266" i="1"/>
  <x:c r="F266" i="1"/>
  <x:c r="I266" i="1"/>
  <x:c r="J266" i="1"/>
  <x:c r="AC266" i="1"/>
  <x:c r="AD266" i="1"/>
  <x:c r="B267" i="1"/>
  <x:c r="D267" i="1"/>
  <x:c r="F267" i="1"/>
  <x:c r="I267" i="1"/>
  <x:c r="J267" i="1"/>
  <x:c r="AC267" i="1"/>
  <x:c r="AD267" i="1"/>
  <x:c r="B268" i="1"/>
  <x:c r="D268" i="1"/>
  <x:c r="F268" i="1"/>
  <x:c r="I268" i="1"/>
  <x:c r="J268" i="1"/>
  <x:c r="AC268" i="1"/>
  <x:c r="AD268" i="1"/>
  <x:c r="B269" i="1"/>
  <x:c r="D269" i="1"/>
  <x:c r="F269" i="1"/>
  <x:c r="I269" i="1"/>
  <x:c r="J269" i="1"/>
  <x:c r="AC269" i="1"/>
  <x:c r="AD269" i="1"/>
  <x:c r="B270" i="1"/>
  <x:c r="D270" i="1"/>
  <x:c r="F270" i="1"/>
  <x:c r="I270" i="1"/>
  <x:c r="J270" i="1"/>
  <x:c r="AC270" i="1"/>
  <x:c r="AD270" i="1"/>
  <x:c r="B271" i="1"/>
  <x:c r="D271" i="1"/>
  <x:c r="F271" i="1"/>
  <x:c r="I271" i="1"/>
  <x:c r="J271" i="1"/>
  <x:c r="AC271" i="1"/>
  <x:c r="AD271" i="1"/>
  <x:c r="B272" i="1"/>
  <x:c r="D272" i="1"/>
  <x:c r="F272" i="1"/>
  <x:c r="I272" i="1"/>
  <x:c r="J272" i="1"/>
  <x:c r="AC272" i="1"/>
  <x:c r="AD272" i="1"/>
  <x:c r="B273" i="1"/>
  <x:c r="D273" i="1"/>
  <x:c r="F273" i="1"/>
  <x:c r="I273" i="1"/>
  <x:c r="J273" i="1"/>
  <x:c r="AC273" i="1"/>
  <x:c r="AD273" i="1"/>
  <x:c r="B274" i="1"/>
  <x:c r="D274" i="1"/>
  <x:c r="F274" i="1"/>
  <x:c r="I274" i="1"/>
  <x:c r="J274" i="1"/>
  <x:c r="AC274" i="1"/>
  <x:c r="AD274" i="1"/>
  <x:c r="B275" i="1"/>
  <x:c r="D275" i="1"/>
  <x:c r="F275" i="1"/>
  <x:c r="I275" i="1"/>
  <x:c r="J275" i="1"/>
  <x:c r="AC275" i="1"/>
  <x:c r="AD275" i="1"/>
  <x:c r="B276" i="1"/>
  <x:c r="D276" i="1"/>
  <x:c r="F276" i="1"/>
  <x:c r="I276" i="1"/>
  <x:c r="J276" i="1"/>
  <x:c r="AC276" i="1"/>
  <x:c r="AD276" i="1"/>
  <x:c r="B277" i="1"/>
  <x:c r="D277" i="1"/>
  <x:c r="F277" i="1"/>
  <x:c r="I277" i="1"/>
  <x:c r="J277" i="1"/>
  <x:c r="AC277" i="1"/>
  <x:c r="AD277" i="1"/>
  <x:c r="B278" i="1"/>
  <x:c r="D278" i="1"/>
  <x:c r="F278" i="1"/>
  <x:c r="I278" i="1"/>
  <x:c r="J278" i="1"/>
  <x:c r="AC278" i="1"/>
  <x:c r="AD278" i="1"/>
  <x:c r="B279" i="1"/>
  <x:c r="D279" i="1"/>
  <x:c r="F279" i="1"/>
  <x:c r="I279" i="1"/>
  <x:c r="J279" i="1"/>
  <x:c r="AC279" i="1"/>
  <x:c r="AD279" i="1"/>
  <x:c r="B280" i="1"/>
  <x:c r="D280" i="1"/>
  <x:c r="F280" i="1"/>
  <x:c r="I280" i="1"/>
  <x:c r="J280" i="1"/>
  <x:c r="AC280" i="1"/>
  <x:c r="AD280" i="1"/>
  <x:c r="B281" i="1"/>
  <x:c r="D281" i="1"/>
  <x:c r="F281" i="1"/>
  <x:c r="I281" i="1"/>
  <x:c r="J281" i="1"/>
  <x:c r="AC281" i="1"/>
  <x:c r="AD281" i="1"/>
  <x:c r="B282" i="1"/>
  <x:c r="D282" i="1"/>
  <x:c r="F282" i="1"/>
  <x:c r="I282" i="1"/>
  <x:c r="J282" i="1"/>
  <x:c r="AC282" i="1"/>
  <x:c r="AD282" i="1"/>
  <x:c r="B283" i="1"/>
  <x:c r="D283" i="1"/>
  <x:c r="F283" i="1"/>
  <x:c r="I283" i="1"/>
  <x:c r="J283" i="1"/>
  <x:c r="AC283" i="1"/>
  <x:c r="AD283" i="1"/>
  <x:c r="B284" i="1"/>
  <x:c r="D284" i="1"/>
  <x:c r="F284" i="1"/>
  <x:c r="I284" i="1"/>
  <x:c r="J284" i="1"/>
  <x:c r="AC284" i="1"/>
  <x:c r="AD284" i="1"/>
  <x:c r="B285" i="1"/>
  <x:c r="D285" i="1"/>
  <x:c r="F285" i="1"/>
  <x:c r="I285" i="1"/>
  <x:c r="J285" i="1"/>
  <x:c r="AC285" i="1"/>
  <x:c r="AD285" i="1"/>
  <x:c r="B286" i="1"/>
  <x:c r="D286" i="1"/>
  <x:c r="F286" i="1"/>
  <x:c r="I286" i="1"/>
  <x:c r="J286" i="1"/>
  <x:c r="AC286" i="1"/>
  <x:c r="AD286" i="1"/>
  <x:c r="B287" i="1"/>
  <x:c r="D287" i="1"/>
  <x:c r="F287" i="1"/>
  <x:c r="I287" i="1"/>
  <x:c r="J287" i="1"/>
  <x:c r="AC287" i="1"/>
  <x:c r="AD287" i="1"/>
  <x:c r="B288" i="1"/>
  <x:c r="D288" i="1"/>
  <x:c r="F288" i="1"/>
  <x:c r="I288" i="1"/>
  <x:c r="J288" i="1"/>
  <x:c r="AC288" i="1"/>
  <x:c r="AD288" i="1"/>
  <x:c r="B289" i="1"/>
  <x:c r="D289" i="1"/>
  <x:c r="F289" i="1"/>
  <x:c r="I289" i="1"/>
  <x:c r="J289" i="1"/>
  <x:c r="AC289" i="1"/>
  <x:c r="AD289" i="1"/>
  <x:c r="B290" i="1"/>
  <x:c r="D290" i="1"/>
  <x:c r="F290" i="1"/>
  <x:c r="I290" i="1"/>
  <x:c r="J290" i="1"/>
  <x:c r="AC290" i="1"/>
  <x:c r="AD290" i="1"/>
  <x:c r="B291" i="1"/>
  <x:c r="D291" i="1"/>
  <x:c r="F291" i="1"/>
  <x:c r="I291" i="1"/>
  <x:c r="J291" i="1"/>
  <x:c r="AC291" i="1"/>
  <x:c r="AD291" i="1"/>
  <x:c r="B292" i="1"/>
  <x:c r="D292" i="1"/>
  <x:c r="F292" i="1"/>
  <x:c r="I292" i="1"/>
  <x:c r="J292" i="1"/>
  <x:c r="AC292" i="1"/>
  <x:c r="AD292" i="1"/>
  <x:c r="B293" i="1"/>
  <x:c r="D293" i="1"/>
  <x:c r="F293" i="1"/>
  <x:c r="I293" i="1"/>
  <x:c r="J293" i="1"/>
  <x:c r="AC293" i="1"/>
  <x:c r="AD293" i="1"/>
  <x:c r="B294" i="1"/>
  <x:c r="D294" i="1"/>
  <x:c r="F294" i="1"/>
  <x:c r="I294" i="1"/>
  <x:c r="J294" i="1"/>
  <x:c r="AC294" i="1"/>
  <x:c r="AD294" i="1"/>
  <x:c r="B295" i="1"/>
  <x:c r="D295" i="1"/>
  <x:c r="F295" i="1"/>
  <x:c r="I295" i="1"/>
  <x:c r="J295" i="1"/>
  <x:c r="AC295" i="1"/>
  <x:c r="AD295" i="1"/>
  <x:c r="B296" i="1"/>
  <x:c r="D296" i="1"/>
  <x:c r="F296" i="1"/>
  <x:c r="I296" i="1"/>
  <x:c r="J296" i="1"/>
  <x:c r="AC296" i="1"/>
  <x:c r="AD296" i="1"/>
  <x:c r="B297" i="1"/>
  <x:c r="D297" i="1"/>
  <x:c r="F297" i="1"/>
  <x:c r="I297" i="1"/>
  <x:c r="J297" i="1"/>
  <x:c r="AC297" i="1"/>
  <x:c r="AD297" i="1"/>
  <x:c r="B298" i="1"/>
  <x:c r="D298" i="1"/>
  <x:c r="F298" i="1"/>
  <x:c r="I298" i="1"/>
  <x:c r="J298" i="1"/>
  <x:c r="AC298" i="1"/>
  <x:c r="AD298" i="1"/>
  <x:c r="B299" i="1"/>
  <x:c r="D299" i="1"/>
  <x:c r="F299" i="1"/>
  <x:c r="I299" i="1"/>
  <x:c r="J299" i="1"/>
  <x:c r="AC299" i="1"/>
  <x:c r="AD299" i="1"/>
  <x:c r="B300" i="1"/>
  <x:c r="D300" i="1"/>
  <x:c r="F300" i="1"/>
  <x:c r="I300" i="1"/>
  <x:c r="J300" i="1"/>
  <x:c r="AC300" i="1"/>
  <x:c r="AD300" i="1"/>
  <x:c r="B301" i="1"/>
  <x:c r="D301" i="1"/>
  <x:c r="F301" i="1"/>
  <x:c r="I301" i="1"/>
  <x:c r="J301" i="1"/>
  <x:c r="AC301" i="1"/>
  <x:c r="AD301" i="1"/>
  <x:c r="B302" i="1"/>
  <x:c r="D302" i="1"/>
  <x:c r="F302" i="1"/>
  <x:c r="I302" i="1"/>
  <x:c r="J302" i="1"/>
  <x:c r="AC302" i="1"/>
  <x:c r="AD302" i="1"/>
  <x:c r="B303" i="1"/>
  <x:c r="D303" i="1"/>
  <x:c r="F303" i="1"/>
  <x:c r="I303" i="1"/>
  <x:c r="J303" i="1"/>
  <x:c r="AC303" i="1"/>
  <x:c r="AD303" i="1"/>
  <x:c r="B304" i="1"/>
  <x:c r="D304" i="1"/>
  <x:c r="F304" i="1"/>
  <x:c r="I304" i="1"/>
  <x:c r="J304" i="1"/>
  <x:c r="AC304" i="1"/>
  <x:c r="AD304" i="1"/>
  <x:c r="B305" i="1"/>
  <x:c r="D305" i="1"/>
  <x:c r="F305" i="1"/>
  <x:c r="I305" i="1"/>
  <x:c r="J305" i="1"/>
  <x:c r="AC305" i="1"/>
  <x:c r="AD305" i="1"/>
  <x:c r="B306" i="1"/>
  <x:c r="D306" i="1"/>
  <x:c r="F306" i="1"/>
  <x:c r="I306" i="1"/>
  <x:c r="J306" i="1"/>
  <x:c r="AC306" i="1"/>
  <x:c r="AD306" i="1"/>
  <x:c r="B307" i="1"/>
  <x:c r="D307" i="1"/>
  <x:c r="F307" i="1"/>
  <x:c r="I307" i="1"/>
  <x:c r="J307" i="1"/>
  <x:c r="AC307" i="1"/>
  <x:c r="AD307" i="1"/>
  <x:c r="B308" i="1"/>
  <x:c r="D308" i="1"/>
  <x:c r="F308" i="1"/>
  <x:c r="I308" i="1"/>
  <x:c r="J308" i="1"/>
  <x:c r="AC308" i="1"/>
  <x:c r="AD308" i="1"/>
  <x:c r="B309" i="1"/>
  <x:c r="D309" i="1"/>
  <x:c r="F309" i="1"/>
  <x:c r="I309" i="1"/>
  <x:c r="J309" i="1"/>
  <x:c r="AC309" i="1"/>
  <x:c r="AD309" i="1"/>
  <x:c r="B310" i="1"/>
  <x:c r="D310" i="1"/>
  <x:c r="F310" i="1"/>
  <x:c r="I310" i="1"/>
  <x:c r="J310" i="1"/>
  <x:c r="AC310" i="1"/>
  <x:c r="AD310" i="1"/>
  <x:c r="B311" i="1"/>
  <x:c r="D311" i="1"/>
  <x:c r="F311" i="1"/>
  <x:c r="I311" i="1"/>
  <x:c r="J311" i="1"/>
  <x:c r="AC311" i="1"/>
  <x:c r="AD311" i="1"/>
  <x:c r="B312" i="1"/>
  <x:c r="D312" i="1"/>
  <x:c r="F312" i="1"/>
  <x:c r="I312" i="1"/>
  <x:c r="J312" i="1"/>
  <x:c r="AC312" i="1"/>
  <x:c r="AD312" i="1"/>
  <x:c r="B313" i="1"/>
  <x:c r="D313" i="1"/>
  <x:c r="F313" i="1"/>
  <x:c r="I313" i="1"/>
  <x:c r="J313" i="1"/>
  <x:c r="AC313" i="1"/>
  <x:c r="AD313" i="1"/>
  <x:c r="B314" i="1"/>
  <x:c r="D314" i="1"/>
  <x:c r="F314" i="1"/>
  <x:c r="I314" i="1"/>
  <x:c r="J314" i="1"/>
  <x:c r="AC314" i="1"/>
  <x:c r="AD314" i="1"/>
  <x:c r="B315" i="1"/>
  <x:c r="D315" i="1"/>
  <x:c r="F315" i="1"/>
  <x:c r="I315" i="1"/>
  <x:c r="J315" i="1"/>
  <x:c r="AC315" i="1"/>
  <x:c r="AD315" i="1"/>
  <x:c r="B316" i="1"/>
  <x:c r="D316" i="1"/>
  <x:c r="F316" i="1"/>
  <x:c r="I316" i="1"/>
  <x:c r="J316" i="1"/>
  <x:c r="AC316" i="1"/>
  <x:c r="AD316" i="1"/>
  <x:c r="B317" i="1"/>
  <x:c r="D317" i="1"/>
  <x:c r="F317" i="1"/>
  <x:c r="I317" i="1"/>
  <x:c r="J317" i="1"/>
  <x:c r="AC317" i="1"/>
  <x:c r="AD317" i="1"/>
  <x:c r="B318" i="1"/>
  <x:c r="D318" i="1"/>
  <x:c r="F318" i="1"/>
  <x:c r="I318" i="1"/>
  <x:c r="J318" i="1"/>
  <x:c r="AC318" i="1"/>
  <x:c r="AD318" i="1"/>
  <x:c r="B319" i="1"/>
  <x:c r="D319" i="1"/>
  <x:c r="F319" i="1"/>
  <x:c r="I319" i="1"/>
  <x:c r="J319" i="1"/>
  <x:c r="AC319" i="1"/>
  <x:c r="AD319" i="1"/>
  <x:c r="B320" i="1"/>
  <x:c r="D320" i="1"/>
  <x:c r="F320" i="1"/>
  <x:c r="I320" i="1"/>
  <x:c r="J320" i="1"/>
  <x:c r="AC320" i="1"/>
  <x:c r="AD320" i="1"/>
  <x:c r="B321" i="1"/>
  <x:c r="D321" i="1"/>
  <x:c r="F321" i="1"/>
  <x:c r="I321" i="1"/>
  <x:c r="J321" i="1"/>
  <x:c r="AC321" i="1"/>
  <x:c r="AD321" i="1"/>
  <x:c r="B322" i="1"/>
  <x:c r="D322" i="1"/>
  <x:c r="F322" i="1"/>
  <x:c r="I322" i="1"/>
  <x:c r="J322" i="1"/>
  <x:c r="AC322" i="1"/>
  <x:c r="AD322" i="1"/>
  <x:c r="B323" i="1"/>
  <x:c r="D323" i="1"/>
  <x:c r="F323" i="1"/>
  <x:c r="I323" i="1"/>
  <x:c r="J323" i="1"/>
  <x:c r="AC323" i="1"/>
  <x:c r="AD323" i="1"/>
  <x:c r="B324" i="1"/>
  <x:c r="D324" i="1"/>
  <x:c r="F324" i="1"/>
  <x:c r="I324" i="1"/>
  <x:c r="J324" i="1"/>
  <x:c r="AC324" i="1"/>
  <x:c r="AD324" i="1"/>
  <x:c r="B325" i="1"/>
  <x:c r="D325" i="1"/>
  <x:c r="F325" i="1"/>
  <x:c r="I325" i="1"/>
  <x:c r="J325" i="1"/>
  <x:c r="AC325" i="1"/>
  <x:c r="AD325" i="1"/>
  <x:c r="B326" i="1"/>
  <x:c r="D326" i="1"/>
  <x:c r="F326" i="1"/>
  <x:c r="I326" i="1"/>
  <x:c r="J326" i="1"/>
  <x:c r="AC326" i="1"/>
  <x:c r="AD326" i="1"/>
  <x:c r="B327" i="1"/>
  <x:c r="D327" i="1"/>
  <x:c r="F327" i="1"/>
  <x:c r="I327" i="1"/>
  <x:c r="J327" i="1"/>
  <x:c r="AC327" i="1"/>
  <x:c r="AD327" i="1"/>
  <x:c r="B328" i="1"/>
  <x:c r="D328" i="1"/>
  <x:c r="F328" i="1"/>
  <x:c r="I328" i="1"/>
  <x:c r="J328" i="1"/>
  <x:c r="AC328" i="1"/>
  <x:c r="AD328" i="1"/>
  <x:c r="B329" i="1"/>
  <x:c r="D329" i="1"/>
  <x:c r="F329" i="1"/>
  <x:c r="I329" i="1"/>
  <x:c r="J329" i="1"/>
  <x:c r="AC329" i="1"/>
  <x:c r="AD329" i="1"/>
  <x:c r="B330" i="1"/>
  <x:c r="D330" i="1"/>
  <x:c r="F330" i="1"/>
  <x:c r="I330" i="1"/>
  <x:c r="J330" i="1"/>
  <x:c r="AC330" i="1"/>
  <x:c r="AD330" i="1"/>
  <x:c r="B331" i="1"/>
  <x:c r="D331" i="1"/>
  <x:c r="F331" i="1"/>
  <x:c r="I331" i="1"/>
  <x:c r="J331" i="1"/>
  <x:c r="AC331" i="1"/>
  <x:c r="AD331" i="1"/>
  <x:c r="B332" i="1"/>
  <x:c r="D332" i="1"/>
  <x:c r="F332" i="1"/>
  <x:c r="I332" i="1"/>
  <x:c r="J332" i="1"/>
  <x:c r="AC332" i="1"/>
  <x:c r="AD332" i="1"/>
  <x:c r="B333" i="1"/>
  <x:c r="D333" i="1"/>
  <x:c r="F333" i="1"/>
  <x:c r="I333" i="1"/>
  <x:c r="J333" i="1"/>
  <x:c r="AC333" i="1"/>
  <x:c r="AD333" i="1"/>
  <x:c r="B334" i="1"/>
  <x:c r="D334" i="1"/>
  <x:c r="F334" i="1"/>
  <x:c r="I334" i="1"/>
  <x:c r="J334" i="1"/>
  <x:c r="AC334" i="1"/>
  <x:c r="AD334" i="1"/>
  <x:c r="B335" i="1"/>
  <x:c r="D335" i="1"/>
  <x:c r="F335" i="1"/>
  <x:c r="I335" i="1"/>
  <x:c r="J335" i="1"/>
  <x:c r="AC335" i="1"/>
  <x:c r="AD335" i="1"/>
  <x:c r="B336" i="1"/>
  <x:c r="D336" i="1"/>
  <x:c r="F336" i="1"/>
  <x:c r="I336" i="1"/>
  <x:c r="J336" i="1"/>
  <x:c r="AC336" i="1"/>
  <x:c r="AD336" i="1"/>
  <x:c r="B337" i="1"/>
  <x:c r="D337" i="1"/>
  <x:c r="F337" i="1"/>
  <x:c r="I337" i="1"/>
  <x:c r="J337" i="1"/>
  <x:c r="AC337" i="1"/>
  <x:c r="AD337" i="1"/>
  <x:c r="B338" i="1"/>
  <x:c r="D338" i="1"/>
  <x:c r="F338" i="1"/>
  <x:c r="I338" i="1"/>
  <x:c r="J338" i="1"/>
  <x:c r="AC338" i="1"/>
  <x:c r="AD338" i="1"/>
  <x:c r="B339" i="1"/>
  <x:c r="D339" i="1"/>
  <x:c r="F339" i="1"/>
  <x:c r="I339" i="1"/>
  <x:c r="J339" i="1"/>
  <x:c r="AC339" i="1"/>
  <x:c r="AD339" i="1"/>
  <x:c r="B340" i="1"/>
  <x:c r="D340" i="1"/>
  <x:c r="F340" i="1"/>
  <x:c r="I340" i="1"/>
  <x:c r="J340" i="1"/>
  <x:c r="AC340" i="1"/>
  <x:c r="AD340" i="1"/>
  <x:c r="B341" i="1"/>
  <x:c r="D341" i="1"/>
  <x:c r="F341" i="1"/>
  <x:c r="I341" i="1"/>
  <x:c r="J341" i="1"/>
  <x:c r="AC341" i="1"/>
  <x:c r="AD341" i="1"/>
  <x:c r="B342" i="1"/>
  <x:c r="D342" i="1"/>
  <x:c r="F342" i="1"/>
  <x:c r="I342" i="1"/>
  <x:c r="J342" i="1"/>
  <x:c r="AC342" i="1"/>
  <x:c r="AD342" i="1"/>
  <x:c r="B343" i="1"/>
  <x:c r="D343" i="1"/>
  <x:c r="F343" i="1"/>
  <x:c r="I343" i="1"/>
  <x:c r="J343" i="1"/>
  <x:c r="AC343" i="1"/>
  <x:c r="AD343" i="1"/>
  <x:c r="B344" i="1"/>
  <x:c r="D344" i="1"/>
  <x:c r="F344" i="1"/>
  <x:c r="I344" i="1"/>
  <x:c r="J344" i="1"/>
  <x:c r="AC344" i="1"/>
  <x:c r="AD344" i="1"/>
  <x:c r="B345" i="1"/>
  <x:c r="D345" i="1"/>
  <x:c r="F345" i="1"/>
  <x:c r="I345" i="1"/>
  <x:c r="J345" i="1"/>
  <x:c r="AC345" i="1"/>
  <x:c r="AD345" i="1"/>
  <x:c r="B346" i="1"/>
  <x:c r="D346" i="1"/>
  <x:c r="F346" i="1"/>
  <x:c r="I346" i="1"/>
  <x:c r="J346" i="1"/>
  <x:c r="AC346" i="1"/>
  <x:c r="AD346" i="1"/>
  <x:c r="B347" i="1"/>
  <x:c r="D347" i="1"/>
  <x:c r="F347" i="1"/>
  <x:c r="I347" i="1"/>
  <x:c r="J347" i="1"/>
  <x:c r="AC347" i="1"/>
  <x:c r="AD347" i="1"/>
  <x:c r="B348" i="1"/>
  <x:c r="D348" i="1"/>
  <x:c r="F348" i="1"/>
  <x:c r="I348" i="1"/>
  <x:c r="J348" i="1"/>
  <x:c r="AC348" i="1"/>
  <x:c r="AD348" i="1"/>
  <x:c r="B349" i="1"/>
  <x:c r="D349" i="1"/>
  <x:c r="F349" i="1"/>
  <x:c r="I349" i="1"/>
  <x:c r="J349" i="1"/>
  <x:c r="AC349" i="1"/>
  <x:c r="AD349" i="1"/>
  <x:c r="B350" i="1"/>
  <x:c r="D350" i="1"/>
  <x:c r="F350" i="1"/>
  <x:c r="I350" i="1"/>
  <x:c r="J350" i="1"/>
  <x:c r="AC350" i="1"/>
  <x:c r="AD350" i="1"/>
  <x:c r="B351" i="1"/>
  <x:c r="D351" i="1"/>
  <x:c r="F351" i="1"/>
  <x:c r="I351" i="1"/>
  <x:c r="J351" i="1"/>
  <x:c r="AC351" i="1"/>
  <x:c r="AD351" i="1"/>
  <x:c r="B352" i="1"/>
  <x:c r="D352" i="1"/>
  <x:c r="F352" i="1"/>
  <x:c r="I352" i="1"/>
  <x:c r="J352" i="1"/>
  <x:c r="AC352" i="1"/>
  <x:c r="AD352" i="1"/>
  <x:c r="B353" i="1"/>
  <x:c r="D353" i="1"/>
  <x:c r="F353" i="1"/>
  <x:c r="I353" i="1"/>
  <x:c r="J353" i="1"/>
  <x:c r="AC353" i="1"/>
  <x:c r="AD353" i="1"/>
  <x:c r="B354" i="1"/>
  <x:c r="D354" i="1"/>
  <x:c r="F354" i="1"/>
  <x:c r="I354" i="1"/>
  <x:c r="J354" i="1"/>
  <x:c r="AC354" i="1"/>
  <x:c r="AD354" i="1"/>
  <x:c r="B355" i="1"/>
  <x:c r="D355" i="1"/>
  <x:c r="F355" i="1"/>
  <x:c r="I355" i="1"/>
  <x:c r="J355" i="1"/>
  <x:c r="AC355" i="1"/>
  <x:c r="AD355" i="1"/>
  <x:c r="B356" i="1"/>
  <x:c r="D356" i="1"/>
  <x:c r="F356" i="1"/>
  <x:c r="I356" i="1"/>
  <x:c r="J356" i="1"/>
  <x:c r="AC356" i="1"/>
  <x:c r="AD356" i="1"/>
  <x:c r="B357" i="1"/>
  <x:c r="D357" i="1"/>
  <x:c r="F357" i="1"/>
  <x:c r="I357" i="1"/>
  <x:c r="J357" i="1"/>
  <x:c r="AC357" i="1"/>
  <x:c r="AD357" i="1"/>
  <x:c r="B358" i="1"/>
  <x:c r="D358" i="1"/>
  <x:c r="F358" i="1"/>
  <x:c r="I358" i="1"/>
  <x:c r="J358" i="1"/>
  <x:c r="AC358" i="1"/>
  <x:c r="AD358" i="1"/>
  <x:c r="B359" i="1"/>
  <x:c r="D359" i="1"/>
  <x:c r="F359" i="1"/>
  <x:c r="I359" i="1"/>
  <x:c r="J359" i="1"/>
  <x:c r="AC359" i="1"/>
  <x:c r="AD359" i="1"/>
  <x:c r="B360" i="1"/>
  <x:c r="D360" i="1"/>
  <x:c r="F360" i="1"/>
  <x:c r="I360" i="1"/>
  <x:c r="J360" i="1"/>
  <x:c r="AC360" i="1"/>
  <x:c r="AD360" i="1"/>
  <x:c r="B361" i="1"/>
  <x:c r="D361" i="1"/>
  <x:c r="F361" i="1"/>
  <x:c r="I361" i="1"/>
  <x:c r="J361" i="1"/>
  <x:c r="AC361" i="1"/>
  <x:c r="AD361" i="1"/>
  <x:c r="B362" i="1"/>
  <x:c r="D362" i="1"/>
  <x:c r="F362" i="1"/>
  <x:c r="I362" i="1"/>
  <x:c r="J362" i="1"/>
  <x:c r="AC362" i="1"/>
  <x:c r="AD362" i="1"/>
  <x:c r="B363" i="1"/>
  <x:c r="D363" i="1"/>
  <x:c r="F363" i="1"/>
  <x:c r="I363" i="1"/>
  <x:c r="J363" i="1"/>
  <x:c r="AC363" i="1"/>
  <x:c r="AD363" i="1"/>
  <x:c r="B364" i="1"/>
  <x:c r="D364" i="1"/>
  <x:c r="F364" i="1"/>
  <x:c r="I364" i="1"/>
  <x:c r="J364" i="1"/>
  <x:c r="AC364" i="1"/>
  <x:c r="AD364" i="1"/>
  <x:c r="B365" i="1"/>
  <x:c r="D365" i="1"/>
  <x:c r="F365" i="1"/>
  <x:c r="I365" i="1"/>
  <x:c r="J365" i="1"/>
  <x:c r="AC365" i="1"/>
  <x:c r="AD365" i="1"/>
  <x:c r="B366" i="1"/>
  <x:c r="D366" i="1"/>
  <x:c r="F366" i="1"/>
  <x:c r="I366" i="1"/>
  <x:c r="J366" i="1"/>
  <x:c r="AC366" i="1"/>
  <x:c r="AD366" i="1"/>
  <x:c r="B367" i="1"/>
  <x:c r="D367" i="1"/>
  <x:c r="F367" i="1"/>
  <x:c r="I367" i="1"/>
  <x:c r="J367" i="1"/>
  <x:c r="AC367" i="1"/>
  <x:c r="AD367" i="1"/>
  <x:c r="B368" i="1"/>
  <x:c r="D368" i="1"/>
  <x:c r="F368" i="1"/>
  <x:c r="I368" i="1"/>
  <x:c r="J368" i="1"/>
  <x:c r="AC368" i="1"/>
  <x:c r="AD368" i="1"/>
  <x:c r="B369" i="1"/>
  <x:c r="D369" i="1"/>
  <x:c r="F369" i="1"/>
  <x:c r="I369" i="1"/>
  <x:c r="J369" i="1"/>
  <x:c r="AC369" i="1"/>
  <x:c r="AD369" i="1"/>
  <x:c r="B370" i="1"/>
  <x:c r="D370" i="1"/>
  <x:c r="F370" i="1"/>
  <x:c r="I370" i="1"/>
  <x:c r="J370" i="1"/>
  <x:c r="AC370" i="1"/>
  <x:c r="AD370" i="1"/>
  <x:c r="B371" i="1"/>
  <x:c r="D371" i="1"/>
  <x:c r="F371" i="1"/>
  <x:c r="I371" i="1"/>
  <x:c r="J371" i="1"/>
  <x:c r="AC371" i="1"/>
  <x:c r="AD371" i="1"/>
  <x:c r="B372" i="1"/>
  <x:c r="D372" i="1"/>
  <x:c r="F372" i="1"/>
  <x:c r="I372" i="1"/>
  <x:c r="J372" i="1"/>
  <x:c r="AC372" i="1"/>
  <x:c r="AD372" i="1"/>
  <x:c r="B373" i="1"/>
  <x:c r="D373" i="1"/>
  <x:c r="F373" i="1"/>
  <x:c r="I373" i="1"/>
  <x:c r="J373" i="1"/>
  <x:c r="AC373" i="1"/>
  <x:c r="AD373" i="1"/>
  <x:c r="B374" i="1"/>
  <x:c r="D374" i="1"/>
  <x:c r="F374" i="1"/>
  <x:c r="I374" i="1"/>
  <x:c r="J374" i="1"/>
  <x:c r="AC374" i="1"/>
  <x:c r="AD374" i="1"/>
  <x:c r="B375" i="1"/>
  <x:c r="D375" i="1"/>
  <x:c r="F375" i="1"/>
  <x:c r="I375" i="1"/>
  <x:c r="J375" i="1"/>
  <x:c r="AC375" i="1"/>
  <x:c r="AD375" i="1"/>
  <x:c r="B376" i="1"/>
  <x:c r="D376" i="1"/>
  <x:c r="F376" i="1"/>
  <x:c r="I376" i="1"/>
  <x:c r="J376" i="1"/>
  <x:c r="AC376" i="1"/>
  <x:c r="AD376" i="1"/>
  <x:c r="B377" i="1"/>
  <x:c r="D377" i="1"/>
  <x:c r="F377" i="1"/>
  <x:c r="I377" i="1"/>
  <x:c r="J377" i="1"/>
  <x:c r="AC377" i="1"/>
  <x:c r="AD377" i="1"/>
  <x:c r="B378" i="1"/>
  <x:c r="D378" i="1"/>
  <x:c r="F378" i="1"/>
  <x:c r="I378" i="1"/>
  <x:c r="J378" i="1"/>
  <x:c r="AC378" i="1"/>
  <x:c r="AD378" i="1"/>
  <x:c r="B379" i="1"/>
  <x:c r="D379" i="1"/>
  <x:c r="F379" i="1"/>
  <x:c r="I379" i="1"/>
  <x:c r="J379" i="1"/>
  <x:c r="AC379" i="1"/>
  <x:c r="AD379" i="1"/>
  <x:c r="B380" i="1"/>
  <x:c r="D380" i="1"/>
  <x:c r="F380" i="1"/>
  <x:c r="I380" i="1"/>
  <x:c r="J380" i="1"/>
  <x:c r="AC380" i="1"/>
  <x:c r="AD380" i="1"/>
  <x:c r="B381" i="1"/>
  <x:c r="D381" i="1"/>
  <x:c r="F381" i="1"/>
  <x:c r="I381" i="1"/>
  <x:c r="J381" i="1"/>
  <x:c r="AC381" i="1"/>
  <x:c r="AD381" i="1"/>
  <x:c r="B382" i="1"/>
  <x:c r="D382" i="1"/>
  <x:c r="F382" i="1"/>
  <x:c r="I382" i="1"/>
  <x:c r="J382" i="1"/>
  <x:c r="AC382" i="1"/>
  <x:c r="AD382" i="1"/>
  <x:c r="B383" i="1"/>
  <x:c r="D383" i="1"/>
  <x:c r="F383" i="1"/>
  <x:c r="I383" i="1"/>
  <x:c r="J383" i="1"/>
  <x:c r="AC383" i="1"/>
  <x:c r="AD383" i="1"/>
  <x:c r="B384" i="1"/>
  <x:c r="D384" i="1"/>
  <x:c r="F384" i="1"/>
  <x:c r="I384" i="1"/>
  <x:c r="J384" i="1"/>
  <x:c r="AC384" i="1"/>
  <x:c r="AD384" i="1"/>
  <x:c r="B385" i="1"/>
  <x:c r="D385" i="1"/>
  <x:c r="F385" i="1"/>
  <x:c r="I385" i="1"/>
  <x:c r="J385" i="1"/>
  <x:c r="AC385" i="1"/>
  <x:c r="AD385" i="1"/>
  <x:c r="B386" i="1"/>
  <x:c r="D386" i="1"/>
  <x:c r="F386" i="1"/>
  <x:c r="I386" i="1"/>
  <x:c r="J386" i="1"/>
  <x:c r="AC386" i="1"/>
  <x:c r="AD386" i="1"/>
  <x:c r="B387" i="1"/>
  <x:c r="D387" i="1"/>
  <x:c r="F387" i="1"/>
  <x:c r="I387" i="1"/>
  <x:c r="J387" i="1"/>
  <x:c r="AC387" i="1"/>
  <x:c r="AD387" i="1"/>
  <x:c r="B388" i="1"/>
  <x:c r="D388" i="1"/>
  <x:c r="F388" i="1"/>
  <x:c r="I388" i="1"/>
  <x:c r="J388" i="1"/>
  <x:c r="AC388" i="1"/>
  <x:c r="AD388" i="1"/>
  <x:c r="B389" i="1"/>
  <x:c r="D389" i="1"/>
  <x:c r="F389" i="1"/>
  <x:c r="I389" i="1"/>
  <x:c r="J389" i="1"/>
  <x:c r="AC389" i="1"/>
  <x:c r="AD389" i="1"/>
  <x:c r="B390" i="1"/>
  <x:c r="D390" i="1"/>
  <x:c r="F390" i="1"/>
  <x:c r="I390" i="1"/>
  <x:c r="J390" i="1"/>
  <x:c r="AC390" i="1"/>
  <x:c r="AD390" i="1"/>
  <x:c r="B391" i="1"/>
  <x:c r="D391" i="1"/>
  <x:c r="F391" i="1"/>
  <x:c r="I391" i="1"/>
  <x:c r="J391" i="1"/>
  <x:c r="AC391" i="1"/>
  <x:c r="AD391" i="1"/>
  <x:c r="B392" i="1"/>
  <x:c r="D392" i="1"/>
  <x:c r="F392" i="1"/>
  <x:c r="I392" i="1"/>
  <x:c r="J392" i="1"/>
  <x:c r="AC392" i="1"/>
  <x:c r="AD392" i="1"/>
  <x:c r="B393" i="1"/>
  <x:c r="D393" i="1"/>
  <x:c r="F393" i="1"/>
  <x:c r="I393" i="1"/>
  <x:c r="J393" i="1"/>
  <x:c r="AC393" i="1"/>
  <x:c r="AD393" i="1"/>
  <x:c r="B394" i="1"/>
  <x:c r="D394" i="1"/>
  <x:c r="F394" i="1"/>
  <x:c r="I394" i="1"/>
  <x:c r="J394" i="1"/>
  <x:c r="AC394" i="1"/>
  <x:c r="AD394" i="1"/>
  <x:c r="B395" i="1"/>
  <x:c r="D395" i="1"/>
  <x:c r="F395" i="1"/>
  <x:c r="I395" i="1"/>
  <x:c r="J395" i="1"/>
  <x:c r="AC395" i="1"/>
  <x:c r="AD395" i="1"/>
  <x:c r="B396" i="1"/>
  <x:c r="D396" i="1"/>
  <x:c r="F396" i="1"/>
  <x:c r="I396" i="1"/>
  <x:c r="J396" i="1"/>
  <x:c r="AC396" i="1"/>
  <x:c r="AD396" i="1"/>
  <x:c r="B397" i="1"/>
  <x:c r="D397" i="1"/>
  <x:c r="F397" i="1"/>
  <x:c r="I397" i="1"/>
  <x:c r="J397" i="1"/>
  <x:c r="AC397" i="1"/>
  <x:c r="AD397" i="1"/>
  <x:c r="B398" i="1"/>
  <x:c r="D398" i="1"/>
  <x:c r="F398" i="1"/>
  <x:c r="I398" i="1"/>
  <x:c r="J398" i="1"/>
  <x:c r="AC398" i="1"/>
  <x:c r="AD398" i="1"/>
  <x:c r="B399" i="1"/>
  <x:c r="D399" i="1"/>
  <x:c r="F399" i="1"/>
  <x:c r="I399" i="1"/>
  <x:c r="J399" i="1"/>
  <x:c r="AC399" i="1"/>
  <x:c r="AD399" i="1"/>
  <x:c r="B400" i="1"/>
  <x:c r="D400" i="1"/>
  <x:c r="F400" i="1"/>
  <x:c r="I400" i="1"/>
  <x:c r="J400" i="1"/>
  <x:c r="AC400" i="1"/>
  <x:c r="AD400" i="1"/>
  <x:c r="B401" i="1"/>
  <x:c r="D401" i="1"/>
  <x:c r="F401" i="1"/>
  <x:c r="I401" i="1"/>
  <x:c r="J401" i="1"/>
  <x:c r="AC401" i="1"/>
  <x:c r="AD401" i="1"/>
  <x:c r="B402" i="1"/>
  <x:c r="D402" i="1"/>
  <x:c r="F402" i="1"/>
  <x:c r="I402" i="1"/>
  <x:c r="J402" i="1"/>
  <x:c r="AC402" i="1"/>
  <x:c r="AD402" i="1"/>
  <x:c r="B403" i="1"/>
  <x:c r="D403" i="1"/>
  <x:c r="F403" i="1"/>
  <x:c r="I403" i="1"/>
  <x:c r="J403" i="1"/>
  <x:c r="AC403" i="1"/>
  <x:c r="AD403" i="1"/>
  <x:c r="B404" i="1"/>
  <x:c r="D404" i="1"/>
  <x:c r="F404" i="1"/>
  <x:c r="I404" i="1"/>
  <x:c r="J404" i="1"/>
  <x:c r="AC404" i="1"/>
  <x:c r="AD404" i="1"/>
  <x:c r="B405" i="1"/>
  <x:c r="D405" i="1"/>
  <x:c r="F405" i="1"/>
  <x:c r="I405" i="1"/>
  <x:c r="J405" i="1"/>
  <x:c r="AC405" i="1"/>
  <x:c r="AD405" i="1"/>
  <x:c r="B406" i="1"/>
  <x:c r="D406" i="1"/>
  <x:c r="F406" i="1"/>
  <x:c r="I406" i="1"/>
  <x:c r="J406" i="1"/>
  <x:c r="AC406" i="1"/>
  <x:c r="AD406" i="1"/>
  <x:c r="B407" i="1"/>
  <x:c r="D407" i="1"/>
  <x:c r="F407" i="1"/>
  <x:c r="I407" i="1"/>
  <x:c r="J407" i="1"/>
  <x:c r="AC407" i="1"/>
  <x:c r="AD407" i="1"/>
  <x:c r="B408" i="1"/>
  <x:c r="D408" i="1"/>
  <x:c r="F408" i="1"/>
  <x:c r="I408" i="1"/>
  <x:c r="J408" i="1"/>
  <x:c r="AC408" i="1"/>
  <x:c r="AD408" i="1"/>
  <x:c r="B409" i="1"/>
  <x:c r="D409" i="1"/>
  <x:c r="F409" i="1"/>
  <x:c r="I409" i="1"/>
  <x:c r="J409" i="1"/>
  <x:c r="AC409" i="1"/>
  <x:c r="AD409" i="1"/>
  <x:c r="B410" i="1"/>
  <x:c r="D410" i="1"/>
  <x:c r="F410" i="1"/>
  <x:c r="I410" i="1"/>
  <x:c r="J410" i="1"/>
  <x:c r="AC410" i="1"/>
  <x:c r="AD410" i="1"/>
  <x:c r="B411" i="1"/>
  <x:c r="D411" i="1"/>
  <x:c r="F411" i="1"/>
  <x:c r="I411" i="1"/>
  <x:c r="J411" i="1"/>
  <x:c r="AC411" i="1"/>
  <x:c r="AD411" i="1"/>
  <x:c r="B412" i="1"/>
  <x:c r="D412" i="1"/>
  <x:c r="F412" i="1"/>
  <x:c r="I412" i="1"/>
  <x:c r="J412" i="1"/>
  <x:c r="AC412" i="1"/>
  <x:c r="AD412" i="1"/>
  <x:c r="B413" i="1"/>
  <x:c r="D413" i="1"/>
  <x:c r="F413" i="1"/>
  <x:c r="I413" i="1"/>
  <x:c r="J413" i="1"/>
  <x:c r="AC413" i="1"/>
  <x:c r="AD413" i="1"/>
  <x:c r="B414" i="1"/>
  <x:c r="D414" i="1"/>
  <x:c r="F414" i="1"/>
  <x:c r="I414" i="1"/>
  <x:c r="J414" i="1"/>
  <x:c r="AC414" i="1"/>
  <x:c r="AD414" i="1"/>
  <x:c r="B415" i="1"/>
  <x:c r="D415" i="1"/>
  <x:c r="F415" i="1"/>
  <x:c r="I415" i="1"/>
  <x:c r="J415" i="1"/>
  <x:c r="AC415" i="1"/>
  <x:c r="AD415" i="1"/>
  <x:c r="B416" i="1"/>
  <x:c r="D416" i="1"/>
  <x:c r="F416" i="1"/>
  <x:c r="I416" i="1"/>
  <x:c r="J416" i="1"/>
  <x:c r="AC416" i="1"/>
  <x:c r="AD416" i="1"/>
  <x:c r="B417" i="1"/>
  <x:c r="D417" i="1"/>
  <x:c r="F417" i="1"/>
  <x:c r="I417" i="1"/>
  <x:c r="J417" i="1"/>
  <x:c r="AC417" i="1"/>
  <x:c r="AD417" i="1"/>
  <x:c r="B418" i="1"/>
  <x:c r="D418" i="1"/>
  <x:c r="F418" i="1"/>
  <x:c r="I418" i="1"/>
  <x:c r="J418" i="1"/>
  <x:c r="AC418" i="1"/>
  <x:c r="AD418" i="1"/>
  <x:c r="B419" i="1"/>
  <x:c r="D419" i="1"/>
  <x:c r="F419" i="1"/>
  <x:c r="I419" i="1"/>
  <x:c r="J419" i="1"/>
  <x:c r="AC419" i="1"/>
  <x:c r="AD419" i="1"/>
  <x:c r="B420" i="1"/>
  <x:c r="D420" i="1"/>
  <x:c r="F420" i="1"/>
  <x:c r="I420" i="1"/>
  <x:c r="J420" i="1"/>
  <x:c r="AC420" i="1"/>
  <x:c r="AD420" i="1"/>
  <x:c r="B421" i="1"/>
  <x:c r="D421" i="1"/>
  <x:c r="F421" i="1"/>
  <x:c r="I421" i="1"/>
  <x:c r="J421" i="1"/>
  <x:c r="AC421" i="1"/>
  <x:c r="AD421" i="1"/>
  <x:c r="B422" i="1"/>
  <x:c r="D422" i="1"/>
  <x:c r="F422" i="1"/>
  <x:c r="I422" i="1"/>
  <x:c r="J422" i="1"/>
  <x:c r="AC422" i="1"/>
  <x:c r="AD422" i="1"/>
  <x:c r="B423" i="1"/>
  <x:c r="D423" i="1"/>
  <x:c r="F423" i="1"/>
  <x:c r="I423" i="1"/>
  <x:c r="J423" i="1"/>
  <x:c r="AC423" i="1"/>
  <x:c r="AD423" i="1"/>
  <x:c r="B424" i="1"/>
  <x:c r="D424" i="1"/>
  <x:c r="F424" i="1"/>
  <x:c r="I424" i="1"/>
  <x:c r="J424" i="1"/>
  <x:c r="AC424" i="1"/>
  <x:c r="AD424" i="1"/>
  <x:c r="B425" i="1"/>
  <x:c r="D425" i="1"/>
  <x:c r="F425" i="1"/>
  <x:c r="I425" i="1"/>
  <x:c r="J425" i="1"/>
  <x:c r="AC425" i="1"/>
  <x:c r="AD425" i="1"/>
  <x:c r="B426" i="1"/>
  <x:c r="D426" i="1"/>
  <x:c r="F426" i="1"/>
  <x:c r="I426" i="1"/>
  <x:c r="J426" i="1"/>
  <x:c r="AC426" i="1"/>
  <x:c r="AD426" i="1"/>
  <x:c r="B427" i="1"/>
  <x:c r="D427" i="1"/>
  <x:c r="F427" i="1"/>
  <x:c r="I427" i="1"/>
  <x:c r="J427" i="1"/>
  <x:c r="AC427" i="1"/>
  <x:c r="AD427" i="1"/>
  <x:c r="B428" i="1"/>
  <x:c r="D428" i="1"/>
  <x:c r="F428" i="1"/>
  <x:c r="I428" i="1"/>
  <x:c r="J428" i="1"/>
  <x:c r="AC428" i="1"/>
  <x:c r="AD428" i="1"/>
  <x:c r="B429" i="1"/>
  <x:c r="D429" i="1"/>
  <x:c r="F429" i="1"/>
  <x:c r="I429" i="1"/>
  <x:c r="J429" i="1"/>
  <x:c r="AC429" i="1"/>
  <x:c r="AD429" i="1"/>
  <x:c r="B430" i="1"/>
  <x:c r="D430" i="1"/>
  <x:c r="F430" i="1"/>
  <x:c r="I430" i="1"/>
  <x:c r="J430" i="1"/>
  <x:c r="AC430" i="1"/>
  <x:c r="AD430" i="1"/>
  <x:c r="B431" i="1"/>
  <x:c r="D431" i="1"/>
  <x:c r="F431" i="1"/>
  <x:c r="I431" i="1"/>
  <x:c r="J431" i="1"/>
  <x:c r="AC431" i="1"/>
  <x:c r="AD431" i="1"/>
  <x:c r="B432" i="1"/>
  <x:c r="D432" i="1"/>
  <x:c r="F432" i="1"/>
  <x:c r="I432" i="1"/>
  <x:c r="J432" i="1"/>
  <x:c r="AC432" i="1"/>
  <x:c r="AD432" i="1"/>
  <x:c r="B433" i="1"/>
  <x:c r="D433" i="1"/>
  <x:c r="F433" i="1"/>
  <x:c r="I433" i="1"/>
  <x:c r="J433" i="1"/>
  <x:c r="AC433" i="1"/>
  <x:c r="AD433" i="1"/>
  <x:c r="B434" i="1"/>
  <x:c r="D434" i="1"/>
  <x:c r="F434" i="1"/>
  <x:c r="I434" i="1"/>
  <x:c r="J434" i="1"/>
  <x:c r="AC434" i="1"/>
  <x:c r="AD434" i="1"/>
  <x:c r="B435" i="1"/>
  <x:c r="D435" i="1"/>
  <x:c r="F435" i="1"/>
  <x:c r="I435" i="1"/>
  <x:c r="J435" i="1"/>
  <x:c r="AC435" i="1"/>
  <x:c r="AD435" i="1"/>
  <x:c r="B436" i="1"/>
  <x:c r="D436" i="1"/>
  <x:c r="F436" i="1"/>
  <x:c r="I436" i="1"/>
  <x:c r="J436" i="1"/>
  <x:c r="AC436" i="1"/>
  <x:c r="AD436" i="1"/>
  <x:c r="B437" i="1"/>
  <x:c r="D437" i="1"/>
  <x:c r="F437" i="1"/>
  <x:c r="I437" i="1"/>
  <x:c r="J437" i="1"/>
  <x:c r="AC437" i="1"/>
  <x:c r="AD437" i="1"/>
  <x:c r="B438" i="1"/>
  <x:c r="D438" i="1"/>
  <x:c r="F438" i="1"/>
  <x:c r="I438" i="1"/>
  <x:c r="J438" i="1"/>
  <x:c r="AC438" i="1"/>
  <x:c r="AD438" i="1"/>
  <x:c r="B439" i="1"/>
  <x:c r="D439" i="1"/>
  <x:c r="F439" i="1"/>
  <x:c r="I439" i="1"/>
  <x:c r="J439" i="1"/>
  <x:c r="AC439" i="1"/>
  <x:c r="AD439" i="1"/>
  <x:c r="B440" i="1"/>
  <x:c r="D440" i="1"/>
  <x:c r="F440" i="1"/>
  <x:c r="I440" i="1"/>
  <x:c r="J440" i="1"/>
  <x:c r="AC440" i="1"/>
  <x:c r="AD440" i="1"/>
  <x:c r="B441" i="1"/>
  <x:c r="D441" i="1"/>
  <x:c r="F441" i="1"/>
  <x:c r="I441" i="1"/>
  <x:c r="J441" i="1"/>
  <x:c r="AC441" i="1"/>
  <x:c r="AD441" i="1"/>
  <x:c r="B442" i="1"/>
  <x:c r="D442" i="1"/>
  <x:c r="F442" i="1"/>
  <x:c r="I442" i="1"/>
  <x:c r="J442" i="1"/>
  <x:c r="AC442" i="1"/>
  <x:c r="AD442" i="1"/>
  <x:c r="B443" i="1"/>
  <x:c r="D443" i="1"/>
  <x:c r="F443" i="1"/>
  <x:c r="I443" i="1"/>
  <x:c r="J443" i="1"/>
  <x:c r="AC443" i="1"/>
  <x:c r="AD443" i="1"/>
  <x:c r="B444" i="1"/>
  <x:c r="D444" i="1"/>
  <x:c r="F444" i="1"/>
  <x:c r="I444" i="1"/>
  <x:c r="J444" i="1"/>
  <x:c r="AC444" i="1"/>
  <x:c r="AD444" i="1"/>
  <x:c r="B445" i="1"/>
  <x:c r="D445" i="1"/>
  <x:c r="F445" i="1"/>
  <x:c r="I445" i="1"/>
  <x:c r="J445" i="1"/>
  <x:c r="AC445" i="1"/>
  <x:c r="AD445" i="1"/>
  <x:c r="B446" i="1"/>
  <x:c r="D446" i="1"/>
  <x:c r="F446" i="1"/>
  <x:c r="I446" i="1"/>
  <x:c r="J446" i="1"/>
  <x:c r="AC446" i="1"/>
  <x:c r="AD446" i="1"/>
  <x:c r="B447" i="1"/>
  <x:c r="D447" i="1"/>
  <x:c r="F447" i="1"/>
  <x:c r="I447" i="1"/>
  <x:c r="J447" i="1"/>
  <x:c r="AC447" i="1"/>
  <x:c r="AD447" i="1"/>
  <x:c r="B448" i="1"/>
  <x:c r="D448" i="1"/>
  <x:c r="F448" i="1"/>
  <x:c r="I448" i="1"/>
  <x:c r="J448" i="1"/>
  <x:c r="AC448" i="1"/>
  <x:c r="AD448" i="1"/>
  <x:c r="B449" i="1"/>
  <x:c r="D449" i="1"/>
  <x:c r="F449" i="1"/>
  <x:c r="I449" i="1"/>
  <x:c r="J449" i="1"/>
  <x:c r="AC449" i="1"/>
  <x:c r="AD449" i="1"/>
  <x:c r="B450" i="1"/>
  <x:c r="D450" i="1"/>
  <x:c r="F450" i="1"/>
  <x:c r="I450" i="1"/>
  <x:c r="J450" i="1"/>
  <x:c r="AC450" i="1"/>
  <x:c r="AD450" i="1"/>
  <x:c r="B451" i="1"/>
  <x:c r="F451" i="1"/>
  <x:c r="I451" i="1"/>
  <x:c r="J451" i="1"/>
  <x:c r="AC451" i="1"/>
  <x:c r="AD451" i="1"/>
  <x:c r="B452" i="1"/>
  <x:c r="F452" i="1"/>
  <x:c r="I452" i="1"/>
  <x:c r="J452" i="1"/>
  <x:c r="AC452" i="1"/>
  <x:c r="AD452" i="1"/>
  <x:c r="B453" i="1"/>
  <x:c r="F453" i="1"/>
  <x:c r="I453" i="1"/>
  <x:c r="J453" i="1"/>
  <x:c r="AC453" i="1"/>
  <x:c r="AD453" i="1"/>
  <x:c r="B454" i="1"/>
  <x:c r="F454" i="1"/>
  <x:c r="I454" i="1"/>
  <x:c r="J454" i="1"/>
  <x:c r="AC454" i="1"/>
  <x:c r="AD454" i="1"/>
  <x:c r="B455" i="1"/>
  <x:c r="F455" i="1"/>
  <x:c r="I455" i="1"/>
  <x:c r="J455" i="1"/>
  <x:c r="AC455" i="1"/>
  <x:c r="AD455" i="1"/>
  <x:c r="B456" i="1"/>
  <x:c r="F456" i="1"/>
  <x:c r="I456" i="1"/>
  <x:c r="J456" i="1"/>
  <x:c r="AC456" i="1"/>
  <x:c r="AD456" i="1"/>
  <x:c r="B457" i="1"/>
  <x:c r="F457" i="1"/>
  <x:c r="I457" i="1"/>
  <x:c r="J457" i="1"/>
  <x:c r="AC457" i="1"/>
  <x:c r="AD457" i="1"/>
  <x:c r="B458" i="1"/>
  <x:c r="F458" i="1"/>
  <x:c r="I458" i="1"/>
  <x:c r="J458" i="1"/>
  <x:c r="AC458" i="1"/>
  <x:c r="AD458" i="1"/>
  <x:c r="B459" i="1"/>
  <x:c r="F459" i="1"/>
  <x:c r="I459" i="1"/>
  <x:c r="J459" i="1"/>
  <x:c r="AC459" i="1"/>
  <x:c r="AD459" i="1"/>
  <x:c r="B460" i="1"/>
  <x:c r="F460" i="1"/>
  <x:c r="I460" i="1"/>
  <x:c r="J460" i="1"/>
  <x:c r="AC460" i="1"/>
  <x:c r="AD460" i="1"/>
  <x:c r="B461" i="1"/>
  <x:c r="F461" i="1"/>
  <x:c r="I461" i="1"/>
  <x:c r="J461" i="1"/>
  <x:c r="AC461" i="1"/>
  <x:c r="AD461" i="1"/>
  <x:c r="B462" i="1"/>
  <x:c r="F462" i="1"/>
  <x:c r="I462" i="1"/>
  <x:c r="J462" i="1"/>
  <x:c r="AC462" i="1"/>
  <x:c r="AD462" i="1"/>
  <x:c r="B463" i="1"/>
  <x:c r="F463" i="1"/>
  <x:c r="I463" i="1"/>
  <x:c r="J463" i="1"/>
  <x:c r="AC463" i="1"/>
  <x:c r="AD463" i="1"/>
  <x:c r="B464" i="1"/>
  <x:c r="F464" i="1"/>
  <x:c r="I464" i="1"/>
  <x:c r="J464" i="1"/>
  <x:c r="AC464" i="1"/>
  <x:c r="AD464" i="1"/>
  <x:c r="B465" i="1"/>
  <x:c r="F465" i="1"/>
  <x:c r="I465" i="1"/>
  <x:c r="J465" i="1"/>
  <x:c r="AC465" i="1"/>
  <x:c r="AD465" i="1"/>
  <x:c r="B466" i="1"/>
  <x:c r="F466" i="1"/>
  <x:c r="I466" i="1"/>
  <x:c r="J466" i="1"/>
  <x:c r="AC466" i="1"/>
  <x:c r="AD466" i="1"/>
  <x:c r="B467" i="1"/>
  <x:c r="F467" i="1"/>
  <x:c r="I467" i="1"/>
  <x:c r="J467" i="1"/>
  <x:c r="AC467" i="1"/>
  <x:c r="AD467" i="1"/>
  <x:c r="B468" i="1"/>
  <x:c r="F468" i="1"/>
  <x:c r="I468" i="1"/>
  <x:c r="J468" i="1"/>
  <x:c r="AC468" i="1"/>
  <x:c r="AD468" i="1"/>
  <x:c r="B469" i="1"/>
  <x:c r="F469" i="1"/>
  <x:c r="I469" i="1"/>
  <x:c r="J469" i="1"/>
  <x:c r="AC469" i="1"/>
  <x:c r="AD469" i="1"/>
  <x:c r="B470" i="1"/>
  <x:c r="F470" i="1"/>
  <x:c r="I470" i="1"/>
  <x:c r="J470" i="1"/>
  <x:c r="AC470" i="1"/>
  <x:c r="AD470" i="1"/>
  <x:c r="B471" i="1"/>
  <x:c r="F471" i="1"/>
  <x:c r="I471" i="1"/>
  <x:c r="J471" i="1"/>
  <x:c r="AC471" i="1"/>
  <x:c r="AD471" i="1"/>
  <x:c r="B472" i="1"/>
  <x:c r="F472" i="1"/>
  <x:c r="I472" i="1"/>
  <x:c r="J472" i="1"/>
  <x:c r="AC472" i="1"/>
  <x:c r="AD472" i="1"/>
  <x:c r="B473" i="1"/>
  <x:c r="F473" i="1"/>
  <x:c r="I473" i="1"/>
  <x:c r="J473" i="1"/>
  <x:c r="AC473" i="1"/>
  <x:c r="AD473" i="1"/>
  <x:c r="B474" i="1"/>
  <x:c r="F474" i="1"/>
  <x:c r="I474" i="1"/>
  <x:c r="J474" i="1"/>
  <x:c r="AC474" i="1"/>
  <x:c r="AD474" i="1"/>
  <x:c r="B475" i="1"/>
  <x:c r="F475" i="1"/>
  <x:c r="I475" i="1"/>
  <x:c r="J475" i="1"/>
  <x:c r="AC475" i="1"/>
  <x:c r="AD475" i="1"/>
  <x:c r="B476" i="1"/>
  <x:c r="F476" i="1"/>
  <x:c r="I476" i="1"/>
  <x:c r="J476" i="1"/>
  <x:c r="AC476" i="1"/>
  <x:c r="AD476" i="1"/>
  <x:c r="B477" i="1"/>
  <x:c r="F477" i="1"/>
  <x:c r="I477" i="1"/>
  <x:c r="J477" i="1"/>
  <x:c r="AC477" i="1"/>
  <x:c r="AD477" i="1"/>
  <x:c r="B478" i="1"/>
  <x:c r="F478" i="1"/>
  <x:c r="I478" i="1"/>
  <x:c r="J478" i="1"/>
  <x:c r="AC478" i="1"/>
  <x:c r="AD478" i="1"/>
  <x:c r="B479" i="1"/>
  <x:c r="F479" i="1"/>
  <x:c r="I479" i="1"/>
  <x:c r="J479" i="1"/>
  <x:c r="AC479" i="1"/>
  <x:c r="AD479" i="1"/>
  <x:c r="B480" i="1"/>
  <x:c r="F480" i="1"/>
  <x:c r="I480" i="1"/>
  <x:c r="J480" i="1"/>
  <x:c r="AC480" i="1"/>
  <x:c r="AD480" i="1"/>
  <x:c r="B481" i="1"/>
  <x:c r="F481" i="1"/>
  <x:c r="I481" i="1"/>
  <x:c r="J481" i="1"/>
  <x:c r="AC481" i="1"/>
  <x:c r="AD481" i="1"/>
  <x:c r="B482" i="1"/>
  <x:c r="F482" i="1"/>
  <x:c r="I482" i="1"/>
  <x:c r="J482" i="1"/>
  <x:c r="AC482" i="1"/>
  <x:c r="AD482" i="1"/>
  <x:c r="B483" i="1"/>
  <x:c r="F483" i="1"/>
  <x:c r="I483" i="1"/>
  <x:c r="J483" i="1"/>
  <x:c r="AC483" i="1"/>
  <x:c r="AD483" i="1"/>
  <x:c r="B484" i="1"/>
  <x:c r="F484" i="1"/>
  <x:c r="I484" i="1"/>
  <x:c r="J484" i="1"/>
  <x:c r="AC484" i="1"/>
  <x:c r="AD484" i="1"/>
  <x:c r="B485" i="1"/>
  <x:c r="F485" i="1"/>
  <x:c r="I485" i="1"/>
  <x:c r="J485" i="1"/>
  <x:c r="AC485" i="1"/>
  <x:c r="AD485" i="1"/>
  <x:c r="B486" i="1"/>
  <x:c r="F486" i="1"/>
  <x:c r="I486" i="1"/>
  <x:c r="J486" i="1"/>
  <x:c r="AC486" i="1"/>
  <x:c r="AD486" i="1"/>
  <x:c r="B487" i="1"/>
  <x:c r="F487" i="1"/>
  <x:c r="I487" i="1"/>
  <x:c r="J487" i="1"/>
  <x:c r="AC487" i="1"/>
  <x:c r="AD487" i="1"/>
  <x:c r="B488" i="1"/>
  <x:c r="F488" i="1"/>
  <x:c r="I488" i="1"/>
  <x:c r="J488" i="1"/>
  <x:c r="AC488" i="1"/>
  <x:c r="AD488" i="1"/>
  <x:c r="B489" i="1"/>
  <x:c r="F489" i="1"/>
  <x:c r="I489" i="1"/>
  <x:c r="J489" i="1"/>
  <x:c r="AC489" i="1"/>
  <x:c r="AD489" i="1"/>
  <x:c r="B490" i="1"/>
  <x:c r="F490" i="1"/>
  <x:c r="I490" i="1"/>
  <x:c r="J490" i="1"/>
  <x:c r="AC490" i="1"/>
  <x:c r="AD490" i="1"/>
  <x:c r="B491" i="1"/>
  <x:c r="F491" i="1"/>
  <x:c r="I491" i="1"/>
  <x:c r="J491" i="1"/>
  <x:c r="AC491" i="1"/>
  <x:c r="AD491" i="1"/>
  <x:c r="B492" i="1"/>
  <x:c r="F492" i="1"/>
  <x:c r="I492" i="1"/>
  <x:c r="J492" i="1"/>
  <x:c r="AC492" i="1"/>
  <x:c r="AD492" i="1"/>
  <x:c r="B493" i="1"/>
  <x:c r="F493" i="1"/>
  <x:c r="I493" i="1"/>
  <x:c r="J493" i="1"/>
  <x:c r="AC493" i="1"/>
  <x:c r="AD493" i="1"/>
  <x:c r="B494" i="1"/>
  <x:c r="F494" i="1"/>
  <x:c r="I494" i="1"/>
  <x:c r="J494" i="1"/>
  <x:c r="AC494" i="1"/>
  <x:c r="AD494" i="1"/>
  <x:c r="B495" i="1"/>
  <x:c r="F495" i="1"/>
  <x:c r="I495" i="1"/>
  <x:c r="J495" i="1"/>
  <x:c r="AC495" i="1"/>
  <x:c r="AD495" i="1"/>
  <x:c r="B496" i="1"/>
  <x:c r="F496" i="1"/>
  <x:c r="I496" i="1"/>
  <x:c r="J496" i="1"/>
  <x:c r="AC496" i="1"/>
  <x:c r="AD496" i="1"/>
  <x:c r="B497" i="1"/>
  <x:c r="F497" i="1"/>
  <x:c r="I497" i="1"/>
  <x:c r="J497" i="1"/>
  <x:c r="AC497" i="1"/>
  <x:c r="AD497" i="1"/>
  <x:c r="B498" i="1"/>
  <x:c r="F498" i="1"/>
  <x:c r="I498" i="1"/>
  <x:c r="J498" i="1"/>
  <x:c r="AC498" i="1"/>
  <x:c r="AD498" i="1"/>
  <x:c r="B499" i="1"/>
  <x:c r="F499" i="1"/>
  <x:c r="I499" i="1"/>
  <x:c r="J499" i="1"/>
  <x:c r="AC499" i="1"/>
  <x:c r="AD499" i="1"/>
  <x:c r="B500" i="1"/>
  <x:c r="F500" i="1"/>
  <x:c r="I500" i="1"/>
  <x:c r="J500" i="1"/>
  <x:c r="AC500" i="1"/>
  <x:c r="AD500" i="1"/>
  <x:c r="B501" i="1"/>
  <x:c r="F501" i="1"/>
  <x:c r="I501" i="1"/>
  <x:c r="J501" i="1"/>
  <x:c r="AC501" i="1"/>
  <x:c r="AD501" i="1"/>
  <x:c r="B502" i="1"/>
  <x:c r="F502" i="1"/>
  <x:c r="I502" i="1"/>
  <x:c r="J502" i="1"/>
  <x:c r="AC502" i="1"/>
  <x:c r="AD502" i="1"/>
  <x:c r="B503" i="1"/>
  <x:c r="F503" i="1"/>
  <x:c r="I503" i="1"/>
  <x:c r="J503" i="1"/>
  <x:c r="AC503" i="1"/>
  <x:c r="AD503" i="1"/>
  <x:c r="B504" i="1"/>
  <x:c r="F504" i="1"/>
  <x:c r="I504" i="1"/>
  <x:c r="J504" i="1"/>
  <x:c r="AC504" i="1"/>
  <x:c r="AD504" i="1"/>
  <x:c r="B505" i="1"/>
  <x:c r="F505" i="1"/>
  <x:c r="I505" i="1"/>
  <x:c r="J505" i="1"/>
  <x:c r="AC505" i="1"/>
  <x:c r="AD505" i="1"/>
  <x:c r="B506" i="1"/>
  <x:c r="F506" i="1"/>
  <x:c r="I506" i="1"/>
  <x:c r="J506" i="1"/>
  <x:c r="AC506" i="1"/>
  <x:c r="AD506" i="1"/>
  <x:c r="B507" i="1"/>
  <x:c r="F507" i="1"/>
  <x:c r="I507" i="1"/>
  <x:c r="J507" i="1"/>
  <x:c r="AC507" i="1"/>
  <x:c r="AD507" i="1"/>
  <x:c r="B508" i="1"/>
  <x:c r="F508" i="1"/>
  <x:c r="I508" i="1"/>
  <x:c r="J508" i="1"/>
  <x:c r="AC508" i="1"/>
  <x:c r="AD508" i="1"/>
  <x:c r="B509" i="1"/>
  <x:c r="F509" i="1"/>
  <x:c r="I509" i="1"/>
  <x:c r="J509" i="1"/>
  <x:c r="AC509" i="1"/>
  <x:c r="AD509" i="1"/>
  <x:c r="B510" i="1"/>
  <x:c r="F510" i="1"/>
  <x:c r="I510" i="1"/>
  <x:c r="J510" i="1"/>
  <x:c r="AC510" i="1"/>
  <x:c r="AD510" i="1"/>
  <x:c r="B511" i="1"/>
  <x:c r="F511" i="1"/>
  <x:c r="I511" i="1"/>
  <x:c r="J511" i="1"/>
  <x:c r="AC511" i="1"/>
  <x:c r="AD511" i="1"/>
  <x:c r="B512" i="1"/>
  <x:c r="F512" i="1"/>
  <x:c r="I512" i="1"/>
  <x:c r="J512" i="1"/>
  <x:c r="AC512" i="1"/>
  <x:c r="AD512" i="1"/>
  <x:c r="B513" i="1"/>
  <x:c r="F513" i="1"/>
  <x:c r="AC513" i="1"/>
  <x:c r="AD513" i="1"/>
  <x:c r="B514" i="1"/>
  <x:c r="F514" i="1"/>
  <x:c r="AC514" i="1"/>
  <x:c r="AD514" i="1"/>
  <x:c r="B515" i="1"/>
  <x:c r="F515" i="1"/>
  <x:c r="AC515" i="1"/>
  <x:c r="AD515" i="1"/>
  <x:c r="B516" i="1"/>
  <x:c r="F516" i="1"/>
  <x:c r="AC516" i="1"/>
  <x:c r="AD516" i="1"/>
  <x:c r="B517" i="1"/>
  <x:c r="F517" i="1"/>
  <x:c r="AC517" i="1"/>
  <x:c r="AD517" i="1"/>
  <x:c r="B518" i="1"/>
  <x:c r="F518" i="1"/>
  <x:c r="AC518" i="1"/>
  <x:c r="AD518" i="1"/>
  <x:c r="B519" i="1"/>
  <x:c r="F519" i="1"/>
  <x:c r="AC519" i="1"/>
  <x:c r="AD519" i="1"/>
  <x:c r="B520" i="1"/>
  <x:c r="F520" i="1"/>
  <x:c r="AC520" i="1"/>
  <x:c r="AD520" i="1"/>
  <x:c r="B521" i="1"/>
  <x:c r="F521" i="1"/>
  <x:c r="AC521" i="1"/>
  <x:c r="AD521" i="1"/>
  <x:c r="B522" i="1"/>
  <x:c r="F522" i="1"/>
  <x:c r="AC522" i="1"/>
  <x:c r="AD522" i="1"/>
  <x:c r="B523" i="1"/>
  <x:c r="F523" i="1"/>
  <x:c r="AC523" i="1"/>
  <x:c r="AD523" i="1"/>
  <x:c r="B524" i="1"/>
  <x:c r="F524" i="1"/>
  <x:c r="B525" i="1"/>
  <x:c r="B526" i="1"/>
  <x:c r="B527" i="1"/>
</x:calcChain>
</file>

<file path=xl/sharedStrings.xml><?xml version="1.0" encoding="utf-8"?>
<x:sst xmlns:x="http://schemas.openxmlformats.org/spreadsheetml/2006/main" count="625" uniqueCount="625">
  <x:si>
    <x:t>BUDGET TYPE</x:t>
  </x:si>
  <x:si>
    <x:t>Section Code (From)</x:t>
  </x:si>
  <x:si>
    <x:t>Section Name (From/Who Prepare)</x:t>
  </x:si>
  <x:si>
    <x:t>Section Code (To)</x:t>
  </x:si>
  <x:si>
    <x:t>Section Name (To/Who Use The Cost)</x:t>
  </x:si>
  <x:si>
    <x:t>COA-ID</x:t>
  </x:si>
  <x:si>
    <x:t>COA NAME</x:t>
  </x:si>
  <x:si>
    <x:t>DESCRIPTION</x:t>
  </x:si>
  <x:si>
    <x:t>GROUP SECTION</x:t>
  </x:si>
  <x:si>
    <x:t>GROUP COST</x:t>
  </x:si>
  <x:si>
    <x:t>2024_10</x:t>
  </x:si>
  <x:si>
    <x:t>2024_11</x:t>
  </x:si>
  <x:si>
    <x:t>2024_12</x:t>
  </x:si>
  <x:si>
    <x:t>2025_01</x:t>
  </x:si>
  <x:si>
    <x:t>2025_02</x:t>
  </x:si>
  <x:si>
    <x:t>2025_03</x:t>
  </x:si>
  <x:si>
    <x:t>2025_04</x:t>
  </x:si>
  <x:si>
    <x:t>2025_05</x:t>
  </x:si>
  <x:si>
    <x:t>2025_06</x:t>
  </x:si>
  <x:si>
    <x:t>2025_07</x:t>
  </x:si>
  <x:si>
    <x:t>2025_08</x:t>
  </x:si>
  <x:si>
    <x:t>2025_09</x:t>
  </x:si>
  <x:si>
    <x:t>2025_10</x:t>
  </x:si>
  <x:si>
    <x:t>2025_11</x:t>
  </x:si>
  <x:si>
    <x:t>2025_12</x:t>
  </x:si>
  <x:si>
    <x:t>2026_01</x:t>
  </x:si>
  <x:si>
    <x:t>2026_02</x:t>
  </x:si>
  <x:si>
    <x:t>2026_03</x:t>
  </x:si>
  <x:si>
    <x:t>TOTAL FY125</x:t>
  </x:si>
  <x:si>
    <x:t>TOTAL FY126</x:t>
  </x:si>
  <x:si>
    <x:t>TOTAL FY127</x:t>
  </x:si>
  <x:si>
    <x:t>TOTAL FY128</x:t>
  </x:si>
  <x:si>
    <x:t>Priority Category</x:t>
  </x:si>
  <x:si>
    <x:t>BUDGET NO.</x:t>
  </x:si>
  <x:si>
    <x:t>BEX</x:t>
  </x:si>
  <x:si>
    <x:t>B2400</x:t>
  </x:si>
  <x:si>
    <x:t>Information Technology</x:t>
  </x:si>
  <x:si>
    <x:t>7515401</x:t>
  </x:si>
  <x:si>
    <x:t>Staff Welfare - Outpatient (Medical)</x:t>
  </x:si>
  <x:si>
    <x:t>Outpatient / Medical Expense</x:t>
  </x:si>
  <x:si>
    <x:t>ADM</x:t>
  </x:si>
  <x:si>
    <x:t>SGA</x:t>
  </x:si>
  <x:si>
    <x:t>A</x:t>
  </x:si>
  <x:si>
    <x:t>BEX26-2400-2400-001</x:t>
  </x:si>
  <x:si>
    <x:t>7515402</x:t>
  </x:si>
  <x:si>
    <x:t>Staff Welfare - Hospitalization</x:t>
  </x:si>
  <x:si>
    <x:t>Hospitalization Expense</x:t>
  </x:si>
  <x:si>
    <x:t>BEX26-2400-2400-002</x:t>
  </x:si>
  <x:si>
    <x:t>7515404</x:t>
  </x:si>
  <x:si>
    <x:t>Staff Welfare - Dental</x:t>
  </x:si>
  <x:si>
    <x:t>Dental Expense</x:t>
  </x:si>
  <x:si>
    <x:t>BEX26-2400-2400-003</x:t>
  </x:si>
  <x:si>
    <x:t>B5800</x:t>
  </x:si>
  <x:si>
    <x:t>Quality Assurance</x:t>
  </x:si>
  <x:si>
    <x:t>7671103</x:t>
  </x:si>
  <x:si>
    <x:t>License fee</x:t>
  </x:si>
  <x:si>
    <x:t>Google Apps License</x:t>
  </x:si>
  <x:si>
    <x:t>IND</x:t>
  </x:si>
  <x:si>
    <x:t>MFG</x:t>
  </x:si>
  <x:si>
    <x:t>BEX26-2400-5800-004</x:t>
  </x:si>
  <x:si>
    <x:t>B4105</x:t>
  </x:si>
  <x:si>
    <x:t>SP PD- Plating</x:t>
  </x:si>
  <x:si>
    <x:t>DIR</x:t>
  </x:si>
  <x:si>
    <x:t>BEX26-2400-4105-004</x:t>
  </x:si>
  <x:si>
    <x:t>B5130</x:t>
  </x:si>
  <x:si>
    <x:t>Supply Procurement</x:t>
  </x:si>
  <x:si>
    <x:t>BEX26-2400-5130-004</x:t>
  </x:si>
  <x:si>
    <x:t>B5500</x:t>
  </x:si>
  <x:si>
    <x:t>Maintenance</x:t>
  </x:si>
  <x:si>
    <x:t>BEX26-2400-5500-004</x:t>
  </x:si>
  <x:si>
    <x:t>B3100</x:t>
  </x:si>
  <x:si>
    <x:t>Sales &amp; MKTG Dept.- Automotive</x:t>
  </x:si>
  <x:si>
    <x:t>BEX26-2400-3100-004</x:t>
  </x:si>
  <x:si>
    <x:t>B3120</x:t>
  </x:si>
  <x:si>
    <x:t>Sales - OES</x:t>
  </x:si>
  <x:si>
    <x:t>BEX26-2400-3120-004</x:t>
  </x:si>
  <x:si>
    <x:t>B3110</x:t>
  </x:si>
  <x:si>
    <x:t>Sales - OEM</x:t>
  </x:si>
  <x:si>
    <x:t>BEX26-2400-3110-004</x:t>
  </x:si>
  <x:si>
    <x:t>B3130</x:t>
  </x:si>
  <x:si>
    <x:t>Sales - IAM</x:t>
  </x:si>
  <x:si>
    <x:t>BEX26-2400-3130-004</x:t>
  </x:si>
  <x:si>
    <x:t>B5007</x:t>
  </x:si>
  <x:si>
    <x:t>Continuous Improvement</x:t>
  </x:si>
  <x:si>
    <x:t>BEX26-2400-5007-004</x:t>
  </x:si>
  <x:si>
    <x:t>B5710</x:t>
  </x:si>
  <x:si>
    <x:t>WH Dept.- KD &amp; RM</x:t>
  </x:si>
  <x:si>
    <x:t>BEX26-2400-5710-004</x:t>
  </x:si>
  <x:si>
    <x:t>B5100</x:t>
  </x:si>
  <x:si>
    <x:t>Production Office</x:t>
  </x:si>
  <x:si>
    <x:t>BEX26-2400-5100-004</x:t>
  </x:si>
  <x:si>
    <x:t>BEX26-2400-2400-004</x:t>
  </x:si>
  <x:si>
    <x:t>B2230</x:t>
  </x:si>
  <x:si>
    <x:t>Health, Safety &amp; Environment</x:t>
  </x:si>
  <x:si>
    <x:t>BEX26-2400-2230-004</x:t>
  </x:si>
  <x:si>
    <x:t>B5900</x:t>
  </x:si>
  <x:si>
    <x:t>Quality Control</x:t>
  </x:si>
  <x:si>
    <x:t>BEX26-2400-5900-004</x:t>
  </x:si>
  <x:si>
    <x:t>B4102</x:t>
  </x:si>
  <x:si>
    <x:t>SP PD- CM</x:t>
  </x:si>
  <x:si>
    <x:t>BEX26-2400-4102-004</x:t>
  </x:si>
  <x:si>
    <x:t>B5000</x:t>
  </x:si>
  <x:si>
    <x:t>Plant Operation (Indirect Mfg)</x:t>
  </x:si>
  <x:si>
    <x:t>BEX26-2400-5000-004</x:t>
  </x:si>
  <x:si>
    <x:t>B4410</x:t>
  </x:si>
  <x:si>
    <x:t>PC PD- Injection</x:t>
  </x:si>
  <x:si>
    <x:t>BEX26-2400-4410-004</x:t>
  </x:si>
  <x:si>
    <x:t>B4130</x:t>
  </x:si>
  <x:si>
    <x:t>SP PD- Insulator Sealing</x:t>
  </x:si>
  <x:si>
    <x:t>BEX26-2400-4130-004</x:t>
  </x:si>
  <x:si>
    <x:t>B4121</x:t>
  </x:si>
  <x:si>
    <x:t>SP PD- QC - OEM</x:t>
  </x:si>
  <x:si>
    <x:t>BEX26-2400-4121-004</x:t>
  </x:si>
  <x:si>
    <x:t>B5600</x:t>
  </x:si>
  <x:si>
    <x:t>Production Engineering</x:t>
  </x:si>
  <x:si>
    <x:t>BEX26-2400-5600-004</x:t>
  </x:si>
  <x:si>
    <x:t>B4110</x:t>
  </x:si>
  <x:si>
    <x:t>SP PD- Assy</x:t>
  </x:si>
  <x:si>
    <x:t>BEX26-2400-4110-004</x:t>
  </x:si>
  <x:si>
    <x:t>B5104</x:t>
  </x:si>
  <x:si>
    <x:t>Production Office (PC)</x:t>
  </x:si>
  <x:si>
    <x:t>BEX26-2400-5104-004</x:t>
  </x:si>
  <x:si>
    <x:t>B1000</x:t>
  </x:si>
  <x:si>
    <x:t>Top Management</x:t>
  </x:si>
  <x:si>
    <x:t>BEX26-2400-1000-004</x:t>
  </x:si>
  <x:si>
    <x:t>B2220</x:t>
  </x:si>
  <x:si>
    <x:t>Human Resource</x:t>
  </x:si>
  <x:si>
    <x:t>BEX26-2400-2220-004</x:t>
  </x:si>
  <x:si>
    <x:t>B2210</x:t>
  </x:si>
  <x:si>
    <x:t>General Affair</x:t>
  </x:si>
  <x:si>
    <x:t>BEX26-2400-2210-004</x:t>
  </x:si>
  <x:si>
    <x:t>B2300</x:t>
  </x:si>
  <x:si>
    <x:t>Accounting &amp; Finance</x:t>
  </x:si>
  <x:si>
    <x:t>BEX26-2400-2300-004</x:t>
  </x:si>
  <x:si>
    <x:t>B5101</x:t>
  </x:si>
  <x:si>
    <x:t>Production Office (SP)</x:t>
  </x:si>
  <x:si>
    <x:t>BEX26-2400-5101-004</x:t>
  </x:si>
  <x:si>
    <x:t>B3150</x:t>
  </x:si>
  <x:si>
    <x:t>SCM - FG WH</x:t>
  </x:si>
  <x:si>
    <x:t>BEX26-2400-3150-004</x:t>
  </x:si>
  <x:si>
    <x:t>B4120</x:t>
  </x:si>
  <x:si>
    <x:t>SP PD- Final Inspection</x:t>
  </x:si>
  <x:si>
    <x:t>BEX26-2400-4120-004</x:t>
  </x:si>
  <x:si>
    <x:t>B3160</x:t>
  </x:si>
  <x:si>
    <x:t>Marketing</x:t>
  </x:si>
  <x:si>
    <x:t>BEX26-2400-3160-004</x:t>
  </x:si>
  <x:si>
    <x:t>New License - 5 Microsoft License Windows 11</x:t>
  </x:si>
  <x:si>
    <x:t>C</x:t>
  </x:si>
  <x:si>
    <x:t>BEX26-2400-2400-005</x:t>
  </x:si>
  <x:si>
    <x:t>New License - Google Developer License Fee</x:t>
  </x:si>
  <x:si>
    <x:t>BEX26-2400-2400-006</x:t>
  </x:si>
  <x:si>
    <x:t>New License - IOS Developer Membership Fee</x:t>
  </x:si>
  <x:si>
    <x:t>BEX26-2400-2400-007</x:t>
  </x:si>
  <x:si>
    <x:t>New License - Nitro PDF Pro</x:t>
  </x:si>
  <x:si>
    <x:t>B</x:t>
  </x:si>
  <x:si>
    <x:t>BEX26-2400-2400-008</x:t>
  </x:si>
  <x:si>
    <x:t>Nrimo Usage License</x:t>
  </x:si>
  <x:si>
    <x:t>BEX26-2400-3110-009</x:t>
  </x:si>
  <x:si>
    <x:t>BEX26-2400-3160-009</x:t>
  </x:si>
  <x:si>
    <x:t>BEX26-2400-5000-009</x:t>
  </x:si>
  <x:si>
    <x:t>BEX26-2400-3150-009</x:t>
  </x:si>
  <x:si>
    <x:t>BEX26-2400-5130-009</x:t>
  </x:si>
  <x:si>
    <x:t>BEX26-2400-2300-009</x:t>
  </x:si>
  <x:si>
    <x:t>BEX26-2400-5600-009</x:t>
  </x:si>
  <x:si>
    <x:t>BEX26-2400-1000-009</x:t>
  </x:si>
  <x:si>
    <x:t>BEX26-2400-3130-009</x:t>
  </x:si>
  <x:si>
    <x:t>QWORDS - Hosting Website &amp; Domain</x:t>
  </x:si>
  <x:si>
    <x:t>BEX26-2400-2400-010</x:t>
  </x:si>
  <x:si>
    <x:t>Yearly Renewal - Anydesk License</x:t>
  </x:si>
  <x:si>
    <x:t>BEX26-2400-2400-011</x:t>
  </x:si>
  <x:si>
    <x:t>Yearly Renewal - Fortigate Firewall Security</x:t>
  </x:si>
  <x:si>
    <x:t>BEX26-2400-2400-012</x:t>
  </x:si>
  <x:si>
    <x:t>Yearly Renewal - GitLab License (2 User)</x:t>
  </x:si>
  <x:si>
    <x:t>BEX26-2400-2400-013</x:t>
  </x:si>
  <x:si>
    <x:t>Yearly Renewal - JP1 Server Service</x:t>
  </x:si>
  <x:si>
    <x:t>BEX26-2400-2400-014</x:t>
  </x:si>
  <x:si>
    <x:t>Yearly Renewal - Microsoft Office 70 Licenses</x:t>
  </x:si>
  <x:si>
    <x:t>BEX26-2400-2400-015</x:t>
  </x:si>
  <x:si>
    <x:t>Yearly Renewal - Office E1</x:t>
  </x:si>
  <x:si>
    <x:t>BEX26-2400-5800-016</x:t>
  </x:si>
  <x:si>
    <x:t>Yearly Renewal - Oracle Database</x:t>
  </x:si>
  <x:si>
    <x:t>BEX26-2400-2400-017</x:t>
  </x:si>
  <x:si>
    <x:t>Yearly Renewal - VEEAM License</x:t>
  </x:si>
  <x:si>
    <x:t>BEX26-2400-2400-018</x:t>
  </x:si>
  <x:si>
    <x:t>Yearly Renewal - VM Ware Server</x:t>
  </x:si>
  <x:si>
    <x:t>BEX26-2400-2400-019</x:t>
  </x:si>
  <x:si>
    <x:t>7691000</x:t>
  </x:si>
  <x:si>
    <x:t>Office supply &amp; Stationary Expense</x:t>
  </x:si>
  <x:si>
    <x:t>IT Stationary</x:t>
  </x:si>
  <x:si>
    <x:t>BEX26-2400-2400-020</x:t>
  </x:si>
  <x:si>
    <x:t>7711101</x:t>
  </x:si>
  <x:si>
    <x:t>Communication expenses</x:t>
  </x:si>
  <x:si>
    <x:t>2 Link of Internet Connection (Primary &amp; Backup)</x:t>
  </x:si>
  <x:si>
    <x:t>BEX26-2400-2400-021</x:t>
  </x:si>
  <x:si>
    <x:t>7711102</x:t>
  </x:si>
  <x:si>
    <x:t>IT Expense</x:t>
  </x:si>
  <x:si>
    <x:t>IT Tools / Expenses</x:t>
  </x:si>
  <x:si>
    <x:t>BEX26-2400-2400-022</x:t>
  </x:si>
  <x:si>
    <x:t>7729101</x:t>
  </x:si>
  <x:si>
    <x:t>Consultancy/Professional Fee</x:t>
  </x:si>
  <x:si>
    <x:t>Renewal FID Platinum Maintenance Support</x:t>
  </x:si>
  <x:si>
    <x:t>BEX26-2400-2400-023</x:t>
  </x:si>
  <x:si>
    <x:t>This sheet is used for version checking, do not delete</x:t>
  </x:si>
  <x:si>
    <x:t>COA AX</x:t>
  </x:si>
  <x:si>
    <x:t>Name COA AX</x:t>
  </x:si>
  <x:si>
    <x:t>Group Cost</x:t>
  </x:si>
  <x:si>
    <x:t>UNIQ</x:t>
  </x:si>
  <x:si>
    <x:t>COA Budget</x:t>
  </x:si>
  <x:si>
    <x:t>Description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</x:si>
  <x:si>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</x:si>
  <x:si>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t>BNGK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</x:si>
  <x:si>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</x:si>
  <x:si>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</x:si>
  <x:si>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</x:si>
  <x:si>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Priority Code</x:t>
  </x:si>
  <x:si>
    <x:t>Priority Name</x:t>
  </x:si>
  <x:si>
    <x:t>Salary for Commissioner</x:t>
  </x:si>
  <x:si>
    <x:t>SGA-7511101</x:t>
  </x:si>
  <x:si>
    <x:t>A502</x:t>
  </x:si>
  <x:si>
    <x:t>NGK BUSI INDONESIA</x:t>
  </x:si>
  <x:si>
    <x:t>Must</x:t>
  </x:si>
  <x:si>
    <x:t>If this is not done, the company or our team cannot continue its business.</x:t>
  </x:si>
  <x:si>
    <x:t>Salary for Director</x:t>
  </x:si>
  <x:si>
    <x:t>SGA-7511102</x:t>
  </x:si>
  <x:si>
    <x:t>Salary for Director &amp; Expat</x:t>
  </x:si>
  <x:si>
    <x:t>Commissioner</x:t>
  </x:si>
  <x:si>
    <x:t>B1001</x:t>
  </x:si>
  <x:si>
    <x:t>Want to</x:t>
  </x:si>
  <x:si>
    <x:t>We want to do it as a team this term. we need it.</x:t>
  </x:si>
  <x:si>
    <x:t>Staff Labor - Baslc Salary</x:t>
  </x:si>
  <x:si>
    <x:t>SGA-7511103</x:t>
  </x:si>
  <x:si>
    <x:t>A501</x:t>
  </x:si>
  <x:si>
    <x:t>Basic Salary of permanent employee</x:t>
  </x:si>
  <x:si>
    <x:t>Admin &amp; HR</x:t>
  </x:si>
  <x:si>
    <x:t>B2200</x:t>
  </x:si>
  <x:si>
    <x:t>Challenge</x:t>
  </x:si>
  <x:si>
    <x:t>We want to do it for this term or the future. But it doesn't matter if it's not this term.</x:t>
  </x:si>
  <x:si>
    <x:t>Staff Labor - Allowance</x:t>
  </x:si>
  <x:si>
    <x:t>SGA-7511111</x:t>
  </x:si>
  <x:si>
    <x:t>Employee allowance</x:t>
  </x:si>
  <x:si>
    <x:t>Staff Labor - Tax allowance (art.21)</x:t>
  </x:si>
  <x:si>
    <x:t>SGA-7511112</x:t>
  </x:si>
  <x:si>
    <x:t>Empployee Tax allowance</x:t>
  </x:si>
  <x:si>
    <x:t>Staff Labor - BPJS JK &amp; JKK (1.19%)</x:t>
  </x:si>
  <x:si>
    <x:t>SGA-7511121</x:t>
  </x:si>
  <x:si>
    <x:t>BPJS JK &amp; JKK (death warrant, Accident Insurance)</x:t>
  </x:si>
  <x:si>
    <x:t>BEL</x:t>
  </x:si>
  <x:si>
    <x:t>Staff Labor - BPJS Kesehatan (4%)</x:t>
  </x:si>
  <x:si>
    <x:t>SGA-7511122</x:t>
  </x:si>
  <x:si>
    <x:t>BPJS health insurance</x:t>
  </x:si>
  <x:si>
    <x:t>Staff Overtime</x:t>
  </x:si>
  <x:si>
    <x:t>SGA-7511201</x:t>
  </x:si>
  <x:si>
    <x:t>A503</x:t>
  </x:si>
  <x:si>
    <x:t>Overtime permanent employee</x:t>
  </x:si>
  <x:si>
    <x:t>Staff Welfare - BPJS Dana pensiun (2%)</x:t>
  </x:si>
  <x:si>
    <x:t>SGA-7512111</x:t>
  </x:si>
  <x:si>
    <x:t>A504</x:t>
  </x:si>
  <x:si>
    <x:t>BPJS pension fund</x:t>
  </x:si>
  <x:si>
    <x:t>Staff Welfare - BPJS JHT (3.7%)</x:t>
  </x:si>
  <x:si>
    <x:t>SGA-7512112</x:t>
  </x:si>
  <x:si>
    <x:t>BPJS Pension plan</x:t>
  </x:si>
  <x:si>
    <x:t>Staff Bonus / TAT</x:t>
  </x:si>
  <x:si>
    <x:t>SGA-7514101</x:t>
  </x:si>
  <x:si>
    <x:t>Year-end allowance &amp; Alpha</x:t>
  </x:si>
  <x:si>
    <x:t>Staff Ramadhan / THR</x:t>
  </x:si>
  <x:si>
    <x:t>SGA-7514102</x:t>
  </x:si>
  <x:si>
    <x:t>Lebaran bonus</x:t>
  </x:si>
  <x:si>
    <x:t>SGA-7515401</x:t>
  </x:si>
  <x:si>
    <x:t>outpatient treatment costs</x:t>
  </x:si>
  <x:si>
    <x:t>SGA-7515402</x:t>
  </x:si>
  <x:si>
    <x:t>hospitalization costs</x:t>
  </x:si>
  <x:si>
    <x:t>Sales &amp; MKTG Dept.- DID Chain</x:t>
  </x:si>
  <x:si>
    <x:t>B3172</x:t>
  </x:si>
  <x:si>
    <x:t>Staff Welfare - Glasses</x:t>
  </x:si>
  <x:si>
    <x:t>SGA-7515403</x:t>
  </x:si>
  <x:si>
    <x:t>glasses costs</x:t>
  </x:si>
  <x:si>
    <x:t>SP PD- CF</x:t>
  </x:si>
  <x:si>
    <x:t>B4101</x:t>
  </x:si>
  <x:si>
    <x:t>SGA-7515404</x:t>
  </x:si>
  <x:si>
    <x:t>dental costs</x:t>
  </x:si>
  <x:si>
    <x:t>Staff Welfare - Medical Check Up</x:t>
  </x:si>
  <x:si>
    <x:t>SGA-7515405</x:t>
  </x:si>
  <x:si>
    <x:t>Medical Check Up cost</x:t>
  </x:si>
  <x:si>
    <x:t>SP PD- WT</x:t>
  </x:si>
  <x:si>
    <x:t>B4103</x:t>
  </x:si>
  <x:si>
    <x:t>Staff Welfare - Uniform</x:t>
  </x:si>
  <x:si>
    <x:t>SGA-7515406</x:t>
  </x:si>
  <x:si>
    <x:t>uniform costs</x:t>
  </x:si>
  <x:si>
    <x:t>Staff Welfare - Safety Shoes</x:t>
  </x:si>
  <x:si>
    <x:t>SGA-7515407</x:t>
  </x:si>
  <x:si>
    <x:t>SP PD- MS Insp.</x:t>
  </x:si>
  <x:si>
    <x:t>B4109</x:t>
  </x:si>
  <x:si>
    <x:t>Staff Welfare - Family Gathering / Anniversary</x:t>
  </x:si>
  <x:si>
    <x:t>SGA-7515408</x:t>
  </x:si>
  <x:si>
    <x:t>Family Gathering / Anniversary</x:t>
  </x:si>
  <x:si>
    <x:t>Staff Welfare - Meals of canteen &amp; other meals</x:t>
  </x:si>
  <x:si>
    <x:t>SGA-7515409</x:t>
  </x:si>
  <x:si>
    <x:t>Meals of canteen &amp; other meals cost</x:t>
  </x:si>
  <x:si>
    <x:t>Staff Welfare - Kaizen &amp; QCC reward</x:t>
  </x:si>
  <x:si>
    <x:t>SGA-7515410</x:t>
  </x:si>
  <x:si>
    <x:t>an expense, arising from Kaizen and QCC acitivity</x:t>
  </x:si>
  <x:si>
    <x:t>SP-PD-Assy-Auto Assembly</x:t>
  </x:si>
  <x:si>
    <x:t>B4115</x:t>
  </x:si>
  <x:si>
    <x:t>Staff Welfare - Welfare Others</x:t>
  </x:si>
  <x:si>
    <x:t>SGA-7515499</x:t>
  </x:si>
  <x:si>
    <x:t>an other welfare expense, arising besides the above welfare expense</x:t>
  </x:si>
  <x:si>
    <x:t>SP PD- Bending</x:t>
  </x:si>
  <x:si>
    <x:t>B4114</x:t>
  </x:si>
  <x:si>
    <x:t>Retirement Allowance</x:t>
  </x:si>
  <x:si>
    <x:t>SGA-7516102</x:t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</x:si>
  <x:si>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</x:si>
  <x:si>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t>employee retirement provission costs</x:t>
  </x:si>
  <x:si>
    <x:t>House Rent Allowance</x:t>
  </x:si>
  <x:si>
    <x:t>SGA-7519101</x:t>
  </x:si>
  <x:si>
    <x:t>House Rent Allowance for expat</x:t>
  </x:si>
  <x:si>
    <x:t>Casual Staff Labor - Basic Salary</x:t>
  </x:si>
  <x:si>
    <x:t>SGA-7521101</x:t>
  </x:si>
  <x:si>
    <x:t>All benefit for temporary worker</x:t>
  </x:si>
  <x:si>
    <x:t>Casual Staff Labor - Overtime</x:t>
  </x:si>
  <x:si>
    <x:t>SGA-7521102</x:t>
  </x:si>
  <x:si>
    <x:t>Overtime temporary worker</x:t>
  </x:si>
  <x:si>
    <x:t>PC PD- Assy</x:t>
  </x:si>
  <x:si>
    <x:t>B4430</x:t>
  </x:si>
  <x:si>
    <x:t>Personnel expense transferred</x:t>
  </x:si>
  <x:si>
    <x:t>SGA-7571101</x:t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</x:si>
  <x:si>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</x:si>
  <x:si>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t>Transfer Labor cost from one section into another section</x:t>
  </x:si>
  <x:si>
    <x:t>PC PD- QC</x:t>
  </x:si>
  <x:si>
    <x:t>B4440</x:t>
  </x:si>
  <x:si>
    <x:t>Depreciation-Building</x:t>
  </x:si>
  <x:si>
    <x:t>SGA-7611100</x:t>
  </x:si>
  <x:si>
    <x:t>A601</x:t>
  </x:si>
  <x:si>
    <x:t>the amount of depreciation of tangible assets for building</x:t>
  </x:si>
  <x:si>
    <x:t>Depreciation-Machiney &amp; equipment</x:t>
  </x:si>
  <x:si>
    <x:t>SGA-7611300</x:t>
  </x:si>
  <x:si>
    <x:t>the amount of depreciation of tangible assets for machinery &amp; factory equipment</x:t>
  </x:si>
  <x:si>
    <x:t>Depreciation-Lease Machinery &amp; equipment</x:t>
  </x:si>
  <x:si>
    <x:t>SGA-7611400</x:t>
  </x:si>
  <x:si>
    <x:t>the amount of depreciation of tangible assets for machinery &amp; factory equipment (Leases)</x:t>
  </x:si>
  <x:si>
    <x:t>Depreciation-Vehicles</x:t>
  </x:si>
  <x:si>
    <x:t>SGA-7611500</x:t>
  </x:si>
  <x:si>
    <x:t>the amount of depreciation of tangible assets for vehicles</x:t>
  </x:si>
  <x:si>
    <x:t>Depreciation-Tools, furniture &amp; office equipment</x:t>
  </x:si>
  <x:si>
    <x:t>SGA-7611600</x:t>
  </x:si>
  <x:si>
    <x:t>the amount of depreciation of tangible assets for office tools, furniture &amp; office equipment</x:t>
  </x:si>
  <x:si>
    <x:t>Depreciation-Software</x:t>
  </x:si>
  <x:si>
    <x:t>SGA-7611700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</x:si>
  <x:si>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</x:si>
  <x:si>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Depreciation - Right of use Assets</x:t>
  </x:si>
  <x:si>
    <x:t>SGA-7611800</x:t>
  </x:si>
  <x:si>
    <x:t>the amount of depreciation of right of use assets</x:t>
  </x:si>
  <x:si>
    <x:t>Rental car</x:t>
  </x:si>
  <x:si>
    <x:t>SGA-7621101</x:t>
  </x:si>
  <x:si>
    <x:t>A801</x:t>
  </x:si>
  <x:si>
    <x:t>The expenses of car rent</x:t>
  </x:si>
  <x:si>
    <x:t>Other Rental Fee</x:t>
  </x:si>
  <x:si>
    <x:t>SGA-7621199</x:t>
  </x:si>
  <x:si>
    <x:t>A701</x:t>
  </x:si>
  <x:si>
    <x:t>The expenses of rent beside car rent, such as copy machine, dispenser, etc.</x:t>
  </x:si>
  <x:si>
    <x:t>Electricity Charge</x:t>
  </x:si>
  <x:si>
    <x:t>SGA-7631101</x:t>
  </x:si>
  <x:si>
    <x:t>A1003</x:t>
  </x:si>
  <x:si>
    <x:t xml:space="preserve">Electricity consumption </x:t>
  </x:si>
  <x:si>
    <x:t>Inventory Control</x:t>
  </x:si>
  <x:si>
    <x:t>B5200</x:t>
  </x:si>
  <x:si>
    <x:t>Water Supply Charge</x:t>
  </x:si>
  <x:si>
    <x:t>SGA-7631102</x:t>
  </x:si>
  <x:si>
    <x:t>A1004</x:t>
  </x:si>
  <x:si>
    <x:t xml:space="preserve">Water consumption </x:t>
  </x:si>
  <x:si>
    <x:t>Repair Building</x:t>
  </x:si>
  <x:si>
    <x:t>SGA-7641101</x:t>
  </x:si>
  <x:si>
    <x:t>A1002</x:t>
  </x:si>
  <x:si>
    <x:t>expenses for repair and maintenance asset building</x:t>
  </x:si>
  <x:si>
    <x:t>Repair of Equipment</x:t>
  </x:si>
  <x:si>
    <x:t>SGA-7641102</x:t>
  </x:si>
  <x:si>
    <x:t>expenses for repair and maintenance tangible assets, intangible assets and other assets beside building</x:t>
  </x:si>
  <x:si>
    <x:t>Factory Supply Expense</x:t>
  </x:si>
  <x:si>
    <x:t>SGA-7641103</x:t>
  </x:si>
  <x:si>
    <x:t>A1099</x:t>
  </x:si>
  <x:si>
    <x:t xml:space="preserve">All cost that arrising to support factory acitivity </x:t>
  </x:si>
  <x:si>
    <x:t>All</x:t>
  </x:si>
  <x:si>
    <x:t>B0000</x:t>
  </x:si>
  <x:si>
    <x:t>Calibration Cost</x:t>
  </x:si>
  <x:si>
    <x:t>SGA-7641104</x:t>
  </x:si>
  <x:si>
    <x:t>Cost of calibration for tools and equipment of factory and others</x:t>
  </x:si>
  <x:si>
    <x:t>Transportation Fee for employee</x:t>
  </x:si>
  <x:si>
    <x:t>SGA-7651101</x:t>
  </x:si>
  <x:si>
    <x:t>Gasoline of company cars &amp; expense for Local transportation</x:t>
  </x:si>
  <x:si>
    <x:t>Travel Expense-Domestic</x:t>
  </x:si>
  <x:si>
    <x:t>SGA-7651102</x:t>
  </x:si>
  <x:si>
    <x:t>expenses for business trip, including allowance for business trip to an employee only for domestic travel</x:t>
  </x:si>
  <x:si>
    <x:t>Travel Expense-Oversea</x:t>
  </x:si>
  <x:si>
    <x:t>SGA-7651103</x:t>
  </x:si>
  <x:si>
    <x:t>expenses for business trip, including allowance for business trip to an employee only for overseas travel</x:t>
  </x:si>
  <x:si>
    <x:t>Entertainment</x:t>
  </x:si>
  <x:si>
    <x:t>SGA-7661101</x:t>
  </x:si>
  <x:si>
    <x:t>A1001</x:t>
  </x:si>
  <x:si>
    <x:t>the amount of expenses for the act of entertaining the business partner</x:t>
  </x:si>
  <x:si>
    <x:t>Amortization of Land &amp; Building tax (PBB)</x:t>
  </x:si>
  <x:si>
    <x:t>SGA-7671102</x:t>
  </x:si>
  <x:si>
    <x:t>the amount of depreciation of intangible of Land &amp; Building Tax (PBB)</x:t>
  </x:si>
  <x:si>
    <x:t>SGA-7671103</x:t>
  </x:si>
  <x:si>
    <x:t>The expense related with the documentation process, such as : KIR, Car lisence, company lisence, etc.</x:t>
  </x:si>
  <x:si>
    <x:t>Insurance Premium</x:t>
  </x:si>
  <x:si>
    <x:t>SGA-7681101</x:t>
  </x:si>
  <x:si>
    <x:t>expenses for risk management with no premium at the end of the term, such as fire insurance for plants and inventories</x:t>
  </x:si>
  <x:si>
    <x:t>SGA-7691000</x:t>
  </x:si>
  <x:si>
    <x:t>the amount of supplies for office, such as stationery. Small office equipment included</x:t>
  </x:si>
  <x:si>
    <x:t>SGA-7711101</x:t>
  </x:si>
  <x:si>
    <x:t>expenses for communication with a people in remote place, such as expense for telephone and postage</x:t>
  </x:si>
  <x:si>
    <x:t>SGA-7711102</x:t>
  </x:si>
  <x:si>
    <x:t>A1005</x:t>
  </x:si>
  <x:si>
    <x:t>the amount of supplies for IT tools</x:t>
  </x:si>
  <x:si>
    <x:t>Stamp/Post Fee</x:t>
  </x:si>
  <x:si>
    <x:t>SGA-7711103</x:t>
  </x:si>
  <x:si>
    <x:t>The expenses related with stamp duty</x:t>
  </x:si>
  <x:si>
    <x:t>Audit Fee</x:t>
  </x:si>
  <x:si>
    <x:t>SGA-7721101</x:t>
  </x:si>
  <x:si>
    <x:t>a fee for external auditor of accounting assessment</x:t>
  </x:si>
  <x:si>
    <x:t>SGA-7729101</x:t>
  </x:si>
  <x:si>
    <x:t>A901</x:t>
  </x:si>
  <x:si>
    <x:t>a fee for professional who not only public qualification holders, such as a CPA or an attorney, but also a person or an organization with technical knowledge such as a consultant or a translator.</x:t>
  </x:si>
  <x:si>
    <x:t>NGK group service fee</x:t>
  </x:si>
  <x:si>
    <x:t>SGA-7729103</x:t>
  </x:si>
  <x:si>
    <x:t>A1007</x:t>
  </x:si>
  <x:si>
    <x:t>All fees that paid to NGK group</x:t>
  </x:si>
  <x:si>
    <x:t>Ticket &amp; accomodation of trainer (from NGK Group)</x:t>
  </x:si>
  <x:si>
    <x:t>SGA-7729105</x:t>
  </x:si>
  <x:si>
    <x:t>The expenses related with the person who come from NGK Group that will provide training to NGK Busi</x:t>
  </x:si>
  <x:si>
    <x:t>Miscellaneous Expense</x:t>
  </x:si>
  <x:si>
    <x:t>SGA-7781101</x:t>
  </x:si>
  <x:si>
    <x:t>others operational expense</x:t>
  </x:si>
  <x:si>
    <x:t>Publishing Expense</x:t>
  </x:si>
  <x:si>
    <x:t>SGA-7781103</x:t>
  </x:si>
  <x:si>
    <x:t>News paper, magazine, and other publishing cost</x:t>
  </x:si>
  <x:si>
    <x:t>Cleaning Expense</x:t>
  </x:si>
  <x:si>
    <x:t>SGA-7781104</x:t>
  </x:si>
  <x:si>
    <x:t>The expenses related with the tools or other for cleaning activity</x:t>
  </x:si>
  <x:si>
    <x:t>Security Guard</x:t>
  </x:si>
  <x:si>
    <x:t>SGA-7781105</x:t>
  </x:si>
  <x:si>
    <x:t>Fee for security from outsourcing company</x:t>
  </x:si>
  <x:si>
    <x:t>Service Fee (Canteen Meal &amp; other service for staff)</x:t>
  </x:si>
  <x:si>
    <x:t>SGA-7781106</x:t>
  </x:si>
  <x:si>
    <x:t>Expense for canteen</x:t>
  </x:si>
  <x:si>
    <x:t>Training Expense</x:t>
  </x:si>
  <x:si>
    <x:t>SGA-7781107</x:t>
  </x:si>
  <x:si>
    <x:t>A1006</x:t>
  </x:si>
  <x:si>
    <x:t>Training cost</x:t>
  </x:si>
  <x:si>
    <x:t>Recruitment Fee</x:t>
  </x:si>
  <x:si>
    <x:t>SGA-7781111</x:t>
  </x:si>
  <x:si>
    <x:t>Cost for recruitment process</x:t>
  </x:si>
  <x:si>
    <x:t>Expatriate expenses exclude labor cost</x:t>
  </x:si>
  <x:si>
    <x:t>SGA-7781112</x:t>
  </x:si>
  <x:si>
    <x:t>Incidental costs related to expatriete</x:t>
  </x:si>
  <x:si>
    <x:t>Expatriate fee Tax (BADORA)</x:t>
  </x:si>
  <x:si>
    <x:t>SGA-7781113</x:t>
  </x:si>
  <x:si>
    <x:t>Tax income from expatriete</x:t>
  </x:si>
  <x:si>
    <x:t>Freights and Export expense</x:t>
  </x:si>
  <x:si>
    <x:t>SGA-7411101</x:t>
  </x:si>
  <x:si>
    <x:t>A201</x:t>
  </x:si>
  <x:si>
    <x:t>an expense, arising from export transaction such as; insurance, pallet, freight cost</x:t>
  </x:si>
  <x:si>
    <x:t>Transportation for Goods</x:t>
  </x:si>
  <x:si>
    <x:t>SGA-7411103</x:t>
  </x:si>
  <x:si>
    <x:t>A202</x:t>
  </x:si>
  <x:si>
    <x:t>Transportion expense of local goods sales</x:t>
  </x:si>
  <x:si>
    <x:t>Packing for Sale</x:t>
  </x:si>
  <x:si>
    <x:t>SGA-7411104</x:t>
  </x:si>
  <x:si>
    <x:t>A203</x:t>
  </x:si>
  <x:si>
    <x:t>Packing expense for local good sales</x:t>
  </x:si>
  <x:si>
    <x:t>Advertising expenses</x:t>
  </x:si>
  <x:si>
    <x:t>SGA-7431101</x:t>
  </x:si>
  <x:si>
    <x:t>A401</x:t>
  </x:si>
  <x:si>
    <x:t>an expense for advertise or publication of goods</x:t>
  </x:si>
  <x:si>
    <x:t>Sale Promotion-Coupon</x:t>
  </x:si>
  <x:si>
    <x:t>SGA-7451101</x:t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</x:si>
  <x:si>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</x:si>
  <x:si>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</x:si>
  <x:si>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 Promotion- Goods</x:t>
  </x:si>
  <x:si>
    <x:t>SGA-7451102</x:t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</x:si>
  <x:si>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</x:si>
  <x:si>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</x:si>
  <x:si>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 Promotion-Activity</x:t>
  </x:si>
  <x:si>
    <x:t>SGA-7451103</x:t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</x:si>
  <x:si>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</x:si>
  <x:si>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</x:si>
  <x:si>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Sample expense</x:t>
  </x:si>
  <x:si>
    <x:t>SGA-7461101</x:t>
  </x:si>
  <x:si>
    <x:t>A499</x:t>
  </x:si>
  <x:si>
    <x:t>Sales - Insurance of Delivery or Shipment</x:t>
  </x:si>
  <x:si>
    <x:t>SGA-7411105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</x:si>
  <x:si>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</x:si>
  <x:si>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Insurance of AR (Credit Insurance)</x:t>
  </x:si>
  <x:si>
    <x:t>SGA-7471201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</x:si>
  <x:si>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</x:si>
  <x:si>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Royalty to NGK Group</x:t>
  </x:si>
  <x:si>
    <x:t>SGA-7751101</x:t>
  </x:si>
  <x:si>
    <x:t>Sales - Royalty to Independence Party</x:t>
  </x:si>
  <x:si>
    <x:t>SGA-7751102</x:t>
  </x:si>
  <x:si>
    <x:t>Import Duty-purchased FG from NGK group</x:t>
  </x:si>
  <x:si>
    <x:t>MFG-7111211</x:t>
  </x:si>
  <x:si>
    <x:t>Import Duty-purchased FG from outside supplier</x:t>
  </x:si>
  <x:si>
    <x:t>MFG-7111212</x:t>
  </x:si>
  <x:si>
    <x:t>Import Duty-purchased KD&amp;RM from NGK Japan</x:t>
  </x:si>
  <x:si>
    <x:t>MFG-7111221</x:t>
  </x:si>
  <x:si>
    <x:t>Import Duty-purchased KD&amp;RM from NGK Group(Not fromJP)</x:t>
  </x:si>
  <x:si>
    <x:t>MFG-7111222</x:t>
  </x:si>
  <x:si>
    <x:t>Import Duty-purchased Comp Parts&amp;RM from outside supplier</x:t>
  </x:si>
  <x:si>
    <x:t>MFG-7111223</x:t>
  </x:si>
  <x:si>
    <x:t>Import Expense-purchased FG from NGK group</x:t>
  </x:si>
  <x:si>
    <x:t>MFG-7111311</x:t>
  </x:si>
  <x:si>
    <x:t>Import Expense-purchased FG from outside supplier</x:t>
  </x:si>
  <x:si>
    <x:t>MFG-7111312</x:t>
  </x:si>
  <x:si>
    <x:t>Import Expense-purchased KD&amp;RM from NGK Japan</x:t>
  </x:si>
  <x:si>
    <x:t>MFG-7111321</x:t>
  </x:si>
  <x:si>
    <x:t>Import Expense-purchased KD&amp;RM from NGK Group(Not fromJP)</x:t>
  </x:si>
  <x:si>
    <x:t>MFG-7111322</x:t>
  </x:si>
  <x:si>
    <x:t>Import Expense-purchased Comp Parts&amp;RM from outside supplier</x:t>
  </x:si>
  <x:si>
    <x:t>MFG-7111323</x:t>
  </x:si>
  <x:si>
    <x:t>Expense-purchased Packaging material from outside supplier</x:t>
  </x:si>
  <x:si>
    <x:t>MFG-7111411</x:t>
  </x:si>
  <x:si>
    <x:t>Subcontracting Cost</x:t>
  </x:si>
  <x:si>
    <x:t>MFG-7151101</x:t>
  </x:si>
  <x:si>
    <x:t>Indirect material costs</x:t>
  </x:si>
  <x:si>
    <x:t>MFG-7200000</x:t>
  </x:si>
  <x:si>
    <x:t>Cost of Factory Supply</x:t>
  </x:si>
  <x:si>
    <x:t>MFG-7211101</x:t>
  </x:si>
  <x:si>
    <x:t>Cost of Chemical</x:t>
  </x:si>
  <x:si>
    <x:t>MFG-7211102</x:t>
  </x:si>
  <x:si>
    <x:t>The expenses of Chemicals consumption</x:t>
  </x:si>
  <x:si>
    <x:t>Cost of Packaging</x:t>
  </x:si>
  <x:si>
    <x:t>MFG-7211103</x:t>
  </x:si>
  <x:si>
    <x:t>Cost of Oil</x:t>
  </x:si>
  <x:si>
    <x:t>MFG-7211104</x:t>
  </x:si>
  <x:si>
    <x:t>Cost of Tooling</x:t>
  </x:si>
  <x:si>
    <x:t>MFG-7221101</x:t>
  </x:si>
  <x:si>
    <x:t>The expenses of Tooling consumption</x:t>
  </x:si>
  <x:si>
    <x:t>Cost of Machinery parts</x:t>
  </x:si>
  <x:si>
    <x:t>MFG-7221102</x:t>
  </x:si>
  <x:si>
    <x:t>The expenses of Spare Parts consumption</x:t>
  </x:si>
  <x:si>
    <x:t>MFG-7511101</x:t>
  </x:si>
  <x:si>
    <x:t>MFG-7511102</x:t>
  </x:si>
  <x:si>
    <x:t>MFG-7511103</x:t>
  </x:si>
  <x:si>
    <x:t>MFG-7511111</x:t>
  </x:si>
  <x:si>
    <x:t>MFG-7511112</x:t>
  </x:si>
  <x:si>
    <x:t>MFG-7511121</x:t>
  </x:si>
  <x:si>
    <x:t>MFG-7511122</x:t>
  </x:si>
  <x:si>
    <x:t>MFG-7511201</x:t>
  </x:si>
  <x:si>
    <x:t>MFG-7512111</x:t>
  </x:si>
  <x:si>
    <x:t>MFG-7512112</x:t>
  </x:si>
  <x:si>
    <x:t>MFG-7514101</x:t>
  </x:si>
  <x:si>
    <x:t>MFG-7514102</x:t>
  </x:si>
  <x:si>
    <x:t>MFG-7515401</x:t>
  </x:si>
  <x:si>
    <x:t>MFG-7515402</x:t>
  </x:si>
  <x:si>
    <x:t>MFG-7515403</x:t>
  </x:si>
  <x:si>
    <x:t>MFG-7515404</x:t>
  </x:si>
  <x:si>
    <x:t>MFG-7515405</x:t>
  </x:si>
  <x:si>
    <x:t>MFG-7515406</x:t>
  </x:si>
  <x:si>
    <x:t>MFG-7515407</x:t>
  </x:si>
  <x:si>
    <x:t>MFG-7515408</x:t>
  </x:si>
  <x:si>
    <x:t>MFG-7515409</x:t>
  </x:si>
  <x:si>
    <x:t>MFG-7515410</x:t>
  </x:si>
  <x:si>
    <x:t>MFG-7515499</x:t>
  </x:si>
  <x:si>
    <x:t>MFG-7516102</x:t>
  </x:si>
  <x:si>
    <x:t>MFG-7519101</x:t>
  </x:si>
  <x:si>
    <x:t>MFG-7521101</x:t>
  </x:si>
  <x:si>
    <x:t>MFG-7521102</x:t>
  </x:si>
  <x:si>
    <x:t>MFG-7571101</x:t>
  </x:si>
  <x:si>
    <x:t>MFG-7611100</x:t>
  </x:si>
  <x:si>
    <x:t>MFG-7611300</x:t>
  </x:si>
  <x:si>
    <x:t>MFG-7611400</x:t>
  </x:si>
  <x:si>
    <x:t>MFG-7611500</x:t>
  </x:si>
  <x:si>
    <x:t>MFG-7611600</x:t>
  </x:si>
  <x:si>
    <x:t>MFG-7611700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</x:si>
  <x:si>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</x:si>
  <x:si>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MFG-7611800</x:t>
  </x:si>
  <x:si>
    <x:t>MFG-7621101</x:t>
  </x:si>
  <x:si>
    <x:t>MFG-7621199</x:t>
  </x:si>
  <x:si>
    <x:t>MFG-7631101</x:t>
  </x:si>
  <x:si>
    <x:t>MFG-7631102</x:t>
  </x:si>
  <x:si>
    <x:t>MFG-7641101</x:t>
  </x:si>
  <x:si>
    <x:t>MFG-7641102</x:t>
  </x:si>
  <x:si>
    <x:t>MFG-7641103</x:t>
  </x:si>
  <x:si>
    <x:t>MFG-7641104</x:t>
  </x:si>
  <x:si>
    <x:t>MFG-7651101</x:t>
  </x:si>
  <x:si>
    <x:t>MFG-7651102</x:t>
  </x:si>
  <x:si>
    <x:t>MFG-7651103</x:t>
  </x:si>
  <x:si>
    <x:t>MFG-7661101</x:t>
  </x:si>
  <x:si>
    <x:t>MFG-7671102</x:t>
  </x:si>
  <x:si>
    <x:t>MFG-7671103</x:t>
  </x:si>
  <x:si>
    <x:t>MFG-7681101</x:t>
  </x:si>
  <x:si>
    <x:t>MFG-7691000</x:t>
  </x:si>
  <x:si>
    <x:t>MFG-7711101</x:t>
  </x:si>
  <x:si>
    <x:t>MFG-7711102</x:t>
  </x:si>
  <x:si>
    <x:t>MFG-7711103</x:t>
  </x:si>
  <x:si>
    <x:t>MFG-7721101</x:t>
  </x:si>
  <x:si>
    <x:t>MFG-7729101</x:t>
  </x:si>
  <x:si>
    <x:t>MFG-7729103</x:t>
  </x:si>
  <x:si>
    <x:t>MFG-7729105</x:t>
  </x:si>
  <x:si>
    <x:t>MFG-7781101</x:t>
  </x:si>
  <x:si>
    <x:t>MFG-7781103</x:t>
  </x:si>
  <x:si>
    <x:t>MFG-7781104</x:t>
  </x:si>
  <x:si>
    <x:t>MFG-7781105</x:t>
  </x:si>
  <x:si>
    <x:t>MFG-7781106</x:t>
  </x:si>
  <x:si>
    <x:t>MFG-7781107</x:t>
  </x:si>
  <x:si>
    <x:t>MFG-7781111</x:t>
  </x:si>
  <x:si>
    <x:t>MFG-7781112</x:t>
  </x:si>
  <x:si>
    <x:t>MFG-7781113</x:t>
  </x:si>
  <x:si>
    <x:t>Others - Miscellaneous Waste</x:t>
  </x:si>
  <x:si>
    <x:t>OTH</x:t>
  </x:si>
  <x:si>
    <x:t>OTH-8291101</x:t>
  </x:si>
  <x:si>
    <x:t>Others - Miscellaneous Tax</x:t>
  </x:si>
  <x:si>
    <x:t>OTH-8291102</x:t>
  </x:si>
  <x:si>
    <x:t>Others - Sport Activity</x:t>
  </x:si>
  <x:si>
    <x:t>OTH-8291201</x:t>
  </x:si>
  <x:si>
    <x:t>Others - Retribution / Garbage Cost</x:t>
  </x:si>
  <x:si>
    <x:t>OTH-8291202</x:t>
  </x:si>
  <x:si>
    <x:t>Others - Miscellaneous Non Operational Expense</x:t>
  </x:si>
  <x:si>
    <x:t>OTH-8291203</x:t>
  </x:si>
  <x:si>
    <x:t>Other Income</x:t>
  </x:si>
  <x:si>
    <x:t>OTH-8191101</x:t>
  </x:si>
  <x:si>
    <x:t>Interest Income</x:t>
  </x:si>
  <x:si>
    <x:t>OTH-8311101</x:t>
  </x:si>
  <x:si>
    <x:t>Interest expenses - Lease</x:t>
  </x:si>
  <x:si>
    <x:t>OTH-8413101</x:t>
  </x:si>
  <x:si>
    <x:t>Password protect sheet = budget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</x:si>
</x:sst>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(* #,##0.00_);_(* \(#,##0.00\);_(* &quot;-&quot;??_);_(@_)"/>
    <x:numFmt numFmtId="164" formatCode="_(* #,##0_);_(* \(#,##0\);_(* &quot;-&quot;??_);_(@_)"/>
  </x:numFmts>
  <x:fonts count="25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1"/>
      <x:scheme val="minor"/>
    </x:font>
    <x:font>
      <x:b/>
      <x:sz val="10"/>
      <x:name val="Calibri"/>
      <x:family val="2"/>
      <x:scheme val="minor"/>
    </x:font>
    <x:font>
      <x:b/>
      <x:sz val="10"/>
      <x:color theme="0"/>
      <x:name val="Calibri"/>
      <x:family val="2"/>
      <x:scheme val="minor"/>
    </x:font>
    <x:font>
      <x:sz val="10"/>
      <x:name val="Calibri"/>
      <x:family val="2"/>
      <x:scheme val="minor"/>
    </x:font>
    <x:font>
      <x:sz val="10"/>
      <x:color indexed="8"/>
      <x:name val="Arial"/>
      <x:family val="2"/>
    </x:font>
    <x:font>
      <x:sz val="8"/>
      <x:name val="Calibri"/>
      <x:family val="2"/>
      <x:scheme val="minor"/>
    </x:font>
    <x:font>
      <x:b/>
      <x:sz val="10"/>
      <x:color rgb="FF0000FF"/>
      <x:name val="Calibri"/>
      <x:family val="2"/>
      <x:scheme val="minor"/>
    </x:font>
    <x:font>
      <x:sz val="10"/>
      <x:color rgb="FF0000FF"/>
      <x:name val="Calibri"/>
      <x:family val="2"/>
      <x:scheme val="minor"/>
    </x:font>
    <x:font>
      <x:sz val="11"/>
      <x:color theme="1"/>
      <x:name val="Calibri"/>
      <x:family val="2"/>
      <x:charset val="128"/>
      <x:scheme val="minor"/>
    </x:font>
    <x:font>
      <x:b/>
      <x:sz val="12"/>
      <x:color theme="0"/>
      <x:name val="Tahoma"/>
      <x:family val="2"/>
    </x:font>
    <x:font>
      <x:b/>
      <x:sz val="12"/>
      <x:color rgb="FF0033CC"/>
      <x:name val="Tahoma"/>
      <x:family val="2"/>
    </x:font>
    <x:font>
      <x:sz val="12"/>
      <x:color theme="1"/>
      <x:name val="Tahoma"/>
      <x:family val="2"/>
    </x:font>
    <x:font>
      <x:b/>
      <x:sz val="10"/>
      <x:color theme="0"/>
      <x:name val="Tahoma"/>
      <x:family val="2"/>
    </x:font>
    <x:font>
      <x:sz val="10"/>
      <x:color theme="0"/>
      <x:name val="Tahoma"/>
      <x:family val="2"/>
    </x:font>
    <x:font>
      <x:sz val="10"/>
      <x:color theme="1"/>
      <x:name val="Tahoma"/>
      <x:family val="2"/>
    </x:font>
    <x:font>
      <x:sz val="10"/>
      <x:color rgb="FF0033CC"/>
      <x:name val="Tahoma"/>
      <x:family val="2"/>
    </x:font>
    <x:font>
      <x:sz val="9"/>
      <x:color theme="1"/>
      <x:name val="Calibri"/>
      <x:family val="2"/>
      <x:scheme val="minor"/>
    </x:font>
    <x:font>
      <x:sz val="10"/>
      <x:name val="Tahoma"/>
      <x:family val="2"/>
    </x:font>
    <x:font>
      <x:b/>
      <x:sz val="10"/>
      <x:color rgb="FF0000FF"/>
      <x:name val="Tahoma"/>
      <x:family val="2"/>
    </x:font>
    <x:font>
      <x:b/>
      <x:sz val="10"/>
      <x:color theme="1"/>
      <x:name val="Tahoma"/>
      <x:family val="2"/>
    </x:font>
    <x:font>
      <x:sz val="10"/>
      <x:color rgb="FFC00000"/>
      <x:name val="Tahoma"/>
      <x:family val="2"/>
    </x:font>
    <x:font>
      <x:sz val="11"/>
      <x:color rgb="FF000000"/>
      <x:name val="Calibri"/>
      <x:family val="2"/>
      <x:scheme val="minor"/>
    </x:font>
    <x:font>
      <x:sz val="10"/>
      <x:name val="Arial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7" tint="-0.499984740745262"/>
        <x:bgColor indexed="64"/>
      </x:patternFill>
    </x:fill>
    <x:fill>
      <x:patternFill patternType="solid">
        <x:fgColor theme="3" tint="-0.499984740745262"/>
        <x:bgColor indexed="64"/>
      </x:patternFill>
    </x:fill>
    <x:fill>
      <x:patternFill patternType="solid">
        <x:fgColor indexed="1"/>
        <x:bgColor indexed="64"/>
      </x:patternFill>
    </x:fill>
    <x:fill>
      <x:patternFill patternType="solid">
        <x:fgColor rgb="FF00B0F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4">
    <x:xf numFmtId="0" fontId="0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6" fillId="0" borderId="0">
      <x:alignment vertical="top"/>
    </x:xf>
    <x:xf numFmtId="0" fontId="10" fillId="0" borderId="0">
      <x:alignment vertical="center"/>
    </x:xf>
    <x:xf numFmtId="0" fontId="18" fillId="11" borderId="0"/>
    <x:xf numFmtId="43" fontId="1" fillId="0" borderId="0" applyFont="0" applyFill="0" applyBorder="0" applyAlignment="0" applyProtection="0"/>
    <x:xf numFmtId="0" fontId="23" fillId="0" borderId="0"/>
    <x:xf numFmtId="43" fontId="2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0" fillId="0" borderId="0" applyFont="0" applyFill="0" applyBorder="0" applyAlignment="0" applyProtection="0"/>
    <x:xf numFmtId="0" fontId="24" fillId="0" borderId="0"/>
    <x:xf numFmtId="0" fontId="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164" fontId="3" fillId="3" borderId="0" applyNumberFormat="1" applyFill="0" applyBorder="0" applyAlignment="1" applyProtection="1">
      <x:protection locked="0" hidden="0"/>
    </x:xf>
    <x:xf numFmtId="164" fontId="3" fillId="4" borderId="0" applyNumberFormat="1" applyFill="0" applyBorder="0" applyAlignment="1" applyProtection="1">
      <x:protection locked="0" hidden="0"/>
    </x:xf>
    <x:xf numFmtId="164" fontId="4" fillId="5" borderId="0" applyNumberFormat="1" applyFill="0" applyBorder="0" applyAlignment="1" applyProtection="1">
      <x:protection locked="1" hidden="0"/>
    </x:xf>
    <x:xf numFmtId="164" fontId="4" fillId="5" borderId="0" applyNumberFormat="1" applyFill="0" applyBorder="0" applyAlignment="1" applyProtection="1">
      <x:protection locked="0" hidden="0"/>
    </x:xf>
    <x:xf numFmtId="0" fontId="3" fillId="6" borderId="0" applyNumberFormat="1" applyFill="0" applyBorder="0" applyAlignment="1" applyProtection="1">
      <x:protection locked="0" hidden="0"/>
    </x:xf>
    <x:xf numFmtId="0" fontId="3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16" fillId="9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2" fillId="8" borderId="0" applyNumberFormat="1" applyFill="0" applyBorder="0" applyAlignment="1" applyProtection="1">
      <x:protection locked="1" hidden="0"/>
    </x:xf>
    <x:xf numFmtId="0" fontId="13" fillId="9" borderId="0" applyNumberFormat="1" applyFill="0" applyBorder="0" applyAlignment="1" applyProtection="1">
      <x:protection locked="1" hidden="0"/>
    </x:xf>
    <x:xf numFmtId="0" fontId="14" fillId="10" borderId="1" applyNumberFormat="1" applyFill="0" applyBorder="1" applyAlignment="1" applyProtection="1">
      <x:protection locked="1" hidden="0"/>
    </x:xf>
    <x:xf numFmtId="0" fontId="14" fillId="5" borderId="0" applyNumberFormat="1" applyFill="0" applyBorder="0" applyAlignment="1" applyProtection="1">
      <x:protection locked="1" hidden="0"/>
    </x:xf>
    <x:xf numFmtId="0" fontId="14" fillId="9" borderId="1" applyNumberFormat="1" applyFill="0" applyBorder="1" applyAlignment="1" applyProtection="1">
      <x:protection locked="1" hidden="0"/>
    </x:xf>
    <x:xf numFmtId="0" fontId="15" fillId="10" borderId="1" applyNumberFormat="1" applyFill="0" applyBorder="1" applyAlignment="1" applyProtection="1">
      <x:protection locked="1" hidden="0"/>
    </x:xf>
    <x:xf numFmtId="0" fontId="14" fillId="5" borderId="1" applyNumberFormat="1" applyFill="0" applyBorder="1" applyAlignment="1" applyProtection="1">
      <x:protection locked="1" hidden="0"/>
    </x:xf>
    <x:xf numFmtId="0" fontId="19" fillId="0" borderId="1" applyNumberFormat="1" applyFill="1" applyBorder="1" applyAlignment="1" applyProtection="1">
      <x:protection locked="1" hidden="0"/>
    </x:xf>
    <x:xf numFmtId="0" fontId="20" fillId="0" borderId="1" applyNumberFormat="1" applyFill="1" applyBorder="1" applyAlignment="1" applyProtection="1">
      <x:protection locked="1" hidden="0"/>
    </x:xf>
    <x:xf numFmtId="0" fontId="16" fillId="0" borderId="1" applyNumberFormat="1" applyFill="1" applyBorder="1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20" fillId="6" borderId="1" applyNumberFormat="1" applyFill="0" applyBorder="1" applyAlignment="1" applyProtection="1">
      <x:protection locked="1" hidden="0"/>
    </x:xf>
    <x:xf numFmtId="0" fontId="17" fillId="12" borderId="0" applyNumberFormat="1" applyFill="0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2" fillId="7" borderId="0" applyNumberFormat="1" applyFill="0" applyBorder="0" applyAlignment="1" applyProtection="1">
      <x:protection locked="1" hidden="0"/>
    </x:xf>
    <x:xf numFmtId="0" fontId="19" fillId="8" borderId="1" applyNumberFormat="1" applyFill="0" applyBorder="1" applyAlignment="1" applyProtection="1">
      <x:protection locked="1" hidden="0"/>
    </x:xf>
  </x:cellStyleXfs>
  <x:cellXfs count="80">
    <x:xf numFmtId="0" fontId="0" fillId="0" borderId="0" xfId="0"/>
    <x:xf numFmtId="0" fontId="3" fillId="0" borderId="0" xfId="1" applyFont="1" applyAlignment="1">
      <x:alignment horizontal="center" vertical="center" wrapText="1"/>
    </x:xf>
    <x:xf numFmtId="0" fontId="5" fillId="0" borderId="0" xfId="2" applyFont="1" applyAlignment="1">
      <x:alignment vertical="center"/>
    </x:xf>
    <x:xf numFmtId="0" fontId="5" fillId="0" borderId="0" xfId="2" applyFont="1" applyAlignment="1">
      <x:alignment horizontal="center" vertical="center"/>
    </x:xf>
    <x:xf numFmtId="0" fontId="9" fillId="0" borderId="0" xfId="2" applyFont="1" applyAlignment="1">
      <x:alignment horizontal="center" vertical="center"/>
    </x:xf>
    <x:xf numFmtId="0" fontId="14" fillId="5" borderId="1" xfId="0" applyFont="1" applyFill="1" applyBorder="1" applyAlignment="1">
      <x:alignment horizontal="center" vertical="center"/>
    </x:xf>
    <x:xf numFmtId="0" fontId="14" fillId="5" borderId="1" xfId="0" applyFont="1" applyFill="1" applyBorder="1" applyAlignment="1">
      <x:alignment horizontal="center" vertical="center" wrapText="1"/>
    </x:xf>
    <x:xf numFmtId="0" fontId="13" fillId="0" borderId="0" xfId="7" applyFont="1" applyAlignment="1">
      <x:alignment vertical="center" wrapText="1"/>
    </x:xf>
    <x:xf numFmtId="0" fontId="16" fillId="0" borderId="0" xfId="7" applyFont="1">
      <x:alignment vertical="center"/>
    </x:xf>
    <x:xf numFmtId="0" fontId="16" fillId="0" borderId="0" xfId="7" applyFont="1" applyAlignment="1">
      <x:alignment horizontal="center" vertical="center"/>
    </x:xf>
    <x:xf numFmtId="0" fontId="17" fillId="0" borderId="0" xfId="7" applyFont="1" applyAlignment="1">
      <x:alignment horizontal="center" vertical="center"/>
    </x:xf>
    <x:xf numFmtId="0" fontId="17" fillId="0" borderId="0" xfId="7" applyFont="1">
      <x:alignment vertical="center"/>
    </x:xf>
    <x:xf numFmtId="0" fontId="19" fillId="0" borderId="1" xfId="8" applyFont="1" applyFill="1" applyBorder="1" applyAlignment="1">
      <x:alignment vertical="center"/>
    </x:xf>
    <x:xf numFmtId="0" fontId="19" fillId="0" borderId="1" xfId="8" applyFont="1" applyFill="1" applyBorder="1" applyAlignment="1">
      <x:alignment horizontal="center" vertical="center"/>
    </x:xf>
    <x:xf numFmtId="0" fontId="20" fillId="0" borderId="1" xfId="7" applyFont="1" applyBorder="1">
      <x:alignment vertical="center"/>
    </x:xf>
    <x:xf numFmtId="0" fontId="16" fillId="0" borderId="1" xfId="7" applyFont="1" applyBorder="1">
      <x:alignment vertical="center"/>
    </x:xf>
    <x:xf numFmtId="0" fontId="19" fillId="0" borderId="1" xfId="0" applyFont="1" applyBorder="1" applyAlignment="1">
      <x:alignment horizontal="center" vertical="top"/>
    </x:xf>
    <x:xf numFmtId="0" fontId="19" fillId="0" borderId="1" xfId="0" applyFont="1" applyBorder="1" applyAlignment="1">
      <x:alignment horizontal="left" vertical="top"/>
    </x:xf>
    <x:xf numFmtId="0" fontId="19" fillId="0" borderId="1" xfId="0" applyFont="1" applyBorder="1" applyAlignment="1">
      <x:alignment horizontal="left" vertical="top" wrapText="1"/>
    </x:xf>
    <x:xf numFmtId="0" fontId="21" fillId="0" borderId="0" xfId="0" applyFont="1" applyAlignment="1">
      <x:alignment horizontal="center" vertical="top"/>
    </x:xf>
    <x:xf numFmtId="0" fontId="21" fillId="0" borderId="0" xfId="0" applyFont="1" applyAlignment="1">
      <x:alignment horizontal="left" vertical="top"/>
    </x:xf>
    <x:xf numFmtId="0" fontId="16" fillId="0" borderId="0" xfId="0" applyFont="1" applyAlignment="1">
      <x:alignment horizontal="left" vertical="top" wrapText="1"/>
    </x:xf>
    <x:xf numFmtId="0" fontId="22" fillId="0" borderId="0" xfId="7" applyFont="1" applyAlignment="1">
      <x:alignment horizontal="center" vertical="center"/>
    </x:xf>
    <x:xf numFmtId="0" fontId="5" fillId="0" borderId="0" xfId="2" applyFont="1" applyAlignment="1">
      <x:alignment horizontal="right" vertical="center"/>
    </x:xf>
    <x:xf numFmtId="0" fontId="4" fillId="0" borderId="0" xfId="1" applyFont="1" applyAlignment="1">
      <x:alignment horizontal="center" vertical="center" wrapText="1"/>
    </x:xf>
    <x:xf numFmtId="164" fontId="5" fillId="0" borderId="0" xfId="0" applyNumberFormat="1" applyFont="1" applyAlignment="1">
      <x:alignment horizontal="center" vertical="center"/>
    </x:xf>
    <x:xf numFmtId="164" fontId="5" fillId="0" borderId="0" xfId="0" applyNumberFormat="1" applyFont="1" applyAlignment="1">
      <x:alignment vertical="center"/>
    </x:xf>
    <x:xf numFmtId="0" fontId="3" fillId="2" borderId="0" xfId="0" applyFont="1" applyFill="1" applyAlignment="1">
      <x:alignment horizontal="center" vertical="center" wrapText="1"/>
    </x:xf>
    <x:xf numFmtId="0" fontId="8" fillId="2" borderId="0" xfId="0" applyFont="1" applyFill="1" applyAlignment="1">
      <x:alignment horizontal="center" vertical="center" wrapText="1"/>
    </x:xf>
    <x:xf numFmtId="164" fontId="3" fillId="2" borderId="0" xfId="0" applyNumberFormat="1" applyFont="1" applyFill="1" applyAlignment="1">
      <x:alignment horizontal="center" vertical="center" wrapText="1"/>
    </x:xf>
    <x:xf numFmtId="164" fontId="4" fillId="5" borderId="0" xfId="0" applyNumberFormat="1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right" vertical="center" wrapText="1"/>
    </x:xf>
    <x:xf numFmtId="0" fontId="16" fillId="9" borderId="0" xfId="0" applyFont="1" applyFill="1" applyAlignment="1">
      <x:alignment vertical="center"/>
    </x:xf>
    <x:xf numFmtId="0" fontId="11" fillId="5" borderId="0" xfId="0" applyFont="1" applyFill="1" applyAlignment="1">
      <x:alignment horizontal="center" vertical="center" wrapText="1"/>
    </x:xf>
    <x:xf numFmtId="0" fontId="12" fillId="8" borderId="0" xfId="0" applyFont="1" applyFill="1" applyAlignment="1">
      <x:alignment horizontal="center" vertical="center" wrapText="1"/>
    </x:xf>
    <x:xf numFmtId="0" fontId="13" fillId="9" borderId="0" xfId="0" applyFont="1" applyFill="1" applyAlignment="1">
      <x:alignment vertical="center" wrapText="1"/>
    </x:xf>
    <x:xf numFmtId="0" fontId="14" fillId="10" borderId="1" xfId="0" applyFont="1" applyFill="1" applyBorder="1" applyAlignment="1">
      <x:alignment horizontal="center" vertical="center"/>
    </x:xf>
    <x:xf numFmtId="0" fontId="14" fillId="5" borderId="0" xfId="0" applyFont="1" applyFill="1" applyAlignment="1">
      <x:alignment vertical="center"/>
    </x:xf>
    <x:xf numFmtId="0" fontId="14" fillId="9" borderId="1" xfId="0" applyFont="1" applyFill="1" applyBorder="1" applyAlignment="1">
      <x:alignment horizontal="center" vertical="center"/>
    </x:xf>
    <x:xf numFmtId="0" fontId="15" fillId="10" borderId="1" xfId="0" applyFont="1" applyFill="1" applyBorder="1" applyAlignment="1">
      <x:alignment horizontal="center" vertical="center"/>
    </x:xf>
    <x:xf numFmtId="0" fontId="0" fillId="9" borderId="0" xfId="0" applyFill="1"/>
    <x:xf numFmtId="0" fontId="20" fillId="6" borderId="1" xfId="0" applyFont="1" applyFill="1" applyBorder="1" applyAlignment="1">
      <x:alignment vertical="center"/>
    </x:xf>
    <x:xf numFmtId="0" fontId="20" fillId="6" borderId="1" xfId="0" applyFont="1" applyFill="1" applyBorder="1" applyAlignment="1">
      <x:alignment horizontal="center" vertical="center"/>
    </x:xf>
    <x:xf numFmtId="0" fontId="17" fillId="12" borderId="0" xfId="0" applyFont="1" applyFill="1" applyAlignment="1">
      <x:alignment horizontal="center" vertical="center"/>
    </x:xf>
    <x:xf numFmtId="0" fontId="22" fillId="7" borderId="0" xfId="0" applyFont="1" applyFill="1" applyAlignment="1">
      <x:alignment horizontal="center" vertical="center"/>
    </x:xf>
    <x:xf numFmtId="0" fontId="3" fillId="2" borderId="0" xfId="0" applyFont="1" applyFill="1" applyAlignment="1" applyProtection="1">
      <x:alignment horizontal="center" vertical="center" wrapText="1"/>
      <x:protection locked="0"/>
    </x:xf>
    <x:xf numFmtId="0" fontId="5" fillId="0" borderId="0" xfId="2" applyFont="1" applyAlignment="1" applyProtection="1">
      <x:alignment vertical="center"/>
      <x:protection locked="0"/>
    </x:xf>
    <x:xf numFmtId="164" fontId="3" fillId="3" borderId="0" xfId="0" applyNumberFormat="1" applyFont="1" applyFill="1" applyAlignment="1" applyProtection="1">
      <x:alignment horizontal="center" vertical="center" wrapText="1"/>
      <x:protection locked="0"/>
    </x:xf>
    <x:xf numFmtId="164" fontId="3" fillId="4" borderId="0" xfId="0" applyNumberFormat="1" applyFont="1" applyFill="1" applyAlignment="1" applyProtection="1">
      <x:alignment horizontal="center" vertical="center" wrapText="1"/>
      <x:protection locked="0"/>
    </x:xf>
    <x:xf numFmtId="164" fontId="5" fillId="0" borderId="0" xfId="0" applyNumberFormat="1" applyFont="1" applyAlignment="1" applyProtection="1">
      <x:alignment vertical="center"/>
      <x:protection locked="0"/>
    </x:xf>
    <x:xf numFmtId="164" fontId="4" fillId="5" borderId="0" xfId="0" applyNumberFormat="1" applyFont="1" applyFill="1" applyAlignment="1" applyProtection="1">
      <x:alignment horizontal="center" vertical="center" wrapText="1"/>
      <x:protection locked="0"/>
    </x:xf>
    <x:xf numFmtId="0" fontId="3" fillId="6" borderId="0" xfId="0" applyFont="1" applyFill="1" applyAlignment="1" applyProtection="1">
      <x:alignment horizontal="center" vertical="center" wrapText="1"/>
      <x:protection locked="0"/>
    </x:xf>
    <x:xf numFmtId="0" fontId="5" fillId="0" borderId="0" xfId="2" applyFont="1" applyAlignment="1" applyProtection="1">
      <x:alignment horizontal="center" vertical="center"/>
      <x:protection locked="0"/>
    </x:xf>
    <x:xf numFmtId="0" fontId="19" fillId="8" borderId="1" xfId="0" applyFont="1" applyFill="1" applyBorder="1" applyAlignment="1">
      <x:alignment horizontal="center" vertical="top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3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4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3" fillId="6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6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8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9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1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8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5">
    <x:cellStyle name="Comma 2" xfId="13" xr:uid="{E10D9FDB-20DE-48B4-8EC0-7BC04BCD7841}"/>
    <x:cellStyle name="Comma 2 2" xfId="11" xr:uid="{64725D1B-13C6-4AB0-9665-94C443150534}"/>
    <x:cellStyle name="Comma 3 2" xfId="3" xr:uid="{3560898D-4EE0-46D7-AA5F-D1E76649A006}"/>
    <x:cellStyle name="Comma 3 2 2" xfId="9" xr:uid="{DE1BA802-0771-4788-A6F4-9D30182DE490}"/>
    <x:cellStyle name="Comma 3 2 2 2" xfId="12" xr:uid="{3B59815C-0AF9-41A1-89EF-8D8B7F852D3C}"/>
    <x:cellStyle name="Normal" xfId="0" builtinId="0"/>
    <x:cellStyle name="Normal 11" xfId="6" xr:uid="{A9335861-4218-43F3-8E90-052A954401F7}"/>
    <x:cellStyle name="Normal 2" xfId="10" xr:uid="{4AE43548-A181-4128-AC71-89C704B9537B}"/>
    <x:cellStyle name="Normal 2 2" xfId="7" xr:uid="{209D6541-1D5D-41FF-9914-84311ABD526A}"/>
    <x:cellStyle name="Normal 2 2 2" xfId="14" xr:uid="{7EBF89D6-0537-4D1B-8D8F-F8073378D933}"/>
    <x:cellStyle name="Normal 20" xfId="1" xr:uid="{6B30181A-BEA1-49EA-A1CB-1DD8AA01EFBC}"/>
    <x:cellStyle name="Normal 3 3" xfId="2" xr:uid="{4944E16E-F5AE-46FA-96DA-4C1624514817}"/>
    <x:cellStyle name="Normal 3 3 2 2 4" xfId="4" xr:uid="{0283F1D2-E2AF-46B2-8BD0-66F066BBC833}"/>
    <x:cellStyle name="Percent 2" xfId="5" xr:uid="{9F9E1FFC-3908-42F0-BE49-02B86C648D42}"/>
    <x:cellStyle name="標準 2 2" xfId="8" xr:uid="{AC0D5CAA-1594-412F-B86B-57C06222F44F}"/>
  </x:cellStyles>
  <x:dxfs count="2">
    <x:dxf>
      <x:fill>
        <x:patternFill patternType="solid">
          <x:fgColor auto="1"/>
          <x:bgColor theme="2" tint="-0.099948118533890809"/>
        </x:patternFill>
      </x:fill>
    </x:dxf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colors>
    <x:mruColors>
      <x:color rgb="FF0000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550788-399E-4F4A-A0C3-8B94AA58D596}" mc:Ignorable="x14ac xr xr2 xr3">
  <x:sheetPr>
    <x:tabColor rgb="FFFFFF00"/>
    <x:outlinePr summaryBelow="1" summaryRight="1"/>
  </x:sheetPr>
  <x:dimension ref="A1:AI527"/>
  <x:sheetViews>
    <x:sheetView tabSelected="1" zoomScale="70" zoomScaleNormal="70" workbookViewId="0">
      <x:selection activeCell="C10" sqref="C10"/>
    </x:sheetView>
  </x:sheetViews>
  <x:sheetFormatPr defaultColWidth="11.285156" defaultRowHeight="15" customHeight="1"/>
  <x:cols>
    <x:col min="1" max="1" width="19.140625" style="46" customWidth="1"/>
    <x:col min="2" max="2" width="10" style="3" customWidth="1"/>
    <x:col min="3" max="3" width="21.285156" style="46" customWidth="1"/>
    <x:col min="4" max="4" width="9.285156" style="4" customWidth="1"/>
    <x:col min="5" max="5" width="30.285156" style="46" bestFit="1" customWidth="1"/>
    <x:col min="6" max="6" width="10.425781" style="4" customWidth="1"/>
    <x:col min="7" max="7" width="31" style="46" customWidth="1"/>
    <x:col min="8" max="8" width="37.710938" style="46" customWidth="1"/>
    <x:col min="9" max="9" width="7.710938" style="3" bestFit="1" customWidth="1"/>
    <x:col min="10" max="10" width="7.285156" style="25" bestFit="1" customWidth="1"/>
    <x:col min="11" max="16" width="14.710938" style="49" customWidth="1"/>
    <x:col min="17" max="17" width="17.710938" style="49" customWidth="1"/>
    <x:col min="18" max="28" width="14.710938" style="49" customWidth="1"/>
    <x:col min="29" max="29" width="14.710938" style="26" customWidth="1"/>
    <x:col min="30" max="30" width="19" style="26" customWidth="1"/>
    <x:col min="31" max="31" width="15.710938" style="49" customWidth="1"/>
    <x:col min="32" max="32" width="18.140625" style="49" customWidth="1"/>
    <x:col min="33" max="33" width="14.285156" style="52" bestFit="1" customWidth="1"/>
    <x:col min="34" max="34" width="22.425781" style="23" customWidth="1"/>
    <x:col min="35" max="16384" width="11.285156" style="2" customWidth="1"/>
  </x:cols>
  <x:sheetData>
    <x:row r="1" spans="1:35" s="1" customFormat="1" ht="57.75" customHeight="1">
      <x:c r="A1" s="54" t="s">
        <x:v>0</x:v>
      </x:c>
      <x:c r="B1" s="55" t="s">
        <x:v>1</x:v>
      </x:c>
      <x:c r="C1" s="54" t="s">
        <x:v>2</x:v>
      </x:c>
      <x:c r="D1" s="56" t="s">
        <x:v>3</x:v>
      </x:c>
      <x:c r="E1" s="54" t="s">
        <x:v>4</x:v>
      </x:c>
      <x:c r="F1" s="56" t="s">
        <x:v>5</x:v>
      </x:c>
      <x:c r="G1" s="54" t="s">
        <x:v>6</x:v>
      </x:c>
      <x:c r="H1" s="54" t="s">
        <x:v>7</x:v>
      </x:c>
      <x:c r="I1" s="55" t="s">
        <x:v>8</x:v>
      </x:c>
      <x:c r="J1" s="57" t="s">
        <x:v>9</x:v>
      </x:c>
      <x:c r="K1" s="58" t="s">
        <x:v>10</x:v>
      </x:c>
      <x:c r="L1" s="58" t="s">
        <x:v>11</x:v>
      </x:c>
      <x:c r="M1" s="58" t="s">
        <x:v>12</x:v>
      </x:c>
      <x:c r="N1" s="58" t="s">
        <x:v>13</x:v>
      </x:c>
      <x:c r="O1" s="58" t="s">
        <x:v>14</x:v>
      </x:c>
      <x:c r="P1" s="58" t="s">
        <x:v>15</x:v>
      </x:c>
      <x:c r="Q1" s="59" t="s">
        <x:v>16</x:v>
      </x:c>
      <x:c r="R1" s="59" t="s">
        <x:v>17</x:v>
      </x:c>
      <x:c r="S1" s="59" t="s">
        <x:v>18</x:v>
      </x:c>
      <x:c r="T1" s="59" t="s">
        <x:v>19</x:v>
      </x:c>
      <x:c r="U1" s="59" t="s">
        <x:v>20</x:v>
      </x:c>
      <x:c r="V1" s="59" t="s">
        <x:v>21</x:v>
      </x:c>
      <x:c r="W1" s="59" t="s">
        <x:v>22</x:v>
      </x:c>
      <x:c r="X1" s="59" t="s">
        <x:v>23</x:v>
      </x:c>
      <x:c r="Y1" s="59" t="s">
        <x:v>24</x:v>
      </x:c>
      <x:c r="Z1" s="59" t="s">
        <x:v>25</x:v>
      </x:c>
      <x:c r="AA1" s="59" t="s">
        <x:v>26</x:v>
      </x:c>
      <x:c r="AB1" s="59" t="s">
        <x:v>27</x:v>
      </x:c>
      <x:c r="AC1" s="60" t="s">
        <x:v>28</x:v>
      </x:c>
      <x:c r="AD1" s="60" t="s">
        <x:v>29</x:v>
      </x:c>
      <x:c r="AE1" s="61" t="s">
        <x:v>30</x:v>
      </x:c>
      <x:c r="AF1" s="61" t="s">
        <x:v>31</x:v>
      </x:c>
      <x:c r="AG1" s="62" t="s">
        <x:v>32</x:v>
      </x:c>
      <x:c r="AH1" s="63" t="s">
        <x:v>33</x:v>
      </x:c>
      <x:c r="AI1" s="24" t="s"/>
    </x:row>
    <x:row r="2" spans="1:35" ht="15" customHeight="1">
      <x:c r="A2" s="46" t="s">
        <x:v>34</x:v>
      </x:c>
      <x:c r="B2" s="3" t="s">
        <x:v>35</x:v>
      </x:c>
      <x:c r="C2" s="46" t="s">
        <x:v>36</x:v>
      </x:c>
      <x:c r="D2" s="4" t="s">
        <x:v>35</x:v>
      </x:c>
      <x:c r="E2" s="46" t="s">
        <x:v>36</x:v>
      </x:c>
      <x:c r="F2" s="4" t="s">
        <x:v>37</x:v>
      </x:c>
      <x:c r="G2" s="46" t="s">
        <x:v>38</x:v>
      </x:c>
      <x:c r="H2" s="46" t="s">
        <x:v>39</x:v>
      </x:c>
      <x:c r="I2" s="3" t="s">
        <x:v>40</x:v>
      </x:c>
      <x:c r="J2" s="25" t="s">
        <x:v>41</x:v>
      </x:c>
      <x:c r="K2" s="49" t="s"/>
      <x:c r="L2" s="49" t="s"/>
      <x:c r="M2" s="49" t="s"/>
      <x:c r="N2" s="49" t="n">
        <x:v>750000</x:v>
      </x:c>
      <x:c r="O2" s="49" t="s"/>
      <x:c r="P2" s="49" t="n">
        <x:v>750000</x:v>
      </x:c>
      <x:c r="Q2" s="49" t="s"/>
      <x:c r="R2" s="49" t="n">
        <x:v>1500000</x:v>
      </x:c>
      <x:c r="S2" s="49" t="s"/>
      <x:c r="T2" s="49" t="n">
        <x:v>750000</x:v>
      </x:c>
      <x:c r="U2" s="49" t="s"/>
      <x:c r="V2" s="49" t="n">
        <x:v>750000</x:v>
      </x:c>
      <x:c r="W2" s="49" t="s"/>
      <x:c r="X2" s="49" t="n">
        <x:v>750000</x:v>
      </x:c>
      <x:c r="Y2" s="49" t="s"/>
      <x:c r="Z2" s="49" t="n">
        <x:v>1500000</x:v>
      </x:c>
      <x:c r="AA2" s="49" t="s"/>
      <x:c r="AB2" s="49" t="n">
        <x:v>750000</x:v>
      </x:c>
      <x:c r="AC2" s="26" t="n">
        <x:v>1500000</x:v>
      </x:c>
      <x:c r="AD2" s="26" t="n">
        <x:v>6000000</x:v>
      </x:c>
      <x:c r="AE2" s="49" t="n">
        <x:v>6000000</x:v>
      </x:c>
      <x:c r="AF2" s="49" t="n">
        <x:v>6000000</x:v>
      </x:c>
      <x:c r="AG2" s="52" t="s">
        <x:v>42</x:v>
      </x:c>
      <x:c r="AH2" s="23" t="s">
        <x:v>43</x:v>
      </x:c>
    </x:row>
    <x:row r="3" spans="1:35" ht="15" customHeight="1">
      <x:c r="A3" s="46" t="s">
        <x:v>34</x:v>
      </x:c>
      <x:c r="B3" s="3" t="s">
        <x:v>35</x:v>
      </x:c>
      <x:c r="C3" s="46" t="s">
        <x:v>36</x:v>
      </x:c>
      <x:c r="D3" s="4" t="s">
        <x:v>35</x:v>
      </x:c>
      <x:c r="E3" s="46" t="s">
        <x:v>36</x:v>
      </x:c>
      <x:c r="F3" s="4" t="s">
        <x:v>44</x:v>
      </x:c>
      <x:c r="G3" s="46" t="s">
        <x:v>45</x:v>
      </x:c>
      <x:c r="H3" s="46" t="s">
        <x:v>46</x:v>
      </x:c>
      <x:c r="I3" s="3" t="s">
        <x:v>40</x:v>
      </x:c>
      <x:c r="J3" s="25" t="s">
        <x:v>41</x:v>
      </x:c>
      <x:c r="K3" s="49" t="s"/>
      <x:c r="L3" s="49" t="s"/>
      <x:c r="M3" s="49" t="s"/>
      <x:c r="N3" s="49" t="s"/>
      <x:c r="O3" s="49" t="s"/>
      <x:c r="P3" s="49" t="s"/>
      <x:c r="Q3" s="49" t="n">
        <x:v>25000000</x:v>
      </x:c>
      <x:c r="R3" s="49" t="s"/>
      <x:c r="S3" s="49" t="s"/>
      <x:c r="T3" s="49" t="s"/>
      <x:c r="U3" s="49" t="n">
        <x:v>15000000</x:v>
      </x:c>
      <x:c r="V3" s="49" t="s"/>
      <x:c r="W3" s="49" t="s"/>
      <x:c r="X3" s="49" t="s"/>
      <x:c r="Y3" s="49" t="s"/>
      <x:c r="Z3" s="49" t="n">
        <x:v>15000000</x:v>
      </x:c>
      <x:c r="AA3" s="49" t="s"/>
      <x:c r="AB3" s="49" t="s"/>
      <x:c r="AC3" s="26" t="s"/>
      <x:c r="AD3" s="26" t="n">
        <x:v>55000000</x:v>
      </x:c>
      <x:c r="AE3" s="49" t="n">
        <x:v>20000000</x:v>
      </x:c>
      <x:c r="AF3" s="49" t="n">
        <x:v>20000000</x:v>
      </x:c>
      <x:c r="AG3" s="52" t="s">
        <x:v>42</x:v>
      </x:c>
      <x:c r="AH3" s="23" t="s">
        <x:v>47</x:v>
      </x:c>
    </x:row>
    <x:row r="4" spans="1:35" ht="15" customHeight="1">
      <x:c r="A4" s="46" t="s">
        <x:v>34</x:v>
      </x:c>
      <x:c r="B4" s="3" t="s">
        <x:v>35</x:v>
      </x:c>
      <x:c r="C4" s="46" t="s">
        <x:v>36</x:v>
      </x:c>
      <x:c r="D4" s="4" t="s">
        <x:v>35</x:v>
      </x:c>
      <x:c r="E4" s="46" t="s">
        <x:v>36</x:v>
      </x:c>
      <x:c r="F4" s="4" t="s">
        <x:v>48</x:v>
      </x:c>
      <x:c r="G4" s="46" t="s">
        <x:v>49</x:v>
      </x:c>
      <x:c r="H4" s="46" t="s">
        <x:v>50</x:v>
      </x:c>
      <x:c r="I4" s="3" t="s">
        <x:v>40</x:v>
      </x:c>
      <x:c r="J4" s="25" t="s">
        <x:v>41</x:v>
      </x:c>
      <x:c r="K4" s="49" t="s"/>
      <x:c r="L4" s="49" t="s"/>
      <x:c r="M4" s="49" t="s"/>
      <x:c r="N4" s="49" t="n">
        <x:v>4200000</x:v>
      </x:c>
      <x:c r="O4" s="49" t="s"/>
      <x:c r="P4" s="49" t="s"/>
      <x:c r="Q4" s="49" t="n">
        <x:v>500000</x:v>
      </x:c>
      <x:c r="R4" s="49" t="s"/>
      <x:c r="S4" s="49" t="n">
        <x:v>500000</x:v>
      </x:c>
      <x:c r="T4" s="49" t="s"/>
      <x:c r="U4" s="49" t="s"/>
      <x:c r="V4" s="49" t="n">
        <x:v>1000000</x:v>
      </x:c>
      <x:c r="W4" s="49" t="s"/>
      <x:c r="X4" s="49" t="s"/>
      <x:c r="Y4" s="49" t="n">
        <x:v>500000</x:v>
      </x:c>
      <x:c r="Z4" s="49" t="s"/>
      <x:c r="AA4" s="49" t="s"/>
      <x:c r="AB4" s="49" t="n">
        <x:v>1000000</x:v>
      </x:c>
      <x:c r="AC4" s="26" t="n">
        <x:v>4200000</x:v>
      </x:c>
      <x:c r="AD4" s="26" t="n">
        <x:v>3500000</x:v>
      </x:c>
      <x:c r="AE4" s="49" t="n">
        <x:v>3500000</x:v>
      </x:c>
      <x:c r="AF4" s="49" t="n">
        <x:v>3500000</x:v>
      </x:c>
      <x:c r="AG4" s="52" t="s">
        <x:v>42</x:v>
      </x:c>
      <x:c r="AH4" s="23" t="s">
        <x:v>51</x:v>
      </x:c>
    </x:row>
    <x:row r="5" spans="1:35" ht="15" customHeight="1">
      <x:c r="A5" s="46" t="s">
        <x:v>34</x:v>
      </x:c>
      <x:c r="B5" s="3" t="s">
        <x:v>35</x:v>
      </x:c>
      <x:c r="C5" s="46" t="s">
        <x:v>36</x:v>
      </x:c>
      <x:c r="D5" s="4" t="s">
        <x:v>52</x:v>
      </x:c>
      <x:c r="E5" s="46" t="s">
        <x:v>53</x:v>
      </x:c>
      <x:c r="F5" s="4" t="s">
        <x:v>54</x:v>
      </x:c>
      <x:c r="G5" s="46" t="s">
        <x:v>55</x:v>
      </x:c>
      <x:c r="H5" s="46" t="s">
        <x:v>56</x:v>
      </x:c>
      <x:c r="I5" s="3" t="s">
        <x:v>57</x:v>
      </x:c>
      <x:c r="J5" s="25" t="s">
        <x:v>58</x:v>
      </x:c>
      <x:c r="K5" s="49" t="s"/>
      <x:c r="L5" s="49" t="s"/>
      <x:c r="M5" s="49" t="n">
        <x:v>1941981</x:v>
      </x:c>
      <x:c r="N5" s="49" t="n">
        <x:v>1941981</x:v>
      </x:c>
      <x:c r="O5" s="49" t="n">
        <x:v>1941981</x:v>
      </x:c>
      <x:c r="P5" s="49" t="n">
        <x:v>1941981</x:v>
      </x:c>
      <x:c r="Q5" s="49" t="n">
        <x:v>2373532</x:v>
      </x:c>
      <x:c r="R5" s="49" t="n">
        <x:v>2373532</x:v>
      </x:c>
      <x:c r="S5" s="49" t="n">
        <x:v>2373532</x:v>
      </x:c>
      <x:c r="T5" s="49" t="n">
        <x:v>2373532</x:v>
      </x:c>
      <x:c r="U5" s="49" t="n">
        <x:v>2373532</x:v>
      </x:c>
      <x:c r="V5" s="49" t="n">
        <x:v>2373532</x:v>
      </x:c>
      <x:c r="W5" s="49" t="n">
        <x:v>2373532</x:v>
      </x:c>
      <x:c r="X5" s="49" t="n">
        <x:v>2373532</x:v>
      </x:c>
      <x:c r="Y5" s="49" t="n">
        <x:v>2373532</x:v>
      </x:c>
      <x:c r="Z5" s="49" t="n">
        <x:v>2373532</x:v>
      </x:c>
      <x:c r="AA5" s="49" t="n">
        <x:v>2373532</x:v>
      </x:c>
      <x:c r="AB5" s="49" t="n">
        <x:v>2373532</x:v>
      </x:c>
      <x:c r="AC5" s="26" t="n">
        <x:v>7767924</x:v>
      </x:c>
      <x:c r="AD5" s="26" t="n">
        <x:v>28482384</x:v>
      </x:c>
      <x:c r="AE5" s="49" t="n">
        <x:v>28482382</x:v>
      </x:c>
      <x:c r="AF5" s="49" t="n">
        <x:v>28482382</x:v>
      </x:c>
      <x:c r="AG5" s="52" t="s">
        <x:v>42</x:v>
      </x:c>
      <x:c r="AH5" s="23" t="s">
        <x:v>59</x:v>
      </x:c>
    </x:row>
    <x:row r="6" spans="1:35" ht="15" customHeight="1">
      <x:c r="A6" s="46" t="s">
        <x:v>34</x:v>
      </x:c>
      <x:c r="B6" s="3" t="s">
        <x:v>35</x:v>
      </x:c>
      <x:c r="C6" s="46" t="s">
        <x:v>36</x:v>
      </x:c>
      <x:c r="D6" s="4" t="s">
        <x:v>60</x:v>
      </x:c>
      <x:c r="E6" s="46" t="s">
        <x:v>61</x:v>
      </x:c>
      <x:c r="F6" s="4" t="s">
        <x:v>54</x:v>
      </x:c>
      <x:c r="G6" s="46" t="s">
        <x:v>55</x:v>
      </x:c>
      <x:c r="H6" s="46" t="s">
        <x:v>56</x:v>
      </x:c>
      <x:c r="I6" s="3" t="s">
        <x:v>62</x:v>
      </x:c>
      <x:c r="J6" s="25" t="s">
        <x:v>58</x:v>
      </x:c>
      <x:c r="K6" s="49" t="s"/>
      <x:c r="L6" s="49" t="s"/>
      <x:c r="M6" s="49" t="n">
        <x:v>431551</x:v>
      </x:c>
      <x:c r="N6" s="49" t="n">
        <x:v>431551</x:v>
      </x:c>
      <x:c r="O6" s="49" t="n">
        <x:v>431551</x:v>
      </x:c>
      <x:c r="P6" s="49" t="n">
        <x:v>431551</x:v>
      </x:c>
      <x:c r="Q6" s="49" t="n">
        <x:v>431551</x:v>
      </x:c>
      <x:c r="R6" s="49" t="n">
        <x:v>431551</x:v>
      </x:c>
      <x:c r="S6" s="49" t="n">
        <x:v>431551</x:v>
      </x:c>
      <x:c r="T6" s="49" t="n">
        <x:v>431551</x:v>
      </x:c>
      <x:c r="U6" s="49" t="n">
        <x:v>431551</x:v>
      </x:c>
      <x:c r="V6" s="49" t="n">
        <x:v>431551</x:v>
      </x:c>
      <x:c r="W6" s="49" t="n">
        <x:v>431551</x:v>
      </x:c>
      <x:c r="X6" s="49" t="n">
        <x:v>431551</x:v>
      </x:c>
      <x:c r="Y6" s="49" t="n">
        <x:v>431551</x:v>
      </x:c>
      <x:c r="Z6" s="49" t="n">
        <x:v>431551</x:v>
      </x:c>
      <x:c r="AA6" s="49" t="n">
        <x:v>431551</x:v>
      </x:c>
      <x:c r="AB6" s="49" t="n">
        <x:v>431551</x:v>
      </x:c>
      <x:c r="AC6" s="26" t="n">
        <x:v>1726204</x:v>
      </x:c>
      <x:c r="AD6" s="26" t="n">
        <x:v>5178612</x:v>
      </x:c>
      <x:c r="AE6" s="49" t="n">
        <x:v>5178615</x:v>
      </x:c>
      <x:c r="AF6" s="49" t="n">
        <x:v>5178615</x:v>
      </x:c>
      <x:c r="AG6" s="52" t="s">
        <x:v>42</x:v>
      </x:c>
      <x:c r="AH6" s="23" t="s">
        <x:v>63</x:v>
      </x:c>
    </x:row>
    <x:row r="7" spans="1:35" ht="15" customHeight="1">
      <x:c r="A7" s="46" t="s">
        <x:v>34</x:v>
      </x:c>
      <x:c r="B7" s="3" t="s">
        <x:v>35</x:v>
      </x:c>
      <x:c r="C7" s="46" t="s">
        <x:v>36</x:v>
      </x:c>
      <x:c r="D7" s="4" t="s">
        <x:v>64</x:v>
      </x:c>
      <x:c r="E7" s="46" t="s">
        <x:v>65</x:v>
      </x:c>
      <x:c r="F7" s="4" t="s">
        <x:v>54</x:v>
      </x:c>
      <x:c r="G7" s="46" t="s">
        <x:v>55</x:v>
      </x:c>
      <x:c r="H7" s="46" t="s">
        <x:v>56</x:v>
      </x:c>
      <x:c r="I7" s="3" t="s">
        <x:v>57</x:v>
      </x:c>
      <x:c r="J7" s="25" t="s">
        <x:v>58</x:v>
      </x:c>
      <x:c r="K7" s="49" t="s"/>
      <x:c r="L7" s="49" t="s"/>
      <x:c r="M7" s="49" t="n">
        <x:v>2589307</x:v>
      </x:c>
      <x:c r="N7" s="49" t="n">
        <x:v>2589307</x:v>
      </x:c>
      <x:c r="O7" s="49" t="n">
        <x:v>2589307</x:v>
      </x:c>
      <x:c r="P7" s="49" t="n">
        <x:v>2589307</x:v>
      </x:c>
      <x:c r="Q7" s="49" t="n">
        <x:v>2589307</x:v>
      </x:c>
      <x:c r="R7" s="49" t="n">
        <x:v>2589307</x:v>
      </x:c>
      <x:c r="S7" s="49" t="n">
        <x:v>2589307</x:v>
      </x:c>
      <x:c r="T7" s="49" t="n">
        <x:v>2589307</x:v>
      </x:c>
      <x:c r="U7" s="49" t="n">
        <x:v>2589307</x:v>
      </x:c>
      <x:c r="V7" s="49" t="n">
        <x:v>2589307</x:v>
      </x:c>
      <x:c r="W7" s="49" t="n">
        <x:v>2589307</x:v>
      </x:c>
      <x:c r="X7" s="49" t="n">
        <x:v>2589307</x:v>
      </x:c>
      <x:c r="Y7" s="49" t="n">
        <x:v>2589307</x:v>
      </x:c>
      <x:c r="Z7" s="49" t="n">
        <x:v>2589307</x:v>
      </x:c>
      <x:c r="AA7" s="49" t="n">
        <x:v>2589307</x:v>
      </x:c>
      <x:c r="AB7" s="49" t="n">
        <x:v>2589307</x:v>
      </x:c>
      <x:c r="AC7" s="26" t="n">
        <x:v>10357228</x:v>
      </x:c>
      <x:c r="AD7" s="26" t="n">
        <x:v>31071684</x:v>
      </x:c>
      <x:c r="AE7" s="49" t="n">
        <x:v>31071689</x:v>
      </x:c>
      <x:c r="AF7" s="49" t="n">
        <x:v>31071689</x:v>
      </x:c>
      <x:c r="AG7" s="52" t="s">
        <x:v>42</x:v>
      </x:c>
      <x:c r="AH7" s="23" t="s">
        <x:v>66</x:v>
      </x:c>
    </x:row>
    <x:row r="8" spans="1:35" ht="15" customHeight="1">
      <x:c r="A8" s="46" t="s">
        <x:v>34</x:v>
      </x:c>
      <x:c r="B8" s="3" t="s">
        <x:v>35</x:v>
      </x:c>
      <x:c r="C8" s="46" t="s">
        <x:v>36</x:v>
      </x:c>
      <x:c r="D8" s="4" t="s">
        <x:v>67</x:v>
      </x:c>
      <x:c r="E8" s="46" t="s">
        <x:v>68</x:v>
      </x:c>
      <x:c r="F8" s="4" t="s">
        <x:v>54</x:v>
      </x:c>
      <x:c r="G8" s="46" t="s">
        <x:v>55</x:v>
      </x:c>
      <x:c r="H8" s="46" t="s">
        <x:v>56</x:v>
      </x:c>
      <x:c r="I8" s="3" t="s">
        <x:v>57</x:v>
      </x:c>
      <x:c r="J8" s="25" t="s">
        <x:v>58</x:v>
      </x:c>
      <x:c r="K8" s="49" t="s"/>
      <x:c r="L8" s="49" t="s"/>
      <x:c r="M8" s="49" t="n">
        <x:v>1941981</x:v>
      </x:c>
      <x:c r="N8" s="49" t="n">
        <x:v>1941981</x:v>
      </x:c>
      <x:c r="O8" s="49" t="n">
        <x:v>1941981</x:v>
      </x:c>
      <x:c r="P8" s="49" t="n">
        <x:v>1941981</x:v>
      </x:c>
      <x:c r="Q8" s="49" t="n">
        <x:v>1941981</x:v>
      </x:c>
      <x:c r="R8" s="49" t="n">
        <x:v>1941981</x:v>
      </x:c>
      <x:c r="S8" s="49" t="n">
        <x:v>1941981</x:v>
      </x:c>
      <x:c r="T8" s="49" t="n">
        <x:v>1941981</x:v>
      </x:c>
      <x:c r="U8" s="49" t="n">
        <x:v>1941981</x:v>
      </x:c>
      <x:c r="V8" s="49" t="n">
        <x:v>1941981</x:v>
      </x:c>
      <x:c r="W8" s="49" t="n">
        <x:v>1941981</x:v>
      </x:c>
      <x:c r="X8" s="49" t="n">
        <x:v>1941981</x:v>
      </x:c>
      <x:c r="Y8" s="49" t="n">
        <x:v>1941981</x:v>
      </x:c>
      <x:c r="Z8" s="49" t="n">
        <x:v>1941981</x:v>
      </x:c>
      <x:c r="AA8" s="49" t="n">
        <x:v>1941981</x:v>
      </x:c>
      <x:c r="AB8" s="49" t="n">
        <x:v>1941981</x:v>
      </x:c>
      <x:c r="AC8" s="26" t="n">
        <x:v>7767924</x:v>
      </x:c>
      <x:c r="AD8" s="26" t="n">
        <x:v>23303772</x:v>
      </x:c>
      <x:c r="AE8" s="49" t="n">
        <x:v>23303767</x:v>
      </x:c>
      <x:c r="AF8" s="49" t="n">
        <x:v>23303767</x:v>
      </x:c>
      <x:c r="AG8" s="52" t="s">
        <x:v>42</x:v>
      </x:c>
      <x:c r="AH8" s="23" t="s">
        <x:v>69</x:v>
      </x:c>
    </x:row>
    <x:row r="9" spans="1:35" ht="15" customHeight="1">
      <x:c r="A9" s="46" t="s">
        <x:v>34</x:v>
      </x:c>
      <x:c r="B9" s="3" t="s">
        <x:v>35</x:v>
      </x:c>
      <x:c r="C9" s="46" t="s">
        <x:v>36</x:v>
      </x:c>
      <x:c r="D9" s="4" t="s">
        <x:v>70</x:v>
      </x:c>
      <x:c r="E9" s="46" t="s">
        <x:v>71</x:v>
      </x:c>
      <x:c r="F9" s="4" t="s">
        <x:v>54</x:v>
      </x:c>
      <x:c r="G9" s="46" t="s">
        <x:v>55</x:v>
      </x:c>
      <x:c r="H9" s="46" t="s">
        <x:v>56</x:v>
      </x:c>
      <x:c r="I9" s="3" t="s">
        <x:v>40</x:v>
      </x:c>
      <x:c r="J9" s="25" t="s">
        <x:v>41</x:v>
      </x:c>
      <x:c r="K9" s="49" t="s"/>
      <x:c r="L9" s="49" t="s"/>
      <x:c r="M9" s="49" t="n">
        <x:v>431551</x:v>
      </x:c>
      <x:c r="N9" s="49" t="n">
        <x:v>431551</x:v>
      </x:c>
      <x:c r="O9" s="49" t="n">
        <x:v>431551</x:v>
      </x:c>
      <x:c r="P9" s="49" t="n">
        <x:v>431551</x:v>
      </x:c>
      <x:c r="Q9" s="49" t="n">
        <x:v>431551</x:v>
      </x:c>
      <x:c r="R9" s="49" t="n">
        <x:v>431551</x:v>
      </x:c>
      <x:c r="S9" s="49" t="n">
        <x:v>431551</x:v>
      </x:c>
      <x:c r="T9" s="49" t="n">
        <x:v>431551</x:v>
      </x:c>
      <x:c r="U9" s="49" t="n">
        <x:v>431551</x:v>
      </x:c>
      <x:c r="V9" s="49" t="n">
        <x:v>431551</x:v>
      </x:c>
      <x:c r="W9" s="49" t="n">
        <x:v>431551</x:v>
      </x:c>
      <x:c r="X9" s="49" t="n">
        <x:v>431551</x:v>
      </x:c>
      <x:c r="Y9" s="49" t="n">
        <x:v>431551</x:v>
      </x:c>
      <x:c r="Z9" s="49" t="n">
        <x:v>431551</x:v>
      </x:c>
      <x:c r="AA9" s="49" t="n">
        <x:v>431551</x:v>
      </x:c>
      <x:c r="AB9" s="49" t="n">
        <x:v>431551</x:v>
      </x:c>
      <x:c r="AC9" s="26" t="n">
        <x:v>1726204</x:v>
      </x:c>
      <x:c r="AD9" s="26" t="n">
        <x:v>5178612</x:v>
      </x:c>
      <x:c r="AE9" s="49" t="n">
        <x:v>5178615</x:v>
      </x:c>
      <x:c r="AF9" s="49" t="n">
        <x:v>5178615</x:v>
      </x:c>
      <x:c r="AG9" s="52" t="s">
        <x:v>42</x:v>
      </x:c>
      <x:c r="AH9" s="23" t="s">
        <x:v>72</x:v>
      </x:c>
    </x:row>
    <x:row r="10" spans="1:35" s="0" customFormat="1" ht="15" customHeight="1">
      <x:c r="A10" s="0" t="s">
        <x:v>34</x:v>
      </x:c>
      <x:c r="B10" s="0" t="s">
        <x:v>35</x:v>
      </x:c>
      <x:c r="C10" s="0" t="s">
        <x:v>36</x:v>
      </x:c>
      <x:c r="D10" s="0" t="s">
        <x:v>73</x:v>
      </x:c>
      <x:c r="E10" s="0" t="s">
        <x:v>74</x:v>
      </x:c>
      <x:c r="F10" s="0" t="s">
        <x:v>54</x:v>
      </x:c>
      <x:c r="G10" s="0" t="s">
        <x:v>55</x:v>
      </x:c>
      <x:c r="H10" s="0" t="s">
        <x:v>56</x:v>
      </x:c>
      <x:c r="I10" s="0" t="s">
        <x:v>40</x:v>
      </x:c>
      <x:c r="J10" s="0" t="s">
        <x:v>41</x:v>
      </x:c>
      <x:c r="K10" s="0" t="s"/>
      <x:c r="L10" s="0" t="s"/>
      <x:c r="M10" s="0" t="n">
        <x:v>431551</x:v>
      </x:c>
      <x:c r="N10" s="0" t="n">
        <x:v>431551</x:v>
      </x:c>
      <x:c r="O10" s="0" t="n">
        <x:v>431551</x:v>
      </x:c>
      <x:c r="P10" s="0" t="n">
        <x:v>431551</x:v>
      </x:c>
      <x:c r="Q10" s="0" t="n">
        <x:v>431551</x:v>
      </x:c>
      <x:c r="R10" s="0" t="n">
        <x:v>431551</x:v>
      </x:c>
      <x:c r="S10" s="0" t="n">
        <x:v>431551</x:v>
      </x:c>
      <x:c r="T10" s="0" t="n">
        <x:v>431551</x:v>
      </x:c>
      <x:c r="U10" s="0" t="n">
        <x:v>431551</x:v>
      </x:c>
      <x:c r="V10" s="0" t="n">
        <x:v>431551</x:v>
      </x:c>
      <x:c r="W10" s="0" t="n">
        <x:v>431551</x:v>
      </x:c>
      <x:c r="X10" s="0" t="n">
        <x:v>431551</x:v>
      </x:c>
      <x:c r="Y10" s="0" t="n">
        <x:v>431551</x:v>
      </x:c>
      <x:c r="Z10" s="0" t="n">
        <x:v>431551</x:v>
      </x:c>
      <x:c r="AA10" s="0" t="n">
        <x:v>431551</x:v>
      </x:c>
      <x:c r="AB10" s="0" t="n">
        <x:v>431551</x:v>
      </x:c>
      <x:c r="AC10" s="0" t="n">
        <x:v>1726204</x:v>
      </x:c>
      <x:c r="AD10" s="0" t="n">
        <x:v>5178612</x:v>
      </x:c>
      <x:c r="AE10" s="0" t="n">
        <x:v>5178615</x:v>
      </x:c>
      <x:c r="AF10" s="0" t="n">
        <x:v>5178615</x:v>
      </x:c>
      <x:c r="AG10" s="0" t="s">
        <x:v>42</x:v>
      </x:c>
      <x:c r="AH10" s="0" t="s">
        <x:v>75</x:v>
      </x:c>
      <x:c r="AI10" s="0" t="s"/>
    </x:row>
    <x:row r="11" spans="1:35" ht="15" customHeight="1">
      <x:c r="A11" s="46" t="s">
        <x:v>34</x:v>
      </x:c>
      <x:c r="B11" s="3" t="s">
        <x:v>35</x:v>
      </x:c>
      <x:c r="C11" s="46" t="s">
        <x:v>36</x:v>
      </x:c>
      <x:c r="D11" s="4" t="s">
        <x:v>76</x:v>
      </x:c>
      <x:c r="E11" s="46" t="s">
        <x:v>77</x:v>
      </x:c>
      <x:c r="F11" s="4" t="s">
        <x:v>54</x:v>
      </x:c>
      <x:c r="G11" s="46" t="s">
        <x:v>55</x:v>
      </x:c>
      <x:c r="H11" s="46" t="s">
        <x:v>56</x:v>
      </x:c>
      <x:c r="I11" s="3" t="s">
        <x:v>40</x:v>
      </x:c>
      <x:c r="J11" s="25" t="s">
        <x:v>41</x:v>
      </x:c>
      <x:c r="K11" s="49" t="s"/>
      <x:c r="L11" s="49" t="s"/>
      <x:c r="M11" s="49" t="n">
        <x:v>2589307</x:v>
      </x:c>
      <x:c r="N11" s="49" t="n">
        <x:v>2589307</x:v>
      </x:c>
      <x:c r="O11" s="49" t="n">
        <x:v>2589307</x:v>
      </x:c>
      <x:c r="P11" s="49" t="n">
        <x:v>2589307</x:v>
      </x:c>
      <x:c r="Q11" s="49" t="n">
        <x:v>2589307</x:v>
      </x:c>
      <x:c r="R11" s="49" t="n">
        <x:v>2589307</x:v>
      </x:c>
      <x:c r="S11" s="49" t="n">
        <x:v>2589307</x:v>
      </x:c>
      <x:c r="T11" s="49" t="n">
        <x:v>2589307</x:v>
      </x:c>
      <x:c r="U11" s="49" t="n">
        <x:v>2589307</x:v>
      </x:c>
      <x:c r="V11" s="49" t="n">
        <x:v>2589307</x:v>
      </x:c>
      <x:c r="W11" s="49" t="n">
        <x:v>2589307</x:v>
      </x:c>
      <x:c r="X11" s="49" t="n">
        <x:v>2589307</x:v>
      </x:c>
      <x:c r="Y11" s="49" t="n">
        <x:v>2589307</x:v>
      </x:c>
      <x:c r="Z11" s="49" t="n">
        <x:v>2589307</x:v>
      </x:c>
      <x:c r="AA11" s="49" t="n">
        <x:v>2589307</x:v>
      </x:c>
      <x:c r="AB11" s="49" t="n">
        <x:v>2589307</x:v>
      </x:c>
      <x:c r="AC11" s="26" t="n">
        <x:v>10357228</x:v>
      </x:c>
      <x:c r="AD11" s="26" t="n">
        <x:v>31071684</x:v>
      </x:c>
      <x:c r="AE11" s="49" t="n">
        <x:v>31071689</x:v>
      </x:c>
      <x:c r="AF11" s="49" t="n">
        <x:v>31071689</x:v>
      </x:c>
      <x:c r="AG11" s="52" t="s">
        <x:v>42</x:v>
      </x:c>
      <x:c r="AH11" s="23" t="s">
        <x:v>78</x:v>
      </x:c>
    </x:row>
    <x:row r="12" spans="1:35" ht="15" customHeight="1">
      <x:c r="A12" s="46" t="s">
        <x:v>34</x:v>
      </x:c>
      <x:c r="B12" s="3" t="s">
        <x:v>35</x:v>
      </x:c>
      <x:c r="C12" s="46" t="s">
        <x:v>36</x:v>
      </x:c>
      <x:c r="D12" s="4" t="s">
        <x:v>79</x:v>
      </x:c>
      <x:c r="E12" s="46" t="s">
        <x:v>80</x:v>
      </x:c>
      <x:c r="F12" s="4" t="s">
        <x:v>54</x:v>
      </x:c>
      <x:c r="G12" s="46" t="s">
        <x:v>55</x:v>
      </x:c>
      <x:c r="H12" s="46" t="s">
        <x:v>56</x:v>
      </x:c>
      <x:c r="I12" s="3" t="s">
        <x:v>40</x:v>
      </x:c>
      <x:c r="J12" s="25" t="s">
        <x:v>41</x:v>
      </x:c>
      <x:c r="K12" s="49" t="s"/>
      <x:c r="L12" s="49" t="s"/>
      <x:c r="M12" s="49" t="n">
        <x:v>3020859</x:v>
      </x:c>
      <x:c r="N12" s="49" t="n">
        <x:v>3020859</x:v>
      </x:c>
      <x:c r="O12" s="49" t="n">
        <x:v>3020859</x:v>
      </x:c>
      <x:c r="P12" s="49" t="n">
        <x:v>3020859</x:v>
      </x:c>
      <x:c r="Q12" s="49" t="n">
        <x:v>3020859</x:v>
      </x:c>
      <x:c r="R12" s="49" t="n">
        <x:v>3020859</x:v>
      </x:c>
      <x:c r="S12" s="49" t="n">
        <x:v>3020859</x:v>
      </x:c>
      <x:c r="T12" s="49" t="n">
        <x:v>3020859</x:v>
      </x:c>
      <x:c r="U12" s="49" t="n">
        <x:v>3020859</x:v>
      </x:c>
      <x:c r="V12" s="49" t="n">
        <x:v>3020859</x:v>
      </x:c>
      <x:c r="W12" s="49" t="n">
        <x:v>3020859</x:v>
      </x:c>
      <x:c r="X12" s="49" t="n">
        <x:v>3020859</x:v>
      </x:c>
      <x:c r="Y12" s="49" t="n">
        <x:v>3020859</x:v>
      </x:c>
      <x:c r="Z12" s="49" t="n">
        <x:v>3020859</x:v>
      </x:c>
      <x:c r="AA12" s="49" t="n">
        <x:v>3020859</x:v>
      </x:c>
      <x:c r="AB12" s="49" t="n">
        <x:v>3020859</x:v>
      </x:c>
      <x:c r="AC12" s="26" t="n">
        <x:v>12083436</x:v>
      </x:c>
      <x:c r="AD12" s="26" t="n">
        <x:v>36250308</x:v>
      </x:c>
      <x:c r="AE12" s="49" t="n">
        <x:v>36250304</x:v>
      </x:c>
      <x:c r="AF12" s="49" t="n">
        <x:v>36250304</x:v>
      </x:c>
      <x:c r="AG12" s="52" t="s">
        <x:v>42</x:v>
      </x:c>
      <x:c r="AH12" s="23" t="s">
        <x:v>81</x:v>
      </x:c>
    </x:row>
    <x:row r="13" spans="1:35" ht="15" customHeight="1">
      <x:c r="A13" s="46" t="s">
        <x:v>34</x:v>
      </x:c>
      <x:c r="B13" s="3" t="s">
        <x:v>35</x:v>
      </x:c>
      <x:c r="C13" s="46" t="s">
        <x:v>36</x:v>
      </x:c>
      <x:c r="D13" s="4" t="s">
        <x:v>82</x:v>
      </x:c>
      <x:c r="E13" s="46" t="s">
        <x:v>83</x:v>
      </x:c>
      <x:c r="F13" s="4" t="s">
        <x:v>54</x:v>
      </x:c>
      <x:c r="G13" s="46" t="s">
        <x:v>55</x:v>
      </x:c>
      <x:c r="H13" s="46" t="s">
        <x:v>56</x:v>
      </x:c>
      <x:c r="I13" s="3" t="s">
        <x:v>57</x:v>
      </x:c>
      <x:c r="J13" s="25" t="s">
        <x:v>58</x:v>
      </x:c>
      <x:c r="K13" s="49" t="s"/>
      <x:c r="L13" s="49" t="s"/>
      <x:c r="M13" s="49" t="n">
        <x:v>431551</x:v>
      </x:c>
      <x:c r="N13" s="49" t="n">
        <x:v>431551</x:v>
      </x:c>
      <x:c r="O13" s="49" t="n">
        <x:v>431551</x:v>
      </x:c>
      <x:c r="P13" s="49" t="n">
        <x:v>431551</x:v>
      </x:c>
      <x:c r="Q13" s="49" t="s"/>
      <x:c r="R13" s="49" t="s"/>
      <x:c r="S13" s="49" t="s"/>
      <x:c r="T13" s="49" t="s"/>
      <x:c r="U13" s="49" t="s"/>
      <x:c r="V13" s="49" t="s"/>
      <x:c r="W13" s="49" t="s"/>
      <x:c r="X13" s="49" t="s"/>
      <x:c r="Y13" s="49" t="s"/>
      <x:c r="Z13" s="49" t="s"/>
      <x:c r="AA13" s="49" t="s"/>
      <x:c r="AB13" s="49" t="s"/>
      <x:c r="AC13" s="26" t="n">
        <x:v>1726204</x:v>
      </x:c>
      <x:c r="AD13" s="26" t="s"/>
      <x:c r="AE13" s="49" t="s"/>
      <x:c r="AF13" s="49" t="s"/>
      <x:c r="AG13" s="52" t="s">
        <x:v>42</x:v>
      </x:c>
      <x:c r="AH13" s="23" t="s">
        <x:v>84</x:v>
      </x:c>
    </x:row>
    <x:row r="14" spans="1:35" ht="15" customHeight="1">
      <x:c r="A14" s="46" t="s">
        <x:v>34</x:v>
      </x:c>
      <x:c r="B14" s="3" t="s">
        <x:v>35</x:v>
      </x:c>
      <x:c r="C14" s="46" t="s">
        <x:v>36</x:v>
      </x:c>
      <x:c r="D14" s="4" t="s">
        <x:v>85</x:v>
      </x:c>
      <x:c r="E14" s="46" t="s">
        <x:v>86</x:v>
      </x:c>
      <x:c r="F14" s="4" t="s">
        <x:v>54</x:v>
      </x:c>
      <x:c r="G14" s="46" t="s">
        <x:v>55</x:v>
      </x:c>
      <x:c r="H14" s="46" t="s">
        <x:v>56</x:v>
      </x:c>
      <x:c r="I14" s="3" t="s">
        <x:v>57</x:v>
      </x:c>
      <x:c r="J14" s="25" t="s">
        <x:v>58</x:v>
      </x:c>
      <x:c r="K14" s="49" t="s"/>
      <x:c r="L14" s="49" t="s"/>
      <x:c r="M14" s="49" t="n">
        <x:v>863102</x:v>
      </x:c>
      <x:c r="N14" s="49" t="n">
        <x:v>863102</x:v>
      </x:c>
      <x:c r="O14" s="49" t="n">
        <x:v>863102</x:v>
      </x:c>
      <x:c r="P14" s="49" t="n">
        <x:v>863102</x:v>
      </x:c>
      <x:c r="Q14" s="49" t="n">
        <x:v>863102</x:v>
      </x:c>
      <x:c r="R14" s="49" t="n">
        <x:v>863102</x:v>
      </x:c>
      <x:c r="S14" s="49" t="n">
        <x:v>863102</x:v>
      </x:c>
      <x:c r="T14" s="49" t="n">
        <x:v>863102</x:v>
      </x:c>
      <x:c r="U14" s="49" t="n">
        <x:v>863102</x:v>
      </x:c>
      <x:c r="V14" s="49" t="n">
        <x:v>863102</x:v>
      </x:c>
      <x:c r="W14" s="49" t="n">
        <x:v>863102</x:v>
      </x:c>
      <x:c r="X14" s="49" t="n">
        <x:v>863102</x:v>
      </x:c>
      <x:c r="Y14" s="49" t="n">
        <x:v>863102</x:v>
      </x:c>
      <x:c r="Z14" s="49" t="n">
        <x:v>863102</x:v>
      </x:c>
      <x:c r="AA14" s="49" t="n">
        <x:v>863102</x:v>
      </x:c>
      <x:c r="AB14" s="49" t="n">
        <x:v>863102</x:v>
      </x:c>
      <x:c r="AC14" s="26" t="n">
        <x:v>3452408</x:v>
      </x:c>
      <x:c r="AD14" s="26" t="n">
        <x:v>10357224</x:v>
      </x:c>
      <x:c r="AE14" s="49" t="n">
        <x:v>10357230</x:v>
      </x:c>
      <x:c r="AF14" s="49" t="n">
        <x:v>10357230</x:v>
      </x:c>
      <x:c r="AG14" s="52" t="s">
        <x:v>42</x:v>
      </x:c>
      <x:c r="AH14" s="23" t="s">
        <x:v>87</x:v>
      </x:c>
    </x:row>
    <x:row r="15" spans="1:35" ht="15" customHeight="1">
      <x:c r="A15" s="46" t="s">
        <x:v>34</x:v>
      </x:c>
      <x:c r="B15" s="3" t="s">
        <x:v>35</x:v>
      </x:c>
      <x:c r="C15" s="46" t="s">
        <x:v>36</x:v>
      </x:c>
      <x:c r="D15" s="4" t="s">
        <x:v>88</x:v>
      </x:c>
      <x:c r="E15" s="46" t="s">
        <x:v>89</x:v>
      </x:c>
      <x:c r="F15" s="4" t="s">
        <x:v>54</x:v>
      </x:c>
      <x:c r="G15" s="46" t="s">
        <x:v>55</x:v>
      </x:c>
      <x:c r="H15" s="46" t="s">
        <x:v>56</x:v>
      </x:c>
      <x:c r="I15" s="3" t="s">
        <x:v>57</x:v>
      </x:c>
      <x:c r="J15" s="25" t="s">
        <x:v>58</x:v>
      </x:c>
      <x:c r="K15" s="49" t="s"/>
      <x:c r="L15" s="49" t="s"/>
      <x:c r="M15" s="49" t="n">
        <x:v>1726205</x:v>
      </x:c>
      <x:c r="N15" s="49" t="n">
        <x:v>1726205</x:v>
      </x:c>
      <x:c r="O15" s="49" t="n">
        <x:v>1726205</x:v>
      </x:c>
      <x:c r="P15" s="49" t="n">
        <x:v>1726205</x:v>
      </x:c>
      <x:c r="Q15" s="49" t="n">
        <x:v>1726205</x:v>
      </x:c>
      <x:c r="R15" s="49" t="n">
        <x:v>1726205</x:v>
      </x:c>
      <x:c r="S15" s="49" t="n">
        <x:v>1726205</x:v>
      </x:c>
      <x:c r="T15" s="49" t="n">
        <x:v>1726205</x:v>
      </x:c>
      <x:c r="U15" s="49" t="n">
        <x:v>1726205</x:v>
      </x:c>
      <x:c r="V15" s="49" t="n">
        <x:v>1726205</x:v>
      </x:c>
      <x:c r="W15" s="49" t="n">
        <x:v>1726205</x:v>
      </x:c>
      <x:c r="X15" s="49" t="n">
        <x:v>1726205</x:v>
      </x:c>
      <x:c r="Y15" s="49" t="n">
        <x:v>1726205</x:v>
      </x:c>
      <x:c r="Z15" s="49" t="n">
        <x:v>1726205</x:v>
      </x:c>
      <x:c r="AA15" s="49" t="n">
        <x:v>1726205</x:v>
      </x:c>
      <x:c r="AB15" s="49" t="n">
        <x:v>1726205</x:v>
      </x:c>
      <x:c r="AC15" s="26" t="n">
        <x:v>6904820</x:v>
      </x:c>
      <x:c r="AD15" s="26" t="n">
        <x:v>20714460</x:v>
      </x:c>
      <x:c r="AE15" s="49" t="n">
        <x:v>20714460</x:v>
      </x:c>
      <x:c r="AF15" s="49" t="n">
        <x:v>20714460</x:v>
      </x:c>
      <x:c r="AG15" s="52" t="s">
        <x:v>42</x:v>
      </x:c>
      <x:c r="AH15" s="23" t="s">
        <x:v>90</x:v>
      </x:c>
    </x:row>
    <x:row r="16" spans="1:35" ht="15" customHeight="1">
      <x:c r="A16" s="46" t="s">
        <x:v>34</x:v>
      </x:c>
      <x:c r="B16" s="3" t="s">
        <x:v>35</x:v>
      </x:c>
      <x:c r="C16" s="46" t="s">
        <x:v>36</x:v>
      </x:c>
      <x:c r="D16" s="4" t="s">
        <x:v>35</x:v>
      </x:c>
      <x:c r="E16" s="46" t="s">
        <x:v>36</x:v>
      </x:c>
      <x:c r="F16" s="4" t="s">
        <x:v>54</x:v>
      </x:c>
      <x:c r="G16" s="46" t="s">
        <x:v>55</x:v>
      </x:c>
      <x:c r="H16" s="46" t="s">
        <x:v>56</x:v>
      </x:c>
      <x:c r="I16" s="3" t="s">
        <x:v>40</x:v>
      </x:c>
      <x:c r="J16" s="25" t="s">
        <x:v>41</x:v>
      </x:c>
      <x:c r="K16" s="49" t="s"/>
      <x:c r="L16" s="49" t="s"/>
      <x:c r="M16" s="49" t="n">
        <x:v>1294654</x:v>
      </x:c>
      <x:c r="N16" s="49" t="n">
        <x:v>1294654</x:v>
      </x:c>
      <x:c r="O16" s="49" t="n">
        <x:v>1294654</x:v>
      </x:c>
      <x:c r="P16" s="49" t="n">
        <x:v>1294654</x:v>
      </x:c>
      <x:c r="Q16" s="49" t="n">
        <x:v>1294654</x:v>
      </x:c>
      <x:c r="R16" s="49" t="n">
        <x:v>1294654</x:v>
      </x:c>
      <x:c r="S16" s="49" t="n">
        <x:v>1294654</x:v>
      </x:c>
      <x:c r="T16" s="49" t="n">
        <x:v>1294654</x:v>
      </x:c>
      <x:c r="U16" s="49" t="n">
        <x:v>1294654</x:v>
      </x:c>
      <x:c r="V16" s="49" t="n">
        <x:v>1294654</x:v>
      </x:c>
      <x:c r="W16" s="49" t="n">
        <x:v>1294654</x:v>
      </x:c>
      <x:c r="X16" s="49" t="n">
        <x:v>1294654</x:v>
      </x:c>
      <x:c r="Y16" s="49" t="n">
        <x:v>1294654</x:v>
      </x:c>
      <x:c r="Z16" s="49" t="n">
        <x:v>1294654</x:v>
      </x:c>
      <x:c r="AA16" s="49" t="n">
        <x:v>1294654</x:v>
      </x:c>
      <x:c r="AB16" s="49" t="n">
        <x:v>1294654</x:v>
      </x:c>
      <x:c r="AC16" s="26" t="n">
        <x:v>5178616</x:v>
      </x:c>
      <x:c r="AD16" s="26" t="n">
        <x:v>15535848</x:v>
      </x:c>
      <x:c r="AE16" s="49" t="n">
        <x:v>15535845</x:v>
      </x:c>
      <x:c r="AF16" s="49" t="n">
        <x:v>15535845</x:v>
      </x:c>
      <x:c r="AG16" s="52" t="s">
        <x:v>42</x:v>
      </x:c>
      <x:c r="AH16" s="23" t="s">
        <x:v>91</x:v>
      </x:c>
    </x:row>
    <x:row r="17" spans="1:35" ht="15" customHeight="1">
      <x:c r="A17" s="46" t="s">
        <x:v>34</x:v>
      </x:c>
      <x:c r="B17" s="3" t="s">
        <x:v>35</x:v>
      </x:c>
      <x:c r="C17" s="46" t="s">
        <x:v>36</x:v>
      </x:c>
      <x:c r="D17" s="4" t="s">
        <x:v>92</x:v>
      </x:c>
      <x:c r="E17" s="46" t="s">
        <x:v>93</x:v>
      </x:c>
      <x:c r="F17" s="4" t="s">
        <x:v>54</x:v>
      </x:c>
      <x:c r="G17" s="46" t="s">
        <x:v>55</x:v>
      </x:c>
      <x:c r="H17" s="46" t="s">
        <x:v>56</x:v>
      </x:c>
      <x:c r="I17" s="3" t="s">
        <x:v>40</x:v>
      </x:c>
      <x:c r="J17" s="25" t="s">
        <x:v>41</x:v>
      </x:c>
      <x:c r="K17" s="49" t="s"/>
      <x:c r="L17" s="49" t="s"/>
      <x:c r="M17" s="49" t="n">
        <x:v>863102</x:v>
      </x:c>
      <x:c r="N17" s="49" t="n">
        <x:v>863102</x:v>
      </x:c>
      <x:c r="O17" s="49" t="n">
        <x:v>863102</x:v>
      </x:c>
      <x:c r="P17" s="49" t="n">
        <x:v>863102</x:v>
      </x:c>
      <x:c r="Q17" s="49" t="n">
        <x:v>863102</x:v>
      </x:c>
      <x:c r="R17" s="49" t="n">
        <x:v>863102</x:v>
      </x:c>
      <x:c r="S17" s="49" t="n">
        <x:v>863102</x:v>
      </x:c>
      <x:c r="T17" s="49" t="n">
        <x:v>863102</x:v>
      </x:c>
      <x:c r="U17" s="49" t="n">
        <x:v>863102</x:v>
      </x:c>
      <x:c r="V17" s="49" t="n">
        <x:v>863102</x:v>
      </x:c>
      <x:c r="W17" s="49" t="n">
        <x:v>863102</x:v>
      </x:c>
      <x:c r="X17" s="49" t="n">
        <x:v>863102</x:v>
      </x:c>
      <x:c r="Y17" s="49" t="n">
        <x:v>863102</x:v>
      </x:c>
      <x:c r="Z17" s="49" t="n">
        <x:v>863102</x:v>
      </x:c>
      <x:c r="AA17" s="49" t="n">
        <x:v>863102</x:v>
      </x:c>
      <x:c r="AB17" s="49" t="n">
        <x:v>863102</x:v>
      </x:c>
      <x:c r="AC17" s="26" t="n">
        <x:v>3452408</x:v>
      </x:c>
      <x:c r="AD17" s="26" t="n">
        <x:v>10357224</x:v>
      </x:c>
      <x:c r="AE17" s="49" t="n">
        <x:v>10357230</x:v>
      </x:c>
      <x:c r="AF17" s="49" t="n">
        <x:v>10357230</x:v>
      </x:c>
      <x:c r="AG17" s="52" t="s">
        <x:v>42</x:v>
      </x:c>
      <x:c r="AH17" s="23" t="s">
        <x:v>94</x:v>
      </x:c>
    </x:row>
    <x:row r="18" spans="1:35" ht="15" customHeight="1">
      <x:c r="A18" s="46" t="s">
        <x:v>34</x:v>
      </x:c>
      <x:c r="B18" s="3" t="s">
        <x:v>35</x:v>
      </x:c>
      <x:c r="C18" s="46" t="s">
        <x:v>36</x:v>
      </x:c>
      <x:c r="D18" s="4" t="s">
        <x:v>95</x:v>
      </x:c>
      <x:c r="E18" s="46" t="s">
        <x:v>96</x:v>
      </x:c>
      <x:c r="F18" s="4" t="s">
        <x:v>54</x:v>
      </x:c>
      <x:c r="G18" s="46" t="s">
        <x:v>55</x:v>
      </x:c>
      <x:c r="H18" s="46" t="s">
        <x:v>56</x:v>
      </x:c>
      <x:c r="I18" s="3" t="s">
        <x:v>57</x:v>
      </x:c>
      <x:c r="J18" s="25" t="s">
        <x:v>58</x:v>
      </x:c>
      <x:c r="K18" s="49" t="s"/>
      <x:c r="L18" s="49" t="s"/>
      <x:c r="M18" s="49" t="n">
        <x:v>1078878</x:v>
      </x:c>
      <x:c r="N18" s="49" t="n">
        <x:v>1078878</x:v>
      </x:c>
      <x:c r="O18" s="49" t="n">
        <x:v>1078878</x:v>
      </x:c>
      <x:c r="P18" s="49" t="n">
        <x:v>1078878</x:v>
      </x:c>
      <x:c r="Q18" s="49" t="n">
        <x:v>1078878</x:v>
      </x:c>
      <x:c r="R18" s="49" t="n">
        <x:v>1078878</x:v>
      </x:c>
      <x:c r="S18" s="49" t="n">
        <x:v>1078878</x:v>
      </x:c>
      <x:c r="T18" s="49" t="n">
        <x:v>1078878</x:v>
      </x:c>
      <x:c r="U18" s="49" t="n">
        <x:v>1078878</x:v>
      </x:c>
      <x:c r="V18" s="49" t="n">
        <x:v>1078878</x:v>
      </x:c>
      <x:c r="W18" s="49" t="n">
        <x:v>1078878</x:v>
      </x:c>
      <x:c r="X18" s="49" t="n">
        <x:v>1078878</x:v>
      </x:c>
      <x:c r="Y18" s="49" t="n">
        <x:v>1078878</x:v>
      </x:c>
      <x:c r="Z18" s="49" t="n">
        <x:v>1078878</x:v>
      </x:c>
      <x:c r="AA18" s="49" t="n">
        <x:v>1078878</x:v>
      </x:c>
      <x:c r="AB18" s="49" t="n">
        <x:v>1078878</x:v>
      </x:c>
      <x:c r="AC18" s="26" t="n">
        <x:v>4315512</x:v>
      </x:c>
      <x:c r="AD18" s="26" t="n">
        <x:v>12946536</x:v>
      </x:c>
      <x:c r="AE18" s="49" t="n">
        <x:v>12946537</x:v>
      </x:c>
      <x:c r="AF18" s="49" t="n">
        <x:v>12946537</x:v>
      </x:c>
      <x:c r="AG18" s="52" t="s">
        <x:v>42</x:v>
      </x:c>
      <x:c r="AH18" s="23" t="s">
        <x:v>97</x:v>
      </x:c>
    </x:row>
    <x:row r="19" spans="1:35" ht="15" customHeight="1">
      <x:c r="A19" s="46" t="s">
        <x:v>34</x:v>
      </x:c>
      <x:c r="B19" s="3" t="s">
        <x:v>35</x:v>
      </x:c>
      <x:c r="C19" s="46" t="s">
        <x:v>36</x:v>
      </x:c>
      <x:c r="D19" s="4" t="s">
        <x:v>98</x:v>
      </x:c>
      <x:c r="E19" s="46" t="s">
        <x:v>99</x:v>
      </x:c>
      <x:c r="F19" s="4" t="s">
        <x:v>54</x:v>
      </x:c>
      <x:c r="G19" s="46" t="s">
        <x:v>55</x:v>
      </x:c>
      <x:c r="H19" s="46" t="s">
        <x:v>56</x:v>
      </x:c>
      <x:c r="I19" s="3" t="s">
        <x:v>62</x:v>
      </x:c>
      <x:c r="J19" s="25" t="s">
        <x:v>58</x:v>
      </x:c>
      <x:c r="K19" s="49" t="s"/>
      <x:c r="L19" s="49" t="s"/>
      <x:c r="M19" s="49" t="n">
        <x:v>647327</x:v>
      </x:c>
      <x:c r="N19" s="49" t="n">
        <x:v>647327</x:v>
      </x:c>
      <x:c r="O19" s="49" t="n">
        <x:v>647327</x:v>
      </x:c>
      <x:c r="P19" s="49" t="n">
        <x:v>647327</x:v>
      </x:c>
      <x:c r="Q19" s="49" t="n">
        <x:v>647327</x:v>
      </x:c>
      <x:c r="R19" s="49" t="n">
        <x:v>647327</x:v>
      </x:c>
      <x:c r="S19" s="49" t="n">
        <x:v>647327</x:v>
      </x:c>
      <x:c r="T19" s="49" t="n">
        <x:v>647327</x:v>
      </x:c>
      <x:c r="U19" s="49" t="n">
        <x:v>647327</x:v>
      </x:c>
      <x:c r="V19" s="49" t="n">
        <x:v>647327</x:v>
      </x:c>
      <x:c r="W19" s="49" t="n">
        <x:v>647327</x:v>
      </x:c>
      <x:c r="X19" s="49" t="n">
        <x:v>647327</x:v>
      </x:c>
      <x:c r="Y19" s="49" t="n">
        <x:v>647327</x:v>
      </x:c>
      <x:c r="Z19" s="49" t="n">
        <x:v>647327</x:v>
      </x:c>
      <x:c r="AA19" s="49" t="n">
        <x:v>647327</x:v>
      </x:c>
      <x:c r="AB19" s="49" t="n">
        <x:v>647327</x:v>
      </x:c>
      <x:c r="AC19" s="26" t="n">
        <x:v>2589308</x:v>
      </x:c>
      <x:c r="AD19" s="26" t="n">
        <x:v>7767924</x:v>
      </x:c>
      <x:c r="AE19" s="49" t="n">
        <x:v>7767922</x:v>
      </x:c>
      <x:c r="AF19" s="49" t="n">
        <x:v>7767922</x:v>
      </x:c>
      <x:c r="AG19" s="52" t="s">
        <x:v>42</x:v>
      </x:c>
      <x:c r="AH19" s="23" t="s">
        <x:v>100</x:v>
      </x:c>
    </x:row>
    <x:row r="20" spans="1:35" ht="15" customHeight="1">
      <x:c r="A20" s="46" t="s">
        <x:v>34</x:v>
      </x:c>
      <x:c r="B20" s="3" t="s">
        <x:v>35</x:v>
      </x:c>
      <x:c r="C20" s="46" t="s">
        <x:v>36</x:v>
      </x:c>
      <x:c r="D20" s="4" t="s">
        <x:v>101</x:v>
      </x:c>
      <x:c r="E20" s="46" t="s">
        <x:v>102</x:v>
      </x:c>
      <x:c r="F20" s="4" t="s">
        <x:v>54</x:v>
      </x:c>
      <x:c r="G20" s="46" t="s">
        <x:v>55</x:v>
      </x:c>
      <x:c r="H20" s="46" t="s">
        <x:v>56</x:v>
      </x:c>
      <x:c r="I20" s="3" t="s">
        <x:v>57</x:v>
      </x:c>
      <x:c r="J20" s="25" t="s">
        <x:v>58</x:v>
      </x:c>
      <x:c r="K20" s="49" t="s"/>
      <x:c r="L20" s="49" t="s"/>
      <x:c r="M20" s="49" t="n">
        <x:v>431551</x:v>
      </x:c>
      <x:c r="N20" s="49" t="n">
        <x:v>431551</x:v>
      </x:c>
      <x:c r="O20" s="49" t="n">
        <x:v>431551</x:v>
      </x:c>
      <x:c r="P20" s="49" t="n">
        <x:v>431551</x:v>
      </x:c>
      <x:c r="Q20" s="49" t="n">
        <x:v>431551</x:v>
      </x:c>
      <x:c r="R20" s="49" t="n">
        <x:v>431551</x:v>
      </x:c>
      <x:c r="S20" s="49" t="n">
        <x:v>431551</x:v>
      </x:c>
      <x:c r="T20" s="49" t="n">
        <x:v>431551</x:v>
      </x:c>
      <x:c r="U20" s="49" t="n">
        <x:v>431551</x:v>
      </x:c>
      <x:c r="V20" s="49" t="n">
        <x:v>431551</x:v>
      </x:c>
      <x:c r="W20" s="49" t="n">
        <x:v>431551</x:v>
      </x:c>
      <x:c r="X20" s="49" t="n">
        <x:v>431551</x:v>
      </x:c>
      <x:c r="Y20" s="49" t="n">
        <x:v>431551</x:v>
      </x:c>
      <x:c r="Z20" s="49" t="n">
        <x:v>431551</x:v>
      </x:c>
      <x:c r="AA20" s="49" t="n">
        <x:v>431551</x:v>
      </x:c>
      <x:c r="AB20" s="49" t="n">
        <x:v>431551</x:v>
      </x:c>
      <x:c r="AC20" s="26" t="n">
        <x:v>1726204</x:v>
      </x:c>
      <x:c r="AD20" s="26" t="n">
        <x:v>5178612</x:v>
      </x:c>
      <x:c r="AE20" s="49" t="n">
        <x:v>5178615</x:v>
      </x:c>
      <x:c r="AF20" s="49" t="n">
        <x:v>5178615</x:v>
      </x:c>
      <x:c r="AG20" s="52" t="s">
        <x:v>42</x:v>
      </x:c>
      <x:c r="AH20" s="23" t="s">
        <x:v>103</x:v>
      </x:c>
    </x:row>
    <x:row r="21" spans="1:35" ht="15" customHeight="1">
      <x:c r="A21" s="46" t="s">
        <x:v>34</x:v>
      </x:c>
      <x:c r="B21" s="3" t="s">
        <x:v>35</x:v>
      </x:c>
      <x:c r="C21" s="46" t="s">
        <x:v>36</x:v>
      </x:c>
      <x:c r="D21" s="4" t="s">
        <x:v>104</x:v>
      </x:c>
      <x:c r="E21" s="46" t="s">
        <x:v>105</x:v>
      </x:c>
      <x:c r="F21" s="4" t="s">
        <x:v>54</x:v>
      </x:c>
      <x:c r="G21" s="46" t="s">
        <x:v>55</x:v>
      </x:c>
      <x:c r="H21" s="46" t="s">
        <x:v>56</x:v>
      </x:c>
      <x:c r="I21" s="3" t="s">
        <x:v>62</x:v>
      </x:c>
      <x:c r="J21" s="25" t="s">
        <x:v>58</x:v>
      </x:c>
      <x:c r="K21" s="49" t="s"/>
      <x:c r="L21" s="49" t="s"/>
      <x:c r="M21" s="49" t="n">
        <x:v>215776</x:v>
      </x:c>
      <x:c r="N21" s="49" t="n">
        <x:v>215776</x:v>
      </x:c>
      <x:c r="O21" s="49" t="n">
        <x:v>215776</x:v>
      </x:c>
      <x:c r="P21" s="49" t="n">
        <x:v>215776</x:v>
      </x:c>
      <x:c r="Q21" s="49" t="n">
        <x:v>215776</x:v>
      </x:c>
      <x:c r="R21" s="49" t="n">
        <x:v>215776</x:v>
      </x:c>
      <x:c r="S21" s="49" t="n">
        <x:v>215776</x:v>
      </x:c>
      <x:c r="T21" s="49" t="n">
        <x:v>215776</x:v>
      </x:c>
      <x:c r="U21" s="49" t="n">
        <x:v>215776</x:v>
      </x:c>
      <x:c r="V21" s="49" t="n">
        <x:v>215776</x:v>
      </x:c>
      <x:c r="W21" s="49" t="n">
        <x:v>215776</x:v>
      </x:c>
      <x:c r="X21" s="49" t="n">
        <x:v>215776</x:v>
      </x:c>
      <x:c r="Y21" s="49" t="n">
        <x:v>215776</x:v>
      </x:c>
      <x:c r="Z21" s="49" t="s"/>
      <x:c r="AA21" s="49" t="s"/>
      <x:c r="AB21" s="49" t="s"/>
      <x:c r="AC21" s="26" t="n">
        <x:v>863104</x:v>
      </x:c>
      <x:c r="AD21" s="26" t="n">
        <x:v>1941984</x:v>
      </x:c>
      <x:c r="AE21" s="49" t="s"/>
      <x:c r="AF21" s="49" t="s"/>
      <x:c r="AG21" s="52" t="s">
        <x:v>42</x:v>
      </x:c>
      <x:c r="AH21" s="23" t="s">
        <x:v>106</x:v>
      </x:c>
    </x:row>
    <x:row r="22" spans="1:35" ht="15" customHeight="1">
      <x:c r="A22" s="46" t="s">
        <x:v>34</x:v>
      </x:c>
      <x:c r="B22" s="3" t="s">
        <x:v>35</x:v>
      </x:c>
      <x:c r="C22" s="46" t="s">
        <x:v>36</x:v>
      </x:c>
      <x:c r="D22" s="4" t="s">
        <x:v>107</x:v>
      </x:c>
      <x:c r="E22" s="46" t="s">
        <x:v>108</x:v>
      </x:c>
      <x:c r="F22" s="4" t="s">
        <x:v>54</x:v>
      </x:c>
      <x:c r="G22" s="46" t="s">
        <x:v>55</x:v>
      </x:c>
      <x:c r="H22" s="46" t="s">
        <x:v>56</x:v>
      </x:c>
      <x:c r="I22" s="3" t="s">
        <x:v>62</x:v>
      </x:c>
      <x:c r="J22" s="25" t="s">
        <x:v>58</x:v>
      </x:c>
      <x:c r="K22" s="49" t="s"/>
      <x:c r="L22" s="49" t="s"/>
      <x:c r="M22" s="49" t="n">
        <x:v>215776</x:v>
      </x:c>
      <x:c r="N22" s="49" t="n">
        <x:v>215776</x:v>
      </x:c>
      <x:c r="O22" s="49" t="n">
        <x:v>215776</x:v>
      </x:c>
      <x:c r="P22" s="49" t="n">
        <x:v>215776</x:v>
      </x:c>
      <x:c r="Q22" s="49" t="n">
        <x:v>215776</x:v>
      </x:c>
      <x:c r="R22" s="49" t="n">
        <x:v>215776</x:v>
      </x:c>
      <x:c r="S22" s="49" t="n">
        <x:v>215776</x:v>
      </x:c>
      <x:c r="T22" s="49" t="n">
        <x:v>215776</x:v>
      </x:c>
      <x:c r="U22" s="49" t="n">
        <x:v>215776</x:v>
      </x:c>
      <x:c r="V22" s="49" t="n">
        <x:v>215776</x:v>
      </x:c>
      <x:c r="W22" s="49" t="n">
        <x:v>215776</x:v>
      </x:c>
      <x:c r="X22" s="49" t="n">
        <x:v>215776</x:v>
      </x:c>
      <x:c r="Y22" s="49" t="n">
        <x:v>215776</x:v>
      </x:c>
      <x:c r="Z22" s="49" t="n">
        <x:v>215776</x:v>
      </x:c>
      <x:c r="AA22" s="49" t="n">
        <x:v>215776</x:v>
      </x:c>
      <x:c r="AB22" s="49" t="n">
        <x:v>215776</x:v>
      </x:c>
      <x:c r="AC22" s="26" t="n">
        <x:v>863104</x:v>
      </x:c>
      <x:c r="AD22" s="26" t="n">
        <x:v>2589312</x:v>
      </x:c>
      <x:c r="AE22" s="49" t="n">
        <x:v>2589307</x:v>
      </x:c>
      <x:c r="AF22" s="49" t="n">
        <x:v>2589307</x:v>
      </x:c>
      <x:c r="AG22" s="52" t="s">
        <x:v>42</x:v>
      </x:c>
      <x:c r="AH22" s="23" t="s">
        <x:v>109</x:v>
      </x:c>
    </x:row>
    <x:row r="23" spans="1:35" ht="15" customHeight="1">
      <x:c r="A23" s="46" t="s">
        <x:v>34</x:v>
      </x:c>
      <x:c r="B23" s="3" t="s">
        <x:v>35</x:v>
      </x:c>
      <x:c r="C23" s="46" t="s">
        <x:v>36</x:v>
      </x:c>
      <x:c r="D23" s="4" t="s">
        <x:v>110</x:v>
      </x:c>
      <x:c r="E23" s="46" t="s">
        <x:v>111</x:v>
      </x:c>
      <x:c r="F23" s="4" t="s">
        <x:v>54</x:v>
      </x:c>
      <x:c r="G23" s="46" t="s">
        <x:v>55</x:v>
      </x:c>
      <x:c r="H23" s="46" t="s">
        <x:v>56</x:v>
      </x:c>
      <x:c r="I23" s="3" t="s">
        <x:v>62</x:v>
      </x:c>
      <x:c r="J23" s="25" t="s">
        <x:v>58</x:v>
      </x:c>
      <x:c r="K23" s="49" t="s"/>
      <x:c r="L23" s="49" t="s"/>
      <x:c r="M23" s="49" t="n">
        <x:v>215776</x:v>
      </x:c>
      <x:c r="N23" s="49" t="n">
        <x:v>215776</x:v>
      </x:c>
      <x:c r="O23" s="49" t="n">
        <x:v>215776</x:v>
      </x:c>
      <x:c r="P23" s="49" t="n">
        <x:v>215776</x:v>
      </x:c>
      <x:c r="Q23" s="49" t="s"/>
      <x:c r="R23" s="49" t="s"/>
      <x:c r="S23" s="49" t="s"/>
      <x:c r="T23" s="49" t="s"/>
      <x:c r="U23" s="49" t="s"/>
      <x:c r="V23" s="49" t="s"/>
      <x:c r="W23" s="49" t="s"/>
      <x:c r="X23" s="49" t="s"/>
      <x:c r="Y23" s="49" t="s"/>
      <x:c r="Z23" s="49" t="s"/>
      <x:c r="AA23" s="49" t="s"/>
      <x:c r="AB23" s="49" t="s"/>
      <x:c r="AC23" s="26" t="n">
        <x:v>863104</x:v>
      </x:c>
      <x:c r="AD23" s="26" t="s"/>
      <x:c r="AE23" s="49" t="s"/>
      <x:c r="AF23" s="49" t="s"/>
      <x:c r="AG23" s="52" t="s">
        <x:v>42</x:v>
      </x:c>
      <x:c r="AH23" s="23" t="s">
        <x:v>112</x:v>
      </x:c>
    </x:row>
    <x:row r="24" spans="1:35" ht="15" customHeight="1">
      <x:c r="A24" s="46" t="s">
        <x:v>34</x:v>
      </x:c>
      <x:c r="B24" s="3" t="s">
        <x:v>35</x:v>
      </x:c>
      <x:c r="C24" s="46" t="s">
        <x:v>36</x:v>
      </x:c>
      <x:c r="D24" s="4" t="s">
        <x:v>113</x:v>
      </x:c>
      <x:c r="E24" s="46" t="s">
        <x:v>114</x:v>
      </x:c>
      <x:c r="F24" s="4" t="s">
        <x:v>54</x:v>
      </x:c>
      <x:c r="G24" s="46" t="s">
        <x:v>55</x:v>
      </x:c>
      <x:c r="H24" s="46" t="s">
        <x:v>56</x:v>
      </x:c>
      <x:c r="I24" s="3" t="s">
        <x:v>57</x:v>
      </x:c>
      <x:c r="J24" s="25" t="s">
        <x:v>58</x:v>
      </x:c>
      <x:c r="K24" s="49" t="s"/>
      <x:c r="L24" s="49" t="s"/>
      <x:c r="M24" s="49" t="n">
        <x:v>2373532</x:v>
      </x:c>
      <x:c r="N24" s="49" t="n">
        <x:v>2373532</x:v>
      </x:c>
      <x:c r="O24" s="49" t="n">
        <x:v>2373532</x:v>
      </x:c>
      <x:c r="P24" s="49" t="n">
        <x:v>2373532</x:v>
      </x:c>
      <x:c r="Q24" s="49" t="n">
        <x:v>2373532</x:v>
      </x:c>
      <x:c r="R24" s="49" t="n">
        <x:v>2373532</x:v>
      </x:c>
      <x:c r="S24" s="49" t="n">
        <x:v>2373532</x:v>
      </x:c>
      <x:c r="T24" s="49" t="n">
        <x:v>2373532</x:v>
      </x:c>
      <x:c r="U24" s="49" t="n">
        <x:v>2373532</x:v>
      </x:c>
      <x:c r="V24" s="49" t="n">
        <x:v>2373532</x:v>
      </x:c>
      <x:c r="W24" s="49" t="n">
        <x:v>2373532</x:v>
      </x:c>
      <x:c r="X24" s="49" t="n">
        <x:v>2373532</x:v>
      </x:c>
      <x:c r="Y24" s="49" t="n">
        <x:v>2373532</x:v>
      </x:c>
      <x:c r="Z24" s="49" t="n">
        <x:v>2373532</x:v>
      </x:c>
      <x:c r="AA24" s="49" t="n">
        <x:v>2373532</x:v>
      </x:c>
      <x:c r="AB24" s="49" t="n">
        <x:v>2373532</x:v>
      </x:c>
      <x:c r="AC24" s="26" t="n">
        <x:v>9494128</x:v>
      </x:c>
      <x:c r="AD24" s="26" t="n">
        <x:v>28482384</x:v>
      </x:c>
      <x:c r="AE24" s="49" t="n">
        <x:v>28482382</x:v>
      </x:c>
      <x:c r="AF24" s="49" t="n">
        <x:v>28482382</x:v>
      </x:c>
      <x:c r="AG24" s="52" t="s">
        <x:v>42</x:v>
      </x:c>
      <x:c r="AH24" s="23" t="s">
        <x:v>115</x:v>
      </x:c>
    </x:row>
    <x:row r="25" spans="1:35" ht="15" customHeight="1">
      <x:c r="A25" s="46" t="s">
        <x:v>34</x:v>
      </x:c>
      <x:c r="B25" s="3" t="s">
        <x:v>35</x:v>
      </x:c>
      <x:c r="C25" s="46" t="s">
        <x:v>36</x:v>
      </x:c>
      <x:c r="D25" s="4" t="s">
        <x:v>116</x:v>
      </x:c>
      <x:c r="E25" s="46" t="s">
        <x:v>117</x:v>
      </x:c>
      <x:c r="F25" s="4" t="s">
        <x:v>54</x:v>
      </x:c>
      <x:c r="G25" s="46" t="s">
        <x:v>55</x:v>
      </x:c>
      <x:c r="H25" s="46" t="s">
        <x:v>56</x:v>
      </x:c>
      <x:c r="I25" s="3" t="s">
        <x:v>62</x:v>
      </x:c>
      <x:c r="J25" s="25" t="s">
        <x:v>58</x:v>
      </x:c>
      <x:c r="K25" s="49" t="s"/>
      <x:c r="L25" s="49" t="s"/>
      <x:c r="M25" s="49" t="n">
        <x:v>647327</x:v>
      </x:c>
      <x:c r="N25" s="49" t="n">
        <x:v>647327</x:v>
      </x:c>
      <x:c r="O25" s="49" t="n">
        <x:v>647327</x:v>
      </x:c>
      <x:c r="P25" s="49" t="n">
        <x:v>647327</x:v>
      </x:c>
      <x:c r="Q25" s="49" t="n">
        <x:v>647327</x:v>
      </x:c>
      <x:c r="R25" s="49" t="n">
        <x:v>647327</x:v>
      </x:c>
      <x:c r="S25" s="49" t="n">
        <x:v>647327</x:v>
      </x:c>
      <x:c r="T25" s="49" t="n">
        <x:v>647327</x:v>
      </x:c>
      <x:c r="U25" s="49" t="n">
        <x:v>647327</x:v>
      </x:c>
      <x:c r="V25" s="49" t="n">
        <x:v>647327</x:v>
      </x:c>
      <x:c r="W25" s="49" t="n">
        <x:v>647327</x:v>
      </x:c>
      <x:c r="X25" s="49" t="n">
        <x:v>647327</x:v>
      </x:c>
      <x:c r="Y25" s="49" t="n">
        <x:v>647327</x:v>
      </x:c>
      <x:c r="Z25" s="49" t="n">
        <x:v>647327</x:v>
      </x:c>
      <x:c r="AA25" s="49" t="n">
        <x:v>647327</x:v>
      </x:c>
      <x:c r="AB25" s="49" t="n">
        <x:v>647327</x:v>
      </x:c>
      <x:c r="AC25" s="26" t="n">
        <x:v>2589308</x:v>
      </x:c>
      <x:c r="AD25" s="26" t="n">
        <x:v>7767924</x:v>
      </x:c>
      <x:c r="AE25" s="49" t="n">
        <x:v>7767922</x:v>
      </x:c>
      <x:c r="AF25" s="49" t="n">
        <x:v>7767922</x:v>
      </x:c>
      <x:c r="AG25" s="52" t="s">
        <x:v>42</x:v>
      </x:c>
      <x:c r="AH25" s="23" t="s">
        <x:v>118</x:v>
      </x:c>
    </x:row>
    <x:row r="26" spans="1:35" ht="15" customHeight="1">
      <x:c r="A26" s="46" t="s">
        <x:v>34</x:v>
      </x:c>
      <x:c r="B26" s="3" t="s">
        <x:v>35</x:v>
      </x:c>
      <x:c r="C26" s="46" t="s">
        <x:v>36</x:v>
      </x:c>
      <x:c r="D26" s="4" t="s">
        <x:v>119</x:v>
      </x:c>
      <x:c r="E26" s="46" t="s">
        <x:v>120</x:v>
      </x:c>
      <x:c r="F26" s="4" t="s">
        <x:v>54</x:v>
      </x:c>
      <x:c r="G26" s="46" t="s">
        <x:v>55</x:v>
      </x:c>
      <x:c r="H26" s="46" t="s">
        <x:v>56</x:v>
      </x:c>
      <x:c r="I26" s="3" t="s">
        <x:v>57</x:v>
      </x:c>
      <x:c r="J26" s="25" t="s">
        <x:v>58</x:v>
      </x:c>
      <x:c r="K26" s="49" t="s"/>
      <x:c r="L26" s="49" t="s"/>
      <x:c r="M26" s="49" t="n">
        <x:v>431551</x:v>
      </x:c>
      <x:c r="N26" s="49" t="n">
        <x:v>431551</x:v>
      </x:c>
      <x:c r="O26" s="49" t="n">
        <x:v>431551</x:v>
      </x:c>
      <x:c r="P26" s="49" t="n">
        <x:v>431551</x:v>
      </x:c>
      <x:c r="Q26" s="49" t="n">
        <x:v>431551</x:v>
      </x:c>
      <x:c r="R26" s="49" t="n">
        <x:v>431551</x:v>
      </x:c>
      <x:c r="S26" s="49" t="n">
        <x:v>431551</x:v>
      </x:c>
      <x:c r="T26" s="49" t="n">
        <x:v>431551</x:v>
      </x:c>
      <x:c r="U26" s="49" t="n">
        <x:v>431551</x:v>
      </x:c>
      <x:c r="V26" s="49" t="n">
        <x:v>431551</x:v>
      </x:c>
      <x:c r="W26" s="49" t="n">
        <x:v>431551</x:v>
      </x:c>
      <x:c r="X26" s="49" t="n">
        <x:v>431551</x:v>
      </x:c>
      <x:c r="Y26" s="49" t="n">
        <x:v>431551</x:v>
      </x:c>
      <x:c r="Z26" s="49" t="n">
        <x:v>431551</x:v>
      </x:c>
      <x:c r="AA26" s="49" t="n">
        <x:v>431551</x:v>
      </x:c>
      <x:c r="AB26" s="49" t="n">
        <x:v>431551</x:v>
      </x:c>
      <x:c r="AC26" s="26" t="n">
        <x:v>1726204</x:v>
      </x:c>
      <x:c r="AD26" s="26" t="n">
        <x:v>5178612</x:v>
      </x:c>
      <x:c r="AE26" s="49" t="n">
        <x:v>5178615</x:v>
      </x:c>
      <x:c r="AF26" s="49" t="n">
        <x:v>5178615</x:v>
      </x:c>
      <x:c r="AG26" s="52" t="s">
        <x:v>42</x:v>
      </x:c>
      <x:c r="AH26" s="23" t="s">
        <x:v>121</x:v>
      </x:c>
    </x:row>
    <x:row r="27" spans="1:35" ht="15" customHeight="1">
      <x:c r="A27" s="46" t="s">
        <x:v>34</x:v>
      </x:c>
      <x:c r="B27" s="3" t="s">
        <x:v>35</x:v>
      </x:c>
      <x:c r="C27" s="46" t="s">
        <x:v>36</x:v>
      </x:c>
      <x:c r="D27" s="4" t="s">
        <x:v>122</x:v>
      </x:c>
      <x:c r="E27" s="46" t="s">
        <x:v>123</x:v>
      </x:c>
      <x:c r="F27" s="4" t="s">
        <x:v>54</x:v>
      </x:c>
      <x:c r="G27" s="46" t="s">
        <x:v>55</x:v>
      </x:c>
      <x:c r="H27" s="46" t="s">
        <x:v>56</x:v>
      </x:c>
      <x:c r="I27" s="3" t="s">
        <x:v>40</x:v>
      </x:c>
      <x:c r="J27" s="25" t="s">
        <x:v>41</x:v>
      </x:c>
      <x:c r="K27" s="49" t="s"/>
      <x:c r="L27" s="49" t="s"/>
      <x:c r="M27" s="49" t="n">
        <x:v>431551</x:v>
      </x:c>
      <x:c r="N27" s="49" t="n">
        <x:v>431551</x:v>
      </x:c>
      <x:c r="O27" s="49" t="n">
        <x:v>431551</x:v>
      </x:c>
      <x:c r="P27" s="49" t="n">
        <x:v>431551</x:v>
      </x:c>
      <x:c r="Q27" s="49" t="n">
        <x:v>431551</x:v>
      </x:c>
      <x:c r="R27" s="49" t="n">
        <x:v>431551</x:v>
      </x:c>
      <x:c r="S27" s="49" t="n">
        <x:v>431551</x:v>
      </x:c>
      <x:c r="T27" s="49" t="n">
        <x:v>431551</x:v>
      </x:c>
      <x:c r="U27" s="49" t="n">
        <x:v>431551</x:v>
      </x:c>
      <x:c r="V27" s="49" t="n">
        <x:v>431551</x:v>
      </x:c>
      <x:c r="W27" s="49" t="n">
        <x:v>431551</x:v>
      </x:c>
      <x:c r="X27" s="49" t="n">
        <x:v>431551</x:v>
      </x:c>
      <x:c r="Y27" s="49" t="n">
        <x:v>431551</x:v>
      </x:c>
      <x:c r="Z27" s="49" t="n">
        <x:v>431551</x:v>
      </x:c>
      <x:c r="AA27" s="49" t="n">
        <x:v>431551</x:v>
      </x:c>
      <x:c r="AB27" s="49" t="n">
        <x:v>431551</x:v>
      </x:c>
      <x:c r="AC27" s="26" t="n">
        <x:v>1726204</x:v>
      </x:c>
      <x:c r="AD27" s="26" t="n">
        <x:v>5178612</x:v>
      </x:c>
      <x:c r="AE27" s="49" t="n">
        <x:v>5178615</x:v>
      </x:c>
      <x:c r="AF27" s="49" t="n">
        <x:v>5178615</x:v>
      </x:c>
      <x:c r="AG27" s="52" t="s">
        <x:v>42</x:v>
      </x:c>
      <x:c r="AH27" s="23" t="s">
        <x:v>124</x:v>
      </x:c>
    </x:row>
    <x:row r="28" spans="1:35" ht="15" customHeight="1">
      <x:c r="A28" s="46" t="s">
        <x:v>34</x:v>
      </x:c>
      <x:c r="B28" s="3" t="s">
        <x:v>35</x:v>
      </x:c>
      <x:c r="C28" s="46" t="s">
        <x:v>36</x:v>
      </x:c>
      <x:c r="D28" s="4" t="s">
        <x:v>125</x:v>
      </x:c>
      <x:c r="E28" s="46" t="s">
        <x:v>126</x:v>
      </x:c>
      <x:c r="F28" s="4" t="s">
        <x:v>54</x:v>
      </x:c>
      <x:c r="G28" s="46" t="s">
        <x:v>55</x:v>
      </x:c>
      <x:c r="H28" s="46" t="s">
        <x:v>56</x:v>
      </x:c>
      <x:c r="I28" s="3" t="s">
        <x:v>40</x:v>
      </x:c>
      <x:c r="J28" s="25" t="s">
        <x:v>41</x:v>
      </x:c>
      <x:c r="K28" s="49" t="s"/>
      <x:c r="L28" s="49" t="s"/>
      <x:c r="M28" s="49" t="n">
        <x:v>2373532</x:v>
      </x:c>
      <x:c r="N28" s="49" t="n">
        <x:v>2373532</x:v>
      </x:c>
      <x:c r="O28" s="49" t="n">
        <x:v>2373532</x:v>
      </x:c>
      <x:c r="P28" s="49" t="n">
        <x:v>2373532</x:v>
      </x:c>
      <x:c r="Q28" s="49" t="n">
        <x:v>2373532</x:v>
      </x:c>
      <x:c r="R28" s="49" t="n">
        <x:v>2373532</x:v>
      </x:c>
      <x:c r="S28" s="49" t="n">
        <x:v>2373532</x:v>
      </x:c>
      <x:c r="T28" s="49" t="n">
        <x:v>2373532</x:v>
      </x:c>
      <x:c r="U28" s="49" t="n">
        <x:v>2373532</x:v>
      </x:c>
      <x:c r="V28" s="49" t="n">
        <x:v>2373532</x:v>
      </x:c>
      <x:c r="W28" s="49" t="n">
        <x:v>2373532</x:v>
      </x:c>
      <x:c r="X28" s="49" t="n">
        <x:v>2373532</x:v>
      </x:c>
      <x:c r="Y28" s="49" t="n">
        <x:v>2373532</x:v>
      </x:c>
      <x:c r="Z28" s="49" t="n">
        <x:v>2373532</x:v>
      </x:c>
      <x:c r="AA28" s="49" t="n">
        <x:v>2373532</x:v>
      </x:c>
      <x:c r="AB28" s="49" t="n">
        <x:v>2373532</x:v>
      </x:c>
      <x:c r="AC28" s="26" t="n">
        <x:v>9494128</x:v>
      </x:c>
      <x:c r="AD28" s="26" t="n">
        <x:v>28482384</x:v>
      </x:c>
      <x:c r="AE28" s="49" t="n">
        <x:v>28482382</x:v>
      </x:c>
      <x:c r="AF28" s="49" t="n">
        <x:v>28482382</x:v>
      </x:c>
      <x:c r="AG28" s="52" t="s">
        <x:v>42</x:v>
      </x:c>
      <x:c r="AH28" s="23" t="s">
        <x:v>127</x:v>
      </x:c>
    </x:row>
    <x:row r="29" spans="1:35" ht="15" customHeight="1">
      <x:c r="A29" s="46" t="s">
        <x:v>34</x:v>
      </x:c>
      <x:c r="B29" s="3" t="s">
        <x:v>35</x:v>
      </x:c>
      <x:c r="C29" s="46" t="s">
        <x:v>36</x:v>
      </x:c>
      <x:c r="D29" s="4" t="s">
        <x:v>128</x:v>
      </x:c>
      <x:c r="E29" s="46" t="s">
        <x:v>129</x:v>
      </x:c>
      <x:c r="F29" s="4" t="s">
        <x:v>54</x:v>
      </x:c>
      <x:c r="G29" s="46" t="s">
        <x:v>55</x:v>
      </x:c>
      <x:c r="H29" s="46" t="s">
        <x:v>56</x:v>
      </x:c>
      <x:c r="I29" s="3" t="s">
        <x:v>40</x:v>
      </x:c>
      <x:c r="J29" s="25" t="s">
        <x:v>41</x:v>
      </x:c>
      <x:c r="K29" s="49" t="s"/>
      <x:c r="L29" s="49" t="s"/>
      <x:c r="M29" s="49" t="n">
        <x:v>1510429</x:v>
      </x:c>
      <x:c r="N29" s="49" t="n">
        <x:v>1510429</x:v>
      </x:c>
      <x:c r="O29" s="49" t="n">
        <x:v>1510429</x:v>
      </x:c>
      <x:c r="P29" s="49" t="n">
        <x:v>1510429</x:v>
      </x:c>
      <x:c r="Q29" s="49" t="n">
        <x:v>1510429</x:v>
      </x:c>
      <x:c r="R29" s="49" t="n">
        <x:v>1510429</x:v>
      </x:c>
      <x:c r="S29" s="49" t="n">
        <x:v>1510429</x:v>
      </x:c>
      <x:c r="T29" s="49" t="n">
        <x:v>1510429</x:v>
      </x:c>
      <x:c r="U29" s="49" t="n">
        <x:v>1510429</x:v>
      </x:c>
      <x:c r="V29" s="49" t="n">
        <x:v>1510429</x:v>
      </x:c>
      <x:c r="W29" s="49" t="n">
        <x:v>1510429</x:v>
      </x:c>
      <x:c r="X29" s="49" t="n">
        <x:v>1510429</x:v>
      </x:c>
      <x:c r="Y29" s="49" t="n">
        <x:v>1510429</x:v>
      </x:c>
      <x:c r="Z29" s="49" t="n">
        <x:v>1510429</x:v>
      </x:c>
      <x:c r="AA29" s="49" t="n">
        <x:v>1510429</x:v>
      </x:c>
      <x:c r="AB29" s="49" t="n">
        <x:v>1510429</x:v>
      </x:c>
      <x:c r="AC29" s="26" t="n">
        <x:v>6041716</x:v>
      </x:c>
      <x:c r="AD29" s="26" t="n">
        <x:v>18125148</x:v>
      </x:c>
      <x:c r="AE29" s="49" t="n">
        <x:v>18125152</x:v>
      </x:c>
      <x:c r="AF29" s="49" t="n">
        <x:v>18125152</x:v>
      </x:c>
      <x:c r="AG29" s="52" t="s">
        <x:v>42</x:v>
      </x:c>
      <x:c r="AH29" s="23" t="s">
        <x:v>130</x:v>
      </x:c>
    </x:row>
    <x:row r="30" spans="1:35" ht="15" customHeight="1">
      <x:c r="A30" s="46" t="s">
        <x:v>34</x:v>
      </x:c>
      <x:c r="B30" s="3" t="s">
        <x:v>35</x:v>
      </x:c>
      <x:c r="C30" s="46" t="s">
        <x:v>36</x:v>
      </x:c>
      <x:c r="D30" s="4" t="s">
        <x:v>131</x:v>
      </x:c>
      <x:c r="E30" s="46" t="s">
        <x:v>132</x:v>
      </x:c>
      <x:c r="F30" s="4" t="s">
        <x:v>54</x:v>
      </x:c>
      <x:c r="G30" s="46" t="s">
        <x:v>55</x:v>
      </x:c>
      <x:c r="H30" s="46" t="s">
        <x:v>56</x:v>
      </x:c>
      <x:c r="I30" s="3" t="s">
        <x:v>40</x:v>
      </x:c>
      <x:c r="J30" s="25" t="s">
        <x:v>41</x:v>
      </x:c>
      <x:c r="K30" s="49" t="s"/>
      <x:c r="L30" s="49" t="s"/>
      <x:c r="M30" s="49" t="n">
        <x:v>2373532</x:v>
      </x:c>
      <x:c r="N30" s="49" t="n">
        <x:v>2373532</x:v>
      </x:c>
      <x:c r="O30" s="49" t="n">
        <x:v>2373532</x:v>
      </x:c>
      <x:c r="P30" s="49" t="n">
        <x:v>2373532</x:v>
      </x:c>
      <x:c r="Q30" s="49" t="n">
        <x:v>2373532</x:v>
      </x:c>
      <x:c r="R30" s="49" t="n">
        <x:v>2373532</x:v>
      </x:c>
      <x:c r="S30" s="49" t="n">
        <x:v>2373532</x:v>
      </x:c>
      <x:c r="T30" s="49" t="n">
        <x:v>2373532</x:v>
      </x:c>
      <x:c r="U30" s="49" t="n">
        <x:v>2373532</x:v>
      </x:c>
      <x:c r="V30" s="49" t="n">
        <x:v>2373532</x:v>
      </x:c>
      <x:c r="W30" s="49" t="n">
        <x:v>2373532</x:v>
      </x:c>
      <x:c r="X30" s="49" t="n">
        <x:v>2373532</x:v>
      </x:c>
      <x:c r="Y30" s="49" t="n">
        <x:v>2373532</x:v>
      </x:c>
      <x:c r="Z30" s="49" t="n">
        <x:v>2373532</x:v>
      </x:c>
      <x:c r="AA30" s="49" t="n">
        <x:v>2373532</x:v>
      </x:c>
      <x:c r="AB30" s="49" t="n">
        <x:v>2373532</x:v>
      </x:c>
      <x:c r="AC30" s="26" t="n">
        <x:v>9494128</x:v>
      </x:c>
      <x:c r="AD30" s="26" t="n">
        <x:v>28482384</x:v>
      </x:c>
      <x:c r="AE30" s="49" t="n">
        <x:v>28482382</x:v>
      </x:c>
      <x:c r="AF30" s="49" t="n">
        <x:v>28482382</x:v>
      </x:c>
      <x:c r="AG30" s="52" t="s">
        <x:v>42</x:v>
      </x:c>
      <x:c r="AH30" s="23" t="s">
        <x:v>133</x:v>
      </x:c>
    </x:row>
    <x:row r="31" spans="1:35" ht="15" customHeight="1">
      <x:c r="A31" s="46" t="s">
        <x:v>34</x:v>
      </x:c>
      <x:c r="B31" s="3" t="s">
        <x:v>35</x:v>
      </x:c>
      <x:c r="C31" s="46" t="s">
        <x:v>36</x:v>
      </x:c>
      <x:c r="D31" s="4" t="s">
        <x:v>134</x:v>
      </x:c>
      <x:c r="E31" s="46" t="s">
        <x:v>135</x:v>
      </x:c>
      <x:c r="F31" s="4" t="s">
        <x:v>54</x:v>
      </x:c>
      <x:c r="G31" s="46" t="s">
        <x:v>55</x:v>
      </x:c>
      <x:c r="H31" s="46" t="s">
        <x:v>56</x:v>
      </x:c>
      <x:c r="I31" s="3" t="s">
        <x:v>57</x:v>
      </x:c>
      <x:c r="J31" s="25" t="s">
        <x:v>58</x:v>
      </x:c>
      <x:c r="K31" s="49" t="s"/>
      <x:c r="L31" s="49" t="s"/>
      <x:c r="M31" s="49" t="n">
        <x:v>431551</x:v>
      </x:c>
      <x:c r="N31" s="49" t="n">
        <x:v>431551</x:v>
      </x:c>
      <x:c r="O31" s="49" t="n">
        <x:v>431551</x:v>
      </x:c>
      <x:c r="P31" s="49" t="n">
        <x:v>431551</x:v>
      </x:c>
      <x:c r="Q31" s="49" t="n">
        <x:v>431551</x:v>
      </x:c>
      <x:c r="R31" s="49" t="n">
        <x:v>431551</x:v>
      </x:c>
      <x:c r="S31" s="49" t="n">
        <x:v>431551</x:v>
      </x:c>
      <x:c r="T31" s="49" t="n">
        <x:v>431551</x:v>
      </x:c>
      <x:c r="U31" s="49" t="n">
        <x:v>431551</x:v>
      </x:c>
      <x:c r="V31" s="49" t="n">
        <x:v>431551</x:v>
      </x:c>
      <x:c r="W31" s="49" t="n">
        <x:v>431551</x:v>
      </x:c>
      <x:c r="X31" s="49" t="n">
        <x:v>431551</x:v>
      </x:c>
      <x:c r="Y31" s="49" t="n">
        <x:v>431551</x:v>
      </x:c>
      <x:c r="Z31" s="49" t="n">
        <x:v>431551</x:v>
      </x:c>
      <x:c r="AA31" s="49" t="n">
        <x:v>431551</x:v>
      </x:c>
      <x:c r="AB31" s="49" t="n">
        <x:v>431551</x:v>
      </x:c>
      <x:c r="AC31" s="26" t="n">
        <x:v>1726204</x:v>
      </x:c>
      <x:c r="AD31" s="26" t="n">
        <x:v>5178612</x:v>
      </x:c>
      <x:c r="AE31" s="49" t="n">
        <x:v>5178615</x:v>
      </x:c>
      <x:c r="AF31" s="49" t="n">
        <x:v>5178615</x:v>
      </x:c>
      <x:c r="AG31" s="52" t="s">
        <x:v>42</x:v>
      </x:c>
      <x:c r="AH31" s="23" t="s">
        <x:v>136</x:v>
      </x:c>
    </x:row>
    <x:row r="32" spans="1:35" ht="15" customHeight="1">
      <x:c r="A32" s="46" t="s">
        <x:v>34</x:v>
      </x:c>
      <x:c r="B32" s="3" t="s">
        <x:v>35</x:v>
      </x:c>
      <x:c r="C32" s="46" t="s">
        <x:v>36</x:v>
      </x:c>
      <x:c r="D32" s="4" t="s">
        <x:v>137</x:v>
      </x:c>
      <x:c r="E32" s="46" t="s">
        <x:v>138</x:v>
      </x:c>
      <x:c r="F32" s="4" t="s">
        <x:v>54</x:v>
      </x:c>
      <x:c r="G32" s="46" t="s">
        <x:v>55</x:v>
      </x:c>
      <x:c r="H32" s="46" t="s">
        <x:v>56</x:v>
      </x:c>
      <x:c r="I32" s="3" t="s">
        <x:v>40</x:v>
      </x:c>
      <x:c r="J32" s="25" t="s">
        <x:v>41</x:v>
      </x:c>
      <x:c r="K32" s="49" t="s"/>
      <x:c r="L32" s="49" t="s"/>
      <x:c r="M32" s="49" t="n">
        <x:v>1294654</x:v>
      </x:c>
      <x:c r="N32" s="49" t="n">
        <x:v>1294654</x:v>
      </x:c>
      <x:c r="O32" s="49" t="n">
        <x:v>1294654</x:v>
      </x:c>
      <x:c r="P32" s="49" t="n">
        <x:v>1294654</x:v>
      </x:c>
      <x:c r="Q32" s="49" t="n">
        <x:v>1294654</x:v>
      </x:c>
      <x:c r="R32" s="49" t="n">
        <x:v>1294654</x:v>
      </x:c>
      <x:c r="S32" s="49" t="n">
        <x:v>1294654</x:v>
      </x:c>
      <x:c r="T32" s="49" t="n">
        <x:v>1294654</x:v>
      </x:c>
      <x:c r="U32" s="49" t="n">
        <x:v>1294654</x:v>
      </x:c>
      <x:c r="V32" s="49" t="n">
        <x:v>1294654</x:v>
      </x:c>
      <x:c r="W32" s="49" t="n">
        <x:v>1294654</x:v>
      </x:c>
      <x:c r="X32" s="49" t="n">
        <x:v>1294654</x:v>
      </x:c>
      <x:c r="Y32" s="49" t="n">
        <x:v>1294654</x:v>
      </x:c>
      <x:c r="Z32" s="49" t="n">
        <x:v>1294654</x:v>
      </x:c>
      <x:c r="AA32" s="49" t="n">
        <x:v>1294654</x:v>
      </x:c>
      <x:c r="AB32" s="49" t="n">
        <x:v>1294654</x:v>
      </x:c>
      <x:c r="AC32" s="26" t="n">
        <x:v>5178616</x:v>
      </x:c>
      <x:c r="AD32" s="26" t="n">
        <x:v>15535848</x:v>
      </x:c>
      <x:c r="AE32" s="49" t="n">
        <x:v>15535845</x:v>
      </x:c>
      <x:c r="AF32" s="49" t="n">
        <x:v>15535845</x:v>
      </x:c>
      <x:c r="AG32" s="52" t="s">
        <x:v>42</x:v>
      </x:c>
      <x:c r="AH32" s="23" t="s">
        <x:v>139</x:v>
      </x:c>
    </x:row>
    <x:row r="33" spans="1:35" ht="15" customHeight="1">
      <x:c r="A33" s="46" t="s">
        <x:v>34</x:v>
      </x:c>
      <x:c r="B33" s="3" t="s">
        <x:v>35</x:v>
      </x:c>
      <x:c r="C33" s="46" t="s">
        <x:v>36</x:v>
      </x:c>
      <x:c r="D33" s="4" t="s">
        <x:v>140</x:v>
      </x:c>
      <x:c r="E33" s="46" t="s">
        <x:v>141</x:v>
      </x:c>
      <x:c r="F33" s="4" t="s">
        <x:v>54</x:v>
      </x:c>
      <x:c r="G33" s="46" t="s">
        <x:v>55</x:v>
      </x:c>
      <x:c r="H33" s="46" t="s">
        <x:v>56</x:v>
      </x:c>
      <x:c r="I33" s="3" t="s">
        <x:v>62</x:v>
      </x:c>
      <x:c r="J33" s="25" t="s">
        <x:v>58</x:v>
      </x:c>
      <x:c r="K33" s="49" t="s"/>
      <x:c r="L33" s="49" t="s"/>
      <x:c r="M33" s="49" t="n">
        <x:v>431551</x:v>
      </x:c>
      <x:c r="N33" s="49" t="n">
        <x:v>431551</x:v>
      </x:c>
      <x:c r="O33" s="49" t="n">
        <x:v>431551</x:v>
      </x:c>
      <x:c r="P33" s="49" t="n">
        <x:v>431551</x:v>
      </x:c>
      <x:c r="Q33" s="49" t="n">
        <x:v>647327</x:v>
      </x:c>
      <x:c r="R33" s="49" t="n">
        <x:v>647327</x:v>
      </x:c>
      <x:c r="S33" s="49" t="n">
        <x:v>647327</x:v>
      </x:c>
      <x:c r="T33" s="49" t="n">
        <x:v>647327</x:v>
      </x:c>
      <x:c r="U33" s="49" t="n">
        <x:v>647327</x:v>
      </x:c>
      <x:c r="V33" s="49" t="n">
        <x:v>647327</x:v>
      </x:c>
      <x:c r="W33" s="49" t="n">
        <x:v>647327</x:v>
      </x:c>
      <x:c r="X33" s="49" t="n">
        <x:v>647327</x:v>
      </x:c>
      <x:c r="Y33" s="49" t="n">
        <x:v>647327</x:v>
      </x:c>
      <x:c r="Z33" s="49" t="n">
        <x:v>647327</x:v>
      </x:c>
      <x:c r="AA33" s="49" t="n">
        <x:v>647327</x:v>
      </x:c>
      <x:c r="AB33" s="49" t="n">
        <x:v>647327</x:v>
      </x:c>
      <x:c r="AC33" s="26" t="n">
        <x:v>1726204</x:v>
      </x:c>
      <x:c r="AD33" s="26" t="n">
        <x:v>7767924</x:v>
      </x:c>
      <x:c r="AE33" s="49" t="n">
        <x:v>7767922</x:v>
      </x:c>
      <x:c r="AF33" s="49" t="n">
        <x:v>7767922</x:v>
      </x:c>
      <x:c r="AG33" s="52" t="s">
        <x:v>42</x:v>
      </x:c>
      <x:c r="AH33" s="23" t="s">
        <x:v>142</x:v>
      </x:c>
    </x:row>
    <x:row r="34" spans="1:35" ht="15" customHeight="1">
      <x:c r="A34" s="46" t="s">
        <x:v>34</x:v>
      </x:c>
      <x:c r="B34" s="3" t="s">
        <x:v>35</x:v>
      </x:c>
      <x:c r="C34" s="46" t="s">
        <x:v>36</x:v>
      </x:c>
      <x:c r="D34" s="4" t="s">
        <x:v>143</x:v>
      </x:c>
      <x:c r="E34" s="46" t="s">
        <x:v>144</x:v>
      </x:c>
      <x:c r="F34" s="4" t="s">
        <x:v>54</x:v>
      </x:c>
      <x:c r="G34" s="46" t="s">
        <x:v>55</x:v>
      </x:c>
      <x:c r="H34" s="46" t="s">
        <x:v>56</x:v>
      </x:c>
      <x:c r="I34" s="3" t="s">
        <x:v>40</x:v>
      </x:c>
      <x:c r="J34" s="25" t="s">
        <x:v>41</x:v>
      </x:c>
      <x:c r="K34" s="49" t="s"/>
      <x:c r="L34" s="49" t="s"/>
      <x:c r="M34" s="49" t="n">
        <x:v>1510429</x:v>
      </x:c>
      <x:c r="N34" s="49" t="n">
        <x:v>1510429</x:v>
      </x:c>
      <x:c r="O34" s="49" t="n">
        <x:v>1510429</x:v>
      </x:c>
      <x:c r="P34" s="49" t="n">
        <x:v>1510429</x:v>
      </x:c>
      <x:c r="Q34" s="49" t="n">
        <x:v>1510429</x:v>
      </x:c>
      <x:c r="R34" s="49" t="n">
        <x:v>1510429</x:v>
      </x:c>
      <x:c r="S34" s="49" t="n">
        <x:v>1510429</x:v>
      </x:c>
      <x:c r="T34" s="49" t="n">
        <x:v>1510429</x:v>
      </x:c>
      <x:c r="U34" s="49" t="n">
        <x:v>1510429</x:v>
      </x:c>
      <x:c r="V34" s="49" t="n">
        <x:v>1510429</x:v>
      </x:c>
      <x:c r="W34" s="49" t="n">
        <x:v>1510429</x:v>
      </x:c>
      <x:c r="X34" s="49" t="n">
        <x:v>1510429</x:v>
      </x:c>
      <x:c r="Y34" s="49" t="n">
        <x:v>1510429</x:v>
      </x:c>
      <x:c r="Z34" s="49" t="n">
        <x:v>1510429</x:v>
      </x:c>
      <x:c r="AA34" s="49" t="n">
        <x:v>1510429</x:v>
      </x:c>
      <x:c r="AB34" s="49" t="n">
        <x:v>1510429</x:v>
      </x:c>
      <x:c r="AC34" s="26" t="n">
        <x:v>6041716</x:v>
      </x:c>
      <x:c r="AD34" s="26" t="n">
        <x:v>18125148</x:v>
      </x:c>
      <x:c r="AE34" s="49" t="n">
        <x:v>18125152</x:v>
      </x:c>
      <x:c r="AF34" s="49" t="n">
        <x:v>18125152</x:v>
      </x:c>
      <x:c r="AG34" s="52" t="s">
        <x:v>42</x:v>
      </x:c>
      <x:c r="AH34" s="23" t="s">
        <x:v>145</x:v>
      </x:c>
    </x:row>
    <x:row r="35" spans="1:35" ht="15" customHeight="1">
      <x:c r="A35" s="46" t="s">
        <x:v>34</x:v>
      </x:c>
      <x:c r="B35" s="3" t="s">
        <x:v>35</x:v>
      </x:c>
      <x:c r="C35" s="46" t="s">
        <x:v>36</x:v>
      </x:c>
      <x:c r="D35" s="4" t="s">
        <x:v>35</x:v>
      </x:c>
      <x:c r="E35" s="46" t="s">
        <x:v>36</x:v>
      </x:c>
      <x:c r="F35" s="4" t="s">
        <x:v>54</x:v>
      </x:c>
      <x:c r="G35" s="46" t="s">
        <x:v>55</x:v>
      </x:c>
      <x:c r="H35" s="46" t="s">
        <x:v>146</x:v>
      </x:c>
      <x:c r="I35" s="3" t="s">
        <x:v>40</x:v>
      </x:c>
      <x:c r="J35" s="25" t="s">
        <x:v>41</x:v>
      </x:c>
      <x:c r="K35" s="49" t="s"/>
      <x:c r="L35" s="49" t="s"/>
      <x:c r="M35" s="49" t="s"/>
      <x:c r="N35" s="49" t="s"/>
      <x:c r="O35" s="49" t="s"/>
      <x:c r="P35" s="49" t="s"/>
      <x:c r="Q35" s="49" t="n">
        <x:v>16000000</x:v>
      </x:c>
      <x:c r="R35" s="49" t="s"/>
      <x:c r="S35" s="49" t="s"/>
      <x:c r="T35" s="49" t="s"/>
      <x:c r="U35" s="49" t="s"/>
      <x:c r="V35" s="49" t="s"/>
      <x:c r="W35" s="49" t="s"/>
      <x:c r="X35" s="49" t="s"/>
      <x:c r="Y35" s="49" t="s"/>
      <x:c r="Z35" s="49" t="s"/>
      <x:c r="AA35" s="49" t="s"/>
      <x:c r="AB35" s="49" t="s"/>
      <x:c r="AC35" s="26" t="s"/>
      <x:c r="AD35" s="26" t="n">
        <x:v>16000000</x:v>
      </x:c>
      <x:c r="AE35" s="49" t="n">
        <x:v>16000000</x:v>
      </x:c>
      <x:c r="AF35" s="49" t="n">
        <x:v>16000000</x:v>
      </x:c>
      <x:c r="AG35" s="52" t="s">
        <x:v>147</x:v>
      </x:c>
      <x:c r="AH35" s="23" t="s">
        <x:v>148</x:v>
      </x:c>
    </x:row>
    <x:row r="36" spans="1:35" ht="15" customHeight="1">
      <x:c r="A36" s="46" t="s">
        <x:v>34</x:v>
      </x:c>
      <x:c r="B36" s="3" t="s">
        <x:v>35</x:v>
      </x:c>
      <x:c r="C36" s="46" t="s">
        <x:v>36</x:v>
      </x:c>
      <x:c r="D36" s="4" t="s">
        <x:v>35</x:v>
      </x:c>
      <x:c r="E36" s="46" t="s">
        <x:v>36</x:v>
      </x:c>
      <x:c r="F36" s="4" t="s">
        <x:v>54</x:v>
      </x:c>
      <x:c r="G36" s="46" t="s">
        <x:v>55</x:v>
      </x:c>
      <x:c r="H36" s="46" t="s">
        <x:v>149</x:v>
      </x:c>
      <x:c r="I36" s="3" t="s">
        <x:v>40</x:v>
      </x:c>
      <x:c r="J36" s="25" t="s">
        <x:v>41</x:v>
      </x:c>
      <x:c r="K36" s="49" t="s"/>
      <x:c r="L36" s="49" t="s"/>
      <x:c r="M36" s="49" t="s"/>
      <x:c r="N36" s="49" t="s"/>
      <x:c r="O36" s="49" t="s"/>
      <x:c r="P36" s="49" t="s"/>
      <x:c r="Q36" s="49" t="n">
        <x:v>375000</x:v>
      </x:c>
      <x:c r="R36" s="49" t="s"/>
      <x:c r="S36" s="49" t="s"/>
      <x:c r="T36" s="49" t="s"/>
      <x:c r="U36" s="49" t="s"/>
      <x:c r="V36" s="49" t="s"/>
      <x:c r="W36" s="49" t="s"/>
      <x:c r="X36" s="49" t="s"/>
      <x:c r="Y36" s="49" t="s"/>
      <x:c r="Z36" s="49" t="s"/>
      <x:c r="AA36" s="49" t="s"/>
      <x:c r="AB36" s="49" t="s"/>
      <x:c r="AC36" s="26" t="s"/>
      <x:c r="AD36" s="26" t="n">
        <x:v>375000</x:v>
      </x:c>
      <x:c r="AE36" s="49" t="n">
        <x:v>375000</x:v>
      </x:c>
      <x:c r="AF36" s="49" t="n">
        <x:v>375000</x:v>
      </x:c>
      <x:c r="AG36" s="52" t="s">
        <x:v>42</x:v>
      </x:c>
      <x:c r="AH36" s="23" t="s">
        <x:v>150</x:v>
      </x:c>
    </x:row>
    <x:row r="37" spans="1:35" ht="15" customHeight="1">
      <x:c r="A37" s="46" t="s">
        <x:v>34</x:v>
      </x:c>
      <x:c r="B37" s="3" t="s">
        <x:v>35</x:v>
      </x:c>
      <x:c r="C37" s="46" t="s">
        <x:v>36</x:v>
      </x:c>
      <x:c r="D37" s="4" t="s">
        <x:v>35</x:v>
      </x:c>
      <x:c r="E37" s="46" t="s">
        <x:v>36</x:v>
      </x:c>
      <x:c r="F37" s="4" t="s">
        <x:v>54</x:v>
      </x:c>
      <x:c r="G37" s="46" t="s">
        <x:v>55</x:v>
      </x:c>
      <x:c r="H37" s="46" t="s">
        <x:v>151</x:v>
      </x:c>
      <x:c r="I37" s="3" t="s">
        <x:v>40</x:v>
      </x:c>
      <x:c r="J37" s="25" t="s">
        <x:v>41</x:v>
      </x:c>
      <x:c r="K37" s="49" t="s"/>
      <x:c r="L37" s="49" t="s"/>
      <x:c r="M37" s="49" t="s"/>
      <x:c r="N37" s="49" t="s"/>
      <x:c r="O37" s="49" t="s"/>
      <x:c r="P37" s="49" t="s"/>
      <x:c r="Q37" s="49" t="n">
        <x:v>123750</x:v>
      </x:c>
      <x:c r="R37" s="49" t="n">
        <x:v>123750</x:v>
      </x:c>
      <x:c r="S37" s="49" t="n">
        <x:v>123750</x:v>
      </x:c>
      <x:c r="T37" s="49" t="n">
        <x:v>123750</x:v>
      </x:c>
      <x:c r="U37" s="49" t="n">
        <x:v>123750</x:v>
      </x:c>
      <x:c r="V37" s="49" t="n">
        <x:v>123750</x:v>
      </x:c>
      <x:c r="W37" s="49" t="n">
        <x:v>123750</x:v>
      </x:c>
      <x:c r="X37" s="49" t="n">
        <x:v>123750</x:v>
      </x:c>
      <x:c r="Y37" s="49" t="n">
        <x:v>123750</x:v>
      </x:c>
      <x:c r="Z37" s="49" t="n">
        <x:v>123750</x:v>
      </x:c>
      <x:c r="AA37" s="49" t="n">
        <x:v>123750</x:v>
      </x:c>
      <x:c r="AB37" s="49" t="n">
        <x:v>123750</x:v>
      </x:c>
      <x:c r="AC37" s="26" t="s"/>
      <x:c r="AD37" s="26" t="n">
        <x:v>1485000</x:v>
      </x:c>
      <x:c r="AE37" s="49" t="n">
        <x:v>1485000</x:v>
      </x:c>
      <x:c r="AF37" s="49" t="n">
        <x:v>1485000</x:v>
      </x:c>
      <x:c r="AG37" s="52" t="s">
        <x:v>42</x:v>
      </x:c>
      <x:c r="AH37" s="23" t="s">
        <x:v>152</x:v>
      </x:c>
    </x:row>
    <x:row r="38" spans="1:35" ht="15" customHeight="1">
      <x:c r="A38" s="46" t="s">
        <x:v>34</x:v>
      </x:c>
      <x:c r="B38" s="3" t="s">
        <x:v>35</x:v>
      </x:c>
      <x:c r="C38" s="46" t="s">
        <x:v>36</x:v>
      </x:c>
      <x:c r="D38" s="4" t="s">
        <x:v>35</x:v>
      </x:c>
      <x:c r="E38" s="46" t="s">
        <x:v>36</x:v>
      </x:c>
      <x:c r="F38" s="4" t="s">
        <x:v>54</x:v>
      </x:c>
      <x:c r="G38" s="46" t="s">
        <x:v>55</x:v>
      </x:c>
      <x:c r="H38" s="46" t="s">
        <x:v>153</x:v>
      </x:c>
      <x:c r="I38" s="3" t="s">
        <x:v>40</x:v>
      </x:c>
      <x:c r="J38" s="25" t="s">
        <x:v>41</x:v>
      </x:c>
      <x:c r="K38" s="49" t="s"/>
      <x:c r="L38" s="49" t="s"/>
      <x:c r="M38" s="49" t="s"/>
      <x:c r="N38" s="49" t="s"/>
      <x:c r="O38" s="49" t="s"/>
      <x:c r="P38" s="49" t="s"/>
      <x:c r="Q38" s="49" t="n">
        <x:v>350000</x:v>
      </x:c>
      <x:c r="R38" s="49" t="n">
        <x:v>350000</x:v>
      </x:c>
      <x:c r="S38" s="49" t="n">
        <x:v>350000</x:v>
      </x:c>
      <x:c r="T38" s="49" t="n">
        <x:v>350000</x:v>
      </x:c>
      <x:c r="U38" s="49" t="n">
        <x:v>350000</x:v>
      </x:c>
      <x:c r="V38" s="49" t="n">
        <x:v>350000</x:v>
      </x:c>
      <x:c r="W38" s="49" t="n">
        <x:v>350000</x:v>
      </x:c>
      <x:c r="X38" s="49" t="n">
        <x:v>350000</x:v>
      </x:c>
      <x:c r="Y38" s="49" t="n">
        <x:v>350000</x:v>
      </x:c>
      <x:c r="Z38" s="49" t="n">
        <x:v>350000</x:v>
      </x:c>
      <x:c r="AA38" s="49" t="n">
        <x:v>350000</x:v>
      </x:c>
      <x:c r="AB38" s="49" t="n">
        <x:v>350000</x:v>
      </x:c>
      <x:c r="AC38" s="26" t="s"/>
      <x:c r="AD38" s="26" t="n">
        <x:v>4200000</x:v>
      </x:c>
      <x:c r="AE38" s="49" t="n">
        <x:v>4200000</x:v>
      </x:c>
      <x:c r="AF38" s="49" t="n">
        <x:v>4200000</x:v>
      </x:c>
      <x:c r="AG38" s="52" t="s">
        <x:v>154</x:v>
      </x:c>
      <x:c r="AH38" s="23" t="s">
        <x:v>155</x:v>
      </x:c>
    </x:row>
    <x:row r="39" spans="1:35" ht="15" customHeight="1">
      <x:c r="A39" s="46" t="s">
        <x:v>34</x:v>
      </x:c>
      <x:c r="B39" s="3" t="s">
        <x:v>35</x:v>
      </x:c>
      <x:c r="C39" s="46" t="s">
        <x:v>36</x:v>
      </x:c>
      <x:c r="D39" s="4" t="s">
        <x:v>76</x:v>
      </x:c>
      <x:c r="E39" s="46" t="s">
        <x:v>77</x:v>
      </x:c>
      <x:c r="F39" s="4" t="s">
        <x:v>54</x:v>
      </x:c>
      <x:c r="G39" s="46" t="s">
        <x:v>55</x:v>
      </x:c>
      <x:c r="H39" s="46" t="s">
        <x:v>156</x:v>
      </x:c>
      <x:c r="I39" s="3" t="s">
        <x:v>40</x:v>
      </x:c>
      <x:c r="J39" s="25" t="s">
        <x:v>41</x:v>
      </x:c>
      <x:c r="K39" s="49" t="s"/>
      <x:c r="L39" s="49" t="s"/>
      <x:c r="M39" s="49" t="n">
        <x:v>504217</x:v>
      </x:c>
      <x:c r="N39" s="49" t="n">
        <x:v>504217</x:v>
      </x:c>
      <x:c r="O39" s="49" t="n">
        <x:v>504217</x:v>
      </x:c>
      <x:c r="P39" s="49" t="n">
        <x:v>504217</x:v>
      </x:c>
      <x:c r="Q39" s="49" t="n">
        <x:v>504217</x:v>
      </x:c>
      <x:c r="R39" s="49" t="n">
        <x:v>504217</x:v>
      </x:c>
      <x:c r="S39" s="49" t="n">
        <x:v>504217</x:v>
      </x:c>
      <x:c r="T39" s="49" t="n">
        <x:v>504217</x:v>
      </x:c>
      <x:c r="U39" s="49" t="n">
        <x:v>504217</x:v>
      </x:c>
      <x:c r="V39" s="49" t="n">
        <x:v>504217</x:v>
      </x:c>
      <x:c r="W39" s="49" t="n">
        <x:v>504217</x:v>
      </x:c>
      <x:c r="X39" s="49" t="n">
        <x:v>504217</x:v>
      </x:c>
      <x:c r="Y39" s="49" t="n">
        <x:v>504217</x:v>
      </x:c>
      <x:c r="Z39" s="49" t="n">
        <x:v>504217</x:v>
      </x:c>
      <x:c r="AA39" s="49" t="n">
        <x:v>504217</x:v>
      </x:c>
      <x:c r="AB39" s="49" t="n">
        <x:v>504217</x:v>
      </x:c>
      <x:c r="AC39" s="26" t="n">
        <x:v>2016868</x:v>
      </x:c>
      <x:c r="AD39" s="26" t="n">
        <x:v>6050604</x:v>
      </x:c>
      <x:c r="AE39" s="49" t="n">
        <x:v>6050606</x:v>
      </x:c>
      <x:c r="AF39" s="49" t="n">
        <x:v>6050606</x:v>
      </x:c>
      <x:c r="AG39" s="52" t="s">
        <x:v>42</x:v>
      </x:c>
      <x:c r="AH39" s="23" t="s">
        <x:v>157</x:v>
      </x:c>
    </x:row>
    <x:row r="40" spans="1:35" ht="15" customHeight="1">
      <x:c r="A40" s="46" t="s">
        <x:v>34</x:v>
      </x:c>
      <x:c r="B40" s="3" t="s">
        <x:v>35</x:v>
      </x:c>
      <x:c r="C40" s="46" t="s">
        <x:v>36</x:v>
      </x:c>
      <x:c r="D40" s="4" t="s">
        <x:v>143</x:v>
      </x:c>
      <x:c r="E40" s="46" t="s">
        <x:v>144</x:v>
      </x:c>
      <x:c r="F40" s="4" t="s">
        <x:v>54</x:v>
      </x:c>
      <x:c r="G40" s="46" t="s">
        <x:v>55</x:v>
      </x:c>
      <x:c r="H40" s="46" t="s">
        <x:v>156</x:v>
      </x:c>
      <x:c r="I40" s="3" t="s">
        <x:v>40</x:v>
      </x:c>
      <x:c r="J40" s="25" t="s">
        <x:v>41</x:v>
      </x:c>
      <x:c r="K40" s="49" t="s"/>
      <x:c r="L40" s="49" t="s"/>
      <x:c r="M40" s="49" t="n">
        <x:v>252109</x:v>
      </x:c>
      <x:c r="N40" s="49" t="n">
        <x:v>252109</x:v>
      </x:c>
      <x:c r="O40" s="49" t="n">
        <x:v>252109</x:v>
      </x:c>
      <x:c r="P40" s="49" t="n">
        <x:v>252109</x:v>
      </x:c>
      <x:c r="Q40" s="49" t="n">
        <x:v>252109</x:v>
      </x:c>
      <x:c r="R40" s="49" t="n">
        <x:v>252109</x:v>
      </x:c>
      <x:c r="S40" s="49" t="n">
        <x:v>252109</x:v>
      </x:c>
      <x:c r="T40" s="49" t="n">
        <x:v>252109</x:v>
      </x:c>
      <x:c r="U40" s="49" t="n">
        <x:v>252109</x:v>
      </x:c>
      <x:c r="V40" s="49" t="n">
        <x:v>252109</x:v>
      </x:c>
      <x:c r="W40" s="49" t="n">
        <x:v>252109</x:v>
      </x:c>
      <x:c r="X40" s="49" t="n">
        <x:v>252109</x:v>
      </x:c>
      <x:c r="Y40" s="49" t="n">
        <x:v>252109</x:v>
      </x:c>
      <x:c r="Z40" s="49" t="n">
        <x:v>252109</x:v>
      </x:c>
      <x:c r="AA40" s="49" t="n">
        <x:v>252109</x:v>
      </x:c>
      <x:c r="AB40" s="49" t="n">
        <x:v>252109</x:v>
      </x:c>
      <x:c r="AC40" s="26" t="n">
        <x:v>1008436</x:v>
      </x:c>
      <x:c r="AD40" s="26" t="n">
        <x:v>3025308</x:v>
      </x:c>
      <x:c r="AE40" s="49" t="n">
        <x:v>3025303</x:v>
      </x:c>
      <x:c r="AF40" s="49" t="n">
        <x:v>3025303</x:v>
      </x:c>
      <x:c r="AG40" s="52" t="s">
        <x:v>42</x:v>
      </x:c>
      <x:c r="AH40" s="23" t="s">
        <x:v>158</x:v>
      </x:c>
    </x:row>
    <x:row r="41" spans="1:35" ht="15" customHeight="1">
      <x:c r="A41" s="46" t="s">
        <x:v>34</x:v>
      </x:c>
      <x:c r="B41" s="3" t="s">
        <x:v>35</x:v>
      </x:c>
      <x:c r="C41" s="46" t="s">
        <x:v>36</x:v>
      </x:c>
      <x:c r="D41" s="4" t="s">
        <x:v>101</x:v>
      </x:c>
      <x:c r="E41" s="46" t="s">
        <x:v>102</x:v>
      </x:c>
      <x:c r="F41" s="4" t="s">
        <x:v>54</x:v>
      </x:c>
      <x:c r="G41" s="46" t="s">
        <x:v>55</x:v>
      </x:c>
      <x:c r="H41" s="46" t="s">
        <x:v>156</x:v>
      </x:c>
      <x:c r="I41" s="3" t="s">
        <x:v>57</x:v>
      </x:c>
      <x:c r="J41" s="25" t="s">
        <x:v>58</x:v>
      </x:c>
      <x:c r="K41" s="49" t="s"/>
      <x:c r="L41" s="49" t="s"/>
      <x:c r="M41" s="49" t="n">
        <x:v>252109</x:v>
      </x:c>
      <x:c r="N41" s="49" t="n">
        <x:v>252109</x:v>
      </x:c>
      <x:c r="O41" s="49" t="n">
        <x:v>252109</x:v>
      </x:c>
      <x:c r="P41" s="49" t="n">
        <x:v>252109</x:v>
      </x:c>
      <x:c r="Q41" s="49" t="n">
        <x:v>252109</x:v>
      </x:c>
      <x:c r="R41" s="49" t="n">
        <x:v>252109</x:v>
      </x:c>
      <x:c r="S41" s="49" t="n">
        <x:v>252109</x:v>
      </x:c>
      <x:c r="T41" s="49" t="n">
        <x:v>252109</x:v>
      </x:c>
      <x:c r="U41" s="49" t="n">
        <x:v>252109</x:v>
      </x:c>
      <x:c r="V41" s="49" t="n">
        <x:v>252109</x:v>
      </x:c>
      <x:c r="W41" s="49" t="n">
        <x:v>252109</x:v>
      </x:c>
      <x:c r="X41" s="49" t="n">
        <x:v>252109</x:v>
      </x:c>
      <x:c r="Y41" s="49" t="n">
        <x:v>252109</x:v>
      </x:c>
      <x:c r="Z41" s="49" t="n">
        <x:v>252109</x:v>
      </x:c>
      <x:c r="AA41" s="49" t="n">
        <x:v>252109</x:v>
      </x:c>
      <x:c r="AB41" s="49" t="n">
        <x:v>252109</x:v>
      </x:c>
      <x:c r="AC41" s="26" t="n">
        <x:v>1008436</x:v>
      </x:c>
      <x:c r="AD41" s="26" t="n">
        <x:v>3025308</x:v>
      </x:c>
      <x:c r="AE41" s="49" t="n">
        <x:v>3025303</x:v>
      </x:c>
      <x:c r="AF41" s="49" t="n">
        <x:v>3025303</x:v>
      </x:c>
      <x:c r="AG41" s="52" t="s">
        <x:v>42</x:v>
      </x:c>
      <x:c r="AH41" s="23" t="s">
        <x:v>159</x:v>
      </x:c>
    </x:row>
    <x:row r="42" spans="1:35" ht="15" customHeight="1">
      <x:c r="A42" s="46" t="s">
        <x:v>34</x:v>
      </x:c>
      <x:c r="B42" s="3" t="s">
        <x:v>35</x:v>
      </x:c>
      <x:c r="C42" s="46" t="s">
        <x:v>36</x:v>
      </x:c>
      <x:c r="D42" s="4" t="s">
        <x:v>137</x:v>
      </x:c>
      <x:c r="E42" s="46" t="s">
        <x:v>138</x:v>
      </x:c>
      <x:c r="F42" s="4" t="s">
        <x:v>54</x:v>
      </x:c>
      <x:c r="G42" s="46" t="s">
        <x:v>55</x:v>
      </x:c>
      <x:c r="H42" s="46" t="s">
        <x:v>156</x:v>
      </x:c>
      <x:c r="I42" s="3" t="s">
        <x:v>40</x:v>
      </x:c>
      <x:c r="J42" s="25" t="s">
        <x:v>41</x:v>
      </x:c>
      <x:c r="K42" s="49" t="s"/>
      <x:c r="L42" s="49" t="s"/>
      <x:c r="M42" s="49" t="n">
        <x:v>756326</x:v>
      </x:c>
      <x:c r="N42" s="49" t="n">
        <x:v>756326</x:v>
      </x:c>
      <x:c r="O42" s="49" t="n">
        <x:v>756326</x:v>
      </x:c>
      <x:c r="P42" s="49" t="n">
        <x:v>756326</x:v>
      </x:c>
      <x:c r="Q42" s="49" t="n">
        <x:v>756326</x:v>
      </x:c>
      <x:c r="R42" s="49" t="n">
        <x:v>756326</x:v>
      </x:c>
      <x:c r="S42" s="49" t="n">
        <x:v>756326</x:v>
      </x:c>
      <x:c r="T42" s="49" t="n">
        <x:v>756326</x:v>
      </x:c>
      <x:c r="U42" s="49" t="n">
        <x:v>756326</x:v>
      </x:c>
      <x:c r="V42" s="49" t="n">
        <x:v>756326</x:v>
      </x:c>
      <x:c r="W42" s="49" t="n">
        <x:v>756326</x:v>
      </x:c>
      <x:c r="X42" s="49" t="n">
        <x:v>756326</x:v>
      </x:c>
      <x:c r="Y42" s="49" t="n">
        <x:v>756326</x:v>
      </x:c>
      <x:c r="Z42" s="49" t="n">
        <x:v>756326</x:v>
      </x:c>
      <x:c r="AA42" s="49" t="n">
        <x:v>756326</x:v>
      </x:c>
      <x:c r="AB42" s="49" t="n">
        <x:v>756326</x:v>
      </x:c>
      <x:c r="AC42" s="26" t="n">
        <x:v>3025304</x:v>
      </x:c>
      <x:c r="AD42" s="26" t="n">
        <x:v>9075912</x:v>
      </x:c>
      <x:c r="AE42" s="49" t="n">
        <x:v>9075909</x:v>
      </x:c>
      <x:c r="AF42" s="49" t="n">
        <x:v>9075909</x:v>
      </x:c>
      <x:c r="AG42" s="52" t="s">
        <x:v>42</x:v>
      </x:c>
      <x:c r="AH42" s="23" t="s">
        <x:v>160</x:v>
      </x:c>
    </x:row>
    <x:row r="43" spans="1:35" ht="15" customHeight="1">
      <x:c r="A43" s="46" t="s">
        <x:v>34</x:v>
      </x:c>
      <x:c r="B43" s="3" t="s">
        <x:v>35</x:v>
      </x:c>
      <x:c r="C43" s="46" t="s">
        <x:v>36</x:v>
      </x:c>
      <x:c r="D43" s="4" t="s">
        <x:v>64</x:v>
      </x:c>
      <x:c r="E43" s="46" t="s">
        <x:v>65</x:v>
      </x:c>
      <x:c r="F43" s="4" t="s">
        <x:v>54</x:v>
      </x:c>
      <x:c r="G43" s="46" t="s">
        <x:v>55</x:v>
      </x:c>
      <x:c r="H43" s="46" t="s">
        <x:v>156</x:v>
      </x:c>
      <x:c r="I43" s="3" t="s">
        <x:v>57</x:v>
      </x:c>
      <x:c r="J43" s="25" t="s">
        <x:v>58</x:v>
      </x:c>
      <x:c r="K43" s="49" t="s"/>
      <x:c r="L43" s="49" t="s"/>
      <x:c r="M43" s="49" t="n">
        <x:v>756326</x:v>
      </x:c>
      <x:c r="N43" s="49" t="n">
        <x:v>756326</x:v>
      </x:c>
      <x:c r="O43" s="49" t="n">
        <x:v>756326</x:v>
      </x:c>
      <x:c r="P43" s="49" t="n">
        <x:v>756326</x:v>
      </x:c>
      <x:c r="Q43" s="49" t="n">
        <x:v>756326</x:v>
      </x:c>
      <x:c r="R43" s="49" t="n">
        <x:v>756326</x:v>
      </x:c>
      <x:c r="S43" s="49" t="n">
        <x:v>756326</x:v>
      </x:c>
      <x:c r="T43" s="49" t="n">
        <x:v>756326</x:v>
      </x:c>
      <x:c r="U43" s="49" t="n">
        <x:v>756326</x:v>
      </x:c>
      <x:c r="V43" s="49" t="n">
        <x:v>756326</x:v>
      </x:c>
      <x:c r="W43" s="49" t="n">
        <x:v>756326</x:v>
      </x:c>
      <x:c r="X43" s="49" t="n">
        <x:v>756326</x:v>
      </x:c>
      <x:c r="Y43" s="49" t="n">
        <x:v>756326</x:v>
      </x:c>
      <x:c r="Z43" s="49" t="n">
        <x:v>756326</x:v>
      </x:c>
      <x:c r="AA43" s="49" t="n">
        <x:v>756326</x:v>
      </x:c>
      <x:c r="AB43" s="49" t="n">
        <x:v>756326</x:v>
      </x:c>
      <x:c r="AC43" s="26" t="n">
        <x:v>3025304</x:v>
      </x:c>
      <x:c r="AD43" s="26" t="n">
        <x:v>9075912</x:v>
      </x:c>
      <x:c r="AE43" s="49" t="n">
        <x:v>9075909</x:v>
      </x:c>
      <x:c r="AF43" s="49" t="n">
        <x:v>9075909</x:v>
      </x:c>
      <x:c r="AG43" s="52" t="s">
        <x:v>42</x:v>
      </x:c>
      <x:c r="AH43" s="23" t="s">
        <x:v>161</x:v>
      </x:c>
    </x:row>
    <x:row r="44" spans="1:35" ht="15" customHeight="1">
      <x:c r="A44" s="46" t="s">
        <x:v>34</x:v>
      </x:c>
      <x:c r="B44" s="3" t="s">
        <x:v>35</x:v>
      </x:c>
      <x:c r="C44" s="46" t="s">
        <x:v>36</x:v>
      </x:c>
      <x:c r="D44" s="4" t="s">
        <x:v>131</x:v>
      </x:c>
      <x:c r="E44" s="46" t="s">
        <x:v>132</x:v>
      </x:c>
      <x:c r="F44" s="4" t="s">
        <x:v>54</x:v>
      </x:c>
      <x:c r="G44" s="46" t="s">
        <x:v>55</x:v>
      </x:c>
      <x:c r="H44" s="46" t="s">
        <x:v>156</x:v>
      </x:c>
      <x:c r="I44" s="3" t="s">
        <x:v>40</x:v>
      </x:c>
      <x:c r="J44" s="25" t="s">
        <x:v>41</x:v>
      </x:c>
      <x:c r="K44" s="49" t="s"/>
      <x:c r="L44" s="49" t="s"/>
      <x:c r="M44" s="49" t="n">
        <x:v>1260543</x:v>
      </x:c>
      <x:c r="N44" s="49" t="n">
        <x:v>1260543</x:v>
      </x:c>
      <x:c r="O44" s="49" t="n">
        <x:v>1260543</x:v>
      </x:c>
      <x:c r="P44" s="49" t="n">
        <x:v>1260543</x:v>
      </x:c>
      <x:c r="Q44" s="49" t="n">
        <x:v>1260543</x:v>
      </x:c>
      <x:c r="R44" s="49" t="n">
        <x:v>1260543</x:v>
      </x:c>
      <x:c r="S44" s="49" t="n">
        <x:v>1260543</x:v>
      </x:c>
      <x:c r="T44" s="49" t="n">
        <x:v>1260543</x:v>
      </x:c>
      <x:c r="U44" s="49" t="n">
        <x:v>1260543</x:v>
      </x:c>
      <x:c r="V44" s="49" t="n">
        <x:v>1260543</x:v>
      </x:c>
      <x:c r="W44" s="49" t="n">
        <x:v>1260543</x:v>
      </x:c>
      <x:c r="X44" s="49" t="n">
        <x:v>1260543</x:v>
      </x:c>
      <x:c r="Y44" s="49" t="n">
        <x:v>1260543</x:v>
      </x:c>
      <x:c r="Z44" s="49" t="n">
        <x:v>1260543</x:v>
      </x:c>
      <x:c r="AA44" s="49" t="n">
        <x:v>1260543</x:v>
      </x:c>
      <x:c r="AB44" s="49" t="n">
        <x:v>1260543</x:v>
      </x:c>
      <x:c r="AC44" s="26" t="n">
        <x:v>5042172</x:v>
      </x:c>
      <x:c r="AD44" s="26" t="n">
        <x:v>15126516</x:v>
      </x:c>
      <x:c r="AE44" s="49" t="n">
        <x:v>15126515</x:v>
      </x:c>
      <x:c r="AF44" s="49" t="n">
        <x:v>15126515</x:v>
      </x:c>
      <x:c r="AG44" s="52" t="s">
        <x:v>42</x:v>
      </x:c>
      <x:c r="AH44" s="23" t="s">
        <x:v>162</x:v>
      </x:c>
    </x:row>
    <x:row r="45" spans="1:35" ht="15" customHeight="1">
      <x:c r="A45" s="46" t="s">
        <x:v>34</x:v>
      </x:c>
      <x:c r="B45" s="3" t="s">
        <x:v>35</x:v>
      </x:c>
      <x:c r="C45" s="46" t="s">
        <x:v>36</x:v>
      </x:c>
      <x:c r="D45" s="4" t="s">
        <x:v>113</x:v>
      </x:c>
      <x:c r="E45" s="46" t="s">
        <x:v>114</x:v>
      </x:c>
      <x:c r="F45" s="4" t="s">
        <x:v>54</x:v>
      </x:c>
      <x:c r="G45" s="46" t="s">
        <x:v>55</x:v>
      </x:c>
      <x:c r="H45" s="46" t="s">
        <x:v>156</x:v>
      </x:c>
      <x:c r="I45" s="3" t="s">
        <x:v>57</x:v>
      </x:c>
      <x:c r="J45" s="25" t="s">
        <x:v>58</x:v>
      </x:c>
      <x:c r="K45" s="49" t="s"/>
      <x:c r="L45" s="49" t="s"/>
      <x:c r="M45" s="49" t="n">
        <x:v>252109</x:v>
      </x:c>
      <x:c r="N45" s="49" t="n">
        <x:v>252109</x:v>
      </x:c>
      <x:c r="O45" s="49" t="n">
        <x:v>252109</x:v>
      </x:c>
      <x:c r="P45" s="49" t="n">
        <x:v>252109</x:v>
      </x:c>
      <x:c r="Q45" s="49" t="n">
        <x:v>252109</x:v>
      </x:c>
      <x:c r="R45" s="49" t="n">
        <x:v>252109</x:v>
      </x:c>
      <x:c r="S45" s="49" t="n">
        <x:v>252109</x:v>
      </x:c>
      <x:c r="T45" s="49" t="n">
        <x:v>252109</x:v>
      </x:c>
      <x:c r="U45" s="49" t="n">
        <x:v>252109</x:v>
      </x:c>
      <x:c r="V45" s="49" t="n">
        <x:v>252109</x:v>
      </x:c>
      <x:c r="W45" s="49" t="n">
        <x:v>252109</x:v>
      </x:c>
      <x:c r="X45" s="49" t="n">
        <x:v>252109</x:v>
      </x:c>
      <x:c r="Y45" s="49" t="n">
        <x:v>252109</x:v>
      </x:c>
      <x:c r="Z45" s="49" t="n">
        <x:v>252109</x:v>
      </x:c>
      <x:c r="AA45" s="49" t="n">
        <x:v>252109</x:v>
      </x:c>
      <x:c r="AB45" s="49" t="n">
        <x:v>252109</x:v>
      </x:c>
      <x:c r="AC45" s="26" t="n">
        <x:v>1008436</x:v>
      </x:c>
      <x:c r="AD45" s="26" t="n">
        <x:v>3025308</x:v>
      </x:c>
      <x:c r="AE45" s="49" t="n">
        <x:v>3025303</x:v>
      </x:c>
      <x:c r="AF45" s="49" t="n">
        <x:v>3025303</x:v>
      </x:c>
      <x:c r="AG45" s="52" t="s">
        <x:v>42</x:v>
      </x:c>
      <x:c r="AH45" s="23" t="s">
        <x:v>163</x:v>
      </x:c>
    </x:row>
    <x:row r="46" spans="1:35" ht="15" customHeight="1">
      <x:c r="A46" s="46" t="s">
        <x:v>34</x:v>
      </x:c>
      <x:c r="B46" s="3" t="s">
        <x:v>35</x:v>
      </x:c>
      <x:c r="C46" s="46" t="s">
        <x:v>36</x:v>
      </x:c>
      <x:c r="D46" s="4" t="s">
        <x:v>122</x:v>
      </x:c>
      <x:c r="E46" s="46" t="s">
        <x:v>123</x:v>
      </x:c>
      <x:c r="F46" s="4" t="s">
        <x:v>54</x:v>
      </x:c>
      <x:c r="G46" s="46" t="s">
        <x:v>55</x:v>
      </x:c>
      <x:c r="H46" s="46" t="s">
        <x:v>156</x:v>
      </x:c>
      <x:c r="I46" s="3" t="s">
        <x:v>40</x:v>
      </x:c>
      <x:c r="J46" s="25" t="s">
        <x:v>41</x:v>
      </x:c>
      <x:c r="K46" s="49" t="s"/>
      <x:c r="L46" s="49" t="s"/>
      <x:c r="M46" s="49" t="n">
        <x:v>252109</x:v>
      </x:c>
      <x:c r="N46" s="49" t="n">
        <x:v>252109</x:v>
      </x:c>
      <x:c r="O46" s="49" t="n">
        <x:v>252109</x:v>
      </x:c>
      <x:c r="P46" s="49" t="n">
        <x:v>252109</x:v>
      </x:c>
      <x:c r="Q46" s="49" t="n">
        <x:v>252109</x:v>
      </x:c>
      <x:c r="R46" s="49" t="n">
        <x:v>252109</x:v>
      </x:c>
      <x:c r="S46" s="49" t="n">
        <x:v>252109</x:v>
      </x:c>
      <x:c r="T46" s="49" t="n">
        <x:v>252109</x:v>
      </x:c>
      <x:c r="U46" s="49" t="n">
        <x:v>252109</x:v>
      </x:c>
      <x:c r="V46" s="49" t="n">
        <x:v>252109</x:v>
      </x:c>
      <x:c r="W46" s="49" t="n">
        <x:v>252109</x:v>
      </x:c>
      <x:c r="X46" s="49" t="n">
        <x:v>252109</x:v>
      </x:c>
      <x:c r="Y46" s="49" t="n">
        <x:v>252109</x:v>
      </x:c>
      <x:c r="Z46" s="49" t="n">
        <x:v>252109</x:v>
      </x:c>
      <x:c r="AA46" s="49" t="n">
        <x:v>252109</x:v>
      </x:c>
      <x:c r="AB46" s="49" t="n">
        <x:v>252109</x:v>
      </x:c>
      <x:c r="AC46" s="26" t="n">
        <x:v>1008436</x:v>
      </x:c>
      <x:c r="AD46" s="26" t="n">
        <x:v>3025308</x:v>
      </x:c>
      <x:c r="AE46" s="49" t="n">
        <x:v>3025303</x:v>
      </x:c>
      <x:c r="AF46" s="49" t="n">
        <x:v>3025303</x:v>
      </x:c>
      <x:c r="AG46" s="52" t="s">
        <x:v>42</x:v>
      </x:c>
      <x:c r="AH46" s="23" t="s">
        <x:v>164</x:v>
      </x:c>
    </x:row>
    <x:row r="47" spans="1:35" ht="15" customHeight="1">
      <x:c r="A47" s="46" t="s">
        <x:v>34</x:v>
      </x:c>
      <x:c r="B47" s="3" t="s">
        <x:v>35</x:v>
      </x:c>
      <x:c r="C47" s="46" t="s">
        <x:v>36</x:v>
      </x:c>
      <x:c r="D47" s="4" t="s">
        <x:v>79</x:v>
      </x:c>
      <x:c r="E47" s="46" t="s">
        <x:v>80</x:v>
      </x:c>
      <x:c r="F47" s="4" t="s">
        <x:v>54</x:v>
      </x:c>
      <x:c r="G47" s="46" t="s">
        <x:v>55</x:v>
      </x:c>
      <x:c r="H47" s="46" t="s">
        <x:v>156</x:v>
      </x:c>
      <x:c r="I47" s="3" t="s">
        <x:v>40</x:v>
      </x:c>
      <x:c r="J47" s="25" t="s">
        <x:v>41</x:v>
      </x:c>
      <x:c r="K47" s="49" t="s"/>
      <x:c r="L47" s="49" t="s"/>
      <x:c r="M47" s="49" t="n">
        <x:v>504217</x:v>
      </x:c>
      <x:c r="N47" s="49" t="n">
        <x:v>504217</x:v>
      </x:c>
      <x:c r="O47" s="49" t="n">
        <x:v>504217</x:v>
      </x:c>
      <x:c r="P47" s="49" t="n">
        <x:v>504217</x:v>
      </x:c>
      <x:c r="Q47" s="49" t="n">
        <x:v>504217</x:v>
      </x:c>
      <x:c r="R47" s="49" t="n">
        <x:v>504217</x:v>
      </x:c>
      <x:c r="S47" s="49" t="n">
        <x:v>504217</x:v>
      </x:c>
      <x:c r="T47" s="49" t="n">
        <x:v>504217</x:v>
      </x:c>
      <x:c r="U47" s="49" t="n">
        <x:v>504217</x:v>
      </x:c>
      <x:c r="V47" s="49" t="n">
        <x:v>504217</x:v>
      </x:c>
      <x:c r="W47" s="49" t="n">
        <x:v>504217</x:v>
      </x:c>
      <x:c r="X47" s="49" t="n">
        <x:v>504217</x:v>
      </x:c>
      <x:c r="Y47" s="49" t="n">
        <x:v>504217</x:v>
      </x:c>
      <x:c r="Z47" s="49" t="n">
        <x:v>504217</x:v>
      </x:c>
      <x:c r="AA47" s="49" t="n">
        <x:v>504217</x:v>
      </x:c>
      <x:c r="AB47" s="49" t="n">
        <x:v>504217</x:v>
      </x:c>
      <x:c r="AC47" s="26" t="n">
        <x:v>2016868</x:v>
      </x:c>
      <x:c r="AD47" s="26" t="n">
        <x:v>6050604</x:v>
      </x:c>
      <x:c r="AE47" s="49" t="n">
        <x:v>6050606</x:v>
      </x:c>
      <x:c r="AF47" s="49" t="n">
        <x:v>6050606</x:v>
      </x:c>
      <x:c r="AG47" s="52" t="s">
        <x:v>42</x:v>
      </x:c>
      <x:c r="AH47" s="23" t="s">
        <x:v>165</x:v>
      </x:c>
    </x:row>
    <x:row r="48" spans="1:35" ht="15" customHeight="1">
      <x:c r="A48" s="46" t="s">
        <x:v>34</x:v>
      </x:c>
      <x:c r="B48" s="3" t="s">
        <x:v>35</x:v>
      </x:c>
      <x:c r="C48" s="46" t="s">
        <x:v>36</x:v>
      </x:c>
      <x:c r="D48" s="4" t="s">
        <x:v>35</x:v>
      </x:c>
      <x:c r="E48" s="46" t="s">
        <x:v>36</x:v>
      </x:c>
      <x:c r="F48" s="4" t="s">
        <x:v>54</x:v>
      </x:c>
      <x:c r="G48" s="46" t="s">
        <x:v>55</x:v>
      </x:c>
      <x:c r="H48" s="46" t="s">
        <x:v>166</x:v>
      </x:c>
      <x:c r="I48" s="3" t="s">
        <x:v>40</x:v>
      </x:c>
      <x:c r="J48" s="25" t="s">
        <x:v>41</x:v>
      </x:c>
      <x:c r="K48" s="49" t="s"/>
      <x:c r="L48" s="49" t="s"/>
      <x:c r="M48" s="49" t="n">
        <x:v>319329</x:v>
      </x:c>
      <x:c r="N48" s="49" t="n">
        <x:v>319329</x:v>
      </x:c>
      <x:c r="O48" s="49" t="n">
        <x:v>319329</x:v>
      </x:c>
      <x:c r="P48" s="49" t="n">
        <x:v>319329</x:v>
      </x:c>
      <x:c r="Q48" s="49" t="n">
        <x:v>319329</x:v>
      </x:c>
      <x:c r="R48" s="49" t="n">
        <x:v>319329</x:v>
      </x:c>
      <x:c r="S48" s="49" t="n">
        <x:v>319329</x:v>
      </x:c>
      <x:c r="T48" s="49" t="n">
        <x:v>319329</x:v>
      </x:c>
      <x:c r="U48" s="49" t="n">
        <x:v>319329</x:v>
      </x:c>
      <x:c r="V48" s="49" t="n">
        <x:v>319329</x:v>
      </x:c>
      <x:c r="W48" s="49" t="n">
        <x:v>319329</x:v>
      </x:c>
      <x:c r="X48" s="49" t="n">
        <x:v>319329</x:v>
      </x:c>
      <x:c r="Y48" s="49" t="n">
        <x:v>319329</x:v>
      </x:c>
      <x:c r="Z48" s="49" t="n">
        <x:v>319329</x:v>
      </x:c>
      <x:c r="AA48" s="49" t="n">
        <x:v>319329</x:v>
      </x:c>
      <x:c r="AB48" s="49" t="n">
        <x:v>319329</x:v>
      </x:c>
      <x:c r="AC48" s="26" t="n">
        <x:v>1277316</x:v>
      </x:c>
      <x:c r="AD48" s="26" t="n">
        <x:v>3831948</x:v>
      </x:c>
      <x:c r="AE48" s="49" t="n">
        <x:v>3831945</x:v>
      </x:c>
      <x:c r="AF48" s="49" t="n">
        <x:v>3831945</x:v>
      </x:c>
      <x:c r="AG48" s="52" t="s">
        <x:v>42</x:v>
      </x:c>
      <x:c r="AH48" s="23" t="s">
        <x:v>167</x:v>
      </x:c>
    </x:row>
    <x:row r="49" spans="1:35" ht="15" customHeight="1">
      <x:c r="A49" s="46" t="s">
        <x:v>34</x:v>
      </x:c>
      <x:c r="B49" s="3" t="s">
        <x:v>35</x:v>
      </x:c>
      <x:c r="C49" s="46" t="s">
        <x:v>36</x:v>
      </x:c>
      <x:c r="D49" s="4" t="s">
        <x:v>35</x:v>
      </x:c>
      <x:c r="E49" s="46" t="s">
        <x:v>36</x:v>
      </x:c>
      <x:c r="F49" s="4" t="s">
        <x:v>54</x:v>
      </x:c>
      <x:c r="G49" s="46" t="s">
        <x:v>55</x:v>
      </x:c>
      <x:c r="H49" s="46" t="s">
        <x:v>168</x:v>
      </x:c>
      <x:c r="I49" s="3" t="s">
        <x:v>40</x:v>
      </x:c>
      <x:c r="J49" s="25" t="s">
        <x:v>41</x:v>
      </x:c>
      <x:c r="K49" s="49" t="s"/>
      <x:c r="L49" s="49" t="s"/>
      <x:c r="M49" s="49" t="n">
        <x:v>500194</x:v>
      </x:c>
      <x:c r="N49" s="49" t="n">
        <x:v>500194</x:v>
      </x:c>
      <x:c r="O49" s="49" t="n">
        <x:v>500194</x:v>
      </x:c>
      <x:c r="P49" s="49" t="n">
        <x:v>500194</x:v>
      </x:c>
      <x:c r="Q49" s="49" t="n">
        <x:v>500194</x:v>
      </x:c>
      <x:c r="R49" s="49" t="n">
        <x:v>500194</x:v>
      </x:c>
      <x:c r="S49" s="49" t="n">
        <x:v>500194</x:v>
      </x:c>
      <x:c r="T49" s="49" t="n">
        <x:v>500194</x:v>
      </x:c>
      <x:c r="U49" s="49" t="n">
        <x:v>500194</x:v>
      </x:c>
      <x:c r="V49" s="49" t="n">
        <x:v>500194</x:v>
      </x:c>
      <x:c r="W49" s="49" t="n">
        <x:v>500194</x:v>
      </x:c>
      <x:c r="X49" s="49" t="n">
        <x:v>500194</x:v>
      </x:c>
      <x:c r="Y49" s="49" t="n">
        <x:v>500194</x:v>
      </x:c>
      <x:c r="Z49" s="49" t="n">
        <x:v>500194</x:v>
      </x:c>
      <x:c r="AA49" s="49" t="n">
        <x:v>500194</x:v>
      </x:c>
      <x:c r="AB49" s="49" t="n">
        <x:v>500194</x:v>
      </x:c>
      <x:c r="AC49" s="26" t="n">
        <x:v>2000776</x:v>
      </x:c>
      <x:c r="AD49" s="26" t="n">
        <x:v>6002328</x:v>
      </x:c>
      <x:c r="AE49" s="49" t="n">
        <x:v>6002325</x:v>
      </x:c>
      <x:c r="AF49" s="49" t="n">
        <x:v>6002325</x:v>
      </x:c>
      <x:c r="AG49" s="52" t="s">
        <x:v>42</x:v>
      </x:c>
      <x:c r="AH49" s="23" t="s">
        <x:v>169</x:v>
      </x:c>
    </x:row>
    <x:row r="50" spans="1:35" ht="15" customHeight="1">
      <x:c r="A50" s="46" t="s">
        <x:v>34</x:v>
      </x:c>
      <x:c r="B50" s="3" t="s">
        <x:v>35</x:v>
      </x:c>
      <x:c r="C50" s="46" t="s">
        <x:v>36</x:v>
      </x:c>
      <x:c r="D50" s="4" t="s">
        <x:v>35</x:v>
      </x:c>
      <x:c r="E50" s="46" t="s">
        <x:v>36</x:v>
      </x:c>
      <x:c r="F50" s="4" t="s">
        <x:v>54</x:v>
      </x:c>
      <x:c r="G50" s="46" t="s">
        <x:v>55</x:v>
      </x:c>
      <x:c r="H50" s="46" t="s">
        <x:v>170</x:v>
      </x:c>
      <x:c r="I50" s="3" t="s">
        <x:v>40</x:v>
      </x:c>
      <x:c r="J50" s="25" t="s">
        <x:v>41</x:v>
      </x:c>
      <x:c r="K50" s="49" t="s"/>
      <x:c r="L50" s="49" t="s"/>
      <x:c r="M50" s="49" t="n">
        <x:v>8236250</x:v>
      </x:c>
      <x:c r="N50" s="49" t="n">
        <x:v>8236250</x:v>
      </x:c>
      <x:c r="O50" s="49" t="n">
        <x:v>8236250</x:v>
      </x:c>
      <x:c r="P50" s="49" t="n">
        <x:v>8236250</x:v>
      </x:c>
      <x:c r="Q50" s="49" t="n">
        <x:v>8236250</x:v>
      </x:c>
      <x:c r="R50" s="49" t="n">
        <x:v>8236250</x:v>
      </x:c>
      <x:c r="S50" s="49" t="n">
        <x:v>25983500</x:v>
      </x:c>
      <x:c r="T50" s="49" t="n">
        <x:v>25983500</x:v>
      </x:c>
      <x:c r="U50" s="49" t="n">
        <x:v>25983500</x:v>
      </x:c>
      <x:c r="V50" s="49" t="n">
        <x:v>25983500</x:v>
      </x:c>
      <x:c r="W50" s="49" t="n">
        <x:v>17500000</x:v>
      </x:c>
      <x:c r="X50" s="49" t="n">
        <x:v>17500000</x:v>
      </x:c>
      <x:c r="Y50" s="49" t="n">
        <x:v>17500000</x:v>
      </x:c>
      <x:c r="Z50" s="49" t="n">
        <x:v>17500000</x:v>
      </x:c>
      <x:c r="AA50" s="49" t="n">
        <x:v>17500000</x:v>
      </x:c>
      <x:c r="AB50" s="49" t="n">
        <x:v>17500000</x:v>
      </x:c>
      <x:c r="AC50" s="26" t="n">
        <x:v>32945000</x:v>
      </x:c>
      <x:c r="AD50" s="26" t="n">
        <x:v>225406500</x:v>
      </x:c>
      <x:c r="AE50" s="49" t="n">
        <x:v>210000000</x:v>
      </x:c>
      <x:c r="AF50" s="49" t="n">
        <x:v>210000000</x:v>
      </x:c>
      <x:c r="AG50" s="52" t="s">
        <x:v>42</x:v>
      </x:c>
      <x:c r="AH50" s="23" t="s">
        <x:v>171</x:v>
      </x:c>
    </x:row>
    <x:row r="51" spans="1:35" ht="15" customHeight="1">
      <x:c r="A51" s="46" t="s">
        <x:v>34</x:v>
      </x:c>
      <x:c r="B51" s="3" t="s">
        <x:v>35</x:v>
      </x:c>
      <x:c r="C51" s="46" t="s">
        <x:v>36</x:v>
      </x:c>
      <x:c r="D51" s="4" t="s">
        <x:v>35</x:v>
      </x:c>
      <x:c r="E51" s="46" t="s">
        <x:v>36</x:v>
      </x:c>
      <x:c r="F51" s="4" t="s">
        <x:v>54</x:v>
      </x:c>
      <x:c r="G51" s="46" t="s">
        <x:v>55</x:v>
      </x:c>
      <x:c r="H51" s="46" t="s">
        <x:v>172</x:v>
      </x:c>
      <x:c r="I51" s="3" t="s">
        <x:v>40</x:v>
      </x:c>
      <x:c r="J51" s="25" t="s">
        <x:v>41</x:v>
      </x:c>
      <x:c r="K51" s="49" t="s"/>
      <x:c r="L51" s="49" t="s"/>
      <x:c r="M51" s="49" t="n">
        <x:v>928750</x:v>
      </x:c>
      <x:c r="N51" s="49" t="n">
        <x:v>928750</x:v>
      </x:c>
      <x:c r="O51" s="49" t="n">
        <x:v>928750</x:v>
      </x:c>
      <x:c r="P51" s="49" t="n">
        <x:v>928750</x:v>
      </x:c>
      <x:c r="Q51" s="49" t="n">
        <x:v>928750</x:v>
      </x:c>
      <x:c r="R51" s="49" t="n">
        <x:v>928750</x:v>
      </x:c>
      <x:c r="S51" s="49" t="n">
        <x:v>928750</x:v>
      </x:c>
      <x:c r="T51" s="49" t="n">
        <x:v>928750</x:v>
      </x:c>
      <x:c r="U51" s="49" t="n">
        <x:v>928750</x:v>
      </x:c>
      <x:c r="V51" s="49" t="n">
        <x:v>928750</x:v>
      </x:c>
      <x:c r="W51" s="49" t="n">
        <x:v>928750</x:v>
      </x:c>
      <x:c r="X51" s="49" t="n">
        <x:v>928750</x:v>
      </x:c>
      <x:c r="Y51" s="49" t="n">
        <x:v>928750</x:v>
      </x:c>
      <x:c r="Z51" s="49" t="n">
        <x:v>928750</x:v>
      </x:c>
      <x:c r="AA51" s="49" t="n">
        <x:v>928750</x:v>
      </x:c>
      <x:c r="AB51" s="49" t="n">
        <x:v>928750</x:v>
      </x:c>
      <x:c r="AC51" s="26" t="n">
        <x:v>3715000</x:v>
      </x:c>
      <x:c r="AD51" s="26" t="n">
        <x:v>11145000</x:v>
      </x:c>
      <x:c r="AE51" s="49" t="n">
        <x:v>11145000</x:v>
      </x:c>
      <x:c r="AF51" s="49" t="n">
        <x:v>11145000</x:v>
      </x:c>
      <x:c r="AG51" s="52" t="s">
        <x:v>42</x:v>
      </x:c>
      <x:c r="AH51" s="23" t="s">
        <x:v>173</x:v>
      </x:c>
    </x:row>
    <x:row r="52" spans="1:35" ht="15" customHeight="1">
      <x:c r="A52" s="46" t="s">
        <x:v>34</x:v>
      </x:c>
      <x:c r="B52" s="3" t="s">
        <x:v>35</x:v>
      </x:c>
      <x:c r="C52" s="46" t="s">
        <x:v>36</x:v>
      </x:c>
      <x:c r="D52" s="4" t="s">
        <x:v>35</x:v>
      </x:c>
      <x:c r="E52" s="46" t="s">
        <x:v>36</x:v>
      </x:c>
      <x:c r="F52" s="4" t="s">
        <x:v>54</x:v>
      </x:c>
      <x:c r="G52" s="46" t="s">
        <x:v>55</x:v>
      </x:c>
      <x:c r="H52" s="46" t="s">
        <x:v>174</x:v>
      </x:c>
      <x:c r="I52" s="3" t="s">
        <x:v>40</x:v>
      </x:c>
      <x:c r="J52" s="25" t="s">
        <x:v>41</x:v>
      </x:c>
      <x:c r="K52" s="49" t="s"/>
      <x:c r="L52" s="49" t="s"/>
      <x:c r="M52" s="49" t="n">
        <x:v>3646667</x:v>
      </x:c>
      <x:c r="N52" s="49" t="n">
        <x:v>3646667</x:v>
      </x:c>
      <x:c r="O52" s="49" t="n">
        <x:v>3646667</x:v>
      </x:c>
      <x:c r="P52" s="49" t="n">
        <x:v>3646667</x:v>
      </x:c>
      <x:c r="Q52" s="49" t="n">
        <x:v>3646667</x:v>
      </x:c>
      <x:c r="R52" s="49" t="n">
        <x:v>3646667</x:v>
      </x:c>
      <x:c r="S52" s="49" t="n">
        <x:v>3646667</x:v>
      </x:c>
      <x:c r="T52" s="49" t="n">
        <x:v>3646667</x:v>
      </x:c>
      <x:c r="U52" s="49" t="n">
        <x:v>3646667</x:v>
      </x:c>
      <x:c r="V52" s="49" t="n">
        <x:v>3646667</x:v>
      </x:c>
      <x:c r="W52" s="49" t="n">
        <x:v>3646667</x:v>
      </x:c>
      <x:c r="X52" s="49" t="n">
        <x:v>3756167</x:v>
      </x:c>
      <x:c r="Y52" s="49" t="n">
        <x:v>3756167</x:v>
      </x:c>
      <x:c r="Z52" s="49" t="n">
        <x:v>3756167</x:v>
      </x:c>
      <x:c r="AA52" s="49" t="n">
        <x:v>3756167</x:v>
      </x:c>
      <x:c r="AB52" s="49" t="n">
        <x:v>3756167</x:v>
      </x:c>
      <x:c r="AC52" s="26" t="n">
        <x:v>14586668</x:v>
      </x:c>
      <x:c r="AD52" s="26" t="n">
        <x:v>44307504</x:v>
      </x:c>
      <x:c r="AE52" s="49" t="n">
        <x:v>46000000</x:v>
      </x:c>
      <x:c r="AF52" s="49" t="n">
        <x:v>46000000</x:v>
      </x:c>
      <x:c r="AG52" s="52" t="s">
        <x:v>154</x:v>
      </x:c>
      <x:c r="AH52" s="23" t="s">
        <x:v>175</x:v>
      </x:c>
    </x:row>
    <x:row r="53" spans="1:35" ht="15" customHeight="1">
      <x:c r="A53" s="46" t="s">
        <x:v>34</x:v>
      </x:c>
      <x:c r="B53" s="3" t="s">
        <x:v>35</x:v>
      </x:c>
      <x:c r="C53" s="46" t="s">
        <x:v>36</x:v>
      </x:c>
      <x:c r="D53" s="4" t="s">
        <x:v>35</x:v>
      </x:c>
      <x:c r="E53" s="46" t="s">
        <x:v>36</x:v>
      </x:c>
      <x:c r="F53" s="4" t="s">
        <x:v>54</x:v>
      </x:c>
      <x:c r="G53" s="46" t="s">
        <x:v>55</x:v>
      </x:c>
      <x:c r="H53" s="46" t="s">
        <x:v>176</x:v>
      </x:c>
      <x:c r="I53" s="3" t="s">
        <x:v>40</x:v>
      </x:c>
      <x:c r="J53" s="25" t="s">
        <x:v>41</x:v>
      </x:c>
      <x:c r="K53" s="49" t="s"/>
      <x:c r="L53" s="49" t="s"/>
      <x:c r="M53" s="49" t="s"/>
      <x:c r="N53" s="49" t="s"/>
      <x:c r="O53" s="49" t="s"/>
      <x:c r="P53" s="49" t="s"/>
      <x:c r="Q53" s="49" t="n">
        <x:v>7625625</x:v>
      </x:c>
      <x:c r="R53" s="49" t="n">
        <x:v>7625625</x:v>
      </x:c>
      <x:c r="S53" s="49" t="n">
        <x:v>7625625</x:v>
      </x:c>
      <x:c r="T53" s="49" t="n">
        <x:v>7625625</x:v>
      </x:c>
      <x:c r="U53" s="49" t="n">
        <x:v>7625625</x:v>
      </x:c>
      <x:c r="V53" s="49" t="n">
        <x:v>7625625</x:v>
      </x:c>
      <x:c r="W53" s="49" t="n">
        <x:v>7625625</x:v>
      </x:c>
      <x:c r="X53" s="49" t="n">
        <x:v>7625625</x:v>
      </x:c>
      <x:c r="Y53" s="49" t="n">
        <x:v>7625625</x:v>
      </x:c>
      <x:c r="Z53" s="49" t="n">
        <x:v>7625625</x:v>
      </x:c>
      <x:c r="AA53" s="49" t="n">
        <x:v>7625625</x:v>
      </x:c>
      <x:c r="AB53" s="49" t="n">
        <x:v>7625625</x:v>
      </x:c>
      <x:c r="AC53" s="26" t="s"/>
      <x:c r="AD53" s="26" t="n">
        <x:v>91507500</x:v>
      </x:c>
      <x:c r="AE53" s="49" t="n">
        <x:v>91507500</x:v>
      </x:c>
      <x:c r="AF53" s="49" t="n">
        <x:v>91507500</x:v>
      </x:c>
      <x:c r="AG53" s="52" t="s">
        <x:v>154</x:v>
      </x:c>
      <x:c r="AH53" s="23" t="s">
        <x:v>177</x:v>
      </x:c>
    </x:row>
    <x:row r="54" spans="1:35" ht="15" customHeight="1">
      <x:c r="A54" s="46" t="s">
        <x:v>34</x:v>
      </x:c>
      <x:c r="B54" s="3" t="s">
        <x:v>35</x:v>
      </x:c>
      <x:c r="C54" s="46" t="s">
        <x:v>36</x:v>
      </x:c>
      <x:c r="D54" s="4" t="s">
        <x:v>52</x:v>
      </x:c>
      <x:c r="E54" s="46" t="s">
        <x:v>53</x:v>
      </x:c>
      <x:c r="F54" s="4" t="s">
        <x:v>54</x:v>
      </x:c>
      <x:c r="G54" s="46" t="s">
        <x:v>55</x:v>
      </x:c>
      <x:c r="H54" s="46" t="s">
        <x:v>178</x:v>
      </x:c>
      <x:c r="I54" s="3" t="s">
        <x:v>57</x:v>
      </x:c>
      <x:c r="J54" s="25" t="s">
        <x:v>58</x:v>
      </x:c>
      <x:c r="K54" s="49" t="s"/>
      <x:c r="L54" s="49" t="s"/>
      <x:c r="M54" s="49" t="n">
        <x:v>339500</x:v>
      </x:c>
      <x:c r="N54" s="49" t="n">
        <x:v>339500</x:v>
      </x:c>
      <x:c r="O54" s="49" t="n">
        <x:v>339500</x:v>
      </x:c>
      <x:c r="P54" s="49" t="n">
        <x:v>339500</x:v>
      </x:c>
      <x:c r="Q54" s="49" t="n">
        <x:v>339500</x:v>
      </x:c>
      <x:c r="R54" s="49" t="n">
        <x:v>339500</x:v>
      </x:c>
      <x:c r="S54" s="49" t="n">
        <x:v>339500</x:v>
      </x:c>
      <x:c r="T54" s="49" t="n">
        <x:v>339500</x:v>
      </x:c>
      <x:c r="U54" s="49" t="n">
        <x:v>339500</x:v>
      </x:c>
      <x:c r="V54" s="49" t="n">
        <x:v>339500</x:v>
      </x:c>
      <x:c r="W54" s="49" t="n">
        <x:v>339500</x:v>
      </x:c>
      <x:c r="X54" s="49" t="n">
        <x:v>339500</x:v>
      </x:c>
      <x:c r="Y54" s="49" t="n">
        <x:v>339500</x:v>
      </x:c>
      <x:c r="Z54" s="49" t="n">
        <x:v>339500</x:v>
      </x:c>
      <x:c r="AA54" s="49" t="n">
        <x:v>339500</x:v>
      </x:c>
      <x:c r="AB54" s="49" t="n">
        <x:v>339500</x:v>
      </x:c>
      <x:c r="AC54" s="26" t="n">
        <x:v>1358000</x:v>
      </x:c>
      <x:c r="AD54" s="26" t="n">
        <x:v>4074000</x:v>
      </x:c>
      <x:c r="AE54" s="49" t="n">
        <x:v>4074000</x:v>
      </x:c>
      <x:c r="AF54" s="49" t="n">
        <x:v>4074000</x:v>
      </x:c>
      <x:c r="AG54" s="52" t="s">
        <x:v>42</x:v>
      </x:c>
      <x:c r="AH54" s="23" t="s">
        <x:v>179</x:v>
      </x:c>
    </x:row>
    <x:row r="55" spans="1:35" ht="15" customHeight="1">
      <x:c r="A55" s="46" t="s">
        <x:v>34</x:v>
      </x:c>
      <x:c r="B55" s="3" t="s">
        <x:v>35</x:v>
      </x:c>
      <x:c r="C55" s="46" t="s">
        <x:v>36</x:v>
      </x:c>
      <x:c r="D55" s="4" t="s">
        <x:v>35</x:v>
      </x:c>
      <x:c r="E55" s="46" t="s">
        <x:v>36</x:v>
      </x:c>
      <x:c r="F55" s="4" t="s">
        <x:v>54</x:v>
      </x:c>
      <x:c r="G55" s="46" t="s">
        <x:v>55</x:v>
      </x:c>
      <x:c r="H55" s="46" t="s">
        <x:v>180</x:v>
      </x:c>
      <x:c r="I55" s="3" t="s">
        <x:v>40</x:v>
      </x:c>
      <x:c r="J55" s="25" t="s">
        <x:v>41</x:v>
      </x:c>
      <x:c r="K55" s="49" t="s"/>
      <x:c r="L55" s="49" t="s"/>
      <x:c r="M55" s="49" t="n">
        <x:v>16650000</x:v>
      </x:c>
      <x:c r="N55" s="49" t="n">
        <x:v>16650000</x:v>
      </x:c>
      <x:c r="O55" s="49" t="n">
        <x:v>16650000</x:v>
      </x:c>
      <x:c r="P55" s="49" t="n">
        <x:v>16650000</x:v>
      </x:c>
      <x:c r="Q55" s="49" t="n">
        <x:v>17482500</x:v>
      </x:c>
      <x:c r="R55" s="49" t="n">
        <x:v>17482500</x:v>
      </x:c>
      <x:c r="S55" s="49" t="n">
        <x:v>17482500</x:v>
      </x:c>
      <x:c r="T55" s="49" t="n">
        <x:v>17482500</x:v>
      </x:c>
      <x:c r="U55" s="49" t="n">
        <x:v>17482500</x:v>
      </x:c>
      <x:c r="V55" s="49" t="n">
        <x:v>17482500</x:v>
      </x:c>
      <x:c r="W55" s="49" t="n">
        <x:v>17482500</x:v>
      </x:c>
      <x:c r="X55" s="49" t="n">
        <x:v>17482500</x:v>
      </x:c>
      <x:c r="Y55" s="49" t="n">
        <x:v>17482500</x:v>
      </x:c>
      <x:c r="Z55" s="49" t="n">
        <x:v>17482500</x:v>
      </x:c>
      <x:c r="AA55" s="49" t="n">
        <x:v>17482500</x:v>
      </x:c>
      <x:c r="AB55" s="49" t="n">
        <x:v>17482500</x:v>
      </x:c>
      <x:c r="AC55" s="26" t="n">
        <x:v>66600000</x:v>
      </x:c>
      <x:c r="AD55" s="26" t="n">
        <x:v>209790000</x:v>
      </x:c>
      <x:c r="AE55" s="49" t="n">
        <x:v>209790000</x:v>
      </x:c>
      <x:c r="AF55" s="49" t="n">
        <x:v>209790000</x:v>
      </x:c>
      <x:c r="AG55" s="52" t="s">
        <x:v>42</x:v>
      </x:c>
      <x:c r="AH55" s="23" t="s">
        <x:v>181</x:v>
      </x:c>
    </x:row>
    <x:row r="56" spans="1:35" ht="15" customHeight="1">
      <x:c r="A56" s="46" t="s">
        <x:v>34</x:v>
      </x:c>
      <x:c r="B56" s="3" t="s">
        <x:v>35</x:v>
      </x:c>
      <x:c r="C56" s="46" t="s">
        <x:v>36</x:v>
      </x:c>
      <x:c r="D56" s="4" t="s">
        <x:v>35</x:v>
      </x:c>
      <x:c r="E56" s="46" t="s">
        <x:v>36</x:v>
      </x:c>
      <x:c r="F56" s="4" t="s">
        <x:v>54</x:v>
      </x:c>
      <x:c r="G56" s="46" t="s">
        <x:v>55</x:v>
      </x:c>
      <x:c r="H56" s="46" t="s">
        <x:v>182</x:v>
      </x:c>
      <x:c r="I56" s="3" t="s">
        <x:v>40</x:v>
      </x:c>
      <x:c r="J56" s="25" t="s">
        <x:v>41</x:v>
      </x:c>
      <x:c r="K56" s="49" t="s"/>
      <x:c r="L56" s="49" t="s"/>
      <x:c r="M56" s="49" t="n">
        <x:v>2154167</x:v>
      </x:c>
      <x:c r="N56" s="49" t="n">
        <x:v>2154167</x:v>
      </x:c>
      <x:c r="O56" s="49" t="n">
        <x:v>2154167</x:v>
      </x:c>
      <x:c r="P56" s="49" t="n">
        <x:v>2154167</x:v>
      </x:c>
      <x:c r="Q56" s="49" t="n">
        <x:v>2154167</x:v>
      </x:c>
      <x:c r="R56" s="49" t="n">
        <x:v>2154167</x:v>
      </x:c>
      <x:c r="S56" s="49" t="n">
        <x:v>2154167</x:v>
      </x:c>
      <x:c r="T56" s="49" t="n">
        <x:v>2154167</x:v>
      </x:c>
      <x:c r="U56" s="49" t="n">
        <x:v>2154167</x:v>
      </x:c>
      <x:c r="V56" s="49" t="n">
        <x:v>2154167</x:v>
      </x:c>
      <x:c r="W56" s="49" t="n">
        <x:v>2154167</x:v>
      </x:c>
      <x:c r="X56" s="49" t="n">
        <x:v>2154167</x:v>
      </x:c>
      <x:c r="Y56" s="49" t="n">
        <x:v>2229167</x:v>
      </x:c>
      <x:c r="Z56" s="49" t="n">
        <x:v>2229167</x:v>
      </x:c>
      <x:c r="AA56" s="49" t="n">
        <x:v>2229167</x:v>
      </x:c>
      <x:c r="AB56" s="49" t="n">
        <x:v>2229167</x:v>
      </x:c>
      <x:c r="AC56" s="26" t="n">
        <x:v>8616668</x:v>
      </x:c>
      <x:c r="AD56" s="26" t="n">
        <x:v>26150004</x:v>
      </x:c>
      <x:c r="AE56" s="49" t="n">
        <x:v>26750000</x:v>
      </x:c>
      <x:c r="AF56" s="49" t="n">
        <x:v>26750000</x:v>
      </x:c>
      <x:c r="AG56" s="52" t="s">
        <x:v>154</x:v>
      </x:c>
      <x:c r="AH56" s="23" t="s">
        <x:v>183</x:v>
      </x:c>
    </x:row>
    <x:row r="57" spans="1:35" ht="15" customHeight="1">
      <x:c r="A57" s="46" t="s">
        <x:v>34</x:v>
      </x:c>
      <x:c r="B57" s="3" t="s">
        <x:v>35</x:v>
      </x:c>
      <x:c r="C57" s="46" t="s">
        <x:v>36</x:v>
      </x:c>
      <x:c r="D57" s="4" t="s">
        <x:v>35</x:v>
      </x:c>
      <x:c r="E57" s="46" t="s">
        <x:v>36</x:v>
      </x:c>
      <x:c r="F57" s="4" t="s">
        <x:v>54</x:v>
      </x:c>
      <x:c r="G57" s="46" t="s">
        <x:v>55</x:v>
      </x:c>
      <x:c r="H57" s="46" t="s">
        <x:v>184</x:v>
      </x:c>
      <x:c r="I57" s="3" t="s">
        <x:v>40</x:v>
      </x:c>
      <x:c r="J57" s="25" t="s">
        <x:v>41</x:v>
      </x:c>
      <x:c r="K57" s="49" t="s"/>
      <x:c r="L57" s="49" t="s"/>
      <x:c r="M57" s="49" t="n">
        <x:v>2995000</x:v>
      </x:c>
      <x:c r="N57" s="49" t="n">
        <x:v>2995000</x:v>
      </x:c>
      <x:c r="O57" s="49" t="n">
        <x:v>2995000</x:v>
      </x:c>
      <x:c r="P57" s="49" t="n">
        <x:v>2995000</x:v>
      </x:c>
      <x:c r="Q57" s="49" t="n">
        <x:v>2995000</x:v>
      </x:c>
      <x:c r="R57" s="49" t="n">
        <x:v>2995000</x:v>
      </x:c>
      <x:c r="S57" s="49" t="n">
        <x:v>2995000</x:v>
      </x:c>
      <x:c r="T57" s="49" t="n">
        <x:v>2995000</x:v>
      </x:c>
      <x:c r="U57" s="49" t="n">
        <x:v>2995000</x:v>
      </x:c>
      <x:c r="V57" s="49" t="n">
        <x:v>2995000</x:v>
      </x:c>
      <x:c r="W57" s="49" t="n">
        <x:v>2995000</x:v>
      </x:c>
      <x:c r="X57" s="49" t="n">
        <x:v>3145000</x:v>
      </x:c>
      <x:c r="Y57" s="49" t="n">
        <x:v>3145000</x:v>
      </x:c>
      <x:c r="Z57" s="49" t="n">
        <x:v>3145000</x:v>
      </x:c>
      <x:c r="AA57" s="49" t="n">
        <x:v>3145000</x:v>
      </x:c>
      <x:c r="AB57" s="49" t="n">
        <x:v>3145000</x:v>
      </x:c>
      <x:c r="AC57" s="26" t="n">
        <x:v>11980000</x:v>
      </x:c>
      <x:c r="AD57" s="26" t="n">
        <x:v>36690000</x:v>
      </x:c>
      <x:c r="AE57" s="49" t="n">
        <x:v>37740000</x:v>
      </x:c>
      <x:c r="AF57" s="49" t="n">
        <x:v>37740000</x:v>
      </x:c>
      <x:c r="AG57" s="52" t="s">
        <x:v>42</x:v>
      </x:c>
      <x:c r="AH57" s="23" t="s">
        <x:v>185</x:v>
      </x:c>
    </x:row>
    <x:row r="58" spans="1:35" ht="15" customHeight="1">
      <x:c r="A58" s="46" t="s">
        <x:v>34</x:v>
      </x:c>
      <x:c r="B58" s="3" t="s">
        <x:v>35</x:v>
      </x:c>
      <x:c r="C58" s="46" t="s">
        <x:v>36</x:v>
      </x:c>
      <x:c r="D58" s="4" t="s">
        <x:v>35</x:v>
      </x:c>
      <x:c r="E58" s="46" t="s">
        <x:v>36</x:v>
      </x:c>
      <x:c r="F58" s="4" t="s">
        <x:v>186</x:v>
      </x:c>
      <x:c r="G58" s="46" t="s">
        <x:v>187</x:v>
      </x:c>
      <x:c r="H58" s="46" t="s">
        <x:v>188</x:v>
      </x:c>
      <x:c r="I58" s="3" t="s">
        <x:v>40</x:v>
      </x:c>
      <x:c r="J58" s="25" t="s">
        <x:v>41</x:v>
      </x:c>
      <x:c r="K58" s="49" t="s"/>
      <x:c r="L58" s="49" t="s"/>
      <x:c r="M58" s="49" t="n">
        <x:v>200000</x:v>
      </x:c>
      <x:c r="N58" s="49" t="n">
        <x:v>200000</x:v>
      </x:c>
      <x:c r="O58" s="49" t="n">
        <x:v>200000</x:v>
      </x:c>
      <x:c r="P58" s="49" t="n">
        <x:v>200000</x:v>
      </x:c>
      <x:c r="Q58" s="49" t="n">
        <x:v>200000</x:v>
      </x:c>
      <x:c r="R58" s="49" t="n">
        <x:v>200000</x:v>
      </x:c>
      <x:c r="S58" s="49" t="n">
        <x:v>200000</x:v>
      </x:c>
      <x:c r="T58" s="49" t="n">
        <x:v>200000</x:v>
      </x:c>
      <x:c r="U58" s="49" t="n">
        <x:v>200000</x:v>
      </x:c>
      <x:c r="V58" s="49" t="n">
        <x:v>200000</x:v>
      </x:c>
      <x:c r="W58" s="49" t="n">
        <x:v>200000</x:v>
      </x:c>
      <x:c r="X58" s="49" t="n">
        <x:v>200000</x:v>
      </x:c>
      <x:c r="Y58" s="49" t="n">
        <x:v>200000</x:v>
      </x:c>
      <x:c r="Z58" s="49" t="n">
        <x:v>200000</x:v>
      </x:c>
      <x:c r="AA58" s="49" t="n">
        <x:v>200000</x:v>
      </x:c>
      <x:c r="AB58" s="49" t="n">
        <x:v>200000</x:v>
      </x:c>
      <x:c r="AC58" s="26" t="n">
        <x:v>800000</x:v>
      </x:c>
      <x:c r="AD58" s="26" t="n">
        <x:v>2400000</x:v>
      </x:c>
      <x:c r="AE58" s="49" t="n">
        <x:v>2400000</x:v>
      </x:c>
      <x:c r="AF58" s="49" t="n">
        <x:v>2400000</x:v>
      </x:c>
      <x:c r="AG58" s="52" t="s">
        <x:v>42</x:v>
      </x:c>
      <x:c r="AH58" s="23" t="s">
        <x:v>189</x:v>
      </x:c>
    </x:row>
    <x:row r="59" spans="1:35" ht="15" customHeight="1">
      <x:c r="A59" s="46" t="s">
        <x:v>34</x:v>
      </x:c>
      <x:c r="B59" s="3" t="s">
        <x:v>35</x:v>
      </x:c>
      <x:c r="C59" s="46" t="s">
        <x:v>36</x:v>
      </x:c>
      <x:c r="D59" s="4" t="s">
        <x:v>35</x:v>
      </x:c>
      <x:c r="E59" s="46" t="s">
        <x:v>36</x:v>
      </x:c>
      <x:c r="F59" s="4" t="s">
        <x:v>190</x:v>
      </x:c>
      <x:c r="G59" s="46" t="s">
        <x:v>191</x:v>
      </x:c>
      <x:c r="H59" s="46" t="s">
        <x:v>192</x:v>
      </x:c>
      <x:c r="I59" s="3" t="s">
        <x:v>40</x:v>
      </x:c>
      <x:c r="J59" s="25" t="s">
        <x:v>41</x:v>
      </x:c>
      <x:c r="K59" s="49" t="s"/>
      <x:c r="L59" s="49" t="s"/>
      <x:c r="M59" s="49" t="n">
        <x:v>33855000</x:v>
      </x:c>
      <x:c r="N59" s="49" t="n">
        <x:v>33855000</x:v>
      </x:c>
      <x:c r="O59" s="49" t="n">
        <x:v>33855000</x:v>
      </x:c>
      <x:c r="P59" s="49" t="n">
        <x:v>33855000</x:v>
      </x:c>
      <x:c r="Q59" s="49" t="n">
        <x:v>33855000</x:v>
      </x:c>
      <x:c r="R59" s="49" t="n">
        <x:v>33855000</x:v>
      </x:c>
      <x:c r="S59" s="49" t="n">
        <x:v>33855000</x:v>
      </x:c>
      <x:c r="T59" s="49" t="n">
        <x:v>33855000</x:v>
      </x:c>
      <x:c r="U59" s="49" t="n">
        <x:v>33855000</x:v>
      </x:c>
      <x:c r="V59" s="49" t="n">
        <x:v>33855000</x:v>
      </x:c>
      <x:c r="W59" s="49" t="n">
        <x:v>33855000</x:v>
      </x:c>
      <x:c r="X59" s="49" t="n">
        <x:v>33855000</x:v>
      </x:c>
      <x:c r="Y59" s="49" t="n">
        <x:v>33855000</x:v>
      </x:c>
      <x:c r="Z59" s="49" t="n">
        <x:v>33855000</x:v>
      </x:c>
      <x:c r="AA59" s="49" t="n">
        <x:v>33855000</x:v>
      </x:c>
      <x:c r="AB59" s="49" t="n">
        <x:v>33855000</x:v>
      </x:c>
      <x:c r="AC59" s="26" t="n">
        <x:v>135420000</x:v>
      </x:c>
      <x:c r="AD59" s="26" t="n">
        <x:v>406260000</x:v>
      </x:c>
      <x:c r="AE59" s="49" t="n">
        <x:v>406260000</x:v>
      </x:c>
      <x:c r="AF59" s="49" t="n">
        <x:v>406260000</x:v>
      </x:c>
      <x:c r="AG59" s="52" t="s">
        <x:v>42</x:v>
      </x:c>
      <x:c r="AH59" s="23" t="s">
        <x:v>193</x:v>
      </x:c>
    </x:row>
    <x:row r="60" spans="1:35" ht="15" customHeight="1">
      <x:c r="A60" s="46" t="s">
        <x:v>34</x:v>
      </x:c>
      <x:c r="B60" s="3" t="s">
        <x:v>35</x:v>
      </x:c>
      <x:c r="C60" s="46" t="s">
        <x:v>36</x:v>
      </x:c>
      <x:c r="D60" s="4" t="s">
        <x:v>35</x:v>
      </x:c>
      <x:c r="E60" s="46" t="s">
        <x:v>36</x:v>
      </x:c>
      <x:c r="F60" s="4" t="s">
        <x:v>194</x:v>
      </x:c>
      <x:c r="G60" s="46" t="s">
        <x:v>195</x:v>
      </x:c>
      <x:c r="H60" s="46" t="s">
        <x:v>196</x:v>
      </x:c>
      <x:c r="I60" s="3" t="s">
        <x:v>40</x:v>
      </x:c>
      <x:c r="J60" s="25" t="s">
        <x:v>41</x:v>
      </x:c>
      <x:c r="K60" s="49" t="s"/>
      <x:c r="L60" s="49" t="s"/>
      <x:c r="M60" s="49" t="n">
        <x:v>1800000</x:v>
      </x:c>
      <x:c r="N60" s="49" t="n">
        <x:v>800000</x:v>
      </x:c>
      <x:c r="O60" s="49" t="n">
        <x:v>3000000</x:v>
      </x:c>
      <x:c r="P60" s="49" t="s"/>
      <x:c r="Q60" s="49" t="n">
        <x:v>1000000</x:v>
      </x:c>
      <x:c r="R60" s="49" t="s"/>
      <x:c r="S60" s="49" t="n">
        <x:v>1000000</x:v>
      </x:c>
      <x:c r="T60" s="49" t="s"/>
      <x:c r="U60" s="49" t="n">
        <x:v>2000000</x:v>
      </x:c>
      <x:c r="V60" s="49" t="s"/>
      <x:c r="W60" s="49" t="n">
        <x:v>3600000</x:v>
      </x:c>
      <x:c r="X60" s="49" t="s"/>
      <x:c r="Y60" s="49" t="n">
        <x:v>2500000</x:v>
      </x:c>
      <x:c r="Z60" s="49" t="s"/>
      <x:c r="AA60" s="49" t="s"/>
      <x:c r="AB60" s="49" t="s"/>
      <x:c r="AC60" s="26" t="n">
        <x:v>5600000</x:v>
      </x:c>
      <x:c r="AD60" s="26" t="n">
        <x:v>10100000</x:v>
      </x:c>
      <x:c r="AE60" s="49" t="n">
        <x:v>10100000</x:v>
      </x:c>
      <x:c r="AF60" s="49" t="n">
        <x:v>10100000</x:v>
      </x:c>
      <x:c r="AG60" s="52" t="s">
        <x:v>42</x:v>
      </x:c>
      <x:c r="AH60" s="23" t="s">
        <x:v>197</x:v>
      </x:c>
    </x:row>
    <x:row r="61" spans="1:35" ht="15" customHeight="1">
      <x:c r="A61" s="46" t="s">
        <x:v>34</x:v>
      </x:c>
      <x:c r="B61" s="3" t="s">
        <x:v>35</x:v>
      </x:c>
      <x:c r="C61" s="46" t="s">
        <x:v>36</x:v>
      </x:c>
      <x:c r="D61" s="4" t="s">
        <x:v>35</x:v>
      </x:c>
      <x:c r="E61" s="46" t="s">
        <x:v>36</x:v>
      </x:c>
      <x:c r="F61" s="4" t="s">
        <x:v>198</x:v>
      </x:c>
      <x:c r="G61" s="46" t="s">
        <x:v>199</x:v>
      </x:c>
      <x:c r="H61" s="46" t="s">
        <x:v>200</x:v>
      </x:c>
      <x:c r="I61" s="3" t="s">
        <x:v>40</x:v>
      </x:c>
      <x:c r="J61" s="25" t="s">
        <x:v>41</x:v>
      </x:c>
      <x:c r="K61" s="49" t="s"/>
      <x:c r="L61" s="49" t="s"/>
      <x:c r="M61" s="49" t="n">
        <x:v>2500000</x:v>
      </x:c>
      <x:c r="N61" s="49" t="n">
        <x:v>2500000</x:v>
      </x:c>
      <x:c r="O61" s="49" t="n">
        <x:v>2500000</x:v>
      </x:c>
      <x:c r="P61" s="49" t="n">
        <x:v>2500000</x:v>
      </x:c>
      <x:c r="Q61" s="49" t="n">
        <x:v>2500000</x:v>
      </x:c>
      <x:c r="R61" s="49" t="n">
        <x:v>2500000</x:v>
      </x:c>
      <x:c r="S61" s="49" t="n">
        <x:v>2500000</x:v>
      </x:c>
      <x:c r="T61" s="49" t="n">
        <x:v>2500000</x:v>
      </x:c>
      <x:c r="U61" s="49" t="n">
        <x:v>2500000</x:v>
      </x:c>
      <x:c r="V61" s="49" t="n">
        <x:v>2500000</x:v>
      </x:c>
      <x:c r="W61" s="49" t="n">
        <x:v>2500000</x:v>
      </x:c>
      <x:c r="X61" s="49" t="n">
        <x:v>2500000</x:v>
      </x:c>
      <x:c r="Y61" s="49" t="n">
        <x:v>2500000</x:v>
      </x:c>
      <x:c r="Z61" s="49" t="n">
        <x:v>2500000</x:v>
      </x:c>
      <x:c r="AA61" s="49" t="n">
        <x:v>2500000</x:v>
      </x:c>
      <x:c r="AB61" s="49" t="n">
        <x:v>2500000</x:v>
      </x:c>
      <x:c r="AC61" s="26" t="n">
        <x:v>10000000</x:v>
      </x:c>
      <x:c r="AD61" s="26" t="n">
        <x:v>30000000</x:v>
      </x:c>
      <x:c r="AE61" s="49" t="n">
        <x:v>30000000</x:v>
      </x:c>
      <x:c r="AF61" s="49" t="n">
        <x:v>30000000</x:v>
      </x:c>
      <x:c r="AG61" s="52" t="s">
        <x:v>42</x:v>
      </x:c>
      <x:c r="AH61" s="23" t="s">
        <x:v>201</x:v>
      </x:c>
    </x:row>
    <x:row r="62" spans="1:35" ht="15" customHeight="1">
      <x:c r="B62" s="3">
        <x:f>_xlfn.IFNA(VLOOKUP(C62,Master!$J:$K,2,0),"")</x:f>
      </x:c>
      <x:c r="D62" s="4">
        <x:f>_xlfn.IFNA(VLOOKUP(E62,Master!$J:$K,2,0),"")</x:f>
      </x:c>
      <x:c r="F62" s="4">
        <x:f>_xlfn.IFNA(VLOOKUP(G62,Master!B:C,2,0),"")</x:f>
      </x:c>
      <x:c r="I62" s="3">
        <x:f>_xlfn.IFNA(VLOOKUP(E62,Master!$J:$M,4,0),"")</x:f>
      </x:c>
      <x:c r="J62" s="3">
        <x:f>_xlfn.IFNA(VLOOKUP($E62,Master!$J:$M,3,0),"")</x:f>
      </x:c>
      <x:c r="AC62" s="26">
        <x:f>SUM(K62:P62)</x:f>
      </x:c>
      <x:c r="AD62" s="26">
        <x:f>SUM(Q62:AB62)</x:f>
      </x:c>
    </x:row>
    <x:row r="63" spans="1:35" ht="15" customHeight="1">
      <x:c r="B63" s="3">
        <x:f>_xlfn.IFNA(VLOOKUP(C63,Master!$J:$K,2,0),"")</x:f>
      </x:c>
      <x:c r="D63" s="4">
        <x:f>_xlfn.IFNA(VLOOKUP(E63,Master!$J:$K,2,0),"")</x:f>
      </x:c>
      <x:c r="F63" s="4">
        <x:f>_xlfn.IFNA(VLOOKUP(G63,Master!B:C,2,0),"")</x:f>
      </x:c>
      <x:c r="I63" s="3">
        <x:f>_xlfn.IFNA(VLOOKUP(E63,Master!$J:$M,4,0),"")</x:f>
      </x:c>
      <x:c r="J63" s="3">
        <x:f>_xlfn.IFNA(VLOOKUP($E63,Master!$J:$M,3,0),"")</x:f>
      </x:c>
      <x:c r="AC63" s="26">
        <x:f>SUM(K63:P63)</x:f>
      </x:c>
      <x:c r="AD63" s="26">
        <x:f>SUM(Q63:AB63)</x:f>
      </x:c>
    </x:row>
    <x:row r="64" spans="1:35" ht="15" customHeight="1">
      <x:c r="B64" s="3">
        <x:f>_xlfn.IFNA(VLOOKUP(C64,Master!$J:$K,2,0),"")</x:f>
      </x:c>
      <x:c r="D64" s="4">
        <x:f>_xlfn.IFNA(VLOOKUP(E64,Master!$J:$K,2,0),"")</x:f>
      </x:c>
      <x:c r="F64" s="4">
        <x:f>_xlfn.IFNA(VLOOKUP(G64,Master!B:C,2,0),"")</x:f>
      </x:c>
      <x:c r="I64" s="3">
        <x:f>_xlfn.IFNA(VLOOKUP(E64,Master!$J:$M,4,0),"")</x:f>
      </x:c>
      <x:c r="J64" s="3">
        <x:f>_xlfn.IFNA(VLOOKUP($E64,Master!$J:$M,3,0),"")</x:f>
      </x:c>
      <x:c r="AC64" s="26">
        <x:f>SUM(K64:P64)</x:f>
      </x:c>
      <x:c r="AD64" s="26">
        <x:f>SUM(Q64:AB64)</x:f>
      </x:c>
    </x:row>
    <x:row r="65" spans="1:35" ht="15" customHeight="1">
      <x:c r="B65" s="3">
        <x:f>_xlfn.IFNA(VLOOKUP(C65,Master!$J:$K,2,0),"")</x:f>
      </x:c>
      <x:c r="D65" s="4">
        <x:f>_xlfn.IFNA(VLOOKUP(E65,Master!$J:$K,2,0),"")</x:f>
      </x:c>
      <x:c r="F65" s="4">
        <x:f>_xlfn.IFNA(VLOOKUP(G65,Master!B:C,2,0),"")</x:f>
      </x:c>
      <x:c r="I65" s="3">
        <x:f>_xlfn.IFNA(VLOOKUP(E65,Master!$J:$M,4,0),"")</x:f>
      </x:c>
      <x:c r="J65" s="3">
        <x:f>_xlfn.IFNA(VLOOKUP($E65,Master!$J:$M,3,0),"")</x:f>
      </x:c>
      <x:c r="AC65" s="26">
        <x:f>SUM(K65:P65)</x:f>
      </x:c>
      <x:c r="AD65" s="26">
        <x:f>SUM(Q65:AB65)</x:f>
      </x:c>
    </x:row>
    <x:row r="66" spans="1:35" ht="15" customHeight="1">
      <x:c r="B66" s="3">
        <x:f>_xlfn.IFNA(VLOOKUP(C66,Master!$J:$K,2,0),"")</x:f>
      </x:c>
      <x:c r="D66" s="4">
        <x:f>_xlfn.IFNA(VLOOKUP(E66,Master!$J:$K,2,0),"")</x:f>
      </x:c>
      <x:c r="F66" s="4">
        <x:f>_xlfn.IFNA(VLOOKUP(G66,Master!B:C,2,0),"")</x:f>
      </x:c>
      <x:c r="I66" s="3">
        <x:f>_xlfn.IFNA(VLOOKUP(E66,Master!$J:$M,4,0),"")</x:f>
      </x:c>
      <x:c r="J66" s="3">
        <x:f>_xlfn.IFNA(VLOOKUP($E66,Master!$J:$M,3,0),"")</x:f>
      </x:c>
      <x:c r="AC66" s="26">
        <x:f>SUM(K66:P66)</x:f>
      </x:c>
      <x:c r="AD66" s="26">
        <x:f>SUM(Q66:AB66)</x:f>
      </x:c>
    </x:row>
    <x:row r="67" spans="1:35" ht="15" customHeight="1">
      <x:c r="B67" s="3">
        <x:f>_xlfn.IFNA(VLOOKUP(C67,Master!$J:$K,2,0),"")</x:f>
      </x:c>
      <x:c r="D67" s="4">
        <x:f>_xlfn.IFNA(VLOOKUP(E67,Master!$J:$K,2,0),"")</x:f>
      </x:c>
      <x:c r="F67" s="4">
        <x:f>_xlfn.IFNA(VLOOKUP(G67,Master!B:C,2,0),"")</x:f>
      </x:c>
      <x:c r="I67" s="3">
        <x:f>_xlfn.IFNA(VLOOKUP(E67,Master!$J:$M,4,0),"")</x:f>
      </x:c>
      <x:c r="J67" s="3">
        <x:f>_xlfn.IFNA(VLOOKUP($E67,Master!$J:$M,3,0),"")</x:f>
      </x:c>
      <x:c r="AC67" s="26">
        <x:f>SUM(K67:P67)</x:f>
      </x:c>
      <x:c r="AD67" s="26">
        <x:f>SUM(Q67:AB67)</x:f>
      </x:c>
    </x:row>
    <x:row r="68" spans="1:35" ht="15" customHeight="1">
      <x:c r="B68" s="3">
        <x:f>_xlfn.IFNA(VLOOKUP(C68,Master!$J:$K,2,0),"")</x:f>
      </x:c>
      <x:c r="D68" s="4">
        <x:f>_xlfn.IFNA(VLOOKUP(E68,Master!$J:$K,2,0),"")</x:f>
      </x:c>
      <x:c r="F68" s="4">
        <x:f>_xlfn.IFNA(VLOOKUP(G68,Master!B:C,2,0),"")</x:f>
      </x:c>
      <x:c r="I68" s="3">
        <x:f>_xlfn.IFNA(VLOOKUP(E68,Master!$J:$M,4,0),"")</x:f>
      </x:c>
      <x:c r="J68" s="3">
        <x:f>_xlfn.IFNA(VLOOKUP($E68,Master!$J:$M,3,0),"")</x:f>
      </x:c>
      <x:c r="AC68" s="26">
        <x:f>SUM(K68:P68)</x:f>
      </x:c>
      <x:c r="AD68" s="26">
        <x:f>SUM(Q68:AB68)</x:f>
      </x:c>
    </x:row>
    <x:row r="69" spans="1:35" ht="15" customHeight="1">
      <x:c r="B69" s="3">
        <x:f>_xlfn.IFNA(VLOOKUP(C69,Master!$J:$K,2,0),"")</x:f>
      </x:c>
      <x:c r="D69" s="4">
        <x:f>_xlfn.IFNA(VLOOKUP(E69,Master!$J:$K,2,0),"")</x:f>
      </x:c>
      <x:c r="F69" s="4">
        <x:f>_xlfn.IFNA(VLOOKUP(G69,Master!B:C,2,0),"")</x:f>
      </x:c>
      <x:c r="I69" s="3">
        <x:f>_xlfn.IFNA(VLOOKUP(E69,Master!$J:$M,4,0),"")</x:f>
      </x:c>
      <x:c r="J69" s="3">
        <x:f>_xlfn.IFNA(VLOOKUP($E69,Master!$J:$M,3,0),"")</x:f>
      </x:c>
      <x:c r="AC69" s="26">
        <x:f>SUM(K69:P69)</x:f>
      </x:c>
      <x:c r="AD69" s="26">
        <x:f>SUM(Q69:AB69)</x:f>
      </x:c>
    </x:row>
    <x:row r="70" spans="1:35" ht="15" customHeight="1">
      <x:c r="B70" s="3">
        <x:f>_xlfn.IFNA(VLOOKUP(C70,Master!$J:$K,2,0),"")</x:f>
      </x:c>
      <x:c r="D70" s="4">
        <x:f>_xlfn.IFNA(VLOOKUP(E70,Master!$J:$K,2,0),"")</x:f>
      </x:c>
      <x:c r="F70" s="4">
        <x:f>_xlfn.IFNA(VLOOKUP(G70,Master!B:C,2,0),"")</x:f>
      </x:c>
      <x:c r="I70" s="3">
        <x:f>_xlfn.IFNA(VLOOKUP(E70,Master!$J:$M,4,0),"")</x:f>
      </x:c>
      <x:c r="J70" s="3">
        <x:f>_xlfn.IFNA(VLOOKUP($E70,Master!$J:$M,3,0),"")</x:f>
      </x:c>
      <x:c r="AC70" s="26">
        <x:f>SUM(K70:P70)</x:f>
      </x:c>
      <x:c r="AD70" s="26">
        <x:f>SUM(Q70:AB70)</x:f>
      </x:c>
    </x:row>
    <x:row r="71" spans="1:35" ht="15" customHeight="1">
      <x:c r="B71" s="3">
        <x:f>_xlfn.IFNA(VLOOKUP(C71,Master!$J:$K,2,0),"")</x:f>
      </x:c>
      <x:c r="D71" s="4">
        <x:f>_xlfn.IFNA(VLOOKUP(E71,Master!$J:$K,2,0),"")</x:f>
      </x:c>
      <x:c r="F71" s="4">
        <x:f>_xlfn.IFNA(VLOOKUP(G71,Master!B:C,2,0),"")</x:f>
      </x:c>
      <x:c r="I71" s="3">
        <x:f>_xlfn.IFNA(VLOOKUP(E71,Master!$J:$M,4,0),"")</x:f>
      </x:c>
      <x:c r="J71" s="3">
        <x:f>_xlfn.IFNA(VLOOKUP($E71,Master!$J:$M,3,0),"")</x:f>
      </x:c>
      <x:c r="AC71" s="26">
        <x:f>SUM(K71:P71)</x:f>
      </x:c>
      <x:c r="AD71" s="26">
        <x:f>SUM(Q71:AB71)</x:f>
      </x:c>
    </x:row>
    <x:row r="72" spans="1:35" ht="15" customHeight="1">
      <x:c r="B72" s="3">
        <x:f>_xlfn.IFNA(VLOOKUP(C72,Master!$J:$K,2,0),"")</x:f>
      </x:c>
      <x:c r="D72" s="4">
        <x:f>_xlfn.IFNA(VLOOKUP(E72,Master!$J:$K,2,0),"")</x:f>
      </x:c>
      <x:c r="F72" s="4">
        <x:f>_xlfn.IFNA(VLOOKUP(G72,Master!B:C,2,0),"")</x:f>
      </x:c>
      <x:c r="I72" s="3">
        <x:f>_xlfn.IFNA(VLOOKUP(E72,Master!$J:$M,4,0),"")</x:f>
      </x:c>
      <x:c r="J72" s="3">
        <x:f>_xlfn.IFNA(VLOOKUP($E72,Master!$J:$M,3,0),"")</x:f>
      </x:c>
      <x:c r="AC72" s="26">
        <x:f>SUM(K72:P72)</x:f>
      </x:c>
      <x:c r="AD72" s="26">
        <x:f>SUM(Q72:AB72)</x:f>
      </x:c>
    </x:row>
    <x:row r="73" spans="1:35" ht="15" customHeight="1">
      <x:c r="B73" s="3">
        <x:f>_xlfn.IFNA(VLOOKUP(C73,Master!$J:$K,2,0),"")</x:f>
      </x:c>
      <x:c r="D73" s="4">
        <x:f>_xlfn.IFNA(VLOOKUP(E73,Master!$J:$K,2,0),"")</x:f>
      </x:c>
      <x:c r="F73" s="4">
        <x:f>_xlfn.IFNA(VLOOKUP(G73,Master!B:C,2,0),"")</x:f>
      </x:c>
      <x:c r="I73" s="3">
        <x:f>_xlfn.IFNA(VLOOKUP(E73,Master!$J:$M,4,0),"")</x:f>
      </x:c>
      <x:c r="J73" s="3">
        <x:f>_xlfn.IFNA(VLOOKUP($E73,Master!$J:$M,3,0),"")</x:f>
      </x:c>
      <x:c r="AC73" s="26">
        <x:f>SUM(K73:P73)</x:f>
      </x:c>
      <x:c r="AD73" s="26">
        <x:f>SUM(Q73:AB73)</x:f>
      </x:c>
    </x:row>
    <x:row r="74" spans="1:35" ht="15" customHeight="1">
      <x:c r="B74" s="3">
        <x:f>_xlfn.IFNA(VLOOKUP(C74,Master!$J:$K,2,0),"")</x:f>
      </x:c>
      <x:c r="D74" s="4">
        <x:f>_xlfn.IFNA(VLOOKUP(E74,Master!$J:$K,2,0),"")</x:f>
      </x:c>
      <x:c r="F74" s="4">
        <x:f>_xlfn.IFNA(VLOOKUP(G74,Master!B:C,2,0),"")</x:f>
      </x:c>
      <x:c r="I74" s="3">
        <x:f>_xlfn.IFNA(VLOOKUP(E74,Master!$J:$M,4,0),"")</x:f>
      </x:c>
      <x:c r="J74" s="3">
        <x:f>_xlfn.IFNA(VLOOKUP($E74,Master!$J:$M,3,0),"")</x:f>
      </x:c>
      <x:c r="AC74" s="26">
        <x:f>SUM(K74:P74)</x:f>
      </x:c>
      <x:c r="AD74" s="26">
        <x:f>SUM(Q74:AB74)</x:f>
      </x:c>
    </x:row>
    <x:row r="75" spans="1:35" ht="15" customHeight="1">
      <x:c r="B75" s="3">
        <x:f>_xlfn.IFNA(VLOOKUP(C75,Master!$J:$K,2,0),"")</x:f>
      </x:c>
      <x:c r="D75" s="4">
        <x:f>_xlfn.IFNA(VLOOKUP(E75,Master!$J:$K,2,0),"")</x:f>
      </x:c>
      <x:c r="F75" s="4">
        <x:f>_xlfn.IFNA(VLOOKUP(G75,Master!B:C,2,0),"")</x:f>
      </x:c>
      <x:c r="I75" s="3">
        <x:f>_xlfn.IFNA(VLOOKUP(E75,Master!$J:$M,4,0),"")</x:f>
      </x:c>
      <x:c r="J75" s="3">
        <x:f>_xlfn.IFNA(VLOOKUP($E75,Master!$J:$M,3,0),"")</x:f>
      </x:c>
      <x:c r="AC75" s="26">
        <x:f>SUM(K75:P75)</x:f>
      </x:c>
      <x:c r="AD75" s="26">
        <x:f>SUM(Q75:AB75)</x:f>
      </x:c>
    </x:row>
    <x:row r="76" spans="1:35" ht="15" customHeight="1">
      <x:c r="B76" s="3">
        <x:f>_xlfn.IFNA(VLOOKUP(C76,Master!$J:$K,2,0),"")</x:f>
      </x:c>
      <x:c r="D76" s="4">
        <x:f>_xlfn.IFNA(VLOOKUP(E76,Master!$J:$K,2,0),"")</x:f>
      </x:c>
      <x:c r="F76" s="4">
        <x:f>_xlfn.IFNA(VLOOKUP(G76,Master!B:C,2,0),"")</x:f>
      </x:c>
      <x:c r="I76" s="3">
        <x:f>_xlfn.IFNA(VLOOKUP(E76,Master!$J:$M,4,0),"")</x:f>
      </x:c>
      <x:c r="J76" s="3">
        <x:f>_xlfn.IFNA(VLOOKUP($E76,Master!$J:$M,3,0),"")</x:f>
      </x:c>
      <x:c r="AC76" s="26">
        <x:f>SUM(K76:P76)</x:f>
      </x:c>
      <x:c r="AD76" s="26">
        <x:f>SUM(Q76:AB76)</x:f>
      </x:c>
    </x:row>
    <x:row r="77" spans="1:35" ht="15" customHeight="1">
      <x:c r="B77" s="3">
        <x:f>_xlfn.IFNA(VLOOKUP(C77,Master!$J:$K,2,0),"")</x:f>
      </x:c>
      <x:c r="D77" s="4">
        <x:f>_xlfn.IFNA(VLOOKUP(E77,Master!$J:$K,2,0),"")</x:f>
      </x:c>
      <x:c r="F77" s="4">
        <x:f>_xlfn.IFNA(VLOOKUP(G77,Master!B:C,2,0),"")</x:f>
      </x:c>
      <x:c r="I77" s="3">
        <x:f>_xlfn.IFNA(VLOOKUP(E77,Master!$J:$M,4,0),"")</x:f>
      </x:c>
      <x:c r="J77" s="3">
        <x:f>_xlfn.IFNA(VLOOKUP($E77,Master!$J:$M,3,0),"")</x:f>
      </x:c>
      <x:c r="AC77" s="26">
        <x:f>SUM(K77:P77)</x:f>
      </x:c>
      <x:c r="AD77" s="26">
        <x:f>SUM(Q77:AB77)</x:f>
      </x:c>
    </x:row>
    <x:row r="78" spans="1:35" ht="15" customHeight="1">
      <x:c r="B78" s="3">
        <x:f>_xlfn.IFNA(VLOOKUP(C78,Master!$J:$K,2,0),"")</x:f>
      </x:c>
      <x:c r="D78" s="4">
        <x:f>_xlfn.IFNA(VLOOKUP(E78,Master!$J:$K,2,0),"")</x:f>
      </x:c>
      <x:c r="F78" s="4">
        <x:f>_xlfn.IFNA(VLOOKUP(G78,Master!B:C,2,0),"")</x:f>
      </x:c>
      <x:c r="I78" s="3">
        <x:f>_xlfn.IFNA(VLOOKUP(E78,Master!$J:$M,4,0),"")</x:f>
      </x:c>
      <x:c r="J78" s="3">
        <x:f>_xlfn.IFNA(VLOOKUP($E78,Master!$J:$M,3,0),"")</x:f>
      </x:c>
      <x:c r="AC78" s="26">
        <x:f>SUM(K78:P78)</x:f>
      </x:c>
      <x:c r="AD78" s="26">
        <x:f>SUM(Q78:AB78)</x:f>
      </x:c>
    </x:row>
    <x:row r="79" spans="1:35" ht="15" customHeight="1">
      <x:c r="B79" s="3">
        <x:f>_xlfn.IFNA(VLOOKUP(C79,Master!$J:$K,2,0),"")</x:f>
      </x:c>
      <x:c r="D79" s="4">
        <x:f>_xlfn.IFNA(VLOOKUP(E79,Master!$J:$K,2,0),"")</x:f>
      </x:c>
      <x:c r="F79" s="4">
        <x:f>_xlfn.IFNA(VLOOKUP(G79,Master!B:C,2,0),"")</x:f>
      </x:c>
      <x:c r="I79" s="3">
        <x:f>_xlfn.IFNA(VLOOKUP(E79,Master!$J:$M,4,0),"")</x:f>
      </x:c>
      <x:c r="J79" s="3">
        <x:f>_xlfn.IFNA(VLOOKUP($E79,Master!$J:$M,3,0),"")</x:f>
      </x:c>
      <x:c r="AC79" s="26">
        <x:f>SUM(K79:P79)</x:f>
      </x:c>
      <x:c r="AD79" s="26">
        <x:f>SUM(Q79:AB79)</x:f>
      </x:c>
    </x:row>
    <x:row r="80" spans="1:35" ht="15" customHeight="1">
      <x:c r="B80" s="3">
        <x:f>_xlfn.IFNA(VLOOKUP(C80,Master!$J:$K,2,0),"")</x:f>
      </x:c>
      <x:c r="D80" s="4">
        <x:f>_xlfn.IFNA(VLOOKUP(E80,Master!$J:$K,2,0),"")</x:f>
      </x:c>
      <x:c r="F80" s="4">
        <x:f>_xlfn.IFNA(VLOOKUP(G80,Master!B:C,2,0),"")</x:f>
      </x:c>
      <x:c r="I80" s="3">
        <x:f>_xlfn.IFNA(VLOOKUP(E80,Master!$J:$M,4,0),"")</x:f>
      </x:c>
      <x:c r="J80" s="3">
        <x:f>_xlfn.IFNA(VLOOKUP($E80,Master!$J:$M,3,0),"")</x:f>
      </x:c>
      <x:c r="AC80" s="26">
        <x:f>SUM(K80:P80)</x:f>
      </x:c>
      <x:c r="AD80" s="26">
        <x:f>SUM(Q80:AB80)</x:f>
      </x:c>
    </x:row>
    <x:row r="81" spans="1:35" ht="15" customHeight="1">
      <x:c r="B81" s="3">
        <x:f>_xlfn.IFNA(VLOOKUP(C81,Master!$J:$K,2,0),"")</x:f>
      </x:c>
      <x:c r="D81" s="4">
        <x:f>_xlfn.IFNA(VLOOKUP(E81,Master!$J:$K,2,0),"")</x:f>
      </x:c>
      <x:c r="F81" s="4">
        <x:f>_xlfn.IFNA(VLOOKUP(G81,Master!B:C,2,0),"")</x:f>
      </x:c>
      <x:c r="I81" s="3">
        <x:f>_xlfn.IFNA(VLOOKUP(E81,Master!$J:$M,4,0),"")</x:f>
      </x:c>
      <x:c r="J81" s="3">
        <x:f>_xlfn.IFNA(VLOOKUP($E81,Master!$J:$M,3,0),"")</x:f>
      </x:c>
      <x:c r="AC81" s="26">
        <x:f>SUM(K81:P81)</x:f>
      </x:c>
      <x:c r="AD81" s="26">
        <x:f>SUM(Q81:AB81)</x:f>
      </x:c>
    </x:row>
    <x:row r="82" spans="1:35" ht="15" customHeight="1">
      <x:c r="B82" s="3">
        <x:f>_xlfn.IFNA(VLOOKUP(C82,Master!$J:$K,2,0),"")</x:f>
      </x:c>
      <x:c r="D82" s="4">
        <x:f>_xlfn.IFNA(VLOOKUP(E82,Master!$J:$K,2,0),"")</x:f>
      </x:c>
      <x:c r="F82" s="4">
        <x:f>_xlfn.IFNA(VLOOKUP(G82,Master!B:C,2,0),"")</x:f>
      </x:c>
      <x:c r="I82" s="3">
        <x:f>_xlfn.IFNA(VLOOKUP(E82,Master!$J:$M,4,0),"")</x:f>
      </x:c>
      <x:c r="J82" s="3">
        <x:f>_xlfn.IFNA(VLOOKUP($E82,Master!$J:$M,3,0),"")</x:f>
      </x:c>
      <x:c r="AC82" s="26">
        <x:f>SUM(K82:P82)</x:f>
      </x:c>
      <x:c r="AD82" s="26">
        <x:f>SUM(Q82:AB82)</x:f>
      </x:c>
    </x:row>
    <x:row r="83" spans="1:35" ht="15" customHeight="1">
      <x:c r="B83" s="3">
        <x:f>_xlfn.IFNA(VLOOKUP(C83,Master!$J:$K,2,0),"")</x:f>
      </x:c>
      <x:c r="D83" s="4">
        <x:f>_xlfn.IFNA(VLOOKUP(E83,Master!$J:$K,2,0),"")</x:f>
      </x:c>
      <x:c r="F83" s="4">
        <x:f>_xlfn.IFNA(VLOOKUP(G83,Master!B:C,2,0),"")</x:f>
      </x:c>
      <x:c r="I83" s="3">
        <x:f>_xlfn.IFNA(VLOOKUP(E83,Master!$J:$M,4,0),"")</x:f>
      </x:c>
      <x:c r="J83" s="3">
        <x:f>_xlfn.IFNA(VLOOKUP($E83,Master!$J:$M,3,0),"")</x:f>
      </x:c>
      <x:c r="AC83" s="26">
        <x:f>SUM(K83:P83)</x:f>
      </x:c>
      <x:c r="AD83" s="26">
        <x:f>SUM(Q83:AB83)</x:f>
      </x:c>
    </x:row>
    <x:row r="84" spans="1:35" ht="15" customHeight="1">
      <x:c r="B84" s="3">
        <x:f>_xlfn.IFNA(VLOOKUP(C84,Master!$J:$K,2,0),"")</x:f>
      </x:c>
      <x:c r="D84" s="4">
        <x:f>_xlfn.IFNA(VLOOKUP(E84,Master!$J:$K,2,0),"")</x:f>
      </x:c>
      <x:c r="F84" s="4">
        <x:f>_xlfn.IFNA(VLOOKUP(G84,Master!B:C,2,0),"")</x:f>
      </x:c>
      <x:c r="I84" s="3">
        <x:f>_xlfn.IFNA(VLOOKUP(E84,Master!$J:$M,4,0),"")</x:f>
      </x:c>
      <x:c r="J84" s="3">
        <x:f>_xlfn.IFNA(VLOOKUP($E84,Master!$J:$M,3,0),"")</x:f>
      </x:c>
      <x:c r="AC84" s="26">
        <x:f>SUM(K84:P84)</x:f>
      </x:c>
      <x:c r="AD84" s="26">
        <x:f>SUM(Q84:AB84)</x:f>
      </x:c>
    </x:row>
    <x:row r="85" spans="1:35" ht="15" customHeight="1">
      <x:c r="B85" s="3">
        <x:f>_xlfn.IFNA(VLOOKUP(C85,Master!$J:$K,2,0),"")</x:f>
      </x:c>
      <x:c r="D85" s="4">
        <x:f>_xlfn.IFNA(VLOOKUP(E85,Master!$J:$K,2,0),"")</x:f>
      </x:c>
      <x:c r="F85" s="4">
        <x:f>_xlfn.IFNA(VLOOKUP(G85,Master!B:C,2,0),"")</x:f>
      </x:c>
      <x:c r="I85" s="3">
        <x:f>_xlfn.IFNA(VLOOKUP(E85,Master!$J:$M,4,0),"")</x:f>
      </x:c>
      <x:c r="J85" s="3">
        <x:f>_xlfn.IFNA(VLOOKUP($E85,Master!$J:$M,3,0),"")</x:f>
      </x:c>
      <x:c r="AC85" s="26">
        <x:f>SUM(K85:P85)</x:f>
      </x:c>
      <x:c r="AD85" s="26">
        <x:f>SUM(Q85:AB85)</x:f>
      </x:c>
    </x:row>
    <x:row r="86" spans="1:35" ht="15" customHeight="1">
      <x:c r="B86" s="3">
        <x:f>_xlfn.IFNA(VLOOKUP(C86,Master!$J:$K,2,0),"")</x:f>
      </x:c>
      <x:c r="D86" s="4">
        <x:f>_xlfn.IFNA(VLOOKUP(E86,Master!$J:$K,2,0),"")</x:f>
      </x:c>
      <x:c r="F86" s="4">
        <x:f>_xlfn.IFNA(VLOOKUP(G86,Master!B:C,2,0),"")</x:f>
      </x:c>
      <x:c r="I86" s="3">
        <x:f>_xlfn.IFNA(VLOOKUP(E86,Master!$J:$M,4,0),"")</x:f>
      </x:c>
      <x:c r="J86" s="3">
        <x:f>_xlfn.IFNA(VLOOKUP($E86,Master!$J:$M,3,0),"")</x:f>
      </x:c>
      <x:c r="AC86" s="26">
        <x:f>SUM(K86:P86)</x:f>
      </x:c>
      <x:c r="AD86" s="26">
        <x:f>SUM(Q86:AB86)</x:f>
      </x:c>
    </x:row>
    <x:row r="87" spans="1:35" ht="15" customHeight="1">
      <x:c r="B87" s="3">
        <x:f>_xlfn.IFNA(VLOOKUP(C87,Master!$J:$K,2,0),"")</x:f>
      </x:c>
      <x:c r="D87" s="4">
        <x:f>_xlfn.IFNA(VLOOKUP(E87,Master!$J:$K,2,0),"")</x:f>
      </x:c>
      <x:c r="F87" s="4">
        <x:f>_xlfn.IFNA(VLOOKUP(G87,Master!B:C,2,0),"")</x:f>
      </x:c>
      <x:c r="I87" s="3">
        <x:f>_xlfn.IFNA(VLOOKUP(E87,Master!$J:$M,4,0),"")</x:f>
      </x:c>
      <x:c r="J87" s="3">
        <x:f>_xlfn.IFNA(VLOOKUP($E87,Master!$J:$M,3,0),"")</x:f>
      </x:c>
      <x:c r="AC87" s="26">
        <x:f>SUM(K87:P87)</x:f>
      </x:c>
      <x:c r="AD87" s="26">
        <x:f>SUM(Q87:AB87)</x:f>
      </x:c>
    </x:row>
    <x:row r="88" spans="1:35" ht="15" customHeight="1">
      <x:c r="B88" s="3">
        <x:f>_xlfn.IFNA(VLOOKUP(C88,Master!$J:$K,2,0),"")</x:f>
      </x:c>
      <x:c r="D88" s="4">
        <x:f>_xlfn.IFNA(VLOOKUP(E88,Master!$J:$K,2,0),"")</x:f>
      </x:c>
      <x:c r="F88" s="4">
        <x:f>_xlfn.IFNA(VLOOKUP(G88,Master!B:C,2,0),"")</x:f>
      </x:c>
      <x:c r="I88" s="3">
        <x:f>_xlfn.IFNA(VLOOKUP(E88,Master!$J:$M,4,0),"")</x:f>
      </x:c>
      <x:c r="J88" s="3">
        <x:f>_xlfn.IFNA(VLOOKUP($E88,Master!$J:$M,3,0),"")</x:f>
      </x:c>
      <x:c r="AC88" s="26">
        <x:f>SUM(K88:P88)</x:f>
      </x:c>
      <x:c r="AD88" s="26">
        <x:f>SUM(Q88:AB88)</x:f>
      </x:c>
    </x:row>
    <x:row r="89" spans="1:35" ht="15" customHeight="1">
      <x:c r="B89" s="3">
        <x:f>_xlfn.IFNA(VLOOKUP(C89,Master!$J:$K,2,0),"")</x:f>
      </x:c>
      <x:c r="D89" s="4">
        <x:f>_xlfn.IFNA(VLOOKUP(E89,Master!$J:$K,2,0),"")</x:f>
      </x:c>
      <x:c r="F89" s="4">
        <x:f>_xlfn.IFNA(VLOOKUP(G89,Master!B:C,2,0),"")</x:f>
      </x:c>
      <x:c r="I89" s="3">
        <x:f>_xlfn.IFNA(VLOOKUP(E89,Master!$J:$M,4,0),"")</x:f>
      </x:c>
      <x:c r="J89" s="3">
        <x:f>_xlfn.IFNA(VLOOKUP($E89,Master!$J:$M,3,0),"")</x:f>
      </x:c>
      <x:c r="AC89" s="26">
        <x:f>SUM(K89:P89)</x:f>
      </x:c>
      <x:c r="AD89" s="26">
        <x:f>SUM(Q89:AB89)</x:f>
      </x:c>
    </x:row>
    <x:row r="90" spans="1:35" ht="15" customHeight="1">
      <x:c r="B90" s="3">
        <x:f>_xlfn.IFNA(VLOOKUP(C90,Master!$J:$K,2,0),"")</x:f>
      </x:c>
      <x:c r="D90" s="4">
        <x:f>_xlfn.IFNA(VLOOKUP(E90,Master!$J:$K,2,0),"")</x:f>
      </x:c>
      <x:c r="F90" s="4">
        <x:f>_xlfn.IFNA(VLOOKUP(G90,Master!B:C,2,0),"")</x:f>
      </x:c>
      <x:c r="I90" s="3">
        <x:f>_xlfn.IFNA(VLOOKUP(E90,Master!$J:$M,4,0),"")</x:f>
      </x:c>
      <x:c r="J90" s="3">
        <x:f>_xlfn.IFNA(VLOOKUP($E90,Master!$J:$M,3,0),"")</x:f>
      </x:c>
      <x:c r="AC90" s="26">
        <x:f>SUM(K90:P90)</x:f>
      </x:c>
      <x:c r="AD90" s="26">
        <x:f>SUM(Q90:AB90)</x:f>
      </x:c>
    </x:row>
    <x:row r="91" spans="1:35" ht="15" customHeight="1">
      <x:c r="B91" s="3">
        <x:f>_xlfn.IFNA(VLOOKUP(C91,Master!$J:$K,2,0),"")</x:f>
      </x:c>
      <x:c r="D91" s="4">
        <x:f>_xlfn.IFNA(VLOOKUP(E91,Master!$J:$K,2,0),"")</x:f>
      </x:c>
      <x:c r="F91" s="4">
        <x:f>_xlfn.IFNA(VLOOKUP(G91,Master!B:C,2,0),"")</x:f>
      </x:c>
      <x:c r="I91" s="3">
        <x:f>_xlfn.IFNA(VLOOKUP(E91,Master!$J:$M,4,0),"")</x:f>
      </x:c>
      <x:c r="J91" s="3">
        <x:f>_xlfn.IFNA(VLOOKUP($E91,Master!$J:$M,3,0),"")</x:f>
      </x:c>
      <x:c r="AC91" s="26">
        <x:f>SUM(K91:P91)</x:f>
      </x:c>
      <x:c r="AD91" s="26">
        <x:f>SUM(Q91:AB91)</x:f>
      </x:c>
    </x:row>
    <x:row r="92" spans="1:35" ht="15" customHeight="1">
      <x:c r="B92" s="3">
        <x:f>_xlfn.IFNA(VLOOKUP(C92,Master!$J:$K,2,0),"")</x:f>
      </x:c>
      <x:c r="D92" s="4">
        <x:f>_xlfn.IFNA(VLOOKUP(E92,Master!$J:$K,2,0),"")</x:f>
      </x:c>
      <x:c r="F92" s="4">
        <x:f>_xlfn.IFNA(VLOOKUP(G92,Master!B:C,2,0),"")</x:f>
      </x:c>
      <x:c r="I92" s="3">
        <x:f>_xlfn.IFNA(VLOOKUP(E92,Master!$J:$M,4,0),"")</x:f>
      </x:c>
      <x:c r="J92" s="3">
        <x:f>_xlfn.IFNA(VLOOKUP($E92,Master!$J:$M,3,0),"")</x:f>
      </x:c>
      <x:c r="AC92" s="26">
        <x:f>SUM(K92:P92)</x:f>
      </x:c>
      <x:c r="AD92" s="26">
        <x:f>SUM(Q92:AB92)</x:f>
      </x:c>
    </x:row>
    <x:row r="93" spans="1:35" ht="15" customHeight="1">
      <x:c r="B93" s="3">
        <x:f>_xlfn.IFNA(VLOOKUP(C93,Master!$J:$K,2,0),"")</x:f>
      </x:c>
      <x:c r="D93" s="4">
        <x:f>_xlfn.IFNA(VLOOKUP(E93,Master!$J:$K,2,0),"")</x:f>
      </x:c>
      <x:c r="F93" s="4">
        <x:f>_xlfn.IFNA(VLOOKUP(G93,Master!B:C,2,0),"")</x:f>
      </x:c>
      <x:c r="I93" s="3">
        <x:f>_xlfn.IFNA(VLOOKUP(E93,Master!$J:$M,4,0),"")</x:f>
      </x:c>
      <x:c r="J93" s="3">
        <x:f>_xlfn.IFNA(VLOOKUP($E93,Master!$J:$M,3,0),"")</x:f>
      </x:c>
      <x:c r="AC93" s="26">
        <x:f>SUM(K93:P93)</x:f>
      </x:c>
      <x:c r="AD93" s="26">
        <x:f>SUM(Q93:AB93)</x:f>
      </x:c>
    </x:row>
    <x:row r="94" spans="1:35" ht="15" customHeight="1">
      <x:c r="B94" s="3">
        <x:f>_xlfn.IFNA(VLOOKUP(C94,Master!$J:$K,2,0),"")</x:f>
      </x:c>
      <x:c r="D94" s="4">
        <x:f>_xlfn.IFNA(VLOOKUP(E94,Master!$J:$K,2,0),"")</x:f>
      </x:c>
      <x:c r="F94" s="4">
        <x:f>_xlfn.IFNA(VLOOKUP(G94,Master!B:C,2,0),"")</x:f>
      </x:c>
      <x:c r="I94" s="3">
        <x:f>_xlfn.IFNA(VLOOKUP(E94,Master!$J:$M,4,0),"")</x:f>
      </x:c>
      <x:c r="J94" s="3">
        <x:f>_xlfn.IFNA(VLOOKUP($E94,Master!$J:$M,3,0),"")</x:f>
      </x:c>
      <x:c r="AC94" s="26">
        <x:f>SUM(K94:P94)</x:f>
      </x:c>
      <x:c r="AD94" s="26">
        <x:f>SUM(Q94:AB94)</x:f>
      </x:c>
    </x:row>
    <x:row r="95" spans="1:35" ht="15" customHeight="1">
      <x:c r="B95" s="3">
        <x:f>_xlfn.IFNA(VLOOKUP(C95,Master!$J:$K,2,0),"")</x:f>
      </x:c>
      <x:c r="D95" s="4">
        <x:f>_xlfn.IFNA(VLOOKUP(E95,Master!$J:$K,2,0),"")</x:f>
      </x:c>
      <x:c r="F95" s="4">
        <x:f>_xlfn.IFNA(VLOOKUP(G95,Master!B:C,2,0),"")</x:f>
      </x:c>
      <x:c r="I95" s="3">
        <x:f>_xlfn.IFNA(VLOOKUP(E95,Master!$J:$M,4,0),"")</x:f>
      </x:c>
      <x:c r="J95" s="3">
        <x:f>_xlfn.IFNA(VLOOKUP($E95,Master!$J:$M,3,0),"")</x:f>
      </x:c>
      <x:c r="AC95" s="26">
        <x:f>SUM(K95:P95)</x:f>
      </x:c>
      <x:c r="AD95" s="26">
        <x:f>SUM(Q95:AB95)</x:f>
      </x:c>
    </x:row>
    <x:row r="96" spans="1:35" ht="15" customHeight="1">
      <x:c r="B96" s="3">
        <x:f>_xlfn.IFNA(VLOOKUP(C96,Master!$J:$K,2,0),"")</x:f>
      </x:c>
      <x:c r="D96" s="4">
        <x:f>_xlfn.IFNA(VLOOKUP(E96,Master!$J:$K,2,0),"")</x:f>
      </x:c>
      <x:c r="F96" s="4">
        <x:f>_xlfn.IFNA(VLOOKUP(G96,Master!B:C,2,0),"")</x:f>
      </x:c>
      <x:c r="I96" s="3">
        <x:f>_xlfn.IFNA(VLOOKUP(E96,Master!$J:$M,4,0),"")</x:f>
      </x:c>
      <x:c r="J96" s="3">
        <x:f>_xlfn.IFNA(VLOOKUP($E96,Master!$J:$M,3,0),"")</x:f>
      </x:c>
      <x:c r="AC96" s="26">
        <x:f>SUM(K96:P96)</x:f>
      </x:c>
      <x:c r="AD96" s="26">
        <x:f>SUM(Q96:AB96)</x:f>
      </x:c>
    </x:row>
    <x:row r="97" spans="1:35" ht="15" customHeight="1">
      <x:c r="B97" s="3">
        <x:f>_xlfn.IFNA(VLOOKUP(C97,Master!$J:$K,2,0),"")</x:f>
      </x:c>
      <x:c r="D97" s="4">
        <x:f>_xlfn.IFNA(VLOOKUP(E97,Master!$J:$K,2,0),"")</x:f>
      </x:c>
      <x:c r="F97" s="4">
        <x:f>_xlfn.IFNA(VLOOKUP(G97,Master!B:C,2,0),"")</x:f>
      </x:c>
      <x:c r="I97" s="3">
        <x:f>_xlfn.IFNA(VLOOKUP(E97,Master!$J:$M,4,0),"")</x:f>
      </x:c>
      <x:c r="J97" s="3">
        <x:f>_xlfn.IFNA(VLOOKUP($E97,Master!$J:$M,3,0),"")</x:f>
      </x:c>
      <x:c r="AC97" s="26">
        <x:f>SUM(K97:P97)</x:f>
      </x:c>
      <x:c r="AD97" s="26">
        <x:f>SUM(Q97:AB97)</x:f>
      </x:c>
    </x:row>
    <x:row r="98" spans="1:35" ht="15" customHeight="1">
      <x:c r="B98" s="3">
        <x:f>_xlfn.IFNA(VLOOKUP(C98,Master!$J:$K,2,0),"")</x:f>
      </x:c>
      <x:c r="D98" s="4">
        <x:f>_xlfn.IFNA(VLOOKUP(E98,Master!$J:$K,2,0),"")</x:f>
      </x:c>
      <x:c r="F98" s="4">
        <x:f>_xlfn.IFNA(VLOOKUP(G98,Master!B:C,2,0),"")</x:f>
      </x:c>
      <x:c r="I98" s="3">
        <x:f>_xlfn.IFNA(VLOOKUP(E98,Master!$J:$M,4,0),"")</x:f>
      </x:c>
      <x:c r="J98" s="3">
        <x:f>_xlfn.IFNA(VLOOKUP($E98,Master!$J:$M,3,0),"")</x:f>
      </x:c>
      <x:c r="AC98" s="26">
        <x:f>SUM(K98:P98)</x:f>
      </x:c>
      <x:c r="AD98" s="26">
        <x:f>SUM(Q98:AB98)</x:f>
      </x:c>
    </x:row>
    <x:row r="99" spans="1:35" ht="15" customHeight="1">
      <x:c r="B99" s="3">
        <x:f>_xlfn.IFNA(VLOOKUP(C99,Master!$J:$K,2,0),"")</x:f>
      </x:c>
      <x:c r="D99" s="4">
        <x:f>_xlfn.IFNA(VLOOKUP(E99,Master!$J:$K,2,0),"")</x:f>
      </x:c>
      <x:c r="F99" s="4">
        <x:f>_xlfn.IFNA(VLOOKUP(G99,Master!B:C,2,0),"")</x:f>
      </x:c>
      <x:c r="I99" s="3">
        <x:f>_xlfn.IFNA(VLOOKUP(E99,Master!$J:$M,4,0),"")</x:f>
      </x:c>
      <x:c r="J99" s="3">
        <x:f>_xlfn.IFNA(VLOOKUP($E99,Master!$J:$M,3,0),"")</x:f>
      </x:c>
      <x:c r="AC99" s="26">
        <x:f>SUM(K99:P99)</x:f>
      </x:c>
      <x:c r="AD99" s="26">
        <x:f>SUM(Q99:AB99)</x:f>
      </x:c>
    </x:row>
    <x:row r="100" spans="1:35" ht="15" customHeight="1">
      <x:c r="B100" s="3">
        <x:f>_xlfn.IFNA(VLOOKUP(C100,Master!$J:$K,2,0),"")</x:f>
      </x:c>
      <x:c r="D100" s="4">
        <x:f>_xlfn.IFNA(VLOOKUP(E100,Master!$J:$K,2,0),"")</x:f>
      </x:c>
      <x:c r="F100" s="4">
        <x:f>_xlfn.IFNA(VLOOKUP(G100,Master!B:C,2,0),"")</x:f>
      </x:c>
      <x:c r="I100" s="3">
        <x:f>_xlfn.IFNA(VLOOKUP(E100,Master!$J:$M,4,0),"")</x:f>
      </x:c>
      <x:c r="J100" s="3">
        <x:f>_xlfn.IFNA(VLOOKUP($E100,Master!$J:$M,3,0),"")</x:f>
      </x:c>
      <x:c r="AC100" s="26">
        <x:f>SUM(K100:P100)</x:f>
      </x:c>
      <x:c r="AD100" s="26">
        <x:f>SUM(Q100:AB100)</x:f>
      </x:c>
    </x:row>
    <x:row r="101" spans="1:35" ht="15" customHeight="1">
      <x:c r="B101" s="3">
        <x:f>_xlfn.IFNA(VLOOKUP(C101,Master!$J:$K,2,0),"")</x:f>
      </x:c>
      <x:c r="D101" s="4">
        <x:f>_xlfn.IFNA(VLOOKUP(E101,Master!$J:$K,2,0),"")</x:f>
      </x:c>
      <x:c r="F101" s="4">
        <x:f>_xlfn.IFNA(VLOOKUP(G101,Master!B:C,2,0),"")</x:f>
      </x:c>
      <x:c r="I101" s="3">
        <x:f>_xlfn.IFNA(VLOOKUP(E101,Master!$J:$M,4,0),"")</x:f>
      </x:c>
      <x:c r="J101" s="3">
        <x:f>_xlfn.IFNA(VLOOKUP($E101,Master!$J:$M,3,0),"")</x:f>
      </x:c>
      <x:c r="AC101" s="26">
        <x:f>SUM(K101:P101)</x:f>
      </x:c>
      <x:c r="AD101" s="26">
        <x:f>SUM(Q101:AB101)</x:f>
      </x:c>
    </x:row>
    <x:row r="102" spans="1:35" ht="15" customHeight="1">
      <x:c r="B102" s="3">
        <x:f>_xlfn.IFNA(VLOOKUP(C102,Master!$J:$K,2,0),"")</x:f>
      </x:c>
      <x:c r="D102" s="4">
        <x:f>_xlfn.IFNA(VLOOKUP(E102,Master!$J:$K,2,0),"")</x:f>
      </x:c>
      <x:c r="F102" s="4">
        <x:f>_xlfn.IFNA(VLOOKUP(G102,Master!B:C,2,0),"")</x:f>
      </x:c>
      <x:c r="I102" s="3">
        <x:f>_xlfn.IFNA(VLOOKUP(E102,Master!$J:$M,4,0),"")</x:f>
      </x:c>
      <x:c r="J102" s="3">
        <x:f>_xlfn.IFNA(VLOOKUP($E102,Master!$J:$M,3,0),"")</x:f>
      </x:c>
      <x:c r="AC102" s="26">
        <x:f>SUM(K102:P102)</x:f>
      </x:c>
      <x:c r="AD102" s="26">
        <x:f>SUM(Q102:AB102)</x:f>
      </x:c>
    </x:row>
    <x:row r="103" spans="1:35" ht="15" customHeight="1">
      <x:c r="B103" s="3">
        <x:f>_xlfn.IFNA(VLOOKUP(C103,Master!$J:$K,2,0),"")</x:f>
      </x:c>
      <x:c r="D103" s="4">
        <x:f>_xlfn.IFNA(VLOOKUP(E103,Master!$J:$K,2,0),"")</x:f>
      </x:c>
      <x:c r="F103" s="4">
        <x:f>_xlfn.IFNA(VLOOKUP(G103,Master!B:C,2,0),"")</x:f>
      </x:c>
      <x:c r="I103" s="3">
        <x:f>_xlfn.IFNA(VLOOKUP(E103,Master!$J:$M,4,0),"")</x:f>
      </x:c>
      <x:c r="J103" s="3">
        <x:f>_xlfn.IFNA(VLOOKUP($E103,Master!$J:$M,3,0),"")</x:f>
      </x:c>
      <x:c r="AC103" s="26">
        <x:f>SUM(K103:P103)</x:f>
      </x:c>
      <x:c r="AD103" s="26">
        <x:f>SUM(Q103:AB103)</x:f>
      </x:c>
    </x:row>
    <x:row r="104" spans="1:35" ht="15" customHeight="1">
      <x:c r="B104" s="3">
        <x:f>_xlfn.IFNA(VLOOKUP(C104,Master!$J:$K,2,0),"")</x:f>
      </x:c>
      <x:c r="D104" s="4">
        <x:f>_xlfn.IFNA(VLOOKUP(E104,Master!$J:$K,2,0),"")</x:f>
      </x:c>
      <x:c r="F104" s="4">
        <x:f>_xlfn.IFNA(VLOOKUP(G104,Master!B:C,2,0),"")</x:f>
      </x:c>
      <x:c r="I104" s="3">
        <x:f>_xlfn.IFNA(VLOOKUP(E104,Master!$J:$M,4,0),"")</x:f>
      </x:c>
      <x:c r="J104" s="3">
        <x:f>_xlfn.IFNA(VLOOKUP($E104,Master!$J:$M,3,0),"")</x:f>
      </x:c>
      <x:c r="AC104" s="26">
        <x:f>SUM(K104:P104)</x:f>
      </x:c>
      <x:c r="AD104" s="26">
        <x:f>SUM(Q104:AB104)</x:f>
      </x:c>
    </x:row>
    <x:row r="105" spans="1:35" ht="15" customHeight="1">
      <x:c r="B105" s="3">
        <x:f>_xlfn.IFNA(VLOOKUP(C105,Master!$J:$K,2,0),"")</x:f>
      </x:c>
      <x:c r="D105" s="4">
        <x:f>_xlfn.IFNA(VLOOKUP(E105,Master!$J:$K,2,0),"")</x:f>
      </x:c>
      <x:c r="F105" s="4">
        <x:f>_xlfn.IFNA(VLOOKUP(G105,Master!B:C,2,0),"")</x:f>
      </x:c>
      <x:c r="I105" s="3">
        <x:f>_xlfn.IFNA(VLOOKUP(E105,Master!$J:$M,4,0),"")</x:f>
      </x:c>
      <x:c r="J105" s="3">
        <x:f>_xlfn.IFNA(VLOOKUP($E105,Master!$J:$M,3,0),"")</x:f>
      </x:c>
      <x:c r="AC105" s="26">
        <x:f>SUM(K105:P105)</x:f>
      </x:c>
      <x:c r="AD105" s="26">
        <x:f>SUM(Q105:AB105)</x:f>
      </x:c>
    </x:row>
    <x:row r="106" spans="1:35" ht="15" customHeight="1">
      <x:c r="B106" s="3">
        <x:f>_xlfn.IFNA(VLOOKUP(C106,Master!$J:$K,2,0),"")</x:f>
      </x:c>
      <x:c r="D106" s="4">
        <x:f>_xlfn.IFNA(VLOOKUP(E106,Master!$J:$K,2,0),"")</x:f>
      </x:c>
      <x:c r="F106" s="4">
        <x:f>_xlfn.IFNA(VLOOKUP(G106,Master!B:C,2,0),"")</x:f>
      </x:c>
      <x:c r="I106" s="3">
        <x:f>_xlfn.IFNA(VLOOKUP(E106,Master!$J:$M,4,0),"")</x:f>
      </x:c>
      <x:c r="J106" s="3">
        <x:f>_xlfn.IFNA(VLOOKUP($E106,Master!$J:$M,3,0),"")</x:f>
      </x:c>
      <x:c r="AC106" s="26">
        <x:f>SUM(K106:P106)</x:f>
      </x:c>
      <x:c r="AD106" s="26">
        <x:f>SUM(Q106:AB106)</x:f>
      </x:c>
    </x:row>
    <x:row r="107" spans="1:35" ht="15" customHeight="1">
      <x:c r="B107" s="3">
        <x:f>_xlfn.IFNA(VLOOKUP(C107,Master!$J:$K,2,0),"")</x:f>
      </x:c>
      <x:c r="D107" s="4">
        <x:f>_xlfn.IFNA(VLOOKUP(E107,Master!$J:$K,2,0),"")</x:f>
      </x:c>
      <x:c r="F107" s="4">
        <x:f>_xlfn.IFNA(VLOOKUP(G107,Master!B:C,2,0),"")</x:f>
      </x:c>
      <x:c r="I107" s="3">
        <x:f>_xlfn.IFNA(VLOOKUP(E107,Master!$J:$M,4,0),"")</x:f>
      </x:c>
      <x:c r="J107" s="3">
        <x:f>_xlfn.IFNA(VLOOKUP($E107,Master!$J:$M,3,0),"")</x:f>
      </x:c>
      <x:c r="AC107" s="26">
        <x:f>SUM(K107:P107)</x:f>
      </x:c>
      <x:c r="AD107" s="26">
        <x:f>SUM(Q107:AB107)</x:f>
      </x:c>
    </x:row>
    <x:row r="108" spans="1:35" ht="15" customHeight="1">
      <x:c r="B108" s="3">
        <x:f>_xlfn.IFNA(VLOOKUP(C108,Master!$J:$K,2,0),"")</x:f>
      </x:c>
      <x:c r="D108" s="4">
        <x:f>_xlfn.IFNA(VLOOKUP(E108,Master!$J:$K,2,0),"")</x:f>
      </x:c>
      <x:c r="F108" s="4">
        <x:f>_xlfn.IFNA(VLOOKUP(G108,Master!B:C,2,0),"")</x:f>
      </x:c>
      <x:c r="I108" s="3">
        <x:f>_xlfn.IFNA(VLOOKUP(E108,Master!$J:$M,4,0),"")</x:f>
      </x:c>
      <x:c r="J108" s="3">
        <x:f>_xlfn.IFNA(VLOOKUP($E108,Master!$J:$M,3,0),"")</x:f>
      </x:c>
      <x:c r="AC108" s="26">
        <x:f>SUM(K108:P108)</x:f>
      </x:c>
      <x:c r="AD108" s="26">
        <x:f>SUM(Q108:AB108)</x:f>
      </x:c>
    </x:row>
    <x:row r="109" spans="1:35" ht="15" customHeight="1">
      <x:c r="B109" s="3">
        <x:f>_xlfn.IFNA(VLOOKUP(C109,Master!$J:$K,2,0),"")</x:f>
      </x:c>
      <x:c r="D109" s="4">
        <x:f>_xlfn.IFNA(VLOOKUP(E109,Master!$J:$K,2,0),"")</x:f>
      </x:c>
      <x:c r="F109" s="4">
        <x:f>_xlfn.IFNA(VLOOKUP(G109,Master!B:C,2,0),"")</x:f>
      </x:c>
      <x:c r="I109" s="3">
        <x:f>_xlfn.IFNA(VLOOKUP(E109,Master!$J:$M,4,0),"")</x:f>
      </x:c>
      <x:c r="J109" s="3">
        <x:f>_xlfn.IFNA(VLOOKUP($E109,Master!$J:$M,3,0),"")</x:f>
      </x:c>
      <x:c r="AC109" s="26">
        <x:f>SUM(K109:P109)</x:f>
      </x:c>
      <x:c r="AD109" s="26">
        <x:f>SUM(Q109:AB109)</x:f>
      </x:c>
    </x:row>
    <x:row r="110" spans="1:35" ht="15" customHeight="1">
      <x:c r="B110" s="3">
        <x:f>_xlfn.IFNA(VLOOKUP(C110,Master!$J:$K,2,0),"")</x:f>
      </x:c>
      <x:c r="D110" s="4">
        <x:f>_xlfn.IFNA(VLOOKUP(E110,Master!$J:$K,2,0),"")</x:f>
      </x:c>
      <x:c r="F110" s="4">
        <x:f>_xlfn.IFNA(VLOOKUP(G110,Master!B:C,2,0),"")</x:f>
      </x:c>
      <x:c r="I110" s="3">
        <x:f>_xlfn.IFNA(VLOOKUP(E110,Master!$J:$M,4,0),"")</x:f>
      </x:c>
      <x:c r="J110" s="3">
        <x:f>_xlfn.IFNA(VLOOKUP($E110,Master!$J:$M,3,0),"")</x:f>
      </x:c>
      <x:c r="AC110" s="26">
        <x:f>SUM(K110:P110)</x:f>
      </x:c>
      <x:c r="AD110" s="26">
        <x:f>SUM(Q110:AB110)</x:f>
      </x:c>
    </x:row>
    <x:row r="111" spans="1:35" ht="15" customHeight="1">
      <x:c r="B111" s="3">
        <x:f>_xlfn.IFNA(VLOOKUP(C111,Master!$J:$K,2,0),"")</x:f>
      </x:c>
      <x:c r="D111" s="4">
        <x:f>_xlfn.IFNA(VLOOKUP(E111,Master!$J:$K,2,0),"")</x:f>
      </x:c>
      <x:c r="F111" s="4">
        <x:f>_xlfn.IFNA(VLOOKUP(G111,Master!B:C,2,0),"")</x:f>
      </x:c>
      <x:c r="I111" s="3">
        <x:f>_xlfn.IFNA(VLOOKUP(E111,Master!$J:$M,4,0),"")</x:f>
      </x:c>
      <x:c r="J111" s="3">
        <x:f>_xlfn.IFNA(VLOOKUP($E111,Master!$J:$M,3,0),"")</x:f>
      </x:c>
      <x:c r="AC111" s="26">
        <x:f>SUM(K111:P111)</x:f>
      </x:c>
      <x:c r="AD111" s="26">
        <x:f>SUM(Q111:AB111)</x:f>
      </x:c>
    </x:row>
    <x:row r="112" spans="1:35" ht="15" customHeight="1">
      <x:c r="B112" s="3">
        <x:f>_xlfn.IFNA(VLOOKUP(C112,Master!$J:$K,2,0),"")</x:f>
      </x:c>
      <x:c r="D112" s="4">
        <x:f>_xlfn.IFNA(VLOOKUP(E112,Master!$J:$K,2,0),"")</x:f>
      </x:c>
      <x:c r="F112" s="4">
        <x:f>_xlfn.IFNA(VLOOKUP(G112,Master!B:C,2,0),"")</x:f>
      </x:c>
      <x:c r="I112" s="3">
        <x:f>_xlfn.IFNA(VLOOKUP(E112,Master!$J:$M,4,0),"")</x:f>
      </x:c>
      <x:c r="J112" s="3">
        <x:f>_xlfn.IFNA(VLOOKUP($E112,Master!$J:$M,3,0),"")</x:f>
      </x:c>
      <x:c r="AC112" s="26">
        <x:f>SUM(K112:P112)</x:f>
      </x:c>
      <x:c r="AD112" s="26">
        <x:f>SUM(Q112:AB112)</x:f>
      </x:c>
    </x:row>
    <x:row r="113" spans="1:35" ht="15" customHeight="1">
      <x:c r="B113" s="3">
        <x:f>_xlfn.IFNA(VLOOKUP(C113,Master!$J:$K,2,0),"")</x:f>
      </x:c>
      <x:c r="D113" s="4">
        <x:f>_xlfn.IFNA(VLOOKUP(E113,Master!$J:$K,2,0),"")</x:f>
      </x:c>
      <x:c r="F113" s="4">
        <x:f>_xlfn.IFNA(VLOOKUP(G113,Master!B:C,2,0),"")</x:f>
      </x:c>
      <x:c r="I113" s="3">
        <x:f>_xlfn.IFNA(VLOOKUP(E113,Master!$J:$M,4,0),"")</x:f>
      </x:c>
      <x:c r="J113" s="3">
        <x:f>_xlfn.IFNA(VLOOKUP($E113,Master!$J:$M,3,0),"")</x:f>
      </x:c>
      <x:c r="AC113" s="26">
        <x:f>SUM(K113:P113)</x:f>
      </x:c>
      <x:c r="AD113" s="26">
        <x:f>SUM(Q113:AB113)</x:f>
      </x:c>
    </x:row>
    <x:row r="114" spans="1:35" ht="15" customHeight="1">
      <x:c r="B114" s="3">
        <x:f>_xlfn.IFNA(VLOOKUP(C114,Master!$J:$K,2,0),"")</x:f>
      </x:c>
      <x:c r="D114" s="4">
        <x:f>_xlfn.IFNA(VLOOKUP(E114,Master!$J:$K,2,0),"")</x:f>
      </x:c>
      <x:c r="F114" s="4">
        <x:f>_xlfn.IFNA(VLOOKUP(G114,Master!B:C,2,0),"")</x:f>
      </x:c>
      <x:c r="I114" s="3">
        <x:f>_xlfn.IFNA(VLOOKUP(E114,Master!$J:$M,4,0),"")</x:f>
      </x:c>
      <x:c r="J114" s="3">
        <x:f>_xlfn.IFNA(VLOOKUP($E114,Master!$J:$M,3,0),"")</x:f>
      </x:c>
      <x:c r="AC114" s="26">
        <x:f>SUM(K114:P114)</x:f>
      </x:c>
      <x:c r="AD114" s="26">
        <x:f>SUM(Q114:AB114)</x:f>
      </x:c>
    </x:row>
    <x:row r="115" spans="1:35" ht="15" customHeight="1">
      <x:c r="B115" s="3">
        <x:f>_xlfn.IFNA(VLOOKUP(C115,Master!$J:$K,2,0),"")</x:f>
      </x:c>
      <x:c r="D115" s="4">
        <x:f>_xlfn.IFNA(VLOOKUP(E115,Master!$J:$K,2,0),"")</x:f>
      </x:c>
      <x:c r="F115" s="4">
        <x:f>_xlfn.IFNA(VLOOKUP(G115,Master!B:C,2,0),"")</x:f>
      </x:c>
      <x:c r="I115" s="3">
        <x:f>_xlfn.IFNA(VLOOKUP(E115,Master!$J:$M,4,0),"")</x:f>
      </x:c>
      <x:c r="J115" s="3">
        <x:f>_xlfn.IFNA(VLOOKUP($E115,Master!$J:$M,3,0),"")</x:f>
      </x:c>
      <x:c r="AC115" s="26">
        <x:f>SUM(K115:P115)</x:f>
      </x:c>
      <x:c r="AD115" s="26">
        <x:f>SUM(Q115:AB115)</x:f>
      </x:c>
    </x:row>
    <x:row r="116" spans="1:35" ht="15" customHeight="1">
      <x:c r="B116" s="3">
        <x:f>_xlfn.IFNA(VLOOKUP(C116,Master!$J:$K,2,0),"")</x:f>
      </x:c>
      <x:c r="D116" s="4">
        <x:f>_xlfn.IFNA(VLOOKUP(E116,Master!$J:$K,2,0),"")</x:f>
      </x:c>
      <x:c r="F116" s="4">
        <x:f>_xlfn.IFNA(VLOOKUP(G116,Master!B:C,2,0),"")</x:f>
      </x:c>
      <x:c r="I116" s="3">
        <x:f>_xlfn.IFNA(VLOOKUP(E116,Master!$J:$M,4,0),"")</x:f>
      </x:c>
      <x:c r="J116" s="3">
        <x:f>_xlfn.IFNA(VLOOKUP($E116,Master!$J:$M,3,0),"")</x:f>
      </x:c>
      <x:c r="AC116" s="26">
        <x:f>SUM(K116:P116)</x:f>
      </x:c>
      <x:c r="AD116" s="26">
        <x:f>SUM(Q116:AB116)</x:f>
      </x:c>
    </x:row>
    <x:row r="117" spans="1:35" ht="15" customHeight="1">
      <x:c r="B117" s="3">
        <x:f>_xlfn.IFNA(VLOOKUP(C117,Master!$J:$K,2,0),"")</x:f>
      </x:c>
      <x:c r="D117" s="4">
        <x:f>_xlfn.IFNA(VLOOKUP(E117,Master!$J:$K,2,0),"")</x:f>
      </x:c>
      <x:c r="F117" s="4">
        <x:f>_xlfn.IFNA(VLOOKUP(G117,Master!B:C,2,0),"")</x:f>
      </x:c>
      <x:c r="I117" s="3">
        <x:f>_xlfn.IFNA(VLOOKUP(E117,Master!$J:$M,4,0),"")</x:f>
      </x:c>
      <x:c r="J117" s="3">
        <x:f>_xlfn.IFNA(VLOOKUP($E117,Master!$J:$M,3,0),"")</x:f>
      </x:c>
      <x:c r="AC117" s="26">
        <x:f>SUM(K117:P117)</x:f>
      </x:c>
      <x:c r="AD117" s="26">
        <x:f>SUM(Q117:AB117)</x:f>
      </x:c>
    </x:row>
    <x:row r="118" spans="1:35" ht="15" customHeight="1">
      <x:c r="B118" s="3">
        <x:f>_xlfn.IFNA(VLOOKUP(C118,Master!$J:$K,2,0),"")</x:f>
      </x:c>
      <x:c r="D118" s="4">
        <x:f>_xlfn.IFNA(VLOOKUP(E118,Master!$J:$K,2,0),"")</x:f>
      </x:c>
      <x:c r="F118" s="4">
        <x:f>_xlfn.IFNA(VLOOKUP(G118,Master!B:C,2,0),"")</x:f>
      </x:c>
      <x:c r="I118" s="3">
        <x:f>_xlfn.IFNA(VLOOKUP(E118,Master!$J:$M,4,0),"")</x:f>
      </x:c>
      <x:c r="J118" s="3">
        <x:f>_xlfn.IFNA(VLOOKUP($E118,Master!$J:$M,3,0),"")</x:f>
      </x:c>
      <x:c r="AC118" s="26">
        <x:f>SUM(K118:P118)</x:f>
      </x:c>
      <x:c r="AD118" s="26">
        <x:f>SUM(Q118:AB118)</x:f>
      </x:c>
    </x:row>
    <x:row r="119" spans="1:35" ht="15" customHeight="1">
      <x:c r="B119" s="3">
        <x:f>_xlfn.IFNA(VLOOKUP(C119,Master!$J:$K,2,0),"")</x:f>
      </x:c>
      <x:c r="D119" s="4">
        <x:f>_xlfn.IFNA(VLOOKUP(E119,Master!$J:$K,2,0),"")</x:f>
      </x:c>
      <x:c r="F119" s="4">
        <x:f>_xlfn.IFNA(VLOOKUP(G119,Master!B:C,2,0),"")</x:f>
      </x:c>
      <x:c r="I119" s="3">
        <x:f>_xlfn.IFNA(VLOOKUP(E119,Master!$J:$M,4,0),"")</x:f>
      </x:c>
      <x:c r="J119" s="3">
        <x:f>_xlfn.IFNA(VLOOKUP($E119,Master!$J:$M,3,0),"")</x:f>
      </x:c>
      <x:c r="AC119" s="26">
        <x:f>SUM(K119:P119)</x:f>
      </x:c>
      <x:c r="AD119" s="26">
        <x:f>SUM(Q119:AB119)</x:f>
      </x:c>
    </x:row>
    <x:row r="120" spans="1:35" ht="15" customHeight="1">
      <x:c r="B120" s="3">
        <x:f>_xlfn.IFNA(VLOOKUP(C120,Master!$J:$K,2,0),"")</x:f>
      </x:c>
      <x:c r="D120" s="4">
        <x:f>_xlfn.IFNA(VLOOKUP(E120,Master!$J:$K,2,0),"")</x:f>
      </x:c>
      <x:c r="F120" s="4">
        <x:f>_xlfn.IFNA(VLOOKUP(G120,Master!B:C,2,0),"")</x:f>
      </x:c>
      <x:c r="I120" s="3">
        <x:f>_xlfn.IFNA(VLOOKUP(E120,Master!$J:$M,4,0),"")</x:f>
      </x:c>
      <x:c r="J120" s="3">
        <x:f>_xlfn.IFNA(VLOOKUP($E120,Master!$J:$M,3,0),"")</x:f>
      </x:c>
      <x:c r="AC120" s="26">
        <x:f>SUM(K120:P120)</x:f>
      </x:c>
      <x:c r="AD120" s="26">
        <x:f>SUM(Q120:AB120)</x:f>
      </x:c>
    </x:row>
    <x:row r="121" spans="1:35" ht="15" customHeight="1">
      <x:c r="B121" s="3">
        <x:f>_xlfn.IFNA(VLOOKUP(C121,Master!$J:$K,2,0),"")</x:f>
      </x:c>
      <x:c r="D121" s="4">
        <x:f>_xlfn.IFNA(VLOOKUP(E121,Master!$J:$K,2,0),"")</x:f>
      </x:c>
      <x:c r="F121" s="4">
        <x:f>_xlfn.IFNA(VLOOKUP(G121,Master!B:C,2,0),"")</x:f>
      </x:c>
      <x:c r="I121" s="3">
        <x:f>_xlfn.IFNA(VLOOKUP(E121,Master!$J:$M,4,0),"")</x:f>
      </x:c>
      <x:c r="J121" s="3">
        <x:f>_xlfn.IFNA(VLOOKUP($E121,Master!$J:$M,3,0),"")</x:f>
      </x:c>
      <x:c r="AC121" s="26">
        <x:f>SUM(K121:P121)</x:f>
      </x:c>
      <x:c r="AD121" s="26">
        <x:f>SUM(Q121:AB121)</x:f>
      </x:c>
    </x:row>
    <x:row r="122" spans="1:35" ht="15" customHeight="1">
      <x:c r="B122" s="3">
        <x:f>_xlfn.IFNA(VLOOKUP(C122,Master!$J:$K,2,0),"")</x:f>
      </x:c>
      <x:c r="D122" s="4">
        <x:f>_xlfn.IFNA(VLOOKUP(E122,Master!$J:$K,2,0),"")</x:f>
      </x:c>
      <x:c r="F122" s="4">
        <x:f>_xlfn.IFNA(VLOOKUP(G122,Master!B:C,2,0),"")</x:f>
      </x:c>
      <x:c r="I122" s="3">
        <x:f>_xlfn.IFNA(VLOOKUP(E122,Master!$J:$M,4,0),"")</x:f>
      </x:c>
      <x:c r="J122" s="3">
        <x:f>_xlfn.IFNA(VLOOKUP($E122,Master!$J:$M,3,0),"")</x:f>
      </x:c>
      <x:c r="AC122" s="26">
        <x:f>SUM(K122:P122)</x:f>
      </x:c>
      <x:c r="AD122" s="26">
        <x:f>SUM(Q122:AB122)</x:f>
      </x:c>
    </x:row>
    <x:row r="123" spans="1:35" ht="15" customHeight="1">
      <x:c r="B123" s="3">
        <x:f>_xlfn.IFNA(VLOOKUP(C123,Master!$J:$K,2,0),"")</x:f>
      </x:c>
      <x:c r="D123" s="4">
        <x:f>_xlfn.IFNA(VLOOKUP(E123,Master!$J:$K,2,0),"")</x:f>
      </x:c>
      <x:c r="F123" s="4">
        <x:f>_xlfn.IFNA(VLOOKUP(G123,Master!B:C,2,0),"")</x:f>
      </x:c>
      <x:c r="I123" s="3">
        <x:f>_xlfn.IFNA(VLOOKUP(E123,Master!$J:$M,4,0),"")</x:f>
      </x:c>
      <x:c r="J123" s="3">
        <x:f>_xlfn.IFNA(VLOOKUP($E123,Master!$J:$M,3,0),"")</x:f>
      </x:c>
      <x:c r="AC123" s="26">
        <x:f>SUM(K123:P123)</x:f>
      </x:c>
      <x:c r="AD123" s="26">
        <x:f>SUM(Q123:AB123)</x:f>
      </x:c>
    </x:row>
    <x:row r="124" spans="1:35" ht="15" customHeight="1">
      <x:c r="B124" s="3">
        <x:f>_xlfn.IFNA(VLOOKUP(C124,Master!$J:$K,2,0),"")</x:f>
      </x:c>
      <x:c r="D124" s="4">
        <x:f>_xlfn.IFNA(VLOOKUP(E124,Master!$J:$K,2,0),"")</x:f>
      </x:c>
      <x:c r="F124" s="4">
        <x:f>_xlfn.IFNA(VLOOKUP(G124,Master!B:C,2,0),"")</x:f>
      </x:c>
      <x:c r="I124" s="3">
        <x:f>_xlfn.IFNA(VLOOKUP(E124,Master!$J:$M,4,0),"")</x:f>
      </x:c>
      <x:c r="J124" s="3">
        <x:f>_xlfn.IFNA(VLOOKUP($E124,Master!$J:$M,3,0),"")</x:f>
      </x:c>
      <x:c r="AC124" s="26">
        <x:f>SUM(K124:P124)</x:f>
      </x:c>
      <x:c r="AD124" s="26">
        <x:f>SUM(Q124:AB124)</x:f>
      </x:c>
    </x:row>
    <x:row r="125" spans="1:35" ht="15" customHeight="1">
      <x:c r="B125" s="3">
        <x:f>_xlfn.IFNA(VLOOKUP(C125,Master!$J:$K,2,0),"")</x:f>
      </x:c>
      <x:c r="D125" s="4">
        <x:f>_xlfn.IFNA(VLOOKUP(E125,Master!$J:$K,2,0),"")</x:f>
      </x:c>
      <x:c r="F125" s="4">
        <x:f>_xlfn.IFNA(VLOOKUP(G125,Master!B:C,2,0),"")</x:f>
      </x:c>
      <x:c r="I125" s="3">
        <x:f>_xlfn.IFNA(VLOOKUP(E125,Master!$J:$M,4,0),"")</x:f>
      </x:c>
      <x:c r="J125" s="3">
        <x:f>_xlfn.IFNA(VLOOKUP($E125,Master!$J:$M,3,0),"")</x:f>
      </x:c>
      <x:c r="AC125" s="26">
        <x:f>SUM(K125:P125)</x:f>
      </x:c>
      <x:c r="AD125" s="26">
        <x:f>SUM(Q125:AB125)</x:f>
      </x:c>
    </x:row>
    <x:row r="126" spans="1:35" ht="15" customHeight="1">
      <x:c r="B126" s="3">
        <x:f>_xlfn.IFNA(VLOOKUP(C126,Master!$J:$K,2,0),"")</x:f>
      </x:c>
      <x:c r="D126" s="4">
        <x:f>_xlfn.IFNA(VLOOKUP(E126,Master!$J:$K,2,0),"")</x:f>
      </x:c>
      <x:c r="F126" s="4">
        <x:f>_xlfn.IFNA(VLOOKUP(G126,Master!B:C,2,0),"")</x:f>
      </x:c>
      <x:c r="I126" s="3">
        <x:f>_xlfn.IFNA(VLOOKUP(E126,Master!$J:$M,4,0),"")</x:f>
      </x:c>
      <x:c r="J126" s="3">
        <x:f>_xlfn.IFNA(VLOOKUP($E126,Master!$J:$M,3,0),"")</x:f>
      </x:c>
      <x:c r="AC126" s="26">
        <x:f>SUM(K126:P126)</x:f>
      </x:c>
      <x:c r="AD126" s="26">
        <x:f>SUM(Q126:AB126)</x:f>
      </x:c>
    </x:row>
    <x:row r="127" spans="1:35" ht="15" customHeight="1">
      <x:c r="B127" s="3">
        <x:f>_xlfn.IFNA(VLOOKUP(C127,Master!$J:$K,2,0),"")</x:f>
      </x:c>
      <x:c r="D127" s="4">
        <x:f>_xlfn.IFNA(VLOOKUP(E127,Master!$J:$K,2,0),"")</x:f>
      </x:c>
      <x:c r="F127" s="4">
        <x:f>_xlfn.IFNA(VLOOKUP(G127,Master!B:C,2,0),"")</x:f>
      </x:c>
      <x:c r="I127" s="3">
        <x:f>_xlfn.IFNA(VLOOKUP(E127,Master!$J:$M,4,0),"")</x:f>
      </x:c>
      <x:c r="J127" s="3">
        <x:f>_xlfn.IFNA(VLOOKUP($E127,Master!$J:$M,3,0),"")</x:f>
      </x:c>
      <x:c r="AC127" s="26">
        <x:f>SUM(K127:P127)</x:f>
      </x:c>
      <x:c r="AD127" s="26">
        <x:f>SUM(Q127:AB127)</x:f>
      </x:c>
    </x:row>
    <x:row r="128" spans="1:35" ht="15" customHeight="1">
      <x:c r="B128" s="3">
        <x:f>_xlfn.IFNA(VLOOKUP(C128,Master!$J:$K,2,0),"")</x:f>
      </x:c>
      <x:c r="D128" s="4">
        <x:f>_xlfn.IFNA(VLOOKUP(E128,Master!$J:$K,2,0),"")</x:f>
      </x:c>
      <x:c r="F128" s="4">
        <x:f>_xlfn.IFNA(VLOOKUP(G128,Master!B:C,2,0),"")</x:f>
      </x:c>
      <x:c r="I128" s="3">
        <x:f>_xlfn.IFNA(VLOOKUP(E128,Master!$J:$M,4,0),"")</x:f>
      </x:c>
      <x:c r="J128" s="3">
        <x:f>_xlfn.IFNA(VLOOKUP($E128,Master!$J:$M,3,0),"")</x:f>
      </x:c>
      <x:c r="AC128" s="26">
        <x:f>SUM(K128:P128)</x:f>
      </x:c>
      <x:c r="AD128" s="26">
        <x:f>SUM(Q128:AB128)</x:f>
      </x:c>
    </x:row>
    <x:row r="129" spans="1:35" ht="15" customHeight="1">
      <x:c r="B129" s="3">
        <x:f>_xlfn.IFNA(VLOOKUP(C129,Master!$J:$K,2,0),"")</x:f>
      </x:c>
      <x:c r="D129" s="4">
        <x:f>_xlfn.IFNA(VLOOKUP(E129,Master!$J:$K,2,0),"")</x:f>
      </x:c>
      <x:c r="F129" s="4">
        <x:f>_xlfn.IFNA(VLOOKUP(G129,Master!B:C,2,0),"")</x:f>
      </x:c>
      <x:c r="I129" s="3">
        <x:f>_xlfn.IFNA(VLOOKUP(E129,Master!$J:$M,4,0),"")</x:f>
      </x:c>
      <x:c r="J129" s="3">
        <x:f>_xlfn.IFNA(VLOOKUP($E129,Master!$J:$M,3,0),"")</x:f>
      </x:c>
      <x:c r="AC129" s="26">
        <x:f>SUM(K129:P129)</x:f>
      </x:c>
      <x:c r="AD129" s="26">
        <x:f>SUM(Q129:AB129)</x:f>
      </x:c>
    </x:row>
    <x:row r="130" spans="1:35" ht="15" customHeight="1">
      <x:c r="B130" s="3">
        <x:f>_xlfn.IFNA(VLOOKUP(C130,Master!$J:$K,2,0),"")</x:f>
      </x:c>
      <x:c r="D130" s="4">
        <x:f>_xlfn.IFNA(VLOOKUP(E130,Master!$J:$K,2,0),"")</x:f>
      </x:c>
      <x:c r="F130" s="4">
        <x:f>_xlfn.IFNA(VLOOKUP(G130,Master!B:C,2,0),"")</x:f>
      </x:c>
      <x:c r="I130" s="3">
        <x:f>_xlfn.IFNA(VLOOKUP(E130,Master!$J:$M,4,0),"")</x:f>
      </x:c>
      <x:c r="J130" s="3">
        <x:f>_xlfn.IFNA(VLOOKUP($E130,Master!$J:$M,3,0),"")</x:f>
      </x:c>
      <x:c r="AC130" s="26">
        <x:f>SUM(K130:P130)</x:f>
      </x:c>
      <x:c r="AD130" s="26">
        <x:f>SUM(Q130:AB130)</x:f>
      </x:c>
    </x:row>
    <x:row r="131" spans="1:35" ht="15" customHeight="1">
      <x:c r="B131" s="3">
        <x:f>_xlfn.IFNA(VLOOKUP(C131,Master!$J:$K,2,0),"")</x:f>
      </x:c>
      <x:c r="D131" s="4">
        <x:f>_xlfn.IFNA(VLOOKUP(E131,Master!$J:$K,2,0),"")</x:f>
      </x:c>
      <x:c r="F131" s="4">
        <x:f>_xlfn.IFNA(VLOOKUP(G131,Master!B:C,2,0),"")</x:f>
      </x:c>
      <x:c r="I131" s="3">
        <x:f>_xlfn.IFNA(VLOOKUP(E131,Master!$J:$M,4,0),"")</x:f>
      </x:c>
      <x:c r="J131" s="3">
        <x:f>_xlfn.IFNA(VLOOKUP($E131,Master!$J:$M,3,0),"")</x:f>
      </x:c>
      <x:c r="AC131" s="26">
        <x:f>SUM(K131:P131)</x:f>
      </x:c>
      <x:c r="AD131" s="26">
        <x:f>SUM(Q131:AB131)</x:f>
      </x:c>
    </x:row>
    <x:row r="132" spans="1:35" ht="15" customHeight="1">
      <x:c r="B132" s="3">
        <x:f>_xlfn.IFNA(VLOOKUP(C132,Master!$J:$K,2,0),"")</x:f>
      </x:c>
      <x:c r="D132" s="4">
        <x:f>_xlfn.IFNA(VLOOKUP(E132,Master!$J:$K,2,0),"")</x:f>
      </x:c>
      <x:c r="F132" s="4">
        <x:f>_xlfn.IFNA(VLOOKUP(G132,Master!B:C,2,0),"")</x:f>
      </x:c>
      <x:c r="I132" s="3">
        <x:f>_xlfn.IFNA(VLOOKUP(E132,Master!$J:$M,4,0),"")</x:f>
      </x:c>
      <x:c r="J132" s="3">
        <x:f>_xlfn.IFNA(VLOOKUP($E132,Master!$J:$M,3,0),"")</x:f>
      </x:c>
      <x:c r="AC132" s="26">
        <x:f>SUM(K132:P132)</x:f>
      </x:c>
      <x:c r="AD132" s="26">
        <x:f>SUM(Q132:AB132)</x:f>
      </x:c>
    </x:row>
    <x:row r="133" spans="1:35" ht="15" customHeight="1">
      <x:c r="B133" s="3">
        <x:f>_xlfn.IFNA(VLOOKUP(C133,Master!$J:$K,2,0),"")</x:f>
      </x:c>
      <x:c r="D133" s="4">
        <x:f>_xlfn.IFNA(VLOOKUP(E133,Master!$J:$K,2,0),"")</x:f>
      </x:c>
      <x:c r="F133" s="4">
        <x:f>_xlfn.IFNA(VLOOKUP(G133,Master!B:C,2,0),"")</x:f>
      </x:c>
      <x:c r="I133" s="3">
        <x:f>_xlfn.IFNA(VLOOKUP(E133,Master!$J:$M,4,0),"")</x:f>
      </x:c>
      <x:c r="J133" s="3">
        <x:f>_xlfn.IFNA(VLOOKUP($E133,Master!$J:$M,3,0),"")</x:f>
      </x:c>
      <x:c r="AC133" s="26">
        <x:f>SUM(K133:P133)</x:f>
      </x:c>
      <x:c r="AD133" s="26">
        <x:f>SUM(Q133:AB133)</x:f>
      </x:c>
    </x:row>
    <x:row r="134" spans="1:35" ht="15" customHeight="1">
      <x:c r="B134" s="3">
        <x:f>_xlfn.IFNA(VLOOKUP(C134,Master!$J:$K,2,0),"")</x:f>
      </x:c>
      <x:c r="D134" s="4">
        <x:f>_xlfn.IFNA(VLOOKUP(E134,Master!$J:$K,2,0),"")</x:f>
      </x:c>
      <x:c r="F134" s="4">
        <x:f>_xlfn.IFNA(VLOOKUP(G134,Master!B:C,2,0),"")</x:f>
      </x:c>
      <x:c r="I134" s="3">
        <x:f>_xlfn.IFNA(VLOOKUP(E134,Master!$J:$M,4,0),"")</x:f>
      </x:c>
      <x:c r="J134" s="3">
        <x:f>_xlfn.IFNA(VLOOKUP($E134,Master!$J:$M,3,0),"")</x:f>
      </x:c>
      <x:c r="AC134" s="26">
        <x:f>SUM(K134:P134)</x:f>
      </x:c>
      <x:c r="AD134" s="26">
        <x:f>SUM(Q134:AB134)</x:f>
      </x:c>
    </x:row>
    <x:row r="135" spans="1:35" ht="15" customHeight="1">
      <x:c r="B135" s="3">
        <x:f>_xlfn.IFNA(VLOOKUP(C135,Master!$J:$K,2,0),"")</x:f>
      </x:c>
      <x:c r="D135" s="4">
        <x:f>_xlfn.IFNA(VLOOKUP(E135,Master!$J:$K,2,0),"")</x:f>
      </x:c>
      <x:c r="F135" s="4">
        <x:f>_xlfn.IFNA(VLOOKUP(G135,Master!B:C,2,0),"")</x:f>
      </x:c>
      <x:c r="I135" s="3">
        <x:f>_xlfn.IFNA(VLOOKUP(E135,Master!$J:$M,4,0),"")</x:f>
      </x:c>
      <x:c r="J135" s="3">
        <x:f>_xlfn.IFNA(VLOOKUP($E135,Master!$J:$M,3,0),"")</x:f>
      </x:c>
      <x:c r="AC135" s="26">
        <x:f>SUM(K135:P135)</x:f>
      </x:c>
      <x:c r="AD135" s="26">
        <x:f>SUM(Q135:AB135)</x:f>
      </x:c>
    </x:row>
    <x:row r="136" spans="1:35" ht="15" customHeight="1">
      <x:c r="B136" s="3">
        <x:f>_xlfn.IFNA(VLOOKUP(C136,Master!$J:$K,2,0),"")</x:f>
      </x:c>
      <x:c r="D136" s="4">
        <x:f>_xlfn.IFNA(VLOOKUP(E136,Master!$J:$K,2,0),"")</x:f>
      </x:c>
      <x:c r="F136" s="4">
        <x:f>_xlfn.IFNA(VLOOKUP(G136,Master!B:C,2,0),"")</x:f>
      </x:c>
      <x:c r="I136" s="3">
        <x:f>_xlfn.IFNA(VLOOKUP(E136,Master!$J:$M,4,0),"")</x:f>
      </x:c>
      <x:c r="J136" s="3">
        <x:f>_xlfn.IFNA(VLOOKUP($E136,Master!$J:$M,3,0),"")</x:f>
      </x:c>
      <x:c r="AC136" s="26">
        <x:f>SUM(K136:P136)</x:f>
      </x:c>
      <x:c r="AD136" s="26">
        <x:f>SUM(Q136:AB136)</x:f>
      </x:c>
    </x:row>
    <x:row r="137" spans="1:35" ht="15" customHeight="1">
      <x:c r="B137" s="3">
        <x:f>_xlfn.IFNA(VLOOKUP(C137,Master!$J:$K,2,0),"")</x:f>
      </x:c>
      <x:c r="D137" s="4">
        <x:f>_xlfn.IFNA(VLOOKUP(E137,Master!$J:$K,2,0),"")</x:f>
      </x:c>
      <x:c r="F137" s="4">
        <x:f>_xlfn.IFNA(VLOOKUP(G137,Master!B:C,2,0),"")</x:f>
      </x:c>
      <x:c r="I137" s="3">
        <x:f>_xlfn.IFNA(VLOOKUP(E137,Master!$J:$M,4,0),"")</x:f>
      </x:c>
      <x:c r="J137" s="3">
        <x:f>_xlfn.IFNA(VLOOKUP($E137,Master!$J:$M,3,0),"")</x:f>
      </x:c>
      <x:c r="AC137" s="26">
        <x:f>SUM(K137:P137)</x:f>
      </x:c>
      <x:c r="AD137" s="26">
        <x:f>SUM(Q137:AB137)</x:f>
      </x:c>
    </x:row>
    <x:row r="138" spans="1:35" ht="15" customHeight="1">
      <x:c r="B138" s="3">
        <x:f>_xlfn.IFNA(VLOOKUP(C138,Master!$J:$K,2,0),"")</x:f>
      </x:c>
      <x:c r="D138" s="4">
        <x:f>_xlfn.IFNA(VLOOKUP(E138,Master!$J:$K,2,0),"")</x:f>
      </x:c>
      <x:c r="F138" s="4">
        <x:f>_xlfn.IFNA(VLOOKUP(G138,Master!B:C,2,0),"")</x:f>
      </x:c>
      <x:c r="I138" s="3">
        <x:f>_xlfn.IFNA(VLOOKUP(E138,Master!$J:$M,4,0),"")</x:f>
      </x:c>
      <x:c r="J138" s="3">
        <x:f>_xlfn.IFNA(VLOOKUP($E138,Master!$J:$M,3,0),"")</x:f>
      </x:c>
      <x:c r="AC138" s="26">
        <x:f>SUM(K138:P138)</x:f>
      </x:c>
      <x:c r="AD138" s="26">
        <x:f>SUM(Q138:AB138)</x:f>
      </x:c>
    </x:row>
    <x:row r="139" spans="1:35" ht="15" customHeight="1">
      <x:c r="B139" s="3">
        <x:f>_xlfn.IFNA(VLOOKUP(C139,Master!$J:$K,2,0),"")</x:f>
      </x:c>
      <x:c r="D139" s="4">
        <x:f>_xlfn.IFNA(VLOOKUP(E139,Master!$J:$K,2,0),"")</x:f>
      </x:c>
      <x:c r="F139" s="4">
        <x:f>_xlfn.IFNA(VLOOKUP(G139,Master!B:C,2,0),"")</x:f>
      </x:c>
      <x:c r="I139" s="3">
        <x:f>_xlfn.IFNA(VLOOKUP(E139,Master!$J:$M,4,0),"")</x:f>
      </x:c>
      <x:c r="J139" s="3">
        <x:f>_xlfn.IFNA(VLOOKUP($E139,Master!$J:$M,3,0),"")</x:f>
      </x:c>
      <x:c r="AC139" s="26">
        <x:f>SUM(K139:P139)</x:f>
      </x:c>
      <x:c r="AD139" s="26">
        <x:f>SUM(Q139:AB139)</x:f>
      </x:c>
    </x:row>
    <x:row r="140" spans="1:35" ht="15" customHeight="1">
      <x:c r="B140" s="3">
        <x:f>_xlfn.IFNA(VLOOKUP(C140,Master!$J:$K,2,0),"")</x:f>
      </x:c>
      <x:c r="D140" s="4">
        <x:f>_xlfn.IFNA(VLOOKUP(E140,Master!$J:$K,2,0),"")</x:f>
      </x:c>
      <x:c r="F140" s="4">
        <x:f>_xlfn.IFNA(VLOOKUP(G140,Master!B:C,2,0),"")</x:f>
      </x:c>
      <x:c r="I140" s="3">
        <x:f>_xlfn.IFNA(VLOOKUP(E140,Master!$J:$M,4,0),"")</x:f>
      </x:c>
      <x:c r="J140" s="3">
        <x:f>_xlfn.IFNA(VLOOKUP($E140,Master!$J:$M,3,0),"")</x:f>
      </x:c>
      <x:c r="AC140" s="26">
        <x:f>SUM(K140:P140)</x:f>
      </x:c>
      <x:c r="AD140" s="26">
        <x:f>SUM(Q140:AB140)</x:f>
      </x:c>
    </x:row>
    <x:row r="141" spans="1:35" ht="15" customHeight="1">
      <x:c r="B141" s="3">
        <x:f>_xlfn.IFNA(VLOOKUP(C141,Master!$J:$K,2,0),"")</x:f>
      </x:c>
      <x:c r="D141" s="4">
        <x:f>_xlfn.IFNA(VLOOKUP(E141,Master!$J:$K,2,0),"")</x:f>
      </x:c>
      <x:c r="F141" s="4">
        <x:f>_xlfn.IFNA(VLOOKUP(G141,Master!B:C,2,0),"")</x:f>
      </x:c>
      <x:c r="I141" s="3">
        <x:f>_xlfn.IFNA(VLOOKUP(E141,Master!$J:$M,4,0),"")</x:f>
      </x:c>
      <x:c r="J141" s="3">
        <x:f>_xlfn.IFNA(VLOOKUP($E141,Master!$J:$M,3,0),"")</x:f>
      </x:c>
      <x:c r="AC141" s="26">
        <x:f>SUM(K141:P141)</x:f>
      </x:c>
      <x:c r="AD141" s="26">
        <x:f>SUM(Q141:AB141)</x:f>
      </x:c>
    </x:row>
    <x:row r="142" spans="1:35" ht="15" customHeight="1">
      <x:c r="B142" s="3">
        <x:f>_xlfn.IFNA(VLOOKUP(C142,Master!$J:$K,2,0),"")</x:f>
      </x:c>
      <x:c r="D142" s="4">
        <x:f>_xlfn.IFNA(VLOOKUP(E142,Master!$J:$K,2,0),"")</x:f>
      </x:c>
      <x:c r="F142" s="4">
        <x:f>_xlfn.IFNA(VLOOKUP(G142,Master!B:C,2,0),"")</x:f>
      </x:c>
      <x:c r="I142" s="3">
        <x:f>_xlfn.IFNA(VLOOKUP(E142,Master!$J:$M,4,0),"")</x:f>
      </x:c>
      <x:c r="J142" s="3">
        <x:f>_xlfn.IFNA(VLOOKUP($E142,Master!$J:$M,3,0),"")</x:f>
      </x:c>
      <x:c r="AC142" s="26">
        <x:f>SUM(K142:P142)</x:f>
      </x:c>
      <x:c r="AD142" s="26">
        <x:f>SUM(Q142:AB142)</x:f>
      </x:c>
    </x:row>
    <x:row r="143" spans="1:35" ht="15" customHeight="1">
      <x:c r="B143" s="3">
        <x:f>_xlfn.IFNA(VLOOKUP(C143,Master!$J:$K,2,0),"")</x:f>
      </x:c>
      <x:c r="D143" s="4">
        <x:f>_xlfn.IFNA(VLOOKUP(E143,Master!$J:$K,2,0),"")</x:f>
      </x:c>
      <x:c r="F143" s="4">
        <x:f>_xlfn.IFNA(VLOOKUP(G143,Master!B:C,2,0),"")</x:f>
      </x:c>
      <x:c r="I143" s="3">
        <x:f>_xlfn.IFNA(VLOOKUP(E143,Master!$J:$M,4,0),"")</x:f>
      </x:c>
      <x:c r="J143" s="3">
        <x:f>_xlfn.IFNA(VLOOKUP($E143,Master!$J:$M,3,0),"")</x:f>
      </x:c>
      <x:c r="AC143" s="26">
        <x:f>SUM(K143:P143)</x:f>
      </x:c>
      <x:c r="AD143" s="26">
        <x:f>SUM(Q143:AB143)</x:f>
      </x:c>
    </x:row>
    <x:row r="144" spans="1:35" ht="15" customHeight="1">
      <x:c r="B144" s="3">
        <x:f>_xlfn.IFNA(VLOOKUP(C144,Master!$J:$K,2,0),"")</x:f>
      </x:c>
      <x:c r="D144" s="4">
        <x:f>_xlfn.IFNA(VLOOKUP(E144,Master!$J:$K,2,0),"")</x:f>
      </x:c>
      <x:c r="F144" s="4">
        <x:f>_xlfn.IFNA(VLOOKUP(G144,Master!B:C,2,0),"")</x:f>
      </x:c>
      <x:c r="I144" s="3">
        <x:f>_xlfn.IFNA(VLOOKUP(E144,Master!$J:$M,4,0),"")</x:f>
      </x:c>
      <x:c r="J144" s="3">
        <x:f>_xlfn.IFNA(VLOOKUP($E144,Master!$J:$M,3,0),"")</x:f>
      </x:c>
      <x:c r="AC144" s="26">
        <x:f>SUM(K144:P144)</x:f>
      </x:c>
      <x:c r="AD144" s="26">
        <x:f>SUM(Q144:AB144)</x:f>
      </x:c>
    </x:row>
    <x:row r="145" spans="1:35" ht="15" customHeight="1">
      <x:c r="B145" s="3">
        <x:f>_xlfn.IFNA(VLOOKUP(C145,Master!$J:$K,2,0),"")</x:f>
      </x:c>
      <x:c r="D145" s="4">
        <x:f>_xlfn.IFNA(VLOOKUP(E145,Master!$J:$K,2,0),"")</x:f>
      </x:c>
      <x:c r="F145" s="4">
        <x:f>_xlfn.IFNA(VLOOKUP(G145,Master!B:C,2,0),"")</x:f>
      </x:c>
      <x:c r="I145" s="3">
        <x:f>_xlfn.IFNA(VLOOKUP(E145,Master!$J:$M,4,0),"")</x:f>
      </x:c>
      <x:c r="J145" s="3">
        <x:f>_xlfn.IFNA(VLOOKUP($E145,Master!$J:$M,3,0),"")</x:f>
      </x:c>
      <x:c r="AC145" s="26">
        <x:f>SUM(K145:P145)</x:f>
      </x:c>
      <x:c r="AD145" s="26">
        <x:f>SUM(Q145:AB145)</x:f>
      </x:c>
    </x:row>
    <x:row r="146" spans="1:35" ht="15" customHeight="1">
      <x:c r="B146" s="3">
        <x:f>_xlfn.IFNA(VLOOKUP(C146,Master!$J:$K,2,0),"")</x:f>
      </x:c>
      <x:c r="D146" s="4">
        <x:f>_xlfn.IFNA(VLOOKUP(E146,Master!$J:$K,2,0),"")</x:f>
      </x:c>
      <x:c r="F146" s="4">
        <x:f>_xlfn.IFNA(VLOOKUP(G146,Master!B:C,2,0),"")</x:f>
      </x:c>
      <x:c r="I146" s="3">
        <x:f>_xlfn.IFNA(VLOOKUP(E146,Master!$J:$M,4,0),"")</x:f>
      </x:c>
      <x:c r="J146" s="3">
        <x:f>_xlfn.IFNA(VLOOKUP($E146,Master!$J:$M,3,0),"")</x:f>
      </x:c>
      <x:c r="AC146" s="26">
        <x:f>SUM(K146:P146)</x:f>
      </x:c>
      <x:c r="AD146" s="26">
        <x:f>SUM(Q146:AB146)</x:f>
      </x:c>
    </x:row>
    <x:row r="147" spans="1:35" ht="15" customHeight="1">
      <x:c r="B147" s="3">
        <x:f>_xlfn.IFNA(VLOOKUP(C147,Master!$J:$K,2,0),"")</x:f>
      </x:c>
      <x:c r="D147" s="4">
        <x:f>_xlfn.IFNA(VLOOKUP(E147,Master!$J:$K,2,0),"")</x:f>
      </x:c>
      <x:c r="F147" s="4">
        <x:f>_xlfn.IFNA(VLOOKUP(G147,Master!B:C,2,0),"")</x:f>
      </x:c>
      <x:c r="I147" s="3">
        <x:f>_xlfn.IFNA(VLOOKUP(E147,Master!$J:$M,4,0),"")</x:f>
      </x:c>
      <x:c r="J147" s="3">
        <x:f>_xlfn.IFNA(VLOOKUP($E147,Master!$J:$M,3,0),"")</x:f>
      </x:c>
      <x:c r="AC147" s="26">
        <x:f>SUM(K147:P147)</x:f>
      </x:c>
      <x:c r="AD147" s="26">
        <x:f>SUM(Q147:AB147)</x:f>
      </x:c>
    </x:row>
    <x:row r="148" spans="1:35" ht="15" customHeight="1">
      <x:c r="B148" s="3">
        <x:f>_xlfn.IFNA(VLOOKUP(C148,Master!$J:$K,2,0),"")</x:f>
      </x:c>
      <x:c r="D148" s="4">
        <x:f>_xlfn.IFNA(VLOOKUP(E148,Master!$J:$K,2,0),"")</x:f>
      </x:c>
      <x:c r="F148" s="4">
        <x:f>_xlfn.IFNA(VLOOKUP(G148,Master!B:C,2,0),"")</x:f>
      </x:c>
      <x:c r="I148" s="3">
        <x:f>_xlfn.IFNA(VLOOKUP(E148,Master!$J:$M,4,0),"")</x:f>
      </x:c>
      <x:c r="J148" s="3">
        <x:f>_xlfn.IFNA(VLOOKUP($E148,Master!$J:$M,3,0),"")</x:f>
      </x:c>
      <x:c r="AC148" s="26">
        <x:f>SUM(K148:P148)</x:f>
      </x:c>
      <x:c r="AD148" s="26">
        <x:f>SUM(Q148:AB148)</x:f>
      </x:c>
    </x:row>
    <x:row r="149" spans="1:35" ht="15" customHeight="1">
      <x:c r="B149" s="3">
        <x:f>_xlfn.IFNA(VLOOKUP(C149,Master!$J:$K,2,0),"")</x:f>
      </x:c>
      <x:c r="D149" s="4">
        <x:f>_xlfn.IFNA(VLOOKUP(E149,Master!$J:$K,2,0),"")</x:f>
      </x:c>
      <x:c r="F149" s="4">
        <x:f>_xlfn.IFNA(VLOOKUP(G149,Master!B:C,2,0),"")</x:f>
      </x:c>
      <x:c r="I149" s="3">
        <x:f>_xlfn.IFNA(VLOOKUP(E149,Master!$J:$M,4,0),"")</x:f>
      </x:c>
      <x:c r="J149" s="3">
        <x:f>_xlfn.IFNA(VLOOKUP($E149,Master!$J:$M,3,0),"")</x:f>
      </x:c>
      <x:c r="AC149" s="26">
        <x:f>SUM(K149:P149)</x:f>
      </x:c>
      <x:c r="AD149" s="26">
        <x:f>SUM(Q149:AB149)</x:f>
      </x:c>
    </x:row>
    <x:row r="150" spans="1:35" ht="15" customHeight="1">
      <x:c r="B150" s="3">
        <x:f>_xlfn.IFNA(VLOOKUP(C150,Master!$J:$K,2,0),"")</x:f>
      </x:c>
      <x:c r="D150" s="4">
        <x:f>_xlfn.IFNA(VLOOKUP(E150,Master!$J:$K,2,0),"")</x:f>
      </x:c>
      <x:c r="F150" s="4">
        <x:f>_xlfn.IFNA(VLOOKUP(G150,Master!B:C,2,0),"")</x:f>
      </x:c>
      <x:c r="I150" s="3">
        <x:f>_xlfn.IFNA(VLOOKUP(E150,Master!$J:$M,4,0),"")</x:f>
      </x:c>
      <x:c r="J150" s="3">
        <x:f>_xlfn.IFNA(VLOOKUP($E150,Master!$J:$M,3,0),"")</x:f>
      </x:c>
      <x:c r="AC150" s="26">
        <x:f>SUM(K150:P150)</x:f>
      </x:c>
      <x:c r="AD150" s="26">
        <x:f>SUM(Q150:AB150)</x:f>
      </x:c>
    </x:row>
    <x:row r="151" spans="1:35" ht="15" customHeight="1">
      <x:c r="B151" s="3">
        <x:f>_xlfn.IFNA(VLOOKUP(C151,Master!$J:$K,2,0),"")</x:f>
      </x:c>
      <x:c r="D151" s="4">
        <x:f>_xlfn.IFNA(VLOOKUP(E151,Master!$J:$K,2,0),"")</x:f>
      </x:c>
      <x:c r="F151" s="4">
        <x:f>_xlfn.IFNA(VLOOKUP(G151,Master!B:C,2,0),"")</x:f>
      </x:c>
      <x:c r="I151" s="3">
        <x:f>_xlfn.IFNA(VLOOKUP(E151,Master!$J:$M,4,0),"")</x:f>
      </x:c>
      <x:c r="J151" s="3">
        <x:f>_xlfn.IFNA(VLOOKUP($E151,Master!$J:$M,3,0),"")</x:f>
      </x:c>
      <x:c r="AC151" s="26">
        <x:f>SUM(K151:P151)</x:f>
      </x:c>
      <x:c r="AD151" s="26">
        <x:f>SUM(Q151:AB151)</x:f>
      </x:c>
    </x:row>
    <x:row r="152" spans="1:35" ht="15" customHeight="1">
      <x:c r="B152" s="3">
        <x:f>_xlfn.IFNA(VLOOKUP(C152,Master!$J:$K,2,0),"")</x:f>
      </x:c>
      <x:c r="D152" s="4">
        <x:f>_xlfn.IFNA(VLOOKUP(E152,Master!$J:$K,2,0),"")</x:f>
      </x:c>
      <x:c r="F152" s="4">
        <x:f>_xlfn.IFNA(VLOOKUP(G152,Master!B:C,2,0),"")</x:f>
      </x:c>
      <x:c r="I152" s="3">
        <x:f>_xlfn.IFNA(VLOOKUP(E152,Master!$J:$M,4,0),"")</x:f>
      </x:c>
      <x:c r="J152" s="3">
        <x:f>_xlfn.IFNA(VLOOKUP($E152,Master!$J:$M,3,0),"")</x:f>
      </x:c>
      <x:c r="AC152" s="26">
        <x:f>SUM(K152:P152)</x:f>
      </x:c>
      <x:c r="AD152" s="26">
        <x:f>SUM(Q152:AB152)</x:f>
      </x:c>
    </x:row>
    <x:row r="153" spans="1:35" ht="15" customHeight="1">
      <x:c r="B153" s="3">
        <x:f>_xlfn.IFNA(VLOOKUP(C153,Master!$J:$K,2,0),"")</x:f>
      </x:c>
      <x:c r="D153" s="4">
        <x:f>_xlfn.IFNA(VLOOKUP(E153,Master!$J:$K,2,0),"")</x:f>
      </x:c>
      <x:c r="F153" s="4">
        <x:f>_xlfn.IFNA(VLOOKUP(G153,Master!B:C,2,0),"")</x:f>
      </x:c>
      <x:c r="I153" s="3">
        <x:f>_xlfn.IFNA(VLOOKUP(E153,Master!$J:$M,4,0),"")</x:f>
      </x:c>
      <x:c r="J153" s="3">
        <x:f>_xlfn.IFNA(VLOOKUP($E153,Master!$J:$M,3,0),"")</x:f>
      </x:c>
      <x:c r="AC153" s="26">
        <x:f>SUM(K153:P153)</x:f>
      </x:c>
      <x:c r="AD153" s="26">
        <x:f>SUM(Q153:AB153)</x:f>
      </x:c>
    </x:row>
    <x:row r="154" spans="1:35" ht="15" customHeight="1">
      <x:c r="B154" s="3">
        <x:f>_xlfn.IFNA(VLOOKUP(C154,Master!$J:$K,2,0),"")</x:f>
      </x:c>
      <x:c r="D154" s="4">
        <x:f>_xlfn.IFNA(VLOOKUP(E154,Master!$J:$K,2,0),"")</x:f>
      </x:c>
      <x:c r="F154" s="4">
        <x:f>_xlfn.IFNA(VLOOKUP(G154,Master!B:C,2,0),"")</x:f>
      </x:c>
      <x:c r="I154" s="3">
        <x:f>_xlfn.IFNA(VLOOKUP(E154,Master!$J:$M,4,0),"")</x:f>
      </x:c>
      <x:c r="J154" s="3">
        <x:f>_xlfn.IFNA(VLOOKUP($E154,Master!$J:$M,3,0),"")</x:f>
      </x:c>
      <x:c r="AC154" s="26">
        <x:f>SUM(K154:P154)</x:f>
      </x:c>
      <x:c r="AD154" s="26">
        <x:f>SUM(Q154:AB154)</x:f>
      </x:c>
    </x:row>
    <x:row r="155" spans="1:35" ht="15" customHeight="1">
      <x:c r="B155" s="3">
        <x:f>_xlfn.IFNA(VLOOKUP(C155,Master!$J:$K,2,0),"")</x:f>
      </x:c>
      <x:c r="D155" s="4">
        <x:f>_xlfn.IFNA(VLOOKUP(E155,Master!$J:$K,2,0),"")</x:f>
      </x:c>
      <x:c r="F155" s="4">
        <x:f>_xlfn.IFNA(VLOOKUP(G155,Master!B:C,2,0),"")</x:f>
      </x:c>
      <x:c r="I155" s="3">
        <x:f>_xlfn.IFNA(VLOOKUP(E155,Master!$J:$M,4,0),"")</x:f>
      </x:c>
      <x:c r="J155" s="3">
        <x:f>_xlfn.IFNA(VLOOKUP($E155,Master!$J:$M,3,0),"")</x:f>
      </x:c>
      <x:c r="AC155" s="26">
        <x:f>SUM(K155:P155)</x:f>
      </x:c>
      <x:c r="AD155" s="26">
        <x:f>SUM(Q155:AB155)</x:f>
      </x:c>
    </x:row>
    <x:row r="156" spans="1:35" ht="15" customHeight="1">
      <x:c r="B156" s="3">
        <x:f>_xlfn.IFNA(VLOOKUP(C156,Master!$J:$K,2,0),"")</x:f>
      </x:c>
      <x:c r="D156" s="4">
        <x:f>_xlfn.IFNA(VLOOKUP(E156,Master!$J:$K,2,0),"")</x:f>
      </x:c>
      <x:c r="F156" s="4">
        <x:f>_xlfn.IFNA(VLOOKUP(G156,Master!B:C,2,0),"")</x:f>
      </x:c>
      <x:c r="I156" s="3">
        <x:f>_xlfn.IFNA(VLOOKUP(E156,Master!$J:$M,4,0),"")</x:f>
      </x:c>
      <x:c r="J156" s="3">
        <x:f>_xlfn.IFNA(VLOOKUP($E156,Master!$J:$M,3,0),"")</x:f>
      </x:c>
      <x:c r="AC156" s="26">
        <x:f>SUM(K156:P156)</x:f>
      </x:c>
      <x:c r="AD156" s="26">
        <x:f>SUM(Q156:AB156)</x:f>
      </x:c>
    </x:row>
    <x:row r="157" spans="1:35" ht="15" customHeight="1">
      <x:c r="B157" s="3">
        <x:f>_xlfn.IFNA(VLOOKUP(C157,Master!$J:$K,2,0),"")</x:f>
      </x:c>
      <x:c r="D157" s="4">
        <x:f>_xlfn.IFNA(VLOOKUP(E157,Master!$J:$K,2,0),"")</x:f>
      </x:c>
      <x:c r="F157" s="4">
        <x:f>_xlfn.IFNA(VLOOKUP(G157,Master!B:C,2,0),"")</x:f>
      </x:c>
      <x:c r="I157" s="3">
        <x:f>_xlfn.IFNA(VLOOKUP(E157,Master!$J:$M,4,0),"")</x:f>
      </x:c>
      <x:c r="J157" s="3">
        <x:f>_xlfn.IFNA(VLOOKUP($E157,Master!$J:$M,3,0),"")</x:f>
      </x:c>
      <x:c r="AC157" s="26">
        <x:f>SUM(K157:P157)</x:f>
      </x:c>
      <x:c r="AD157" s="26">
        <x:f>SUM(Q157:AB157)</x:f>
      </x:c>
    </x:row>
    <x:row r="158" spans="1:35" ht="15" customHeight="1">
      <x:c r="B158" s="3">
        <x:f>_xlfn.IFNA(VLOOKUP(C158,Master!$J:$K,2,0),"")</x:f>
      </x:c>
      <x:c r="D158" s="4">
        <x:f>_xlfn.IFNA(VLOOKUP(E158,Master!$J:$K,2,0),"")</x:f>
      </x:c>
      <x:c r="F158" s="4">
        <x:f>_xlfn.IFNA(VLOOKUP(G158,Master!B:C,2,0),"")</x:f>
      </x:c>
      <x:c r="I158" s="3">
        <x:f>_xlfn.IFNA(VLOOKUP(E158,Master!$J:$M,4,0),"")</x:f>
      </x:c>
      <x:c r="J158" s="3">
        <x:f>_xlfn.IFNA(VLOOKUP($E158,Master!$J:$M,3,0),"")</x:f>
      </x:c>
      <x:c r="AC158" s="26">
        <x:f>SUM(K158:P158)</x:f>
      </x:c>
      <x:c r="AD158" s="26">
        <x:f>SUM(Q158:AB158)</x:f>
      </x:c>
    </x:row>
    <x:row r="159" spans="1:35" ht="15" customHeight="1">
      <x:c r="B159" s="3">
        <x:f>_xlfn.IFNA(VLOOKUP(C159,Master!$J:$K,2,0),"")</x:f>
      </x:c>
      <x:c r="D159" s="4">
        <x:f>_xlfn.IFNA(VLOOKUP(E159,Master!$J:$K,2,0),"")</x:f>
      </x:c>
      <x:c r="F159" s="4">
        <x:f>_xlfn.IFNA(VLOOKUP(G159,Master!B:C,2,0),"")</x:f>
      </x:c>
      <x:c r="I159" s="3">
        <x:f>_xlfn.IFNA(VLOOKUP(E159,Master!$J:$M,4,0),"")</x:f>
      </x:c>
      <x:c r="J159" s="3">
        <x:f>_xlfn.IFNA(VLOOKUP($E159,Master!$J:$M,3,0),"")</x:f>
      </x:c>
      <x:c r="AC159" s="26">
        <x:f>SUM(K159:P159)</x:f>
      </x:c>
      <x:c r="AD159" s="26">
        <x:f>SUM(Q159:AB159)</x:f>
      </x:c>
    </x:row>
    <x:row r="160" spans="1:35" ht="15" customHeight="1">
      <x:c r="B160" s="3">
        <x:f>_xlfn.IFNA(VLOOKUP(C160,Master!$J:$K,2,0),"")</x:f>
      </x:c>
      <x:c r="D160" s="4">
        <x:f>_xlfn.IFNA(VLOOKUP(E160,Master!$J:$K,2,0),"")</x:f>
      </x:c>
      <x:c r="F160" s="4">
        <x:f>_xlfn.IFNA(VLOOKUP(G160,Master!B:C,2,0),"")</x:f>
      </x:c>
      <x:c r="I160" s="3">
        <x:f>_xlfn.IFNA(VLOOKUP(E160,Master!$J:$M,4,0),"")</x:f>
      </x:c>
      <x:c r="J160" s="3">
        <x:f>_xlfn.IFNA(VLOOKUP($E160,Master!$J:$M,3,0),"")</x:f>
      </x:c>
      <x:c r="AC160" s="26">
        <x:f>SUM(K160:P160)</x:f>
      </x:c>
      <x:c r="AD160" s="26">
        <x:f>SUM(Q160:AB160)</x:f>
      </x:c>
    </x:row>
    <x:row r="161" spans="1:35" ht="15" customHeight="1">
      <x:c r="B161" s="3">
        <x:f>_xlfn.IFNA(VLOOKUP(C161,Master!$J:$K,2,0),"")</x:f>
      </x:c>
      <x:c r="D161" s="4">
        <x:f>_xlfn.IFNA(VLOOKUP(E161,Master!$J:$K,2,0),"")</x:f>
      </x:c>
      <x:c r="F161" s="4">
        <x:f>_xlfn.IFNA(VLOOKUP(G161,Master!B:C,2,0),"")</x:f>
      </x:c>
      <x:c r="I161" s="3">
        <x:f>_xlfn.IFNA(VLOOKUP(E161,Master!$J:$M,4,0),"")</x:f>
      </x:c>
      <x:c r="J161" s="3">
        <x:f>_xlfn.IFNA(VLOOKUP($E161,Master!$J:$M,3,0),"")</x:f>
      </x:c>
      <x:c r="AC161" s="26">
        <x:f>SUM(K161:P161)</x:f>
      </x:c>
      <x:c r="AD161" s="26">
        <x:f>SUM(Q161:AB161)</x:f>
      </x:c>
    </x:row>
    <x:row r="162" spans="1:35" ht="15" customHeight="1">
      <x:c r="B162" s="3">
        <x:f>_xlfn.IFNA(VLOOKUP(C162,Master!$J:$K,2,0),"")</x:f>
      </x:c>
      <x:c r="D162" s="4">
        <x:f>_xlfn.IFNA(VLOOKUP(E162,Master!$J:$K,2,0),"")</x:f>
      </x:c>
      <x:c r="F162" s="4">
        <x:f>_xlfn.IFNA(VLOOKUP(G162,Master!B:C,2,0),"")</x:f>
      </x:c>
      <x:c r="I162" s="3">
        <x:f>_xlfn.IFNA(VLOOKUP(E162,Master!$J:$M,4,0),"")</x:f>
      </x:c>
      <x:c r="J162" s="3">
        <x:f>_xlfn.IFNA(VLOOKUP($E162,Master!$J:$M,3,0),"")</x:f>
      </x:c>
      <x:c r="AC162" s="26">
        <x:f>SUM(K162:P162)</x:f>
      </x:c>
      <x:c r="AD162" s="26">
        <x:f>SUM(Q162:AB162)</x:f>
      </x:c>
    </x:row>
    <x:row r="163" spans="1:35" ht="15" customHeight="1">
      <x:c r="B163" s="3">
        <x:f>_xlfn.IFNA(VLOOKUP(C163,Master!$J:$K,2,0),"")</x:f>
      </x:c>
      <x:c r="D163" s="4">
        <x:f>_xlfn.IFNA(VLOOKUP(E163,Master!$J:$K,2,0),"")</x:f>
      </x:c>
      <x:c r="F163" s="4">
        <x:f>_xlfn.IFNA(VLOOKUP(G163,Master!B:C,2,0),"")</x:f>
      </x:c>
      <x:c r="I163" s="3">
        <x:f>_xlfn.IFNA(VLOOKUP(E163,Master!$J:$M,4,0),"")</x:f>
      </x:c>
      <x:c r="J163" s="3">
        <x:f>_xlfn.IFNA(VLOOKUP($E163,Master!$J:$M,3,0),"")</x:f>
      </x:c>
      <x:c r="AC163" s="26">
        <x:f>SUM(K163:P163)</x:f>
      </x:c>
      <x:c r="AD163" s="26">
        <x:f>SUM(Q163:AB163)</x:f>
      </x:c>
    </x:row>
    <x:row r="164" spans="1:35" ht="15" customHeight="1">
      <x:c r="B164" s="3">
        <x:f>_xlfn.IFNA(VLOOKUP(C164,Master!$J:$K,2,0),"")</x:f>
      </x:c>
      <x:c r="D164" s="4">
        <x:f>_xlfn.IFNA(VLOOKUP(E164,Master!$J:$K,2,0),"")</x:f>
      </x:c>
      <x:c r="F164" s="4">
        <x:f>_xlfn.IFNA(VLOOKUP(G164,Master!B:C,2,0),"")</x:f>
      </x:c>
      <x:c r="I164" s="3">
        <x:f>_xlfn.IFNA(VLOOKUP(E164,Master!$J:$M,4,0),"")</x:f>
      </x:c>
      <x:c r="J164" s="3">
        <x:f>_xlfn.IFNA(VLOOKUP($E164,Master!$J:$M,3,0),"")</x:f>
      </x:c>
      <x:c r="AC164" s="26">
        <x:f>SUM(K164:P164)</x:f>
      </x:c>
      <x:c r="AD164" s="26">
        <x:f>SUM(Q164:AB164)</x:f>
      </x:c>
    </x:row>
    <x:row r="165" spans="1:35" ht="15" customHeight="1">
      <x:c r="B165" s="3">
        <x:f>_xlfn.IFNA(VLOOKUP(C165,Master!$J:$K,2,0),"")</x:f>
      </x:c>
      <x:c r="D165" s="4">
        <x:f>_xlfn.IFNA(VLOOKUP(E165,Master!$J:$K,2,0),"")</x:f>
      </x:c>
      <x:c r="F165" s="4">
        <x:f>_xlfn.IFNA(VLOOKUP(G165,Master!B:C,2,0),"")</x:f>
      </x:c>
      <x:c r="I165" s="3">
        <x:f>_xlfn.IFNA(VLOOKUP(E165,Master!$J:$M,4,0),"")</x:f>
      </x:c>
      <x:c r="J165" s="3">
        <x:f>_xlfn.IFNA(VLOOKUP($E165,Master!$J:$M,3,0),"")</x:f>
      </x:c>
      <x:c r="AC165" s="26">
        <x:f>SUM(K165:P165)</x:f>
      </x:c>
      <x:c r="AD165" s="26">
        <x:f>SUM(Q165:AB165)</x:f>
      </x:c>
    </x:row>
    <x:row r="166" spans="1:35" ht="15" customHeight="1">
      <x:c r="B166" s="3">
        <x:f>_xlfn.IFNA(VLOOKUP(C166,Master!$J:$K,2,0),"")</x:f>
      </x:c>
      <x:c r="D166" s="4">
        <x:f>_xlfn.IFNA(VLOOKUP(E166,Master!$J:$K,2,0),"")</x:f>
      </x:c>
      <x:c r="F166" s="4">
        <x:f>_xlfn.IFNA(VLOOKUP(G166,Master!B:C,2,0),"")</x:f>
      </x:c>
      <x:c r="I166" s="3">
        <x:f>_xlfn.IFNA(VLOOKUP(E166,Master!$J:$M,4,0),"")</x:f>
      </x:c>
      <x:c r="J166" s="3">
        <x:f>_xlfn.IFNA(VLOOKUP($E166,Master!$J:$M,3,0),"")</x:f>
      </x:c>
      <x:c r="AC166" s="26">
        <x:f>SUM(K166:P166)</x:f>
      </x:c>
      <x:c r="AD166" s="26">
        <x:f>SUM(Q166:AB166)</x:f>
      </x:c>
    </x:row>
    <x:row r="167" spans="1:35" ht="15" customHeight="1">
      <x:c r="B167" s="3">
        <x:f>_xlfn.IFNA(VLOOKUP(C167,Master!$J:$K,2,0),"")</x:f>
      </x:c>
      <x:c r="D167" s="4">
        <x:f>_xlfn.IFNA(VLOOKUP(E167,Master!$J:$K,2,0),"")</x:f>
      </x:c>
      <x:c r="F167" s="4">
        <x:f>_xlfn.IFNA(VLOOKUP(G167,Master!B:C,2,0),"")</x:f>
      </x:c>
      <x:c r="I167" s="3">
        <x:f>_xlfn.IFNA(VLOOKUP(E167,Master!$J:$M,4,0),"")</x:f>
      </x:c>
      <x:c r="J167" s="3">
        <x:f>_xlfn.IFNA(VLOOKUP($E167,Master!$J:$M,3,0),"")</x:f>
      </x:c>
      <x:c r="AC167" s="26">
        <x:f>SUM(K167:P167)</x:f>
      </x:c>
      <x:c r="AD167" s="26">
        <x:f>SUM(Q167:AB167)</x:f>
      </x:c>
    </x:row>
    <x:row r="168" spans="1:35" ht="15" customHeight="1">
      <x:c r="B168" s="3">
        <x:f>_xlfn.IFNA(VLOOKUP(C168,Master!$J:$K,2,0),"")</x:f>
      </x:c>
      <x:c r="D168" s="4">
        <x:f>_xlfn.IFNA(VLOOKUP(E168,Master!$J:$K,2,0),"")</x:f>
      </x:c>
      <x:c r="F168" s="4">
        <x:f>_xlfn.IFNA(VLOOKUP(G168,Master!B:C,2,0),"")</x:f>
      </x:c>
      <x:c r="I168" s="3">
        <x:f>_xlfn.IFNA(VLOOKUP(E168,Master!$J:$M,4,0),"")</x:f>
      </x:c>
      <x:c r="J168" s="3">
        <x:f>_xlfn.IFNA(VLOOKUP($E168,Master!$J:$M,3,0),"")</x:f>
      </x:c>
      <x:c r="AC168" s="26">
        <x:f>SUM(K168:P168)</x:f>
      </x:c>
      <x:c r="AD168" s="26">
        <x:f>SUM(Q168:AB168)</x:f>
      </x:c>
    </x:row>
    <x:row r="169" spans="1:35" ht="15" customHeight="1">
      <x:c r="B169" s="3">
        <x:f>_xlfn.IFNA(VLOOKUP(C169,Master!$J:$K,2,0),"")</x:f>
      </x:c>
      <x:c r="D169" s="4">
        <x:f>_xlfn.IFNA(VLOOKUP(E169,Master!$J:$K,2,0),"")</x:f>
      </x:c>
      <x:c r="F169" s="4">
        <x:f>_xlfn.IFNA(VLOOKUP(G169,Master!B:C,2,0),"")</x:f>
      </x:c>
      <x:c r="I169" s="3">
        <x:f>_xlfn.IFNA(VLOOKUP(E169,Master!$J:$M,4,0),"")</x:f>
      </x:c>
      <x:c r="J169" s="3">
        <x:f>_xlfn.IFNA(VLOOKUP($E169,Master!$J:$M,3,0),"")</x:f>
      </x:c>
      <x:c r="AC169" s="26">
        <x:f>SUM(K169:P169)</x:f>
      </x:c>
      <x:c r="AD169" s="26">
        <x:f>SUM(Q169:AB169)</x:f>
      </x:c>
    </x:row>
    <x:row r="170" spans="1:35" ht="15" customHeight="1">
      <x:c r="B170" s="3">
        <x:f>_xlfn.IFNA(VLOOKUP(C170,Master!$J:$K,2,0),"")</x:f>
      </x:c>
      <x:c r="D170" s="4">
        <x:f>_xlfn.IFNA(VLOOKUP(E170,Master!$J:$K,2,0),"")</x:f>
      </x:c>
      <x:c r="F170" s="4">
        <x:f>_xlfn.IFNA(VLOOKUP(G170,Master!B:C,2,0),"")</x:f>
      </x:c>
      <x:c r="I170" s="3">
        <x:f>_xlfn.IFNA(VLOOKUP(E170,Master!$J:$M,4,0),"")</x:f>
      </x:c>
      <x:c r="J170" s="3">
        <x:f>_xlfn.IFNA(VLOOKUP($E170,Master!$J:$M,3,0),"")</x:f>
      </x:c>
      <x:c r="AC170" s="26">
        <x:f>SUM(K170:P170)</x:f>
      </x:c>
      <x:c r="AD170" s="26">
        <x:f>SUM(Q170:AB170)</x:f>
      </x:c>
    </x:row>
    <x:row r="171" spans="1:35" ht="15" customHeight="1">
      <x:c r="B171" s="3">
        <x:f>_xlfn.IFNA(VLOOKUP(C171,Master!$J:$K,2,0),"")</x:f>
      </x:c>
      <x:c r="D171" s="4">
        <x:f>_xlfn.IFNA(VLOOKUP(E171,Master!$J:$K,2,0),"")</x:f>
      </x:c>
      <x:c r="F171" s="4">
        <x:f>_xlfn.IFNA(VLOOKUP(G171,Master!B:C,2,0),"")</x:f>
      </x:c>
      <x:c r="I171" s="3">
        <x:f>_xlfn.IFNA(VLOOKUP(E171,Master!$J:$M,4,0),"")</x:f>
      </x:c>
      <x:c r="J171" s="3">
        <x:f>_xlfn.IFNA(VLOOKUP($E171,Master!$J:$M,3,0),"")</x:f>
      </x:c>
      <x:c r="AC171" s="26">
        <x:f>SUM(K171:P171)</x:f>
      </x:c>
      <x:c r="AD171" s="26">
        <x:f>SUM(Q171:AB171)</x:f>
      </x:c>
    </x:row>
    <x:row r="172" spans="1:35" ht="15" customHeight="1">
      <x:c r="B172" s="3">
        <x:f>_xlfn.IFNA(VLOOKUP(C172,Master!$J:$K,2,0),"")</x:f>
      </x:c>
      <x:c r="D172" s="4">
        <x:f>_xlfn.IFNA(VLOOKUP(E172,Master!$J:$K,2,0),"")</x:f>
      </x:c>
      <x:c r="F172" s="4">
        <x:f>_xlfn.IFNA(VLOOKUP(G172,Master!B:C,2,0),"")</x:f>
      </x:c>
      <x:c r="I172" s="3">
        <x:f>_xlfn.IFNA(VLOOKUP(E172,Master!$J:$M,4,0),"")</x:f>
      </x:c>
      <x:c r="J172" s="3">
        <x:f>_xlfn.IFNA(VLOOKUP($E172,Master!$J:$M,3,0),"")</x:f>
      </x:c>
      <x:c r="AC172" s="26">
        <x:f>SUM(K172:P172)</x:f>
      </x:c>
      <x:c r="AD172" s="26">
        <x:f>SUM(Q172:AB172)</x:f>
      </x:c>
    </x:row>
    <x:row r="173" spans="1:35" ht="15" customHeight="1">
      <x:c r="B173" s="3">
        <x:f>_xlfn.IFNA(VLOOKUP(C173,Master!$J:$K,2,0),"")</x:f>
      </x:c>
      <x:c r="D173" s="4">
        <x:f>_xlfn.IFNA(VLOOKUP(E173,Master!$J:$K,2,0),"")</x:f>
      </x:c>
      <x:c r="F173" s="4">
        <x:f>_xlfn.IFNA(VLOOKUP(G173,Master!B:C,2,0),"")</x:f>
      </x:c>
      <x:c r="I173" s="3">
        <x:f>_xlfn.IFNA(VLOOKUP(E173,Master!$J:$M,4,0),"")</x:f>
      </x:c>
      <x:c r="J173" s="3">
        <x:f>_xlfn.IFNA(VLOOKUP($E173,Master!$J:$M,3,0),"")</x:f>
      </x:c>
      <x:c r="AC173" s="26">
        <x:f>SUM(K173:P173)</x:f>
      </x:c>
      <x:c r="AD173" s="26">
        <x:f>SUM(Q173:AB173)</x:f>
      </x:c>
    </x:row>
    <x:row r="174" spans="1:35" ht="15" customHeight="1">
      <x:c r="B174" s="3">
        <x:f>_xlfn.IFNA(VLOOKUP(C174,Master!$J:$K,2,0),"")</x:f>
      </x:c>
      <x:c r="D174" s="4">
        <x:f>_xlfn.IFNA(VLOOKUP(E174,Master!$J:$K,2,0),"")</x:f>
      </x:c>
      <x:c r="F174" s="4">
        <x:f>_xlfn.IFNA(VLOOKUP(G174,Master!B:C,2,0),"")</x:f>
      </x:c>
      <x:c r="I174" s="3">
        <x:f>_xlfn.IFNA(VLOOKUP(E174,Master!$J:$M,4,0),"")</x:f>
      </x:c>
      <x:c r="J174" s="3">
        <x:f>_xlfn.IFNA(VLOOKUP($E174,Master!$J:$M,3,0),"")</x:f>
      </x:c>
      <x:c r="AC174" s="26">
        <x:f>SUM(K174:P174)</x:f>
      </x:c>
      <x:c r="AD174" s="26">
        <x:f>SUM(Q174:AB174)</x:f>
      </x:c>
    </x:row>
    <x:row r="175" spans="1:35" ht="15" customHeight="1">
      <x:c r="B175" s="3">
        <x:f>_xlfn.IFNA(VLOOKUP(C175,Master!$J:$K,2,0),"")</x:f>
      </x:c>
      <x:c r="D175" s="4">
        <x:f>_xlfn.IFNA(VLOOKUP(E175,Master!$J:$K,2,0),"")</x:f>
      </x:c>
      <x:c r="F175" s="4">
        <x:f>_xlfn.IFNA(VLOOKUP(G175,Master!B:C,2,0),"")</x:f>
      </x:c>
      <x:c r="I175" s="3">
        <x:f>_xlfn.IFNA(VLOOKUP(E175,Master!$J:$M,4,0),"")</x:f>
      </x:c>
      <x:c r="J175" s="3">
        <x:f>_xlfn.IFNA(VLOOKUP($E175,Master!$J:$M,3,0),"")</x:f>
      </x:c>
      <x:c r="AC175" s="26">
        <x:f>SUM(K175:P175)</x:f>
      </x:c>
      <x:c r="AD175" s="26">
        <x:f>SUM(Q175:AB175)</x:f>
      </x:c>
    </x:row>
    <x:row r="176" spans="1:35" ht="15" customHeight="1">
      <x:c r="B176" s="3">
        <x:f>_xlfn.IFNA(VLOOKUP(C176,Master!$J:$K,2,0),"")</x:f>
      </x:c>
      <x:c r="D176" s="4">
        <x:f>_xlfn.IFNA(VLOOKUP(E176,Master!$J:$K,2,0),"")</x:f>
      </x:c>
      <x:c r="F176" s="4">
        <x:f>_xlfn.IFNA(VLOOKUP(G176,Master!B:C,2,0),"")</x:f>
      </x:c>
      <x:c r="I176" s="3">
        <x:f>_xlfn.IFNA(VLOOKUP(E176,Master!$J:$M,4,0),"")</x:f>
      </x:c>
      <x:c r="J176" s="3">
        <x:f>_xlfn.IFNA(VLOOKUP($E176,Master!$J:$M,3,0),"")</x:f>
      </x:c>
      <x:c r="AC176" s="26">
        <x:f>SUM(K176:P176)</x:f>
      </x:c>
      <x:c r="AD176" s="26">
        <x:f>SUM(Q176:AB176)</x:f>
      </x:c>
    </x:row>
    <x:row r="177" spans="1:35" ht="15" customHeight="1">
      <x:c r="B177" s="3">
        <x:f>_xlfn.IFNA(VLOOKUP(C177,Master!$J:$K,2,0),"")</x:f>
      </x:c>
      <x:c r="D177" s="4">
        <x:f>_xlfn.IFNA(VLOOKUP(E177,Master!$J:$K,2,0),"")</x:f>
      </x:c>
      <x:c r="F177" s="4">
        <x:f>_xlfn.IFNA(VLOOKUP(G177,Master!B:C,2,0),"")</x:f>
      </x:c>
      <x:c r="I177" s="3">
        <x:f>_xlfn.IFNA(VLOOKUP(E177,Master!$J:$M,4,0),"")</x:f>
      </x:c>
      <x:c r="J177" s="3">
        <x:f>_xlfn.IFNA(VLOOKUP($E177,Master!$J:$M,3,0),"")</x:f>
      </x:c>
      <x:c r="AC177" s="26">
        <x:f>SUM(K177:P177)</x:f>
      </x:c>
      <x:c r="AD177" s="26">
        <x:f>SUM(Q177:AB177)</x:f>
      </x:c>
    </x:row>
    <x:row r="178" spans="1:35" ht="15" customHeight="1">
      <x:c r="B178" s="3">
        <x:f>_xlfn.IFNA(VLOOKUP(C178,Master!$J:$K,2,0),"")</x:f>
      </x:c>
      <x:c r="D178" s="4">
        <x:f>_xlfn.IFNA(VLOOKUP(E178,Master!$J:$K,2,0),"")</x:f>
      </x:c>
      <x:c r="F178" s="4">
        <x:f>_xlfn.IFNA(VLOOKUP(G178,Master!B:C,2,0),"")</x:f>
      </x:c>
      <x:c r="I178" s="3">
        <x:f>_xlfn.IFNA(VLOOKUP(E178,Master!$J:$M,4,0),"")</x:f>
      </x:c>
      <x:c r="J178" s="3">
        <x:f>_xlfn.IFNA(VLOOKUP($E178,Master!$J:$M,3,0),"")</x:f>
      </x:c>
      <x:c r="AC178" s="26">
        <x:f>SUM(K178:P178)</x:f>
      </x:c>
      <x:c r="AD178" s="26">
        <x:f>SUM(Q178:AB178)</x:f>
      </x:c>
    </x:row>
    <x:row r="179" spans="1:35" ht="15" customHeight="1">
      <x:c r="B179" s="3">
        <x:f>_xlfn.IFNA(VLOOKUP(C179,Master!$J:$K,2,0),"")</x:f>
      </x:c>
      <x:c r="D179" s="4">
        <x:f>_xlfn.IFNA(VLOOKUP(E179,Master!$J:$K,2,0),"")</x:f>
      </x:c>
      <x:c r="F179" s="4">
        <x:f>_xlfn.IFNA(VLOOKUP(G179,Master!B:C,2,0),"")</x:f>
      </x:c>
      <x:c r="I179" s="3">
        <x:f>_xlfn.IFNA(VLOOKUP(E179,Master!$J:$M,4,0),"")</x:f>
      </x:c>
      <x:c r="J179" s="3">
        <x:f>_xlfn.IFNA(VLOOKUP($E179,Master!$J:$M,3,0),"")</x:f>
      </x:c>
      <x:c r="AC179" s="26">
        <x:f>SUM(K179:P179)</x:f>
      </x:c>
      <x:c r="AD179" s="26">
        <x:f>SUM(Q179:AB179)</x:f>
      </x:c>
    </x:row>
    <x:row r="180" spans="1:35" ht="15" customHeight="1">
      <x:c r="B180" s="3">
        <x:f>_xlfn.IFNA(VLOOKUP(C180,Master!$J:$K,2,0),"")</x:f>
      </x:c>
      <x:c r="D180" s="4">
        <x:f>_xlfn.IFNA(VLOOKUP(E180,Master!$J:$K,2,0),"")</x:f>
      </x:c>
      <x:c r="F180" s="4">
        <x:f>_xlfn.IFNA(VLOOKUP(G180,Master!B:C,2,0),"")</x:f>
      </x:c>
      <x:c r="I180" s="3">
        <x:f>_xlfn.IFNA(VLOOKUP(E180,Master!$J:$M,4,0),"")</x:f>
      </x:c>
      <x:c r="J180" s="3">
        <x:f>_xlfn.IFNA(VLOOKUP($E180,Master!$J:$M,3,0),"")</x:f>
      </x:c>
      <x:c r="AC180" s="26">
        <x:f>SUM(K180:P180)</x:f>
      </x:c>
      <x:c r="AD180" s="26">
        <x:f>SUM(Q180:AB180)</x:f>
      </x:c>
    </x:row>
    <x:row r="181" spans="1:35" ht="15" customHeight="1">
      <x:c r="B181" s="3">
        <x:f>_xlfn.IFNA(VLOOKUP(C181,Master!$J:$K,2,0),"")</x:f>
      </x:c>
      <x:c r="D181" s="4">
        <x:f>_xlfn.IFNA(VLOOKUP(E181,Master!$J:$K,2,0),"")</x:f>
      </x:c>
      <x:c r="F181" s="4">
        <x:f>_xlfn.IFNA(VLOOKUP(G181,Master!B:C,2,0),"")</x:f>
      </x:c>
      <x:c r="I181" s="3">
        <x:f>_xlfn.IFNA(VLOOKUP(E181,Master!$J:$M,4,0),"")</x:f>
      </x:c>
      <x:c r="J181" s="3">
        <x:f>_xlfn.IFNA(VLOOKUP($E181,Master!$J:$M,3,0),"")</x:f>
      </x:c>
      <x:c r="AC181" s="26">
        <x:f>SUM(K181:P181)</x:f>
      </x:c>
      <x:c r="AD181" s="26">
        <x:f>SUM(Q181:AB181)</x:f>
      </x:c>
    </x:row>
    <x:row r="182" spans="1:35" ht="15" customHeight="1">
      <x:c r="B182" s="3">
        <x:f>_xlfn.IFNA(VLOOKUP(C182,Master!$J:$K,2,0),"")</x:f>
      </x:c>
      <x:c r="D182" s="4">
        <x:f>_xlfn.IFNA(VLOOKUP(E182,Master!$J:$K,2,0),"")</x:f>
      </x:c>
      <x:c r="F182" s="4">
        <x:f>_xlfn.IFNA(VLOOKUP(G182,Master!B:C,2,0),"")</x:f>
      </x:c>
      <x:c r="I182" s="3">
        <x:f>_xlfn.IFNA(VLOOKUP(E182,Master!$J:$M,4,0),"")</x:f>
      </x:c>
      <x:c r="J182" s="3">
        <x:f>_xlfn.IFNA(VLOOKUP($E182,Master!$J:$M,3,0),"")</x:f>
      </x:c>
      <x:c r="AC182" s="26">
        <x:f>SUM(K182:P182)</x:f>
      </x:c>
      <x:c r="AD182" s="26">
        <x:f>SUM(Q182:AB182)</x:f>
      </x:c>
    </x:row>
    <x:row r="183" spans="1:35" ht="15" customHeight="1">
      <x:c r="B183" s="3">
        <x:f>_xlfn.IFNA(VLOOKUP(C183,Master!$J:$K,2,0),"")</x:f>
      </x:c>
      <x:c r="D183" s="4">
        <x:f>_xlfn.IFNA(VLOOKUP(E183,Master!$J:$K,2,0),"")</x:f>
      </x:c>
      <x:c r="F183" s="4">
        <x:f>_xlfn.IFNA(VLOOKUP(G183,Master!B:C,2,0),"")</x:f>
      </x:c>
      <x:c r="I183" s="3">
        <x:f>_xlfn.IFNA(VLOOKUP(E183,Master!$J:$M,4,0),"")</x:f>
      </x:c>
      <x:c r="J183" s="3">
        <x:f>_xlfn.IFNA(VLOOKUP($E183,Master!$J:$M,3,0),"")</x:f>
      </x:c>
      <x:c r="AC183" s="26">
        <x:f>SUM(K183:P183)</x:f>
      </x:c>
      <x:c r="AD183" s="26">
        <x:f>SUM(Q183:AB183)</x:f>
      </x:c>
    </x:row>
    <x:row r="184" spans="1:35" ht="15" customHeight="1">
      <x:c r="B184" s="3">
        <x:f>_xlfn.IFNA(VLOOKUP(C184,Master!$J:$K,2,0),"")</x:f>
      </x:c>
      <x:c r="D184" s="4">
        <x:f>_xlfn.IFNA(VLOOKUP(E184,Master!$J:$K,2,0),"")</x:f>
      </x:c>
      <x:c r="F184" s="4">
        <x:f>_xlfn.IFNA(VLOOKUP(G184,Master!B:C,2,0),"")</x:f>
      </x:c>
      <x:c r="I184" s="3">
        <x:f>_xlfn.IFNA(VLOOKUP(E184,Master!$J:$M,4,0),"")</x:f>
      </x:c>
      <x:c r="J184" s="3">
        <x:f>_xlfn.IFNA(VLOOKUP($E184,Master!$J:$M,3,0),"")</x:f>
      </x:c>
      <x:c r="AC184" s="26">
        <x:f>SUM(K184:P184)</x:f>
      </x:c>
      <x:c r="AD184" s="26">
        <x:f>SUM(Q184:AB184)</x:f>
      </x:c>
    </x:row>
    <x:row r="185" spans="1:35" ht="15" customHeight="1">
      <x:c r="B185" s="3">
        <x:f>_xlfn.IFNA(VLOOKUP(C185,Master!$J:$K,2,0),"")</x:f>
      </x:c>
      <x:c r="D185" s="4">
        <x:f>_xlfn.IFNA(VLOOKUP(E185,Master!$J:$K,2,0),"")</x:f>
      </x:c>
      <x:c r="F185" s="4">
        <x:f>_xlfn.IFNA(VLOOKUP(G185,Master!B:C,2,0),"")</x:f>
      </x:c>
      <x:c r="I185" s="3">
        <x:f>_xlfn.IFNA(VLOOKUP(E185,Master!$J:$M,4,0),"")</x:f>
      </x:c>
      <x:c r="J185" s="3">
        <x:f>_xlfn.IFNA(VLOOKUP($E185,Master!$J:$M,3,0),"")</x:f>
      </x:c>
      <x:c r="AC185" s="26">
        <x:f>SUM(K185:P185)</x:f>
      </x:c>
      <x:c r="AD185" s="26">
        <x:f>SUM(Q185:AB185)</x:f>
      </x:c>
    </x:row>
    <x:row r="186" spans="1:35" ht="15" customHeight="1">
      <x:c r="B186" s="3">
        <x:f>_xlfn.IFNA(VLOOKUP(C186,Master!$J:$K,2,0),"")</x:f>
      </x:c>
      <x:c r="D186" s="4">
        <x:f>_xlfn.IFNA(VLOOKUP(E186,Master!$J:$K,2,0),"")</x:f>
      </x:c>
      <x:c r="F186" s="4">
        <x:f>_xlfn.IFNA(VLOOKUP(G186,Master!B:C,2,0),"")</x:f>
      </x:c>
      <x:c r="I186" s="3">
        <x:f>_xlfn.IFNA(VLOOKUP(E186,Master!$J:$M,4,0),"")</x:f>
      </x:c>
      <x:c r="J186" s="3">
        <x:f>_xlfn.IFNA(VLOOKUP($E186,Master!$J:$M,3,0),"")</x:f>
      </x:c>
      <x:c r="AC186" s="26">
        <x:f>SUM(K186:P186)</x:f>
      </x:c>
      <x:c r="AD186" s="26">
        <x:f>SUM(Q186:AB186)</x:f>
      </x:c>
    </x:row>
    <x:row r="187" spans="1:35" ht="15" customHeight="1">
      <x:c r="B187" s="3">
        <x:f>_xlfn.IFNA(VLOOKUP(C187,Master!$J:$K,2,0),"")</x:f>
      </x:c>
      <x:c r="D187" s="4">
        <x:f>_xlfn.IFNA(VLOOKUP(E187,Master!$J:$K,2,0),"")</x:f>
      </x:c>
      <x:c r="F187" s="4">
        <x:f>_xlfn.IFNA(VLOOKUP(G187,Master!B:C,2,0),"")</x:f>
      </x:c>
      <x:c r="I187" s="3">
        <x:f>_xlfn.IFNA(VLOOKUP(E187,Master!$J:$M,4,0),"")</x:f>
      </x:c>
      <x:c r="J187" s="3">
        <x:f>_xlfn.IFNA(VLOOKUP($E187,Master!$J:$M,3,0),"")</x:f>
      </x:c>
      <x:c r="AC187" s="26">
        <x:f>SUM(K187:P187)</x:f>
      </x:c>
      <x:c r="AD187" s="26">
        <x:f>SUM(Q187:AB187)</x:f>
      </x:c>
    </x:row>
    <x:row r="188" spans="1:35" ht="15" customHeight="1">
      <x:c r="B188" s="3">
        <x:f>_xlfn.IFNA(VLOOKUP(C188,Master!$J:$K,2,0),"")</x:f>
      </x:c>
      <x:c r="D188" s="4">
        <x:f>_xlfn.IFNA(VLOOKUP(E188,Master!$J:$K,2,0),"")</x:f>
      </x:c>
      <x:c r="F188" s="4">
        <x:f>_xlfn.IFNA(VLOOKUP(G188,Master!B:C,2,0),"")</x:f>
      </x:c>
      <x:c r="I188" s="3">
        <x:f>_xlfn.IFNA(VLOOKUP(E188,Master!$J:$M,4,0),"")</x:f>
      </x:c>
      <x:c r="J188" s="3">
        <x:f>_xlfn.IFNA(VLOOKUP($E188,Master!$J:$M,3,0),"")</x:f>
      </x:c>
      <x:c r="AC188" s="26">
        <x:f>SUM(K188:P188)</x:f>
      </x:c>
      <x:c r="AD188" s="26">
        <x:f>SUM(Q188:AB188)</x:f>
      </x:c>
    </x:row>
    <x:row r="189" spans="1:35" ht="15" customHeight="1">
      <x:c r="B189" s="3">
        <x:f>_xlfn.IFNA(VLOOKUP(C189,Master!$J:$K,2,0),"")</x:f>
      </x:c>
      <x:c r="D189" s="4">
        <x:f>_xlfn.IFNA(VLOOKUP(E189,Master!$J:$K,2,0),"")</x:f>
      </x:c>
      <x:c r="F189" s="4">
        <x:f>_xlfn.IFNA(VLOOKUP(G189,Master!B:C,2,0),"")</x:f>
      </x:c>
      <x:c r="I189" s="3">
        <x:f>_xlfn.IFNA(VLOOKUP(E189,Master!$J:$M,4,0),"")</x:f>
      </x:c>
      <x:c r="J189" s="3">
        <x:f>_xlfn.IFNA(VLOOKUP($E189,Master!$J:$M,3,0),"")</x:f>
      </x:c>
      <x:c r="AC189" s="26">
        <x:f>SUM(K189:P189)</x:f>
      </x:c>
      <x:c r="AD189" s="26">
        <x:f>SUM(Q189:AB189)</x:f>
      </x:c>
    </x:row>
    <x:row r="190" spans="1:35" ht="15" customHeight="1">
      <x:c r="B190" s="3">
        <x:f>_xlfn.IFNA(VLOOKUP(C190,Master!$J:$K,2,0),"")</x:f>
      </x:c>
      <x:c r="D190" s="4">
        <x:f>_xlfn.IFNA(VLOOKUP(E190,Master!$J:$K,2,0),"")</x:f>
      </x:c>
      <x:c r="F190" s="4">
        <x:f>_xlfn.IFNA(VLOOKUP(G190,Master!B:C,2,0),"")</x:f>
      </x:c>
      <x:c r="I190" s="3">
        <x:f>_xlfn.IFNA(VLOOKUP(E190,Master!$J:$M,4,0),"")</x:f>
      </x:c>
      <x:c r="J190" s="3">
        <x:f>_xlfn.IFNA(VLOOKUP($E190,Master!$J:$M,3,0),"")</x:f>
      </x:c>
      <x:c r="AC190" s="26">
        <x:f>SUM(K190:P190)</x:f>
      </x:c>
      <x:c r="AD190" s="26">
        <x:f>SUM(Q190:AB190)</x:f>
      </x:c>
    </x:row>
    <x:row r="191" spans="1:35" ht="15" customHeight="1">
      <x:c r="B191" s="3">
        <x:f>_xlfn.IFNA(VLOOKUP(C191,Master!$J:$K,2,0),"")</x:f>
      </x:c>
      <x:c r="D191" s="4">
        <x:f>_xlfn.IFNA(VLOOKUP(E191,Master!$J:$K,2,0),"")</x:f>
      </x:c>
      <x:c r="F191" s="4">
        <x:f>_xlfn.IFNA(VLOOKUP(G191,Master!B:C,2,0),"")</x:f>
      </x:c>
      <x:c r="I191" s="3">
        <x:f>_xlfn.IFNA(VLOOKUP(E191,Master!$J:$M,4,0),"")</x:f>
      </x:c>
      <x:c r="J191" s="3">
        <x:f>_xlfn.IFNA(VLOOKUP($E191,Master!$J:$M,3,0),"")</x:f>
      </x:c>
      <x:c r="AC191" s="26">
        <x:f>SUM(K191:P191)</x:f>
      </x:c>
      <x:c r="AD191" s="26">
        <x:f>SUM(Q191:AB191)</x:f>
      </x:c>
    </x:row>
    <x:row r="192" spans="1:35" ht="15" customHeight="1">
      <x:c r="B192" s="3">
        <x:f>_xlfn.IFNA(VLOOKUP(C192,Master!$J:$K,2,0),"")</x:f>
      </x:c>
      <x:c r="D192" s="4">
        <x:f>_xlfn.IFNA(VLOOKUP(E192,Master!$J:$K,2,0),"")</x:f>
      </x:c>
      <x:c r="F192" s="4">
        <x:f>_xlfn.IFNA(VLOOKUP(G192,Master!B:C,2,0),"")</x:f>
      </x:c>
      <x:c r="I192" s="3">
        <x:f>_xlfn.IFNA(VLOOKUP(E192,Master!$J:$M,4,0),"")</x:f>
      </x:c>
      <x:c r="J192" s="3">
        <x:f>_xlfn.IFNA(VLOOKUP($E192,Master!$J:$M,3,0),"")</x:f>
      </x:c>
      <x:c r="AC192" s="26">
        <x:f>SUM(K192:P192)</x:f>
      </x:c>
      <x:c r="AD192" s="26">
        <x:f>SUM(Q192:AB192)</x:f>
      </x:c>
    </x:row>
    <x:row r="193" spans="1:35" ht="15" customHeight="1">
      <x:c r="B193" s="3">
        <x:f>_xlfn.IFNA(VLOOKUP(C193,Master!$J:$K,2,0),"")</x:f>
      </x:c>
      <x:c r="D193" s="4">
        <x:f>_xlfn.IFNA(VLOOKUP(E193,Master!$J:$K,2,0),"")</x:f>
      </x:c>
      <x:c r="F193" s="4">
        <x:f>_xlfn.IFNA(VLOOKUP(G193,Master!B:C,2,0),"")</x:f>
      </x:c>
      <x:c r="I193" s="3">
        <x:f>_xlfn.IFNA(VLOOKUP(E193,Master!$J:$M,4,0),"")</x:f>
      </x:c>
      <x:c r="J193" s="3">
        <x:f>_xlfn.IFNA(VLOOKUP($E193,Master!$J:$M,3,0),"")</x:f>
      </x:c>
      <x:c r="AC193" s="26">
        <x:f>SUM(K193:P193)</x:f>
      </x:c>
      <x:c r="AD193" s="26">
        <x:f>SUM(Q193:AB193)</x:f>
      </x:c>
    </x:row>
    <x:row r="194" spans="1:35" ht="15" customHeight="1">
      <x:c r="B194" s="3">
        <x:f>_xlfn.IFNA(VLOOKUP(C194,Master!$J:$K,2,0),"")</x:f>
      </x:c>
      <x:c r="D194" s="4">
        <x:f>_xlfn.IFNA(VLOOKUP(E194,Master!$J:$K,2,0),"")</x:f>
      </x:c>
      <x:c r="F194" s="4">
        <x:f>_xlfn.IFNA(VLOOKUP(G194,Master!B:C,2,0),"")</x:f>
      </x:c>
      <x:c r="I194" s="3">
        <x:f>_xlfn.IFNA(VLOOKUP(E194,Master!$J:$M,4,0),"")</x:f>
      </x:c>
      <x:c r="J194" s="3">
        <x:f>_xlfn.IFNA(VLOOKUP($E194,Master!$J:$M,3,0),"")</x:f>
      </x:c>
      <x:c r="AC194" s="26">
        <x:f>SUM(K194:P194)</x:f>
      </x:c>
      <x:c r="AD194" s="26">
        <x:f>SUM(Q194:AB194)</x:f>
      </x:c>
    </x:row>
    <x:row r="195" spans="1:35" ht="15" customHeight="1">
      <x:c r="B195" s="3">
        <x:f>_xlfn.IFNA(VLOOKUP(C195,Master!$J:$K,2,0),"")</x:f>
      </x:c>
      <x:c r="D195" s="4">
        <x:f>_xlfn.IFNA(VLOOKUP(E195,Master!$J:$K,2,0),"")</x:f>
      </x:c>
      <x:c r="F195" s="4">
        <x:f>_xlfn.IFNA(VLOOKUP(G195,Master!B:C,2,0),"")</x:f>
      </x:c>
      <x:c r="I195" s="3">
        <x:f>_xlfn.IFNA(VLOOKUP(E195,Master!$J:$M,4,0),"")</x:f>
      </x:c>
      <x:c r="J195" s="3">
        <x:f>_xlfn.IFNA(VLOOKUP($E195,Master!$J:$M,3,0),"")</x:f>
      </x:c>
      <x:c r="AC195" s="26">
        <x:f>SUM(K195:P195)</x:f>
      </x:c>
      <x:c r="AD195" s="26">
        <x:f>SUM(Q195:AB195)</x:f>
      </x:c>
    </x:row>
    <x:row r="196" spans="1:35" ht="15" customHeight="1">
      <x:c r="B196" s="3">
        <x:f>_xlfn.IFNA(VLOOKUP(C196,Master!$J:$K,2,0),"")</x:f>
      </x:c>
      <x:c r="D196" s="4">
        <x:f>_xlfn.IFNA(VLOOKUP(E196,Master!$J:$K,2,0),"")</x:f>
      </x:c>
      <x:c r="F196" s="4">
        <x:f>_xlfn.IFNA(VLOOKUP(G196,Master!B:C,2,0),"")</x:f>
      </x:c>
      <x:c r="I196" s="3">
        <x:f>_xlfn.IFNA(VLOOKUP(E196,Master!$J:$M,4,0),"")</x:f>
      </x:c>
      <x:c r="J196" s="3">
        <x:f>_xlfn.IFNA(VLOOKUP($E196,Master!$J:$M,3,0),"")</x:f>
      </x:c>
      <x:c r="AC196" s="26">
        <x:f>SUM(K196:P196)</x:f>
      </x:c>
      <x:c r="AD196" s="26">
        <x:f>SUM(Q196:AB196)</x:f>
      </x:c>
    </x:row>
    <x:row r="197" spans="1:35" ht="15" customHeight="1">
      <x:c r="B197" s="3">
        <x:f>_xlfn.IFNA(VLOOKUP(C197,Master!$J:$K,2,0),"")</x:f>
      </x:c>
      <x:c r="D197" s="4">
        <x:f>_xlfn.IFNA(VLOOKUP(E197,Master!$J:$K,2,0),"")</x:f>
      </x:c>
      <x:c r="F197" s="4">
        <x:f>_xlfn.IFNA(VLOOKUP(G197,Master!B:C,2,0),"")</x:f>
      </x:c>
      <x:c r="I197" s="3">
        <x:f>_xlfn.IFNA(VLOOKUP(E197,Master!$J:$M,4,0),"")</x:f>
      </x:c>
      <x:c r="J197" s="3">
        <x:f>_xlfn.IFNA(VLOOKUP($E197,Master!$J:$M,3,0),"")</x:f>
      </x:c>
      <x:c r="AC197" s="26">
        <x:f>SUM(K197:P197)</x:f>
      </x:c>
      <x:c r="AD197" s="26">
        <x:f>SUM(Q197:AB197)</x:f>
      </x:c>
    </x:row>
    <x:row r="198" spans="1:35" ht="15" customHeight="1">
      <x:c r="B198" s="3">
        <x:f>_xlfn.IFNA(VLOOKUP(C198,Master!$J:$K,2,0),"")</x:f>
      </x:c>
      <x:c r="D198" s="4">
        <x:f>_xlfn.IFNA(VLOOKUP(E198,Master!$J:$K,2,0),"")</x:f>
      </x:c>
      <x:c r="F198" s="4">
        <x:f>_xlfn.IFNA(VLOOKUP(G198,Master!B:C,2,0),"")</x:f>
      </x:c>
      <x:c r="I198" s="3">
        <x:f>_xlfn.IFNA(VLOOKUP(E198,Master!$J:$M,4,0),"")</x:f>
      </x:c>
      <x:c r="J198" s="3">
        <x:f>_xlfn.IFNA(VLOOKUP($E198,Master!$J:$M,3,0),"")</x:f>
      </x:c>
      <x:c r="AC198" s="26">
        <x:f>SUM(K198:P198)</x:f>
      </x:c>
      <x:c r="AD198" s="26">
        <x:f>SUM(Q198:AB198)</x:f>
      </x:c>
    </x:row>
    <x:row r="199" spans="1:35" ht="15" customHeight="1">
      <x:c r="B199" s="3">
        <x:f>_xlfn.IFNA(VLOOKUP(C199,Master!$J:$K,2,0),"")</x:f>
      </x:c>
      <x:c r="D199" s="4">
        <x:f>_xlfn.IFNA(VLOOKUP(E199,Master!$J:$K,2,0),"")</x:f>
      </x:c>
      <x:c r="F199" s="4">
        <x:f>_xlfn.IFNA(VLOOKUP(G199,Master!B:C,2,0),"")</x:f>
      </x:c>
      <x:c r="I199" s="3">
        <x:f>_xlfn.IFNA(VLOOKUP(E199,Master!$J:$M,4,0),"")</x:f>
      </x:c>
      <x:c r="J199" s="3">
        <x:f>_xlfn.IFNA(VLOOKUP($E199,Master!$J:$M,3,0),"")</x:f>
      </x:c>
      <x:c r="AC199" s="26">
        <x:f>SUM(K199:P199)</x:f>
      </x:c>
      <x:c r="AD199" s="26">
        <x:f>SUM(Q199:AB199)</x:f>
      </x:c>
    </x:row>
    <x:row r="200" spans="1:35" ht="15" customHeight="1">
      <x:c r="B200" s="3">
        <x:f>_xlfn.IFNA(VLOOKUP(C200,Master!$J:$K,2,0),"")</x:f>
      </x:c>
      <x:c r="D200" s="4">
        <x:f>_xlfn.IFNA(VLOOKUP(E200,Master!$J:$K,2,0),"")</x:f>
      </x:c>
      <x:c r="F200" s="4">
        <x:f>_xlfn.IFNA(VLOOKUP(G200,Master!B:C,2,0),"")</x:f>
      </x:c>
      <x:c r="I200" s="3">
        <x:f>_xlfn.IFNA(VLOOKUP(E200,Master!$J:$M,4,0),"")</x:f>
      </x:c>
      <x:c r="J200" s="3">
        <x:f>_xlfn.IFNA(VLOOKUP($E200,Master!$J:$M,3,0),"")</x:f>
      </x:c>
      <x:c r="AC200" s="26">
        <x:f>SUM(K200:P200)</x:f>
      </x:c>
      <x:c r="AD200" s="26">
        <x:f>SUM(Q200:AB200)</x:f>
      </x:c>
    </x:row>
    <x:row r="201" spans="1:35" ht="15" customHeight="1">
      <x:c r="B201" s="3">
        <x:f>_xlfn.IFNA(VLOOKUP(C201,Master!$J:$K,2,0),"")</x:f>
      </x:c>
      <x:c r="D201" s="4">
        <x:f>_xlfn.IFNA(VLOOKUP(E201,Master!$J:$K,2,0),"")</x:f>
      </x:c>
      <x:c r="F201" s="4">
        <x:f>_xlfn.IFNA(VLOOKUP(G201,Master!B:C,2,0),"")</x:f>
      </x:c>
      <x:c r="I201" s="3">
        <x:f>_xlfn.IFNA(VLOOKUP(E201,Master!$J:$M,4,0),"")</x:f>
      </x:c>
      <x:c r="J201" s="3">
        <x:f>_xlfn.IFNA(VLOOKUP($E201,Master!$J:$M,3,0),"")</x:f>
      </x:c>
      <x:c r="AC201" s="26">
        <x:f>SUM(K201:P201)</x:f>
      </x:c>
      <x:c r="AD201" s="26">
        <x:f>SUM(Q201:AB201)</x:f>
      </x:c>
    </x:row>
    <x:row r="202" spans="1:35" ht="15" customHeight="1">
      <x:c r="B202" s="3">
        <x:f>_xlfn.IFNA(VLOOKUP(C202,Master!$J:$K,2,0),"")</x:f>
      </x:c>
      <x:c r="D202" s="4">
        <x:f>_xlfn.IFNA(VLOOKUP(E202,Master!$J:$K,2,0),"")</x:f>
      </x:c>
      <x:c r="F202" s="4">
        <x:f>_xlfn.IFNA(VLOOKUP(G202,Master!B:C,2,0),"")</x:f>
      </x:c>
      <x:c r="I202" s="3">
        <x:f>_xlfn.IFNA(VLOOKUP(E202,Master!$J:$M,4,0),"")</x:f>
      </x:c>
      <x:c r="J202" s="3">
        <x:f>_xlfn.IFNA(VLOOKUP($E202,Master!$J:$M,3,0),"")</x:f>
      </x:c>
      <x:c r="AC202" s="26">
        <x:f>SUM(K202:P202)</x:f>
      </x:c>
      <x:c r="AD202" s="26">
        <x:f>SUM(Q202:AB202)</x:f>
      </x:c>
    </x:row>
    <x:row r="203" spans="1:35" ht="15" customHeight="1">
      <x:c r="B203" s="3">
        <x:f>_xlfn.IFNA(VLOOKUP(C203,Master!$J:$K,2,0),"")</x:f>
      </x:c>
      <x:c r="D203" s="4">
        <x:f>_xlfn.IFNA(VLOOKUP(E203,Master!$J:$K,2,0),"")</x:f>
      </x:c>
      <x:c r="F203" s="4">
        <x:f>_xlfn.IFNA(VLOOKUP(G203,Master!B:C,2,0),"")</x:f>
      </x:c>
      <x:c r="I203" s="3">
        <x:f>_xlfn.IFNA(VLOOKUP(E203,Master!$J:$M,4,0),"")</x:f>
      </x:c>
      <x:c r="J203" s="3">
        <x:f>_xlfn.IFNA(VLOOKUP($E203,Master!$J:$M,3,0),"")</x:f>
      </x:c>
      <x:c r="AC203" s="26">
        <x:f>SUM(K203:P203)</x:f>
      </x:c>
      <x:c r="AD203" s="26">
        <x:f>SUM(Q203:AB203)</x:f>
      </x:c>
    </x:row>
    <x:row r="204" spans="1:35" ht="15" customHeight="1">
      <x:c r="B204" s="3">
        <x:f>_xlfn.IFNA(VLOOKUP(C204,Master!$J:$K,2,0),"")</x:f>
      </x:c>
      <x:c r="D204" s="4">
        <x:f>_xlfn.IFNA(VLOOKUP(E204,Master!$J:$K,2,0),"")</x:f>
      </x:c>
      <x:c r="F204" s="4">
        <x:f>_xlfn.IFNA(VLOOKUP(G204,Master!B:C,2,0),"")</x:f>
      </x:c>
      <x:c r="I204" s="3">
        <x:f>_xlfn.IFNA(VLOOKUP(E204,Master!$J:$M,4,0),"")</x:f>
      </x:c>
      <x:c r="J204" s="3">
        <x:f>_xlfn.IFNA(VLOOKUP($E204,Master!$J:$M,3,0),"")</x:f>
      </x:c>
      <x:c r="AC204" s="26">
        <x:f>SUM(K204:P204)</x:f>
      </x:c>
      <x:c r="AD204" s="26">
        <x:f>SUM(Q204:AB204)</x:f>
      </x:c>
    </x:row>
    <x:row r="205" spans="1:35" ht="15" customHeight="1">
      <x:c r="B205" s="3">
        <x:f>_xlfn.IFNA(VLOOKUP(C205,Master!$J:$K,2,0),"")</x:f>
      </x:c>
      <x:c r="D205" s="4">
        <x:f>_xlfn.IFNA(VLOOKUP(E205,Master!$J:$K,2,0),"")</x:f>
      </x:c>
      <x:c r="F205" s="4">
        <x:f>_xlfn.IFNA(VLOOKUP(G205,Master!B:C,2,0),"")</x:f>
      </x:c>
      <x:c r="I205" s="3">
        <x:f>_xlfn.IFNA(VLOOKUP(E205,Master!$J:$M,4,0),"")</x:f>
      </x:c>
      <x:c r="J205" s="3">
        <x:f>_xlfn.IFNA(VLOOKUP($E205,Master!$J:$M,3,0),"")</x:f>
      </x:c>
      <x:c r="AC205" s="26">
        <x:f>SUM(K205:P205)</x:f>
      </x:c>
      <x:c r="AD205" s="26">
        <x:f>SUM(Q205:AB205)</x:f>
      </x:c>
    </x:row>
    <x:row r="206" spans="1:35" ht="15" customHeight="1">
      <x:c r="B206" s="3">
        <x:f>_xlfn.IFNA(VLOOKUP(C206,Master!$J:$K,2,0),"")</x:f>
      </x:c>
      <x:c r="D206" s="4">
        <x:f>_xlfn.IFNA(VLOOKUP(E206,Master!$J:$K,2,0),"")</x:f>
      </x:c>
      <x:c r="F206" s="4">
        <x:f>_xlfn.IFNA(VLOOKUP(G206,Master!B:C,2,0),"")</x:f>
      </x:c>
      <x:c r="I206" s="3">
        <x:f>_xlfn.IFNA(VLOOKUP(E206,Master!$J:$M,4,0),"")</x:f>
      </x:c>
      <x:c r="J206" s="3">
        <x:f>_xlfn.IFNA(VLOOKUP($E206,Master!$J:$M,3,0),"")</x:f>
      </x:c>
      <x:c r="AC206" s="26">
        <x:f>SUM(K206:P206)</x:f>
      </x:c>
      <x:c r="AD206" s="26">
        <x:f>SUM(Q206:AB206)</x:f>
      </x:c>
    </x:row>
    <x:row r="207" spans="1:35" ht="15" customHeight="1">
      <x:c r="B207" s="3">
        <x:f>_xlfn.IFNA(VLOOKUP(C207,Master!$J:$K,2,0),"")</x:f>
      </x:c>
      <x:c r="D207" s="4">
        <x:f>_xlfn.IFNA(VLOOKUP(E207,Master!$J:$K,2,0),"")</x:f>
      </x:c>
      <x:c r="F207" s="4">
        <x:f>_xlfn.IFNA(VLOOKUP(G207,Master!B:C,2,0),"")</x:f>
      </x:c>
      <x:c r="I207" s="3">
        <x:f>_xlfn.IFNA(VLOOKUP(E207,Master!$J:$M,4,0),"")</x:f>
      </x:c>
      <x:c r="J207" s="3">
        <x:f>_xlfn.IFNA(VLOOKUP($E207,Master!$J:$M,3,0),"")</x:f>
      </x:c>
      <x:c r="AC207" s="26">
        <x:f>SUM(K207:P207)</x:f>
      </x:c>
      <x:c r="AD207" s="26">
        <x:f>SUM(Q207:AB207)</x:f>
      </x:c>
    </x:row>
    <x:row r="208" spans="1:35" ht="15" customHeight="1">
      <x:c r="B208" s="3">
        <x:f>_xlfn.IFNA(VLOOKUP(C208,Master!$J:$K,2,0),"")</x:f>
      </x:c>
      <x:c r="D208" s="4">
        <x:f>_xlfn.IFNA(VLOOKUP(E208,Master!$J:$K,2,0),"")</x:f>
      </x:c>
      <x:c r="F208" s="4">
        <x:f>_xlfn.IFNA(VLOOKUP(G208,Master!B:C,2,0),"")</x:f>
      </x:c>
      <x:c r="I208" s="3">
        <x:f>_xlfn.IFNA(VLOOKUP(E208,Master!$J:$M,4,0),"")</x:f>
      </x:c>
      <x:c r="J208" s="3">
        <x:f>_xlfn.IFNA(VLOOKUP($E208,Master!$J:$M,3,0),"")</x:f>
      </x:c>
      <x:c r="AC208" s="26">
        <x:f>SUM(K208:P208)</x:f>
      </x:c>
      <x:c r="AD208" s="26">
        <x:f>SUM(Q208:AB208)</x:f>
      </x:c>
    </x:row>
    <x:row r="209" spans="1:35" ht="15" customHeight="1">
      <x:c r="B209" s="3">
        <x:f>_xlfn.IFNA(VLOOKUP(C209,Master!$J:$K,2,0),"")</x:f>
      </x:c>
      <x:c r="D209" s="4">
        <x:f>_xlfn.IFNA(VLOOKUP(E209,Master!$J:$K,2,0),"")</x:f>
      </x:c>
      <x:c r="F209" s="4">
        <x:f>_xlfn.IFNA(VLOOKUP(G209,Master!B:C,2,0),"")</x:f>
      </x:c>
      <x:c r="I209" s="3">
        <x:f>_xlfn.IFNA(VLOOKUP(E209,Master!$J:$M,4,0),"")</x:f>
      </x:c>
      <x:c r="J209" s="3">
        <x:f>_xlfn.IFNA(VLOOKUP($E209,Master!$J:$M,3,0),"")</x:f>
      </x:c>
      <x:c r="AC209" s="26">
        <x:f>SUM(K209:P209)</x:f>
      </x:c>
      <x:c r="AD209" s="26">
        <x:f>SUM(Q209:AB209)</x:f>
      </x:c>
    </x:row>
    <x:row r="210" spans="1:35" ht="15" customHeight="1">
      <x:c r="B210" s="3">
        <x:f>_xlfn.IFNA(VLOOKUP(C210,Master!$J:$K,2,0),"")</x:f>
      </x:c>
      <x:c r="D210" s="4">
        <x:f>_xlfn.IFNA(VLOOKUP(E210,Master!$J:$K,2,0),"")</x:f>
      </x:c>
      <x:c r="F210" s="4">
        <x:f>_xlfn.IFNA(VLOOKUP(G210,Master!B:C,2,0),"")</x:f>
      </x:c>
      <x:c r="I210" s="3">
        <x:f>_xlfn.IFNA(VLOOKUP(E210,Master!$J:$M,4,0),"")</x:f>
      </x:c>
      <x:c r="J210" s="3">
        <x:f>_xlfn.IFNA(VLOOKUP($E210,Master!$J:$M,3,0),"")</x:f>
      </x:c>
      <x:c r="AC210" s="26">
        <x:f>SUM(K210:P210)</x:f>
      </x:c>
      <x:c r="AD210" s="26">
        <x:f>SUM(Q210:AB210)</x:f>
      </x:c>
    </x:row>
    <x:row r="211" spans="1:35" ht="15" customHeight="1">
      <x:c r="B211" s="3">
        <x:f>_xlfn.IFNA(VLOOKUP(C211,Master!$J:$K,2,0),"")</x:f>
      </x:c>
      <x:c r="D211" s="4">
        <x:f>_xlfn.IFNA(VLOOKUP(E211,Master!$J:$K,2,0),"")</x:f>
      </x:c>
      <x:c r="F211" s="4">
        <x:f>_xlfn.IFNA(VLOOKUP(G211,Master!B:C,2,0),"")</x:f>
      </x:c>
      <x:c r="I211" s="3">
        <x:f>_xlfn.IFNA(VLOOKUP(E211,Master!$J:$M,4,0),"")</x:f>
      </x:c>
      <x:c r="J211" s="3">
        <x:f>_xlfn.IFNA(VLOOKUP($E211,Master!$J:$M,3,0),"")</x:f>
      </x:c>
      <x:c r="AC211" s="26">
        <x:f>SUM(K211:P211)</x:f>
      </x:c>
      <x:c r="AD211" s="26">
        <x:f>SUM(Q211:AB211)</x:f>
      </x:c>
    </x:row>
    <x:row r="212" spans="1:35" ht="15" customHeight="1">
      <x:c r="B212" s="3">
        <x:f>_xlfn.IFNA(VLOOKUP(C212,Master!$J:$K,2,0),"")</x:f>
      </x:c>
      <x:c r="D212" s="4">
        <x:f>_xlfn.IFNA(VLOOKUP(E212,Master!$J:$K,2,0),"")</x:f>
      </x:c>
      <x:c r="F212" s="4">
        <x:f>_xlfn.IFNA(VLOOKUP(G212,Master!B:C,2,0),"")</x:f>
      </x:c>
      <x:c r="I212" s="3">
        <x:f>_xlfn.IFNA(VLOOKUP(E212,Master!$J:$M,4,0),"")</x:f>
      </x:c>
      <x:c r="J212" s="3">
        <x:f>_xlfn.IFNA(VLOOKUP($E212,Master!$J:$M,3,0),"")</x:f>
      </x:c>
      <x:c r="AC212" s="26">
        <x:f>SUM(K212:P212)</x:f>
      </x:c>
      <x:c r="AD212" s="26">
        <x:f>SUM(Q212:AB212)</x:f>
      </x:c>
    </x:row>
    <x:row r="213" spans="1:35" ht="15" customHeight="1">
      <x:c r="B213" s="3">
        <x:f>_xlfn.IFNA(VLOOKUP(C213,Master!$J:$K,2,0),"")</x:f>
      </x:c>
      <x:c r="D213" s="4">
        <x:f>_xlfn.IFNA(VLOOKUP(E213,Master!$J:$K,2,0),"")</x:f>
      </x:c>
      <x:c r="F213" s="4">
        <x:f>_xlfn.IFNA(VLOOKUP(G213,Master!B:C,2,0),"")</x:f>
      </x:c>
      <x:c r="I213" s="3">
        <x:f>_xlfn.IFNA(VLOOKUP(E213,Master!$J:$M,4,0),"")</x:f>
      </x:c>
      <x:c r="J213" s="3">
        <x:f>_xlfn.IFNA(VLOOKUP($E213,Master!$J:$M,3,0),"")</x:f>
      </x:c>
      <x:c r="AC213" s="26">
        <x:f>SUM(K213:P213)</x:f>
      </x:c>
      <x:c r="AD213" s="26">
        <x:f>SUM(Q213:AB213)</x:f>
      </x:c>
    </x:row>
    <x:row r="214" spans="1:35" ht="15" customHeight="1">
      <x:c r="B214" s="3">
        <x:f>_xlfn.IFNA(VLOOKUP(C214,Master!$J:$K,2,0),"")</x:f>
      </x:c>
      <x:c r="D214" s="4">
        <x:f>_xlfn.IFNA(VLOOKUP(E214,Master!$J:$K,2,0),"")</x:f>
      </x:c>
      <x:c r="F214" s="4">
        <x:f>_xlfn.IFNA(VLOOKUP(G214,Master!B:C,2,0),"")</x:f>
      </x:c>
      <x:c r="I214" s="3">
        <x:f>_xlfn.IFNA(VLOOKUP(E214,Master!$J:$M,4,0),"")</x:f>
      </x:c>
      <x:c r="J214" s="3">
        <x:f>_xlfn.IFNA(VLOOKUP($E214,Master!$J:$M,3,0),"")</x:f>
      </x:c>
      <x:c r="AC214" s="26">
        <x:f>SUM(K214:P214)</x:f>
      </x:c>
      <x:c r="AD214" s="26">
        <x:f>SUM(Q214:AB214)</x:f>
      </x:c>
    </x:row>
    <x:row r="215" spans="1:35" ht="15" customHeight="1">
      <x:c r="B215" s="3">
        <x:f>_xlfn.IFNA(VLOOKUP(C215,Master!$J:$K,2,0),"")</x:f>
      </x:c>
      <x:c r="D215" s="4">
        <x:f>_xlfn.IFNA(VLOOKUP(E215,Master!$J:$K,2,0),"")</x:f>
      </x:c>
      <x:c r="F215" s="4">
        <x:f>_xlfn.IFNA(VLOOKUP(G215,Master!B:C,2,0),"")</x:f>
      </x:c>
      <x:c r="I215" s="3">
        <x:f>_xlfn.IFNA(VLOOKUP(E215,Master!$J:$M,4,0),"")</x:f>
      </x:c>
      <x:c r="J215" s="3">
        <x:f>_xlfn.IFNA(VLOOKUP($E215,Master!$J:$M,3,0),"")</x:f>
      </x:c>
      <x:c r="AC215" s="26">
        <x:f>SUM(K215:P215)</x:f>
      </x:c>
      <x:c r="AD215" s="26">
        <x:f>SUM(Q215:AB215)</x:f>
      </x:c>
    </x:row>
    <x:row r="216" spans="1:35" ht="15" customHeight="1">
      <x:c r="B216" s="3">
        <x:f>_xlfn.IFNA(VLOOKUP(C216,Master!$J:$K,2,0),"")</x:f>
      </x:c>
      <x:c r="D216" s="4">
        <x:f>_xlfn.IFNA(VLOOKUP(E216,Master!$J:$K,2,0),"")</x:f>
      </x:c>
      <x:c r="F216" s="4">
        <x:f>_xlfn.IFNA(VLOOKUP(G216,Master!B:C,2,0),"")</x:f>
      </x:c>
      <x:c r="I216" s="3">
        <x:f>_xlfn.IFNA(VLOOKUP(E216,Master!$J:$M,4,0),"")</x:f>
      </x:c>
      <x:c r="J216" s="3">
        <x:f>_xlfn.IFNA(VLOOKUP($E216,Master!$J:$M,3,0),"")</x:f>
      </x:c>
      <x:c r="AC216" s="26">
        <x:f>SUM(K216:P216)</x:f>
      </x:c>
      <x:c r="AD216" s="26">
        <x:f>SUM(Q216:AB216)</x:f>
      </x:c>
    </x:row>
    <x:row r="217" spans="1:35" ht="15" customHeight="1">
      <x:c r="B217" s="3">
        <x:f>_xlfn.IFNA(VLOOKUP(C217,Master!$J:$K,2,0),"")</x:f>
      </x:c>
      <x:c r="D217" s="4">
        <x:f>_xlfn.IFNA(VLOOKUP(E217,Master!$J:$K,2,0),"")</x:f>
      </x:c>
      <x:c r="F217" s="4">
        <x:f>_xlfn.IFNA(VLOOKUP(G217,Master!B:C,2,0),"")</x:f>
      </x:c>
      <x:c r="I217" s="3">
        <x:f>_xlfn.IFNA(VLOOKUP(E217,Master!$J:$M,4,0),"")</x:f>
      </x:c>
      <x:c r="J217" s="3">
        <x:f>_xlfn.IFNA(VLOOKUP($E217,Master!$J:$M,3,0),"")</x:f>
      </x:c>
      <x:c r="AC217" s="26">
        <x:f>SUM(K217:P217)</x:f>
      </x:c>
      <x:c r="AD217" s="26">
        <x:f>SUM(Q217:AB217)</x:f>
      </x:c>
    </x:row>
    <x:row r="218" spans="1:35" ht="15" customHeight="1">
      <x:c r="B218" s="3">
        <x:f>_xlfn.IFNA(VLOOKUP(C218,Master!$J:$K,2,0),"")</x:f>
      </x:c>
      <x:c r="D218" s="4">
        <x:f>_xlfn.IFNA(VLOOKUP(E218,Master!$J:$K,2,0),"")</x:f>
      </x:c>
      <x:c r="F218" s="4">
        <x:f>_xlfn.IFNA(VLOOKUP(G218,Master!B:C,2,0),"")</x:f>
      </x:c>
      <x:c r="I218" s="3">
        <x:f>_xlfn.IFNA(VLOOKUP(E218,Master!$J:$M,4,0),"")</x:f>
      </x:c>
      <x:c r="J218" s="3">
        <x:f>_xlfn.IFNA(VLOOKUP($E218,Master!$J:$M,3,0),"")</x:f>
      </x:c>
      <x:c r="AC218" s="26">
        <x:f>SUM(K218:P218)</x:f>
      </x:c>
      <x:c r="AD218" s="26">
        <x:f>SUM(Q218:AB218)</x:f>
      </x:c>
    </x:row>
    <x:row r="219" spans="1:35" ht="15" customHeight="1">
      <x:c r="B219" s="3">
        <x:f>_xlfn.IFNA(VLOOKUP(C219,Master!$J:$K,2,0),"")</x:f>
      </x:c>
      <x:c r="D219" s="4">
        <x:f>_xlfn.IFNA(VLOOKUP(E219,Master!$J:$K,2,0),"")</x:f>
      </x:c>
      <x:c r="F219" s="4">
        <x:f>_xlfn.IFNA(VLOOKUP(G219,Master!B:C,2,0),"")</x:f>
      </x:c>
      <x:c r="I219" s="3">
        <x:f>_xlfn.IFNA(VLOOKUP(E219,Master!$J:$M,4,0),"")</x:f>
      </x:c>
      <x:c r="J219" s="3">
        <x:f>_xlfn.IFNA(VLOOKUP($E219,Master!$J:$M,3,0),"")</x:f>
      </x:c>
      <x:c r="AC219" s="26">
        <x:f>SUM(K219:P219)</x:f>
      </x:c>
      <x:c r="AD219" s="26">
        <x:f>SUM(Q219:AB219)</x:f>
      </x:c>
    </x:row>
    <x:row r="220" spans="1:35" ht="15" customHeight="1">
      <x:c r="B220" s="3">
        <x:f>_xlfn.IFNA(VLOOKUP(C220,Master!$J:$K,2,0),"")</x:f>
      </x:c>
      <x:c r="D220" s="4">
        <x:f>_xlfn.IFNA(VLOOKUP(E220,Master!$J:$K,2,0),"")</x:f>
      </x:c>
      <x:c r="F220" s="4">
        <x:f>_xlfn.IFNA(VLOOKUP(G220,Master!B:C,2,0),"")</x:f>
      </x:c>
      <x:c r="I220" s="3">
        <x:f>_xlfn.IFNA(VLOOKUP(E220,Master!$J:$M,4,0),"")</x:f>
      </x:c>
      <x:c r="J220" s="3">
        <x:f>_xlfn.IFNA(VLOOKUP($E220,Master!$J:$M,3,0),"")</x:f>
      </x:c>
      <x:c r="AC220" s="26">
        <x:f>SUM(K220:P220)</x:f>
      </x:c>
      <x:c r="AD220" s="26">
        <x:f>SUM(Q220:AB220)</x:f>
      </x:c>
    </x:row>
    <x:row r="221" spans="1:35" ht="15" customHeight="1">
      <x:c r="B221" s="3">
        <x:f>_xlfn.IFNA(VLOOKUP(C221,Master!$J:$K,2,0),"")</x:f>
      </x:c>
      <x:c r="D221" s="4">
        <x:f>_xlfn.IFNA(VLOOKUP(E221,Master!$J:$K,2,0),"")</x:f>
      </x:c>
      <x:c r="F221" s="4">
        <x:f>_xlfn.IFNA(VLOOKUP(G221,Master!B:C,2,0),"")</x:f>
      </x:c>
      <x:c r="I221" s="3">
        <x:f>_xlfn.IFNA(VLOOKUP(E221,Master!$J:$M,4,0),"")</x:f>
      </x:c>
      <x:c r="J221" s="3">
        <x:f>_xlfn.IFNA(VLOOKUP($E221,Master!$J:$M,3,0),"")</x:f>
      </x:c>
      <x:c r="AC221" s="26">
        <x:f>SUM(K221:P221)</x:f>
      </x:c>
      <x:c r="AD221" s="26">
        <x:f>SUM(Q221:AB221)</x:f>
      </x:c>
    </x:row>
    <x:row r="222" spans="1:35" ht="15" customHeight="1">
      <x:c r="B222" s="3">
        <x:f>_xlfn.IFNA(VLOOKUP(C222,Master!$J:$K,2,0),"")</x:f>
      </x:c>
      <x:c r="D222" s="4">
        <x:f>_xlfn.IFNA(VLOOKUP(E222,Master!$J:$K,2,0),"")</x:f>
      </x:c>
      <x:c r="F222" s="4">
        <x:f>_xlfn.IFNA(VLOOKUP(G222,Master!B:C,2,0),"")</x:f>
      </x:c>
      <x:c r="I222" s="3">
        <x:f>_xlfn.IFNA(VLOOKUP(E222,Master!$J:$M,4,0),"")</x:f>
      </x:c>
      <x:c r="J222" s="3">
        <x:f>_xlfn.IFNA(VLOOKUP($E222,Master!$J:$M,3,0),"")</x:f>
      </x:c>
      <x:c r="AC222" s="26">
        <x:f>SUM(K222:P222)</x:f>
      </x:c>
      <x:c r="AD222" s="26">
        <x:f>SUM(Q222:AB222)</x:f>
      </x:c>
    </x:row>
    <x:row r="223" spans="1:35" ht="15" customHeight="1">
      <x:c r="B223" s="3">
        <x:f>_xlfn.IFNA(VLOOKUP(C223,Master!$J:$K,2,0),"")</x:f>
      </x:c>
      <x:c r="D223" s="4">
        <x:f>_xlfn.IFNA(VLOOKUP(E223,Master!$J:$K,2,0),"")</x:f>
      </x:c>
      <x:c r="F223" s="4">
        <x:f>_xlfn.IFNA(VLOOKUP(G223,Master!B:C,2,0),"")</x:f>
      </x:c>
      <x:c r="I223" s="3">
        <x:f>_xlfn.IFNA(VLOOKUP(E223,Master!$J:$M,4,0),"")</x:f>
      </x:c>
      <x:c r="J223" s="3">
        <x:f>_xlfn.IFNA(VLOOKUP($E223,Master!$J:$M,3,0),"")</x:f>
      </x:c>
      <x:c r="AC223" s="26">
        <x:f>SUM(K223:P223)</x:f>
      </x:c>
      <x:c r="AD223" s="26">
        <x:f>SUM(Q223:AB223)</x:f>
      </x:c>
    </x:row>
    <x:row r="224" spans="1:35" ht="15" customHeight="1">
      <x:c r="B224" s="3">
        <x:f>_xlfn.IFNA(VLOOKUP(C224,Master!$J:$K,2,0),"")</x:f>
      </x:c>
      <x:c r="D224" s="4">
        <x:f>_xlfn.IFNA(VLOOKUP(E224,Master!$J:$K,2,0),"")</x:f>
      </x:c>
      <x:c r="F224" s="4">
        <x:f>_xlfn.IFNA(VLOOKUP(G224,Master!B:C,2,0),"")</x:f>
      </x:c>
      <x:c r="I224" s="3">
        <x:f>_xlfn.IFNA(VLOOKUP(E224,Master!$J:$M,4,0),"")</x:f>
      </x:c>
      <x:c r="J224" s="3">
        <x:f>_xlfn.IFNA(VLOOKUP($E224,Master!$J:$M,3,0),"")</x:f>
      </x:c>
      <x:c r="AC224" s="26">
        <x:f>SUM(K224:P224)</x:f>
      </x:c>
      <x:c r="AD224" s="26">
        <x:f>SUM(Q224:AB224)</x:f>
      </x:c>
    </x:row>
    <x:row r="225" spans="1:35" ht="15" customHeight="1">
      <x:c r="B225" s="3">
        <x:f>_xlfn.IFNA(VLOOKUP(C225,Master!$J:$K,2,0),"")</x:f>
      </x:c>
      <x:c r="D225" s="4">
        <x:f>_xlfn.IFNA(VLOOKUP(E225,Master!$J:$K,2,0),"")</x:f>
      </x:c>
      <x:c r="F225" s="4">
        <x:f>_xlfn.IFNA(VLOOKUP(G225,Master!B:C,2,0),"")</x:f>
      </x:c>
      <x:c r="I225" s="3">
        <x:f>_xlfn.IFNA(VLOOKUP(E225,Master!$J:$M,4,0),"")</x:f>
      </x:c>
      <x:c r="J225" s="3">
        <x:f>_xlfn.IFNA(VLOOKUP($E225,Master!$J:$M,3,0),"")</x:f>
      </x:c>
      <x:c r="AC225" s="26">
        <x:f>SUM(K225:P225)</x:f>
      </x:c>
      <x:c r="AD225" s="26">
        <x:f>SUM(Q225:AB225)</x:f>
      </x:c>
    </x:row>
    <x:row r="226" spans="1:35" ht="15" customHeight="1">
      <x:c r="B226" s="3">
        <x:f>_xlfn.IFNA(VLOOKUP(C226,Master!$J:$K,2,0),"")</x:f>
      </x:c>
      <x:c r="D226" s="4">
        <x:f>_xlfn.IFNA(VLOOKUP(E226,Master!$J:$K,2,0),"")</x:f>
      </x:c>
      <x:c r="F226" s="4">
        <x:f>_xlfn.IFNA(VLOOKUP(G226,Master!B:C,2,0),"")</x:f>
      </x:c>
      <x:c r="I226" s="3">
        <x:f>_xlfn.IFNA(VLOOKUP(E226,Master!$J:$M,4,0),"")</x:f>
      </x:c>
      <x:c r="J226" s="3">
        <x:f>_xlfn.IFNA(VLOOKUP($E226,Master!$J:$M,3,0),"")</x:f>
      </x:c>
      <x:c r="AC226" s="26">
        <x:f>SUM(K226:P226)</x:f>
      </x:c>
      <x:c r="AD226" s="26">
        <x:f>SUM(Q226:AB226)</x:f>
      </x:c>
    </x:row>
    <x:row r="227" spans="1:35" ht="15" customHeight="1">
      <x:c r="B227" s="3">
        <x:f>_xlfn.IFNA(VLOOKUP(C227,Master!$J:$K,2,0),"")</x:f>
      </x:c>
      <x:c r="D227" s="4">
        <x:f>_xlfn.IFNA(VLOOKUP(E227,Master!$J:$K,2,0),"")</x:f>
      </x:c>
      <x:c r="F227" s="4">
        <x:f>_xlfn.IFNA(VLOOKUP(G227,Master!B:C,2,0),"")</x:f>
      </x:c>
      <x:c r="I227" s="3">
        <x:f>_xlfn.IFNA(VLOOKUP(E227,Master!$J:$M,4,0),"")</x:f>
      </x:c>
      <x:c r="J227" s="3">
        <x:f>_xlfn.IFNA(VLOOKUP($E227,Master!$J:$M,3,0),"")</x:f>
      </x:c>
      <x:c r="AC227" s="26">
        <x:f>SUM(K227:P227)</x:f>
      </x:c>
      <x:c r="AD227" s="26">
        <x:f>SUM(Q227:AB227)</x:f>
      </x:c>
    </x:row>
    <x:row r="228" spans="1:35" ht="15" customHeight="1">
      <x:c r="B228" s="3">
        <x:f>_xlfn.IFNA(VLOOKUP(C228,Master!$J:$K,2,0),"")</x:f>
      </x:c>
      <x:c r="D228" s="4">
        <x:f>_xlfn.IFNA(VLOOKUP(E228,Master!$J:$K,2,0),"")</x:f>
      </x:c>
      <x:c r="F228" s="4">
        <x:f>_xlfn.IFNA(VLOOKUP(G228,Master!B:C,2,0),"")</x:f>
      </x:c>
      <x:c r="I228" s="3">
        <x:f>_xlfn.IFNA(VLOOKUP(E228,Master!$J:$M,4,0),"")</x:f>
      </x:c>
      <x:c r="J228" s="3">
        <x:f>_xlfn.IFNA(VLOOKUP($E228,Master!$J:$M,3,0),"")</x:f>
      </x:c>
      <x:c r="AC228" s="26">
        <x:f>SUM(K228:P228)</x:f>
      </x:c>
      <x:c r="AD228" s="26">
        <x:f>SUM(Q228:AB228)</x:f>
      </x:c>
    </x:row>
    <x:row r="229" spans="1:35" ht="15" customHeight="1">
      <x:c r="B229" s="3">
        <x:f>_xlfn.IFNA(VLOOKUP(C229,Master!$J:$K,2,0),"")</x:f>
      </x:c>
      <x:c r="D229" s="4">
        <x:f>_xlfn.IFNA(VLOOKUP(E229,Master!$J:$K,2,0),"")</x:f>
      </x:c>
      <x:c r="F229" s="4">
        <x:f>_xlfn.IFNA(VLOOKUP(G229,Master!B:C,2,0),"")</x:f>
      </x:c>
      <x:c r="I229" s="3">
        <x:f>_xlfn.IFNA(VLOOKUP(E229,Master!$J:$M,4,0),"")</x:f>
      </x:c>
      <x:c r="J229" s="3">
        <x:f>_xlfn.IFNA(VLOOKUP($E229,Master!$J:$M,3,0),"")</x:f>
      </x:c>
      <x:c r="AC229" s="26">
        <x:f>SUM(K229:P229)</x:f>
      </x:c>
      <x:c r="AD229" s="26">
        <x:f>SUM(Q229:AB229)</x:f>
      </x:c>
    </x:row>
    <x:row r="230" spans="1:35" ht="15" customHeight="1">
      <x:c r="B230" s="3">
        <x:f>_xlfn.IFNA(VLOOKUP(C230,Master!$J:$K,2,0),"")</x:f>
      </x:c>
      <x:c r="D230" s="4">
        <x:f>_xlfn.IFNA(VLOOKUP(E230,Master!$J:$K,2,0),"")</x:f>
      </x:c>
      <x:c r="F230" s="4">
        <x:f>_xlfn.IFNA(VLOOKUP(G230,Master!B:C,2,0),"")</x:f>
      </x:c>
      <x:c r="I230" s="3">
        <x:f>_xlfn.IFNA(VLOOKUP(E230,Master!$J:$M,4,0),"")</x:f>
      </x:c>
      <x:c r="J230" s="3">
        <x:f>_xlfn.IFNA(VLOOKUP($E230,Master!$J:$M,3,0),"")</x:f>
      </x:c>
      <x:c r="AC230" s="26">
        <x:f>SUM(K230:P230)</x:f>
      </x:c>
      <x:c r="AD230" s="26">
        <x:f>SUM(Q230:AB230)</x:f>
      </x:c>
    </x:row>
    <x:row r="231" spans="1:35" ht="15" customHeight="1">
      <x:c r="B231" s="3">
        <x:f>_xlfn.IFNA(VLOOKUP(C231,Master!$J:$K,2,0),"")</x:f>
      </x:c>
      <x:c r="D231" s="4">
        <x:f>_xlfn.IFNA(VLOOKUP(E231,Master!$J:$K,2,0),"")</x:f>
      </x:c>
      <x:c r="F231" s="4">
        <x:f>_xlfn.IFNA(VLOOKUP(G231,Master!B:C,2,0),"")</x:f>
      </x:c>
      <x:c r="I231" s="3">
        <x:f>_xlfn.IFNA(VLOOKUP(E231,Master!$J:$M,4,0),"")</x:f>
      </x:c>
      <x:c r="J231" s="3">
        <x:f>_xlfn.IFNA(VLOOKUP($E231,Master!$J:$M,3,0),"")</x:f>
      </x:c>
      <x:c r="AC231" s="26">
        <x:f>SUM(K231:P231)</x:f>
      </x:c>
      <x:c r="AD231" s="26">
        <x:f>SUM(Q231:AB231)</x:f>
      </x:c>
    </x:row>
    <x:row r="232" spans="1:35" ht="15" customHeight="1">
      <x:c r="B232" s="3">
        <x:f>_xlfn.IFNA(VLOOKUP(C232,Master!$J:$K,2,0),"")</x:f>
      </x:c>
      <x:c r="D232" s="4">
        <x:f>_xlfn.IFNA(VLOOKUP(E232,Master!$J:$K,2,0),"")</x:f>
      </x:c>
      <x:c r="F232" s="4">
        <x:f>_xlfn.IFNA(VLOOKUP(G232,Master!B:C,2,0),"")</x:f>
      </x:c>
      <x:c r="I232" s="3">
        <x:f>_xlfn.IFNA(VLOOKUP(E232,Master!$J:$M,4,0),"")</x:f>
      </x:c>
      <x:c r="J232" s="3">
        <x:f>_xlfn.IFNA(VLOOKUP($E232,Master!$J:$M,3,0),"")</x:f>
      </x:c>
      <x:c r="AC232" s="26">
        <x:f>SUM(K232:P232)</x:f>
      </x:c>
      <x:c r="AD232" s="26">
        <x:f>SUM(Q232:AB232)</x:f>
      </x:c>
    </x:row>
    <x:row r="233" spans="1:35" ht="15" customHeight="1">
      <x:c r="B233" s="3">
        <x:f>_xlfn.IFNA(VLOOKUP(C233,Master!$J:$K,2,0),"")</x:f>
      </x:c>
      <x:c r="D233" s="4">
        <x:f>_xlfn.IFNA(VLOOKUP(E233,Master!$J:$K,2,0),"")</x:f>
      </x:c>
      <x:c r="F233" s="4">
        <x:f>_xlfn.IFNA(VLOOKUP(G233,Master!B:C,2,0),"")</x:f>
      </x:c>
      <x:c r="I233" s="3">
        <x:f>_xlfn.IFNA(VLOOKUP(E233,Master!$J:$M,4,0),"")</x:f>
      </x:c>
      <x:c r="J233" s="3">
        <x:f>_xlfn.IFNA(VLOOKUP($E233,Master!$J:$M,3,0),"")</x:f>
      </x:c>
      <x:c r="AC233" s="26">
        <x:f>SUM(K233:P233)</x:f>
      </x:c>
      <x:c r="AD233" s="26">
        <x:f>SUM(Q233:AB233)</x:f>
      </x:c>
    </x:row>
    <x:row r="234" spans="1:35" ht="15" customHeight="1">
      <x:c r="B234" s="3">
        <x:f>_xlfn.IFNA(VLOOKUP(C234,Master!$J:$K,2,0),"")</x:f>
      </x:c>
      <x:c r="D234" s="4">
        <x:f>_xlfn.IFNA(VLOOKUP(E234,Master!$J:$K,2,0),"")</x:f>
      </x:c>
      <x:c r="F234" s="4">
        <x:f>_xlfn.IFNA(VLOOKUP(G234,Master!B:C,2,0),"")</x:f>
      </x:c>
      <x:c r="I234" s="3">
        <x:f>_xlfn.IFNA(VLOOKUP(E234,Master!$J:$M,4,0),"")</x:f>
      </x:c>
      <x:c r="J234" s="3">
        <x:f>_xlfn.IFNA(VLOOKUP($E234,Master!$J:$M,3,0),"")</x:f>
      </x:c>
      <x:c r="AC234" s="26">
        <x:f>SUM(K234:P234)</x:f>
      </x:c>
      <x:c r="AD234" s="26">
        <x:f>SUM(Q234:AB234)</x:f>
      </x:c>
    </x:row>
    <x:row r="235" spans="1:35" ht="15" customHeight="1">
      <x:c r="B235" s="3">
        <x:f>_xlfn.IFNA(VLOOKUP(C235,Master!$J:$K,2,0),"")</x:f>
      </x:c>
      <x:c r="D235" s="4">
        <x:f>_xlfn.IFNA(VLOOKUP(E235,Master!$J:$K,2,0),"")</x:f>
      </x:c>
      <x:c r="F235" s="4">
        <x:f>_xlfn.IFNA(VLOOKUP(G235,Master!B:C,2,0),"")</x:f>
      </x:c>
      <x:c r="I235" s="3">
        <x:f>_xlfn.IFNA(VLOOKUP(E235,Master!$J:$M,4,0),"")</x:f>
      </x:c>
      <x:c r="J235" s="3">
        <x:f>_xlfn.IFNA(VLOOKUP($E235,Master!$J:$M,3,0),"")</x:f>
      </x:c>
      <x:c r="AC235" s="26">
        <x:f>SUM(K235:P235)</x:f>
      </x:c>
      <x:c r="AD235" s="26">
        <x:f>SUM(Q235:AB235)</x:f>
      </x:c>
    </x:row>
    <x:row r="236" spans="1:35" ht="15" customHeight="1">
      <x:c r="B236" s="3">
        <x:f>_xlfn.IFNA(VLOOKUP(C236,Master!$J:$K,2,0),"")</x:f>
      </x:c>
      <x:c r="D236" s="4">
        <x:f>_xlfn.IFNA(VLOOKUP(E236,Master!$J:$K,2,0),"")</x:f>
      </x:c>
      <x:c r="F236" s="4">
        <x:f>_xlfn.IFNA(VLOOKUP(G236,Master!B:C,2,0),"")</x:f>
      </x:c>
      <x:c r="I236" s="3">
        <x:f>_xlfn.IFNA(VLOOKUP(E236,Master!$J:$M,4,0),"")</x:f>
      </x:c>
      <x:c r="J236" s="3">
        <x:f>_xlfn.IFNA(VLOOKUP($E236,Master!$J:$M,3,0),"")</x:f>
      </x:c>
      <x:c r="AC236" s="26">
        <x:f>SUM(K236:P236)</x:f>
      </x:c>
      <x:c r="AD236" s="26">
        <x:f>SUM(Q236:AB236)</x:f>
      </x:c>
    </x:row>
    <x:row r="237" spans="1:35" ht="15" customHeight="1">
      <x:c r="B237" s="3">
        <x:f>_xlfn.IFNA(VLOOKUP(C237,Master!$J:$K,2,0),"")</x:f>
      </x:c>
      <x:c r="D237" s="4">
        <x:f>_xlfn.IFNA(VLOOKUP(E237,Master!$J:$K,2,0),"")</x:f>
      </x:c>
      <x:c r="F237" s="4">
        <x:f>_xlfn.IFNA(VLOOKUP(G237,Master!B:C,2,0),"")</x:f>
      </x:c>
      <x:c r="I237" s="3">
        <x:f>_xlfn.IFNA(VLOOKUP(E237,Master!$J:$M,4,0),"")</x:f>
      </x:c>
      <x:c r="J237" s="3">
        <x:f>_xlfn.IFNA(VLOOKUP($E237,Master!$J:$M,3,0),"")</x:f>
      </x:c>
      <x:c r="AC237" s="26">
        <x:f>SUM(K237:P237)</x:f>
      </x:c>
      <x:c r="AD237" s="26">
        <x:f>SUM(Q237:AB237)</x:f>
      </x:c>
    </x:row>
    <x:row r="238" spans="1:35" ht="15" customHeight="1">
      <x:c r="B238" s="3">
        <x:f>_xlfn.IFNA(VLOOKUP(C238,Master!$J:$K,2,0),"")</x:f>
      </x:c>
      <x:c r="D238" s="4">
        <x:f>_xlfn.IFNA(VLOOKUP(E238,Master!$J:$K,2,0),"")</x:f>
      </x:c>
      <x:c r="F238" s="4">
        <x:f>_xlfn.IFNA(VLOOKUP(G238,Master!B:C,2,0),"")</x:f>
      </x:c>
      <x:c r="I238" s="3">
        <x:f>_xlfn.IFNA(VLOOKUP(E238,Master!$J:$M,4,0),"")</x:f>
      </x:c>
      <x:c r="J238" s="3">
        <x:f>_xlfn.IFNA(VLOOKUP($E238,Master!$J:$M,3,0),"")</x:f>
      </x:c>
      <x:c r="AC238" s="26">
        <x:f>SUM(K238:P238)</x:f>
      </x:c>
      <x:c r="AD238" s="26">
        <x:f>SUM(Q238:AB238)</x:f>
      </x:c>
    </x:row>
    <x:row r="239" spans="1:35" ht="15" customHeight="1">
      <x:c r="B239" s="3">
        <x:f>_xlfn.IFNA(VLOOKUP(C239,Master!$J:$K,2,0),"")</x:f>
      </x:c>
      <x:c r="D239" s="4">
        <x:f>_xlfn.IFNA(VLOOKUP(E239,Master!$J:$K,2,0),"")</x:f>
      </x:c>
      <x:c r="F239" s="4">
        <x:f>_xlfn.IFNA(VLOOKUP(G239,Master!B:C,2,0),"")</x:f>
      </x:c>
      <x:c r="I239" s="3">
        <x:f>_xlfn.IFNA(VLOOKUP(E239,Master!$J:$M,4,0),"")</x:f>
      </x:c>
      <x:c r="J239" s="3">
        <x:f>_xlfn.IFNA(VLOOKUP($E239,Master!$J:$M,3,0),"")</x:f>
      </x:c>
      <x:c r="AC239" s="26">
        <x:f>SUM(K239:P239)</x:f>
      </x:c>
      <x:c r="AD239" s="26">
        <x:f>SUM(Q239:AB239)</x:f>
      </x:c>
    </x:row>
    <x:row r="240" spans="1:35" ht="15" customHeight="1">
      <x:c r="B240" s="3">
        <x:f>_xlfn.IFNA(VLOOKUP(C240,Master!$J:$K,2,0),"")</x:f>
      </x:c>
      <x:c r="D240" s="4">
        <x:f>_xlfn.IFNA(VLOOKUP(E240,Master!$J:$K,2,0),"")</x:f>
      </x:c>
      <x:c r="F240" s="4">
        <x:f>_xlfn.IFNA(VLOOKUP(G240,Master!B:C,2,0),"")</x:f>
      </x:c>
      <x:c r="I240" s="3">
        <x:f>_xlfn.IFNA(VLOOKUP(E240,Master!$J:$M,4,0),"")</x:f>
      </x:c>
      <x:c r="J240" s="3">
        <x:f>_xlfn.IFNA(VLOOKUP($E240,Master!$J:$M,3,0),"")</x:f>
      </x:c>
      <x:c r="AC240" s="26">
        <x:f>SUM(K240:P240)</x:f>
      </x:c>
      <x:c r="AD240" s="26">
        <x:f>SUM(Q240:AB240)</x:f>
      </x:c>
    </x:row>
    <x:row r="241" spans="1:35" ht="15" customHeight="1">
      <x:c r="B241" s="3">
        <x:f>_xlfn.IFNA(VLOOKUP(C241,Master!$J:$K,2,0),"")</x:f>
      </x:c>
      <x:c r="D241" s="4">
        <x:f>_xlfn.IFNA(VLOOKUP(E241,Master!$J:$K,2,0),"")</x:f>
      </x:c>
      <x:c r="F241" s="4">
        <x:f>_xlfn.IFNA(VLOOKUP(G241,Master!B:C,2,0),"")</x:f>
      </x:c>
      <x:c r="I241" s="3">
        <x:f>_xlfn.IFNA(VLOOKUP(E241,Master!$J:$M,4,0),"")</x:f>
      </x:c>
      <x:c r="J241" s="3">
        <x:f>_xlfn.IFNA(VLOOKUP($E241,Master!$J:$M,3,0),"")</x:f>
      </x:c>
      <x:c r="AC241" s="26">
        <x:f>SUM(K241:P241)</x:f>
      </x:c>
      <x:c r="AD241" s="26">
        <x:f>SUM(Q241:AB241)</x:f>
      </x:c>
    </x:row>
    <x:row r="242" spans="1:35" ht="15" customHeight="1">
      <x:c r="B242" s="3">
        <x:f>_xlfn.IFNA(VLOOKUP(C242,Master!$J:$K,2,0),"")</x:f>
      </x:c>
      <x:c r="D242" s="4">
        <x:f>_xlfn.IFNA(VLOOKUP(E242,Master!$J:$K,2,0),"")</x:f>
      </x:c>
      <x:c r="F242" s="4">
        <x:f>_xlfn.IFNA(VLOOKUP(G242,Master!B:C,2,0),"")</x:f>
      </x:c>
      <x:c r="I242" s="3">
        <x:f>_xlfn.IFNA(VLOOKUP(E242,Master!$J:$M,4,0),"")</x:f>
      </x:c>
      <x:c r="J242" s="3">
        <x:f>_xlfn.IFNA(VLOOKUP($E242,Master!$J:$M,3,0),"")</x:f>
      </x:c>
      <x:c r="AC242" s="26">
        <x:f>SUM(K242:P242)</x:f>
      </x:c>
      <x:c r="AD242" s="26">
        <x:f>SUM(Q242:AB242)</x:f>
      </x:c>
    </x:row>
    <x:row r="243" spans="1:35" ht="15" customHeight="1">
      <x:c r="B243" s="3">
        <x:f>_xlfn.IFNA(VLOOKUP(C243,Master!$J:$K,2,0),"")</x:f>
      </x:c>
      <x:c r="D243" s="4">
        <x:f>_xlfn.IFNA(VLOOKUP(E243,Master!$J:$K,2,0),"")</x:f>
      </x:c>
      <x:c r="F243" s="4">
        <x:f>_xlfn.IFNA(VLOOKUP(G243,Master!B:C,2,0),"")</x:f>
      </x:c>
      <x:c r="I243" s="3">
        <x:f>_xlfn.IFNA(VLOOKUP(E243,Master!$J:$M,4,0),"")</x:f>
      </x:c>
      <x:c r="J243" s="3">
        <x:f>_xlfn.IFNA(VLOOKUP($E243,Master!$J:$M,3,0),"")</x:f>
      </x:c>
      <x:c r="AC243" s="26">
        <x:f>SUM(K243:P243)</x:f>
      </x:c>
      <x:c r="AD243" s="26">
        <x:f>SUM(Q243:AB243)</x:f>
      </x:c>
    </x:row>
    <x:row r="244" spans="1:35" ht="15" customHeight="1">
      <x:c r="B244" s="3">
        <x:f>_xlfn.IFNA(VLOOKUP(C244,Master!$J:$K,2,0),"")</x:f>
      </x:c>
      <x:c r="D244" s="4">
        <x:f>_xlfn.IFNA(VLOOKUP(E244,Master!$J:$K,2,0),"")</x:f>
      </x:c>
      <x:c r="F244" s="4">
        <x:f>_xlfn.IFNA(VLOOKUP(G244,Master!B:C,2,0),"")</x:f>
      </x:c>
      <x:c r="I244" s="3">
        <x:f>_xlfn.IFNA(VLOOKUP(E244,Master!$J:$M,4,0),"")</x:f>
      </x:c>
      <x:c r="J244" s="3">
        <x:f>_xlfn.IFNA(VLOOKUP($E244,Master!$J:$M,3,0),"")</x:f>
      </x:c>
      <x:c r="AC244" s="26">
        <x:f>SUM(K244:P244)</x:f>
      </x:c>
      <x:c r="AD244" s="26">
        <x:f>SUM(Q244:AB244)</x:f>
      </x:c>
    </x:row>
    <x:row r="245" spans="1:35" ht="15" customHeight="1">
      <x:c r="B245" s="3">
        <x:f>_xlfn.IFNA(VLOOKUP(C245,Master!$J:$K,2,0),"")</x:f>
      </x:c>
      <x:c r="D245" s="4">
        <x:f>_xlfn.IFNA(VLOOKUP(E245,Master!$J:$K,2,0),"")</x:f>
      </x:c>
      <x:c r="F245" s="4">
        <x:f>_xlfn.IFNA(VLOOKUP(G245,Master!B:C,2,0),"")</x:f>
      </x:c>
      <x:c r="I245" s="3">
        <x:f>_xlfn.IFNA(VLOOKUP(E245,Master!$J:$M,4,0),"")</x:f>
      </x:c>
      <x:c r="J245" s="3">
        <x:f>_xlfn.IFNA(VLOOKUP($E245,Master!$J:$M,3,0),"")</x:f>
      </x:c>
      <x:c r="AC245" s="26">
        <x:f>SUM(K245:P245)</x:f>
      </x:c>
      <x:c r="AD245" s="26">
        <x:f>SUM(Q245:AB245)</x:f>
      </x:c>
    </x:row>
    <x:row r="246" spans="1:35" ht="15" customHeight="1">
      <x:c r="B246" s="3">
        <x:f>_xlfn.IFNA(VLOOKUP(C246,Master!$J:$K,2,0),"")</x:f>
      </x:c>
      <x:c r="D246" s="4">
        <x:f>_xlfn.IFNA(VLOOKUP(E246,Master!$J:$K,2,0),"")</x:f>
      </x:c>
      <x:c r="F246" s="4">
        <x:f>_xlfn.IFNA(VLOOKUP(G246,Master!B:C,2,0),"")</x:f>
      </x:c>
      <x:c r="I246" s="3">
        <x:f>_xlfn.IFNA(VLOOKUP(E246,Master!$J:$M,4,0),"")</x:f>
      </x:c>
      <x:c r="J246" s="3">
        <x:f>_xlfn.IFNA(VLOOKUP($E246,Master!$J:$M,3,0),"")</x:f>
      </x:c>
      <x:c r="AC246" s="26">
        <x:f>SUM(K246:P246)</x:f>
      </x:c>
      <x:c r="AD246" s="26">
        <x:f>SUM(Q246:AB246)</x:f>
      </x:c>
    </x:row>
    <x:row r="247" spans="1:35" ht="15" customHeight="1">
      <x:c r="B247" s="3">
        <x:f>_xlfn.IFNA(VLOOKUP(C247,Master!$J:$K,2,0),"")</x:f>
      </x:c>
      <x:c r="D247" s="4">
        <x:f>_xlfn.IFNA(VLOOKUP(E247,Master!$J:$K,2,0),"")</x:f>
      </x:c>
      <x:c r="F247" s="4">
        <x:f>_xlfn.IFNA(VLOOKUP(G247,Master!B:C,2,0),"")</x:f>
      </x:c>
      <x:c r="I247" s="3">
        <x:f>_xlfn.IFNA(VLOOKUP(E247,Master!$J:$M,4,0),"")</x:f>
      </x:c>
      <x:c r="J247" s="3">
        <x:f>_xlfn.IFNA(VLOOKUP($E247,Master!$J:$M,3,0),"")</x:f>
      </x:c>
      <x:c r="AC247" s="26">
        <x:f>SUM(K247:P247)</x:f>
      </x:c>
      <x:c r="AD247" s="26">
        <x:f>SUM(Q247:AB247)</x:f>
      </x:c>
    </x:row>
    <x:row r="248" spans="1:35" ht="15" customHeight="1">
      <x:c r="B248" s="3">
        <x:f>_xlfn.IFNA(VLOOKUP(C248,Master!$J:$K,2,0),"")</x:f>
      </x:c>
      <x:c r="D248" s="4">
        <x:f>_xlfn.IFNA(VLOOKUP(E248,Master!$J:$K,2,0),"")</x:f>
      </x:c>
      <x:c r="F248" s="4">
        <x:f>_xlfn.IFNA(VLOOKUP(G248,Master!B:C,2,0),"")</x:f>
      </x:c>
      <x:c r="I248" s="3">
        <x:f>_xlfn.IFNA(VLOOKUP(E248,Master!$J:$M,4,0),"")</x:f>
      </x:c>
      <x:c r="J248" s="3">
        <x:f>_xlfn.IFNA(VLOOKUP($E248,Master!$J:$M,3,0),"")</x:f>
      </x:c>
      <x:c r="AC248" s="26">
        <x:f>SUM(K248:P248)</x:f>
      </x:c>
      <x:c r="AD248" s="26">
        <x:f>SUM(Q248:AB248)</x:f>
      </x:c>
    </x:row>
    <x:row r="249" spans="1:35" ht="15" customHeight="1">
      <x:c r="B249" s="3">
        <x:f>_xlfn.IFNA(VLOOKUP(C249,Master!$J:$K,2,0),"")</x:f>
      </x:c>
      <x:c r="D249" s="4">
        <x:f>_xlfn.IFNA(VLOOKUP(E249,Master!$J:$K,2,0),"")</x:f>
      </x:c>
      <x:c r="F249" s="4">
        <x:f>_xlfn.IFNA(VLOOKUP(G249,Master!B:C,2,0),"")</x:f>
      </x:c>
      <x:c r="I249" s="3">
        <x:f>_xlfn.IFNA(VLOOKUP(E249,Master!$J:$M,4,0),"")</x:f>
      </x:c>
      <x:c r="J249" s="3">
        <x:f>_xlfn.IFNA(VLOOKUP($E249,Master!$J:$M,3,0),"")</x:f>
      </x:c>
      <x:c r="AC249" s="26">
        <x:f>SUM(K249:P249)</x:f>
      </x:c>
      <x:c r="AD249" s="26">
        <x:f>SUM(Q249:AB249)</x:f>
      </x:c>
    </x:row>
    <x:row r="250" spans="1:35" ht="15" customHeight="1">
      <x:c r="B250" s="3">
        <x:f>_xlfn.IFNA(VLOOKUP(C250,Master!$J:$K,2,0),"")</x:f>
      </x:c>
      <x:c r="D250" s="4">
        <x:f>_xlfn.IFNA(VLOOKUP(E250,Master!$J:$K,2,0),"")</x:f>
      </x:c>
      <x:c r="F250" s="4">
        <x:f>_xlfn.IFNA(VLOOKUP(G250,Master!B:C,2,0),"")</x:f>
      </x:c>
      <x:c r="I250" s="3">
        <x:f>_xlfn.IFNA(VLOOKUP(E250,Master!$J:$M,4,0),"")</x:f>
      </x:c>
      <x:c r="J250" s="3">
        <x:f>_xlfn.IFNA(VLOOKUP($E250,Master!$J:$M,3,0),"")</x:f>
      </x:c>
      <x:c r="AC250" s="26">
        <x:f>SUM(K250:P250)</x:f>
      </x:c>
      <x:c r="AD250" s="26">
        <x:f>SUM(Q250:AB250)</x:f>
      </x:c>
    </x:row>
    <x:row r="251" spans="1:35" ht="15" customHeight="1">
      <x:c r="B251" s="3">
        <x:f>_xlfn.IFNA(VLOOKUP(C251,Master!$J:$K,2,0),"")</x:f>
      </x:c>
      <x:c r="D251" s="4">
        <x:f>_xlfn.IFNA(VLOOKUP(E251,Master!$J:$K,2,0),"")</x:f>
      </x:c>
      <x:c r="F251" s="4">
        <x:f>_xlfn.IFNA(VLOOKUP(G251,Master!B:C,2,0),"")</x:f>
      </x:c>
      <x:c r="I251" s="3">
        <x:f>_xlfn.IFNA(VLOOKUP(E251,Master!$J:$M,4,0),"")</x:f>
      </x:c>
      <x:c r="J251" s="3">
        <x:f>_xlfn.IFNA(VLOOKUP($E251,Master!$J:$M,3,0),"")</x:f>
      </x:c>
      <x:c r="AC251" s="26">
        <x:f>SUM(K251:P251)</x:f>
      </x:c>
      <x:c r="AD251" s="26">
        <x:f>SUM(Q251:AB251)</x:f>
      </x:c>
    </x:row>
    <x:row r="252" spans="1:35" ht="15" customHeight="1">
      <x:c r="B252" s="3">
        <x:f>_xlfn.IFNA(VLOOKUP(C252,Master!$J:$K,2,0),"")</x:f>
      </x:c>
      <x:c r="D252" s="4">
        <x:f>_xlfn.IFNA(VLOOKUP(E252,Master!$J:$K,2,0),"")</x:f>
      </x:c>
      <x:c r="F252" s="4">
        <x:f>_xlfn.IFNA(VLOOKUP(G252,Master!B:C,2,0),"")</x:f>
      </x:c>
      <x:c r="I252" s="3">
        <x:f>_xlfn.IFNA(VLOOKUP(E252,Master!$J:$M,4,0),"")</x:f>
      </x:c>
      <x:c r="J252" s="3">
        <x:f>_xlfn.IFNA(VLOOKUP($E252,Master!$J:$M,3,0),"")</x:f>
      </x:c>
      <x:c r="AC252" s="26">
        <x:f>SUM(K252:P252)</x:f>
      </x:c>
      <x:c r="AD252" s="26">
        <x:f>SUM(Q252:AB252)</x:f>
      </x:c>
    </x:row>
    <x:row r="253" spans="1:35" ht="15" customHeight="1">
      <x:c r="B253" s="3">
        <x:f>_xlfn.IFNA(VLOOKUP(C253,Master!$J:$K,2,0),"")</x:f>
      </x:c>
      <x:c r="D253" s="4">
        <x:f>_xlfn.IFNA(VLOOKUP(E253,Master!$J:$K,2,0),"")</x:f>
      </x:c>
      <x:c r="F253" s="4">
        <x:f>_xlfn.IFNA(VLOOKUP(G253,Master!B:C,2,0),"")</x:f>
      </x:c>
      <x:c r="I253" s="3">
        <x:f>_xlfn.IFNA(VLOOKUP(E253,Master!$J:$M,4,0),"")</x:f>
      </x:c>
      <x:c r="J253" s="3">
        <x:f>_xlfn.IFNA(VLOOKUP($E253,Master!$J:$M,3,0),"")</x:f>
      </x:c>
      <x:c r="AC253" s="26">
        <x:f>SUM(K253:P253)</x:f>
      </x:c>
      <x:c r="AD253" s="26">
        <x:f>SUM(Q253:AB253)</x:f>
      </x:c>
    </x:row>
    <x:row r="254" spans="1:35" ht="15" customHeight="1">
      <x:c r="B254" s="3">
        <x:f>_xlfn.IFNA(VLOOKUP(C254,Master!$J:$K,2,0),"")</x:f>
      </x:c>
      <x:c r="D254" s="4">
        <x:f>_xlfn.IFNA(VLOOKUP(E254,Master!$J:$K,2,0),"")</x:f>
      </x:c>
      <x:c r="F254" s="4">
        <x:f>_xlfn.IFNA(VLOOKUP(G254,Master!B:C,2,0),"")</x:f>
      </x:c>
      <x:c r="I254" s="3">
        <x:f>_xlfn.IFNA(VLOOKUP(E254,Master!$J:$M,4,0),"")</x:f>
      </x:c>
      <x:c r="J254" s="3">
        <x:f>_xlfn.IFNA(VLOOKUP($E254,Master!$J:$M,3,0),"")</x:f>
      </x:c>
      <x:c r="AC254" s="26">
        <x:f>SUM(K254:P254)</x:f>
      </x:c>
      <x:c r="AD254" s="26">
        <x:f>SUM(Q254:AB254)</x:f>
      </x:c>
    </x:row>
    <x:row r="255" spans="1:35" ht="15" customHeight="1">
      <x:c r="B255" s="3">
        <x:f>_xlfn.IFNA(VLOOKUP(C255,Master!$J:$K,2,0),"")</x:f>
      </x:c>
      <x:c r="D255" s="4">
        <x:f>_xlfn.IFNA(VLOOKUP(E255,Master!$J:$K,2,0),"")</x:f>
      </x:c>
      <x:c r="F255" s="4">
        <x:f>_xlfn.IFNA(VLOOKUP(G255,Master!B:C,2,0),"")</x:f>
      </x:c>
      <x:c r="I255" s="3">
        <x:f>_xlfn.IFNA(VLOOKUP(E255,Master!$J:$M,4,0),"")</x:f>
      </x:c>
      <x:c r="J255" s="3">
        <x:f>_xlfn.IFNA(VLOOKUP($E255,Master!$J:$M,3,0),"")</x:f>
      </x:c>
      <x:c r="AC255" s="26">
        <x:f>SUM(K255:P255)</x:f>
      </x:c>
      <x:c r="AD255" s="26">
        <x:f>SUM(Q255:AB255)</x:f>
      </x:c>
    </x:row>
    <x:row r="256" spans="1:35" ht="15" customHeight="1">
      <x:c r="B256" s="3">
        <x:f>_xlfn.IFNA(VLOOKUP(C256,Master!$J:$K,2,0),"")</x:f>
      </x:c>
      <x:c r="D256" s="4">
        <x:f>_xlfn.IFNA(VLOOKUP(E256,Master!$J:$K,2,0),"")</x:f>
      </x:c>
      <x:c r="F256" s="4">
        <x:f>_xlfn.IFNA(VLOOKUP(G256,Master!B:C,2,0),"")</x:f>
      </x:c>
      <x:c r="I256" s="3">
        <x:f>_xlfn.IFNA(VLOOKUP(E256,Master!$J:$M,4,0),"")</x:f>
      </x:c>
      <x:c r="J256" s="3">
        <x:f>_xlfn.IFNA(VLOOKUP($E256,Master!$J:$M,3,0),"")</x:f>
      </x:c>
      <x:c r="AC256" s="26">
        <x:f>SUM(K256:P256)</x:f>
      </x:c>
      <x:c r="AD256" s="26">
        <x:f>SUM(Q256:AB256)</x:f>
      </x:c>
    </x:row>
    <x:row r="257" spans="1:35" ht="15" customHeight="1">
      <x:c r="B257" s="3">
        <x:f>_xlfn.IFNA(VLOOKUP(C257,Master!$J:$K,2,0),"")</x:f>
      </x:c>
      <x:c r="D257" s="4">
        <x:f>_xlfn.IFNA(VLOOKUP(E257,Master!$J:$K,2,0),"")</x:f>
      </x:c>
      <x:c r="F257" s="4">
        <x:f>_xlfn.IFNA(VLOOKUP(G257,Master!B:C,2,0),"")</x:f>
      </x:c>
      <x:c r="I257" s="3">
        <x:f>_xlfn.IFNA(VLOOKUP(E257,Master!$J:$M,4,0),"")</x:f>
      </x:c>
      <x:c r="J257" s="3">
        <x:f>_xlfn.IFNA(VLOOKUP($E257,Master!$J:$M,3,0),"")</x:f>
      </x:c>
      <x:c r="AC257" s="26">
        <x:f>SUM(K257:P257)</x:f>
      </x:c>
      <x:c r="AD257" s="26">
        <x:f>SUM(Q257:AB257)</x:f>
      </x:c>
    </x:row>
    <x:row r="258" spans="1:35" ht="15" customHeight="1">
      <x:c r="B258" s="3">
        <x:f>_xlfn.IFNA(VLOOKUP(C258,Master!$J:$K,2,0),"")</x:f>
      </x:c>
      <x:c r="D258" s="4">
        <x:f>_xlfn.IFNA(VLOOKUP(E258,Master!$J:$K,2,0),"")</x:f>
      </x:c>
      <x:c r="F258" s="4">
        <x:f>_xlfn.IFNA(VLOOKUP(G258,Master!B:C,2,0),"")</x:f>
      </x:c>
      <x:c r="I258" s="3">
        <x:f>_xlfn.IFNA(VLOOKUP(E258,Master!$J:$M,4,0),"")</x:f>
      </x:c>
      <x:c r="J258" s="3">
        <x:f>_xlfn.IFNA(VLOOKUP($E258,Master!$J:$M,3,0),"")</x:f>
      </x:c>
      <x:c r="AC258" s="26">
        <x:f>SUM(K258:P258)</x:f>
      </x:c>
      <x:c r="AD258" s="26">
        <x:f>SUM(Q258:AB258)</x:f>
      </x:c>
    </x:row>
    <x:row r="259" spans="1:35" ht="15" customHeight="1">
      <x:c r="B259" s="3">
        <x:f>_xlfn.IFNA(VLOOKUP(C259,Master!$J:$K,2,0),"")</x:f>
      </x:c>
      <x:c r="D259" s="4">
        <x:f>_xlfn.IFNA(VLOOKUP(E259,Master!$J:$K,2,0),"")</x:f>
      </x:c>
      <x:c r="F259" s="4">
        <x:f>_xlfn.IFNA(VLOOKUP(G259,Master!B:C,2,0),"")</x:f>
      </x:c>
      <x:c r="I259" s="3">
        <x:f>_xlfn.IFNA(VLOOKUP(E259,Master!$J:$M,4,0),"")</x:f>
      </x:c>
      <x:c r="J259" s="3">
        <x:f>_xlfn.IFNA(VLOOKUP($E259,Master!$J:$M,3,0),"")</x:f>
      </x:c>
      <x:c r="AC259" s="26">
        <x:f>SUM(K259:P259)</x:f>
      </x:c>
      <x:c r="AD259" s="26">
        <x:f>SUM(Q259:AB259)</x:f>
      </x:c>
    </x:row>
    <x:row r="260" spans="1:35" ht="15" customHeight="1">
      <x:c r="B260" s="3">
        <x:f>_xlfn.IFNA(VLOOKUP(C260,Master!$J:$K,2,0),"")</x:f>
      </x:c>
      <x:c r="D260" s="4">
        <x:f>_xlfn.IFNA(VLOOKUP(E260,Master!$J:$K,2,0),"")</x:f>
      </x:c>
      <x:c r="F260" s="4">
        <x:f>_xlfn.IFNA(VLOOKUP(G260,Master!B:C,2,0),"")</x:f>
      </x:c>
      <x:c r="I260" s="3">
        <x:f>_xlfn.IFNA(VLOOKUP(E260,Master!$J:$M,4,0),"")</x:f>
      </x:c>
      <x:c r="J260" s="3">
        <x:f>_xlfn.IFNA(VLOOKUP($E260,Master!$J:$M,3,0),"")</x:f>
      </x:c>
      <x:c r="AC260" s="26">
        <x:f>SUM(K260:P260)</x:f>
      </x:c>
      <x:c r="AD260" s="26">
        <x:f>SUM(Q260:AB260)</x:f>
      </x:c>
    </x:row>
    <x:row r="261" spans="1:35" ht="15" customHeight="1">
      <x:c r="B261" s="3">
        <x:f>_xlfn.IFNA(VLOOKUP(C261,Master!$J:$K,2,0),"")</x:f>
      </x:c>
      <x:c r="D261" s="4">
        <x:f>_xlfn.IFNA(VLOOKUP(E261,Master!$J:$K,2,0),"")</x:f>
      </x:c>
      <x:c r="F261" s="4">
        <x:f>_xlfn.IFNA(VLOOKUP(G261,Master!B:C,2,0),"")</x:f>
      </x:c>
      <x:c r="I261" s="3">
        <x:f>_xlfn.IFNA(VLOOKUP(E261,Master!$J:$M,4,0),"")</x:f>
      </x:c>
      <x:c r="J261" s="3">
        <x:f>_xlfn.IFNA(VLOOKUP($E261,Master!$J:$M,3,0),"")</x:f>
      </x:c>
      <x:c r="AC261" s="26">
        <x:f>SUM(K261:P261)</x:f>
      </x:c>
      <x:c r="AD261" s="26">
        <x:f>SUM(Q261:AB261)</x:f>
      </x:c>
    </x:row>
    <x:row r="262" spans="1:35" ht="15" customHeight="1">
      <x:c r="B262" s="3">
        <x:f>_xlfn.IFNA(VLOOKUP(C262,Master!$J:$K,2,0),"")</x:f>
      </x:c>
      <x:c r="D262" s="4">
        <x:f>_xlfn.IFNA(VLOOKUP(E262,Master!$J:$K,2,0),"")</x:f>
      </x:c>
      <x:c r="F262" s="4">
        <x:f>_xlfn.IFNA(VLOOKUP(G262,Master!B:C,2,0),"")</x:f>
      </x:c>
      <x:c r="I262" s="3">
        <x:f>_xlfn.IFNA(VLOOKUP(E262,Master!$J:$M,4,0),"")</x:f>
      </x:c>
      <x:c r="J262" s="3">
        <x:f>_xlfn.IFNA(VLOOKUP($E262,Master!$J:$M,3,0),"")</x:f>
      </x:c>
      <x:c r="AC262" s="26">
        <x:f>SUM(K262:P262)</x:f>
      </x:c>
      <x:c r="AD262" s="26">
        <x:f>SUM(Q262:AB262)</x:f>
      </x:c>
    </x:row>
    <x:row r="263" spans="1:35" ht="15" customHeight="1">
      <x:c r="B263" s="3">
        <x:f>_xlfn.IFNA(VLOOKUP(C263,Master!$J:$K,2,0),"")</x:f>
      </x:c>
      <x:c r="D263" s="4">
        <x:f>_xlfn.IFNA(VLOOKUP(E263,Master!$J:$K,2,0),"")</x:f>
      </x:c>
      <x:c r="F263" s="4">
        <x:f>_xlfn.IFNA(VLOOKUP(G263,Master!B:C,2,0),"")</x:f>
      </x:c>
      <x:c r="I263" s="3">
        <x:f>_xlfn.IFNA(VLOOKUP(E263,Master!$J:$M,4,0),"")</x:f>
      </x:c>
      <x:c r="J263" s="3">
        <x:f>_xlfn.IFNA(VLOOKUP($E263,Master!$J:$M,3,0),"")</x:f>
      </x:c>
      <x:c r="AC263" s="26">
        <x:f>SUM(K263:P263)</x:f>
      </x:c>
      <x:c r="AD263" s="26">
        <x:f>SUM(Q263:AB263)</x:f>
      </x:c>
    </x:row>
    <x:row r="264" spans="1:35" ht="15" customHeight="1">
      <x:c r="B264" s="3">
        <x:f>_xlfn.IFNA(VLOOKUP(C264,Master!$J:$K,2,0),"")</x:f>
      </x:c>
      <x:c r="D264" s="4">
        <x:f>_xlfn.IFNA(VLOOKUP(E264,Master!$J:$K,2,0),"")</x:f>
      </x:c>
      <x:c r="F264" s="4">
        <x:f>_xlfn.IFNA(VLOOKUP(G264,Master!B:C,2,0),"")</x:f>
      </x:c>
      <x:c r="I264" s="3">
        <x:f>_xlfn.IFNA(VLOOKUP(E264,Master!$J:$M,4,0),"")</x:f>
      </x:c>
      <x:c r="J264" s="3">
        <x:f>_xlfn.IFNA(VLOOKUP($E264,Master!$J:$M,3,0),"")</x:f>
      </x:c>
      <x:c r="AC264" s="26">
        <x:f>SUM(K264:P264)</x:f>
      </x:c>
      <x:c r="AD264" s="26">
        <x:f>SUM(Q264:AB264)</x:f>
      </x:c>
    </x:row>
    <x:row r="265" spans="1:35" ht="15" customHeight="1">
      <x:c r="B265" s="3">
        <x:f>_xlfn.IFNA(VLOOKUP(C265,Master!$J:$K,2,0),"")</x:f>
      </x:c>
      <x:c r="D265" s="4">
        <x:f>_xlfn.IFNA(VLOOKUP(E265,Master!$J:$K,2,0),"")</x:f>
      </x:c>
      <x:c r="F265" s="4">
        <x:f>_xlfn.IFNA(VLOOKUP(G265,Master!B:C,2,0),"")</x:f>
      </x:c>
      <x:c r="I265" s="3">
        <x:f>_xlfn.IFNA(VLOOKUP(E265,Master!$J:$M,4,0),"")</x:f>
      </x:c>
      <x:c r="J265" s="3">
        <x:f>_xlfn.IFNA(VLOOKUP($E265,Master!$J:$M,3,0),"")</x:f>
      </x:c>
      <x:c r="AC265" s="26">
        <x:f>SUM(K265:P265)</x:f>
      </x:c>
      <x:c r="AD265" s="26">
        <x:f>SUM(Q265:AB265)</x:f>
      </x:c>
    </x:row>
    <x:row r="266" spans="1:35" ht="15" customHeight="1">
      <x:c r="B266" s="3">
        <x:f>_xlfn.IFNA(VLOOKUP(C266,Master!$J:$K,2,0),"")</x:f>
      </x:c>
      <x:c r="D266" s="4">
        <x:f>_xlfn.IFNA(VLOOKUP(E266,Master!$J:$K,2,0),"")</x:f>
      </x:c>
      <x:c r="F266" s="4">
        <x:f>_xlfn.IFNA(VLOOKUP(G266,Master!B:C,2,0),"")</x:f>
      </x:c>
      <x:c r="I266" s="3">
        <x:f>_xlfn.IFNA(VLOOKUP(E266,Master!$J:$M,4,0),"")</x:f>
      </x:c>
      <x:c r="J266" s="3">
        <x:f>_xlfn.IFNA(VLOOKUP($E266,Master!$J:$M,3,0),"")</x:f>
      </x:c>
      <x:c r="AC266" s="26">
        <x:f>SUM(K266:P266)</x:f>
      </x:c>
      <x:c r="AD266" s="26">
        <x:f>SUM(Q266:AB266)</x:f>
      </x:c>
    </x:row>
    <x:row r="267" spans="1:35" ht="15" customHeight="1">
      <x:c r="B267" s="3">
        <x:f>_xlfn.IFNA(VLOOKUP(C267,Master!$J:$K,2,0),"")</x:f>
      </x:c>
      <x:c r="D267" s="4">
        <x:f>_xlfn.IFNA(VLOOKUP(E267,Master!$J:$K,2,0),"")</x:f>
      </x:c>
      <x:c r="F267" s="4">
        <x:f>_xlfn.IFNA(VLOOKUP(G267,Master!B:C,2,0),"")</x:f>
      </x:c>
      <x:c r="I267" s="3">
        <x:f>_xlfn.IFNA(VLOOKUP(E267,Master!$J:$M,4,0),"")</x:f>
      </x:c>
      <x:c r="J267" s="3">
        <x:f>_xlfn.IFNA(VLOOKUP($E267,Master!$J:$M,3,0),"")</x:f>
      </x:c>
      <x:c r="AC267" s="26">
        <x:f>SUM(K267:P267)</x:f>
      </x:c>
      <x:c r="AD267" s="26">
        <x:f>SUM(Q267:AB267)</x:f>
      </x:c>
    </x:row>
    <x:row r="268" spans="1:35" ht="15" customHeight="1">
      <x:c r="B268" s="3">
        <x:f>_xlfn.IFNA(VLOOKUP(C268,Master!$J:$K,2,0),"")</x:f>
      </x:c>
      <x:c r="D268" s="4">
        <x:f>_xlfn.IFNA(VLOOKUP(E268,Master!$J:$K,2,0),"")</x:f>
      </x:c>
      <x:c r="F268" s="4">
        <x:f>_xlfn.IFNA(VLOOKUP(G268,Master!B:C,2,0),"")</x:f>
      </x:c>
      <x:c r="I268" s="3">
        <x:f>_xlfn.IFNA(VLOOKUP(E268,Master!$J:$M,4,0),"")</x:f>
      </x:c>
      <x:c r="J268" s="3">
        <x:f>_xlfn.IFNA(VLOOKUP($E268,Master!$J:$M,3,0),"")</x:f>
      </x:c>
      <x:c r="AC268" s="26">
        <x:f>SUM(K268:P268)</x:f>
      </x:c>
      <x:c r="AD268" s="26">
        <x:f>SUM(Q268:AB268)</x:f>
      </x:c>
    </x:row>
    <x:row r="269" spans="1:35" ht="15" customHeight="1">
      <x:c r="B269" s="3">
        <x:f>_xlfn.IFNA(VLOOKUP(C269,Master!$J:$K,2,0),"")</x:f>
      </x:c>
      <x:c r="D269" s="4">
        <x:f>_xlfn.IFNA(VLOOKUP(E269,Master!$J:$K,2,0),"")</x:f>
      </x:c>
      <x:c r="F269" s="4">
        <x:f>_xlfn.IFNA(VLOOKUP(G269,Master!B:C,2,0),"")</x:f>
      </x:c>
      <x:c r="I269" s="3">
        <x:f>_xlfn.IFNA(VLOOKUP(E269,Master!$J:$M,4,0),"")</x:f>
      </x:c>
      <x:c r="J269" s="3">
        <x:f>_xlfn.IFNA(VLOOKUP($E269,Master!$J:$M,3,0),"")</x:f>
      </x:c>
      <x:c r="AC269" s="26">
        <x:f>SUM(K269:P269)</x:f>
      </x:c>
      <x:c r="AD269" s="26">
        <x:f>SUM(Q269:AB269)</x:f>
      </x:c>
    </x:row>
    <x:row r="270" spans="1:35" ht="15" customHeight="1">
      <x:c r="B270" s="3">
        <x:f>_xlfn.IFNA(VLOOKUP(C270,Master!$J:$K,2,0),"")</x:f>
      </x:c>
      <x:c r="D270" s="4">
        <x:f>_xlfn.IFNA(VLOOKUP(E270,Master!$J:$K,2,0),"")</x:f>
      </x:c>
      <x:c r="F270" s="4">
        <x:f>_xlfn.IFNA(VLOOKUP(G270,Master!B:C,2,0),"")</x:f>
      </x:c>
      <x:c r="I270" s="3">
        <x:f>_xlfn.IFNA(VLOOKUP(E270,Master!$J:$M,4,0),"")</x:f>
      </x:c>
      <x:c r="J270" s="3">
        <x:f>_xlfn.IFNA(VLOOKUP($E270,Master!$J:$M,3,0),"")</x:f>
      </x:c>
      <x:c r="AC270" s="26">
        <x:f>SUM(K270:P270)</x:f>
      </x:c>
      <x:c r="AD270" s="26">
        <x:f>SUM(Q270:AB270)</x:f>
      </x:c>
    </x:row>
    <x:row r="271" spans="1:35" ht="15" customHeight="1">
      <x:c r="B271" s="3">
        <x:f>_xlfn.IFNA(VLOOKUP(C271,Master!$J:$K,2,0),"")</x:f>
      </x:c>
      <x:c r="D271" s="4">
        <x:f>_xlfn.IFNA(VLOOKUP(E271,Master!$J:$K,2,0),"")</x:f>
      </x:c>
      <x:c r="F271" s="4">
        <x:f>_xlfn.IFNA(VLOOKUP(G271,Master!B:C,2,0),"")</x:f>
      </x:c>
      <x:c r="I271" s="3">
        <x:f>_xlfn.IFNA(VLOOKUP(E271,Master!$J:$M,4,0),"")</x:f>
      </x:c>
      <x:c r="J271" s="3">
        <x:f>_xlfn.IFNA(VLOOKUP($E271,Master!$J:$M,3,0),"")</x:f>
      </x:c>
      <x:c r="AC271" s="26">
        <x:f>SUM(K271:P271)</x:f>
      </x:c>
      <x:c r="AD271" s="26">
        <x:f>SUM(Q271:AB271)</x:f>
      </x:c>
    </x:row>
    <x:row r="272" spans="1:35" ht="15" customHeight="1">
      <x:c r="B272" s="3">
        <x:f>_xlfn.IFNA(VLOOKUP(C272,Master!$J:$K,2,0),"")</x:f>
      </x:c>
      <x:c r="D272" s="4">
        <x:f>_xlfn.IFNA(VLOOKUP(E272,Master!$J:$K,2,0),"")</x:f>
      </x:c>
      <x:c r="F272" s="4">
        <x:f>_xlfn.IFNA(VLOOKUP(G272,Master!B:C,2,0),"")</x:f>
      </x:c>
      <x:c r="I272" s="3">
        <x:f>_xlfn.IFNA(VLOOKUP(E272,Master!$J:$M,4,0),"")</x:f>
      </x:c>
      <x:c r="J272" s="3">
        <x:f>_xlfn.IFNA(VLOOKUP($E272,Master!$J:$M,3,0),"")</x:f>
      </x:c>
      <x:c r="AC272" s="26">
        <x:f>SUM(K272:P272)</x:f>
      </x:c>
      <x:c r="AD272" s="26">
        <x:f>SUM(Q272:AB272)</x:f>
      </x:c>
    </x:row>
    <x:row r="273" spans="1:35" ht="15" customHeight="1">
      <x:c r="B273" s="3">
        <x:f>_xlfn.IFNA(VLOOKUP(C273,Master!$J:$K,2,0),"")</x:f>
      </x:c>
      <x:c r="D273" s="4">
        <x:f>_xlfn.IFNA(VLOOKUP(E273,Master!$J:$K,2,0),"")</x:f>
      </x:c>
      <x:c r="F273" s="4">
        <x:f>_xlfn.IFNA(VLOOKUP(G273,Master!B:C,2,0),"")</x:f>
      </x:c>
      <x:c r="I273" s="3">
        <x:f>_xlfn.IFNA(VLOOKUP(E273,Master!$J:$M,4,0),"")</x:f>
      </x:c>
      <x:c r="J273" s="3">
        <x:f>_xlfn.IFNA(VLOOKUP($E273,Master!$J:$M,3,0),"")</x:f>
      </x:c>
      <x:c r="AC273" s="26">
        <x:f>SUM(K273:P273)</x:f>
      </x:c>
      <x:c r="AD273" s="26">
        <x:f>SUM(Q273:AB273)</x:f>
      </x:c>
    </x:row>
    <x:row r="274" spans="1:35" ht="15" customHeight="1">
      <x:c r="B274" s="3">
        <x:f>_xlfn.IFNA(VLOOKUP(C274,Master!$J:$K,2,0),"")</x:f>
      </x:c>
      <x:c r="D274" s="4">
        <x:f>_xlfn.IFNA(VLOOKUP(E274,Master!$J:$K,2,0),"")</x:f>
      </x:c>
      <x:c r="F274" s="4">
        <x:f>_xlfn.IFNA(VLOOKUP(G274,Master!B:C,2,0),"")</x:f>
      </x:c>
      <x:c r="I274" s="3">
        <x:f>_xlfn.IFNA(VLOOKUP(E274,Master!$J:$M,4,0),"")</x:f>
      </x:c>
      <x:c r="J274" s="3">
        <x:f>_xlfn.IFNA(VLOOKUP($E274,Master!$J:$M,3,0),"")</x:f>
      </x:c>
      <x:c r="AC274" s="26">
        <x:f>SUM(K274:P274)</x:f>
      </x:c>
      <x:c r="AD274" s="26">
        <x:f>SUM(Q274:AB274)</x:f>
      </x:c>
    </x:row>
    <x:row r="275" spans="1:35" ht="15" customHeight="1">
      <x:c r="B275" s="3">
        <x:f>_xlfn.IFNA(VLOOKUP(C275,Master!$J:$K,2,0),"")</x:f>
      </x:c>
      <x:c r="D275" s="4">
        <x:f>_xlfn.IFNA(VLOOKUP(E275,Master!$J:$K,2,0),"")</x:f>
      </x:c>
      <x:c r="F275" s="4">
        <x:f>_xlfn.IFNA(VLOOKUP(G275,Master!B:C,2,0),"")</x:f>
      </x:c>
      <x:c r="I275" s="3">
        <x:f>_xlfn.IFNA(VLOOKUP(E275,Master!$J:$M,4,0),"")</x:f>
      </x:c>
      <x:c r="J275" s="3">
        <x:f>_xlfn.IFNA(VLOOKUP($E275,Master!$J:$M,3,0),"")</x:f>
      </x:c>
      <x:c r="AC275" s="26">
        <x:f>SUM(K275:P275)</x:f>
      </x:c>
      <x:c r="AD275" s="26">
        <x:f>SUM(Q275:AB275)</x:f>
      </x:c>
    </x:row>
    <x:row r="276" spans="1:35" ht="15" customHeight="1">
      <x:c r="B276" s="3">
        <x:f>_xlfn.IFNA(VLOOKUP(C276,Master!$J:$K,2,0),"")</x:f>
      </x:c>
      <x:c r="D276" s="4">
        <x:f>_xlfn.IFNA(VLOOKUP(E276,Master!$J:$K,2,0),"")</x:f>
      </x:c>
      <x:c r="F276" s="4">
        <x:f>_xlfn.IFNA(VLOOKUP(G276,Master!B:C,2,0),"")</x:f>
      </x:c>
      <x:c r="I276" s="3">
        <x:f>_xlfn.IFNA(VLOOKUP(E276,Master!$J:$M,4,0),"")</x:f>
      </x:c>
      <x:c r="J276" s="3">
        <x:f>_xlfn.IFNA(VLOOKUP($E276,Master!$J:$M,3,0),"")</x:f>
      </x:c>
      <x:c r="AC276" s="26">
        <x:f>SUM(K276:P276)</x:f>
      </x:c>
      <x:c r="AD276" s="26">
        <x:f>SUM(Q276:AB276)</x:f>
      </x:c>
    </x:row>
    <x:row r="277" spans="1:35" ht="15" customHeight="1">
      <x:c r="B277" s="3">
        <x:f>_xlfn.IFNA(VLOOKUP(C277,Master!$J:$K,2,0),"")</x:f>
      </x:c>
      <x:c r="D277" s="4">
        <x:f>_xlfn.IFNA(VLOOKUP(E277,Master!$J:$K,2,0),"")</x:f>
      </x:c>
      <x:c r="F277" s="4">
        <x:f>_xlfn.IFNA(VLOOKUP(G277,Master!B:C,2,0),"")</x:f>
      </x:c>
      <x:c r="I277" s="3">
        <x:f>_xlfn.IFNA(VLOOKUP(E277,Master!$J:$M,4,0),"")</x:f>
      </x:c>
      <x:c r="J277" s="3">
        <x:f>_xlfn.IFNA(VLOOKUP($E277,Master!$J:$M,3,0),"")</x:f>
      </x:c>
      <x:c r="AC277" s="26">
        <x:f>SUM(K277:P277)</x:f>
      </x:c>
      <x:c r="AD277" s="26">
        <x:f>SUM(Q277:AB277)</x:f>
      </x:c>
    </x:row>
    <x:row r="278" spans="1:35" ht="15" customHeight="1">
      <x:c r="B278" s="3">
        <x:f>_xlfn.IFNA(VLOOKUP(C278,Master!$J:$K,2,0),"")</x:f>
      </x:c>
      <x:c r="D278" s="4">
        <x:f>_xlfn.IFNA(VLOOKUP(E278,Master!$J:$K,2,0),"")</x:f>
      </x:c>
      <x:c r="F278" s="4">
        <x:f>_xlfn.IFNA(VLOOKUP(G278,Master!B:C,2,0),"")</x:f>
      </x:c>
      <x:c r="I278" s="3">
        <x:f>_xlfn.IFNA(VLOOKUP(E278,Master!$J:$M,4,0),"")</x:f>
      </x:c>
      <x:c r="J278" s="3">
        <x:f>_xlfn.IFNA(VLOOKUP($E278,Master!$J:$M,3,0),"")</x:f>
      </x:c>
      <x:c r="AC278" s="26">
        <x:f>SUM(K278:P278)</x:f>
      </x:c>
      <x:c r="AD278" s="26">
        <x:f>SUM(Q278:AB278)</x:f>
      </x:c>
    </x:row>
    <x:row r="279" spans="1:35" ht="15" customHeight="1">
      <x:c r="B279" s="3">
        <x:f>_xlfn.IFNA(VLOOKUP(C279,Master!$J:$K,2,0),"")</x:f>
      </x:c>
      <x:c r="D279" s="4">
        <x:f>_xlfn.IFNA(VLOOKUP(E279,Master!$J:$K,2,0),"")</x:f>
      </x:c>
      <x:c r="F279" s="4">
        <x:f>_xlfn.IFNA(VLOOKUP(G279,Master!B:C,2,0),"")</x:f>
      </x:c>
      <x:c r="I279" s="3">
        <x:f>_xlfn.IFNA(VLOOKUP(E279,Master!$J:$M,4,0),"")</x:f>
      </x:c>
      <x:c r="J279" s="3">
        <x:f>_xlfn.IFNA(VLOOKUP($E279,Master!$J:$M,3,0),"")</x:f>
      </x:c>
      <x:c r="AC279" s="26">
        <x:f>SUM(K279:P279)</x:f>
      </x:c>
      <x:c r="AD279" s="26">
        <x:f>SUM(Q279:AB279)</x:f>
      </x:c>
    </x:row>
    <x:row r="280" spans="1:35" ht="15" customHeight="1">
      <x:c r="B280" s="3">
        <x:f>_xlfn.IFNA(VLOOKUP(C280,Master!$J:$K,2,0),"")</x:f>
      </x:c>
      <x:c r="D280" s="4">
        <x:f>_xlfn.IFNA(VLOOKUP(E280,Master!$J:$K,2,0),"")</x:f>
      </x:c>
      <x:c r="F280" s="4">
        <x:f>_xlfn.IFNA(VLOOKUP(G280,Master!B:C,2,0),"")</x:f>
      </x:c>
      <x:c r="I280" s="3">
        <x:f>_xlfn.IFNA(VLOOKUP(E280,Master!$J:$M,4,0),"")</x:f>
      </x:c>
      <x:c r="J280" s="3">
        <x:f>_xlfn.IFNA(VLOOKUP($E280,Master!$J:$M,3,0),"")</x:f>
      </x:c>
      <x:c r="AC280" s="26">
        <x:f>SUM(K280:P280)</x:f>
      </x:c>
      <x:c r="AD280" s="26">
        <x:f>SUM(Q280:AB280)</x:f>
      </x:c>
    </x:row>
    <x:row r="281" spans="1:35" ht="15" customHeight="1">
      <x:c r="B281" s="3">
        <x:f>_xlfn.IFNA(VLOOKUP(C281,Master!$J:$K,2,0),"")</x:f>
      </x:c>
      <x:c r="D281" s="4">
        <x:f>_xlfn.IFNA(VLOOKUP(E281,Master!$J:$K,2,0),"")</x:f>
      </x:c>
      <x:c r="F281" s="4">
        <x:f>_xlfn.IFNA(VLOOKUP(G281,Master!B:C,2,0),"")</x:f>
      </x:c>
      <x:c r="I281" s="3">
        <x:f>_xlfn.IFNA(VLOOKUP(E281,Master!$J:$M,4,0),"")</x:f>
      </x:c>
      <x:c r="J281" s="3">
        <x:f>_xlfn.IFNA(VLOOKUP($E281,Master!$J:$M,3,0),"")</x:f>
      </x:c>
      <x:c r="AC281" s="26">
        <x:f>SUM(K281:P281)</x:f>
      </x:c>
      <x:c r="AD281" s="26">
        <x:f>SUM(Q281:AB281)</x:f>
      </x:c>
    </x:row>
    <x:row r="282" spans="1:35" ht="15" customHeight="1">
      <x:c r="B282" s="3">
        <x:f>_xlfn.IFNA(VLOOKUP(C282,Master!$J:$K,2,0),"")</x:f>
      </x:c>
      <x:c r="D282" s="4">
        <x:f>_xlfn.IFNA(VLOOKUP(E282,Master!$J:$K,2,0),"")</x:f>
      </x:c>
      <x:c r="F282" s="4">
        <x:f>_xlfn.IFNA(VLOOKUP(G282,Master!B:C,2,0),"")</x:f>
      </x:c>
      <x:c r="I282" s="3">
        <x:f>_xlfn.IFNA(VLOOKUP(E282,Master!$J:$M,4,0),"")</x:f>
      </x:c>
      <x:c r="J282" s="3">
        <x:f>_xlfn.IFNA(VLOOKUP($E282,Master!$J:$M,3,0),"")</x:f>
      </x:c>
      <x:c r="AC282" s="26">
        <x:f>SUM(K282:P282)</x:f>
      </x:c>
      <x:c r="AD282" s="26">
        <x:f>SUM(Q282:AB282)</x:f>
      </x:c>
    </x:row>
    <x:row r="283" spans="1:35" ht="15" customHeight="1">
      <x:c r="B283" s="3">
        <x:f>_xlfn.IFNA(VLOOKUP(C283,Master!$J:$K,2,0),"")</x:f>
      </x:c>
      <x:c r="D283" s="4">
        <x:f>_xlfn.IFNA(VLOOKUP(E283,Master!$J:$K,2,0),"")</x:f>
      </x:c>
      <x:c r="F283" s="4">
        <x:f>_xlfn.IFNA(VLOOKUP(G283,Master!B:C,2,0),"")</x:f>
      </x:c>
      <x:c r="I283" s="3">
        <x:f>_xlfn.IFNA(VLOOKUP(E283,Master!$J:$M,4,0),"")</x:f>
      </x:c>
      <x:c r="J283" s="3">
        <x:f>_xlfn.IFNA(VLOOKUP($E283,Master!$J:$M,3,0),"")</x:f>
      </x:c>
      <x:c r="AC283" s="26">
        <x:f>SUM(K283:P283)</x:f>
      </x:c>
      <x:c r="AD283" s="26">
        <x:f>SUM(Q283:AB283)</x:f>
      </x:c>
    </x:row>
    <x:row r="284" spans="1:35" ht="15" customHeight="1">
      <x:c r="B284" s="3">
        <x:f>_xlfn.IFNA(VLOOKUP(C284,Master!$J:$K,2,0),"")</x:f>
      </x:c>
      <x:c r="D284" s="4">
        <x:f>_xlfn.IFNA(VLOOKUP(E284,Master!$J:$K,2,0),"")</x:f>
      </x:c>
      <x:c r="F284" s="4">
        <x:f>_xlfn.IFNA(VLOOKUP(G284,Master!B:C,2,0),"")</x:f>
      </x:c>
      <x:c r="I284" s="3">
        <x:f>_xlfn.IFNA(VLOOKUP(E284,Master!$J:$M,4,0),"")</x:f>
      </x:c>
      <x:c r="J284" s="3">
        <x:f>_xlfn.IFNA(VLOOKUP($E284,Master!$J:$M,3,0),"")</x:f>
      </x:c>
      <x:c r="AC284" s="26">
        <x:f>SUM(K284:P284)</x:f>
      </x:c>
      <x:c r="AD284" s="26">
        <x:f>SUM(Q284:AB284)</x:f>
      </x:c>
    </x:row>
    <x:row r="285" spans="1:35" ht="15" customHeight="1">
      <x:c r="B285" s="3">
        <x:f>_xlfn.IFNA(VLOOKUP(C285,Master!$J:$K,2,0),"")</x:f>
      </x:c>
      <x:c r="D285" s="4">
        <x:f>_xlfn.IFNA(VLOOKUP(E285,Master!$J:$K,2,0),"")</x:f>
      </x:c>
      <x:c r="F285" s="4">
        <x:f>_xlfn.IFNA(VLOOKUP(G285,Master!B:C,2,0),"")</x:f>
      </x:c>
      <x:c r="I285" s="3">
        <x:f>_xlfn.IFNA(VLOOKUP(E285,Master!$J:$M,4,0),"")</x:f>
      </x:c>
      <x:c r="J285" s="3">
        <x:f>_xlfn.IFNA(VLOOKUP($E285,Master!$J:$M,3,0),"")</x:f>
      </x:c>
      <x:c r="AC285" s="26">
        <x:f>SUM(K285:P285)</x:f>
      </x:c>
      <x:c r="AD285" s="26">
        <x:f>SUM(Q285:AB285)</x:f>
      </x:c>
    </x:row>
    <x:row r="286" spans="1:35" ht="15" customHeight="1">
      <x:c r="B286" s="3">
        <x:f>_xlfn.IFNA(VLOOKUP(C286,Master!$J:$K,2,0),"")</x:f>
      </x:c>
      <x:c r="D286" s="4">
        <x:f>_xlfn.IFNA(VLOOKUP(E286,Master!$J:$K,2,0),"")</x:f>
      </x:c>
      <x:c r="F286" s="4">
        <x:f>_xlfn.IFNA(VLOOKUP(G286,Master!B:C,2,0),"")</x:f>
      </x:c>
      <x:c r="I286" s="3">
        <x:f>_xlfn.IFNA(VLOOKUP(E286,Master!$J:$M,4,0),"")</x:f>
      </x:c>
      <x:c r="J286" s="3">
        <x:f>_xlfn.IFNA(VLOOKUP($E286,Master!$J:$M,3,0),"")</x:f>
      </x:c>
      <x:c r="AC286" s="26">
        <x:f>SUM(K286:P286)</x:f>
      </x:c>
      <x:c r="AD286" s="26">
        <x:f>SUM(Q286:AB286)</x:f>
      </x:c>
    </x:row>
    <x:row r="287" spans="1:35" ht="15" customHeight="1">
      <x:c r="B287" s="3">
        <x:f>_xlfn.IFNA(VLOOKUP(C287,Master!$J:$K,2,0),"")</x:f>
      </x:c>
      <x:c r="D287" s="4">
        <x:f>_xlfn.IFNA(VLOOKUP(E287,Master!$J:$K,2,0),"")</x:f>
      </x:c>
      <x:c r="F287" s="4">
        <x:f>_xlfn.IFNA(VLOOKUP(G287,Master!B:C,2,0),"")</x:f>
      </x:c>
      <x:c r="I287" s="3">
        <x:f>_xlfn.IFNA(VLOOKUP(E287,Master!$J:$M,4,0),"")</x:f>
      </x:c>
      <x:c r="J287" s="3">
        <x:f>_xlfn.IFNA(VLOOKUP($E287,Master!$J:$M,3,0),"")</x:f>
      </x:c>
      <x:c r="AC287" s="26">
        <x:f>SUM(K287:P287)</x:f>
      </x:c>
      <x:c r="AD287" s="26">
        <x:f>SUM(Q287:AB287)</x:f>
      </x:c>
    </x:row>
    <x:row r="288" spans="1:35" ht="15" customHeight="1">
      <x:c r="B288" s="3">
        <x:f>_xlfn.IFNA(VLOOKUP(C288,Master!$J:$K,2,0),"")</x:f>
      </x:c>
      <x:c r="D288" s="4">
        <x:f>_xlfn.IFNA(VLOOKUP(E288,Master!$J:$K,2,0),"")</x:f>
      </x:c>
      <x:c r="F288" s="4">
        <x:f>_xlfn.IFNA(VLOOKUP(G288,Master!B:C,2,0),"")</x:f>
      </x:c>
      <x:c r="I288" s="3">
        <x:f>_xlfn.IFNA(VLOOKUP(E288,Master!$J:$M,4,0),"")</x:f>
      </x:c>
      <x:c r="J288" s="3">
        <x:f>_xlfn.IFNA(VLOOKUP($E288,Master!$J:$M,3,0),"")</x:f>
      </x:c>
      <x:c r="AC288" s="26">
        <x:f>SUM(K288:P288)</x:f>
      </x:c>
      <x:c r="AD288" s="26">
        <x:f>SUM(Q288:AB288)</x:f>
      </x:c>
    </x:row>
    <x:row r="289" spans="1:35" ht="15" customHeight="1">
      <x:c r="B289" s="3">
        <x:f>_xlfn.IFNA(VLOOKUP(C289,Master!$J:$K,2,0),"")</x:f>
      </x:c>
      <x:c r="D289" s="4">
        <x:f>_xlfn.IFNA(VLOOKUP(E289,Master!$J:$K,2,0),"")</x:f>
      </x:c>
      <x:c r="F289" s="4">
        <x:f>_xlfn.IFNA(VLOOKUP(G289,Master!B:C,2,0),"")</x:f>
      </x:c>
      <x:c r="I289" s="3">
        <x:f>_xlfn.IFNA(VLOOKUP(E289,Master!$J:$M,4,0),"")</x:f>
      </x:c>
      <x:c r="J289" s="3">
        <x:f>_xlfn.IFNA(VLOOKUP($E289,Master!$J:$M,3,0),"")</x:f>
      </x:c>
      <x:c r="AC289" s="26">
        <x:f>SUM(K289:P289)</x:f>
      </x:c>
      <x:c r="AD289" s="26">
        <x:f>SUM(Q289:AB289)</x:f>
      </x:c>
    </x:row>
    <x:row r="290" spans="1:35" ht="15" customHeight="1">
      <x:c r="B290" s="3">
        <x:f>_xlfn.IFNA(VLOOKUP(C290,Master!$J:$K,2,0),"")</x:f>
      </x:c>
      <x:c r="D290" s="4">
        <x:f>_xlfn.IFNA(VLOOKUP(E290,Master!$J:$K,2,0),"")</x:f>
      </x:c>
      <x:c r="F290" s="4">
        <x:f>_xlfn.IFNA(VLOOKUP(G290,Master!B:C,2,0),"")</x:f>
      </x:c>
      <x:c r="I290" s="3">
        <x:f>_xlfn.IFNA(VLOOKUP(E290,Master!$J:$M,4,0),"")</x:f>
      </x:c>
      <x:c r="J290" s="3">
        <x:f>_xlfn.IFNA(VLOOKUP($E290,Master!$J:$M,3,0),"")</x:f>
      </x:c>
      <x:c r="AC290" s="26">
        <x:f>SUM(K290:P290)</x:f>
      </x:c>
      <x:c r="AD290" s="26">
        <x:f>SUM(Q290:AB290)</x:f>
      </x:c>
    </x:row>
    <x:row r="291" spans="1:35" ht="15" customHeight="1">
      <x:c r="B291" s="3">
        <x:f>_xlfn.IFNA(VLOOKUP(C291,Master!$J:$K,2,0),"")</x:f>
      </x:c>
      <x:c r="D291" s="4">
        <x:f>_xlfn.IFNA(VLOOKUP(E291,Master!$J:$K,2,0),"")</x:f>
      </x:c>
      <x:c r="F291" s="4">
        <x:f>_xlfn.IFNA(VLOOKUP(G291,Master!B:C,2,0),"")</x:f>
      </x:c>
      <x:c r="I291" s="3">
        <x:f>_xlfn.IFNA(VLOOKUP(E291,Master!$J:$M,4,0),"")</x:f>
      </x:c>
      <x:c r="J291" s="3">
        <x:f>_xlfn.IFNA(VLOOKUP($E291,Master!$J:$M,3,0),"")</x:f>
      </x:c>
      <x:c r="AC291" s="26">
        <x:f>SUM(K291:P291)</x:f>
      </x:c>
      <x:c r="AD291" s="26">
        <x:f>SUM(Q291:AB291)</x:f>
      </x:c>
    </x:row>
    <x:row r="292" spans="1:35" ht="15" customHeight="1">
      <x:c r="B292" s="3">
        <x:f>_xlfn.IFNA(VLOOKUP(C292,Master!$J:$K,2,0),"")</x:f>
      </x:c>
      <x:c r="D292" s="4">
        <x:f>_xlfn.IFNA(VLOOKUP(E292,Master!$J:$K,2,0),"")</x:f>
      </x:c>
      <x:c r="F292" s="4">
        <x:f>_xlfn.IFNA(VLOOKUP(G292,Master!B:C,2,0),"")</x:f>
      </x:c>
      <x:c r="I292" s="3">
        <x:f>_xlfn.IFNA(VLOOKUP(E292,Master!$J:$M,4,0),"")</x:f>
      </x:c>
      <x:c r="J292" s="3">
        <x:f>_xlfn.IFNA(VLOOKUP($E292,Master!$J:$M,3,0),"")</x:f>
      </x:c>
      <x:c r="AC292" s="26">
        <x:f>SUM(K292:P292)</x:f>
      </x:c>
      <x:c r="AD292" s="26">
        <x:f>SUM(Q292:AB292)</x:f>
      </x:c>
    </x:row>
    <x:row r="293" spans="1:35" ht="15" customHeight="1">
      <x:c r="B293" s="3">
        <x:f>_xlfn.IFNA(VLOOKUP(C293,Master!$J:$K,2,0),"")</x:f>
      </x:c>
      <x:c r="D293" s="4">
        <x:f>_xlfn.IFNA(VLOOKUP(E293,Master!$J:$K,2,0),"")</x:f>
      </x:c>
      <x:c r="F293" s="4">
        <x:f>_xlfn.IFNA(VLOOKUP(G293,Master!B:C,2,0),"")</x:f>
      </x:c>
      <x:c r="I293" s="3">
        <x:f>_xlfn.IFNA(VLOOKUP(E293,Master!$J:$M,4,0),"")</x:f>
      </x:c>
      <x:c r="J293" s="3">
        <x:f>_xlfn.IFNA(VLOOKUP($E293,Master!$J:$M,3,0),"")</x:f>
      </x:c>
      <x:c r="AC293" s="26">
        <x:f>SUM(K293:P293)</x:f>
      </x:c>
      <x:c r="AD293" s="26">
        <x:f>SUM(Q293:AB293)</x:f>
      </x:c>
    </x:row>
    <x:row r="294" spans="1:35" ht="15" customHeight="1">
      <x:c r="B294" s="3">
        <x:f>_xlfn.IFNA(VLOOKUP(C294,Master!$J:$K,2,0),"")</x:f>
      </x:c>
      <x:c r="D294" s="4">
        <x:f>_xlfn.IFNA(VLOOKUP(E294,Master!$J:$K,2,0),"")</x:f>
      </x:c>
      <x:c r="F294" s="4">
        <x:f>_xlfn.IFNA(VLOOKUP(G294,Master!B:C,2,0),"")</x:f>
      </x:c>
      <x:c r="I294" s="3">
        <x:f>_xlfn.IFNA(VLOOKUP(E294,Master!$J:$M,4,0),"")</x:f>
      </x:c>
      <x:c r="J294" s="3">
        <x:f>_xlfn.IFNA(VLOOKUP($E294,Master!$J:$M,3,0),"")</x:f>
      </x:c>
      <x:c r="AC294" s="26">
        <x:f>SUM(K294:P294)</x:f>
      </x:c>
      <x:c r="AD294" s="26">
        <x:f>SUM(Q294:AB294)</x:f>
      </x:c>
    </x:row>
    <x:row r="295" spans="1:35" ht="15" customHeight="1">
      <x:c r="B295" s="3">
        <x:f>_xlfn.IFNA(VLOOKUP(C295,Master!$J:$K,2,0),"")</x:f>
      </x:c>
      <x:c r="D295" s="4">
        <x:f>_xlfn.IFNA(VLOOKUP(E295,Master!$J:$K,2,0),"")</x:f>
      </x:c>
      <x:c r="F295" s="4">
        <x:f>_xlfn.IFNA(VLOOKUP(G295,Master!B:C,2,0),"")</x:f>
      </x:c>
      <x:c r="I295" s="3">
        <x:f>_xlfn.IFNA(VLOOKUP(E295,Master!$J:$M,4,0),"")</x:f>
      </x:c>
      <x:c r="J295" s="3">
        <x:f>_xlfn.IFNA(VLOOKUP($E295,Master!$J:$M,3,0),"")</x:f>
      </x:c>
      <x:c r="AC295" s="26">
        <x:f>SUM(K295:P295)</x:f>
      </x:c>
      <x:c r="AD295" s="26">
        <x:f>SUM(Q295:AB295)</x:f>
      </x:c>
    </x:row>
    <x:row r="296" spans="1:35" ht="15" customHeight="1">
      <x:c r="B296" s="3">
        <x:f>_xlfn.IFNA(VLOOKUP(C296,Master!$J:$K,2,0),"")</x:f>
      </x:c>
      <x:c r="D296" s="4">
        <x:f>_xlfn.IFNA(VLOOKUP(E296,Master!$J:$K,2,0),"")</x:f>
      </x:c>
      <x:c r="F296" s="4">
        <x:f>_xlfn.IFNA(VLOOKUP(G296,Master!B:C,2,0),"")</x:f>
      </x:c>
      <x:c r="I296" s="3">
        <x:f>_xlfn.IFNA(VLOOKUP(E296,Master!$J:$M,4,0),"")</x:f>
      </x:c>
      <x:c r="J296" s="3">
        <x:f>_xlfn.IFNA(VLOOKUP($E296,Master!$J:$M,3,0),"")</x:f>
      </x:c>
      <x:c r="AC296" s="26">
        <x:f>SUM(K296:P296)</x:f>
      </x:c>
      <x:c r="AD296" s="26">
        <x:f>SUM(Q296:AB296)</x:f>
      </x:c>
    </x:row>
    <x:row r="297" spans="1:35" ht="15" customHeight="1">
      <x:c r="B297" s="3">
        <x:f>_xlfn.IFNA(VLOOKUP(C297,Master!$J:$K,2,0),"")</x:f>
      </x:c>
      <x:c r="D297" s="4">
        <x:f>_xlfn.IFNA(VLOOKUP(E297,Master!$J:$K,2,0),"")</x:f>
      </x:c>
      <x:c r="F297" s="4">
        <x:f>_xlfn.IFNA(VLOOKUP(G297,Master!B:C,2,0),"")</x:f>
      </x:c>
      <x:c r="I297" s="3">
        <x:f>_xlfn.IFNA(VLOOKUP(E297,Master!$J:$M,4,0),"")</x:f>
      </x:c>
      <x:c r="J297" s="3">
        <x:f>_xlfn.IFNA(VLOOKUP($E297,Master!$J:$M,3,0),"")</x:f>
      </x:c>
      <x:c r="AC297" s="26">
        <x:f>SUM(K297:P297)</x:f>
      </x:c>
      <x:c r="AD297" s="26">
        <x:f>SUM(Q297:AB297)</x:f>
      </x:c>
    </x:row>
    <x:row r="298" spans="1:35" ht="15" customHeight="1">
      <x:c r="B298" s="3">
        <x:f>_xlfn.IFNA(VLOOKUP(C298,Master!$J:$K,2,0),"")</x:f>
      </x:c>
      <x:c r="D298" s="4">
        <x:f>_xlfn.IFNA(VLOOKUP(E298,Master!$J:$K,2,0),"")</x:f>
      </x:c>
      <x:c r="F298" s="4">
        <x:f>_xlfn.IFNA(VLOOKUP(G298,Master!B:C,2,0),"")</x:f>
      </x:c>
      <x:c r="I298" s="3">
        <x:f>_xlfn.IFNA(VLOOKUP(E298,Master!$J:$M,4,0),"")</x:f>
      </x:c>
      <x:c r="J298" s="3">
        <x:f>_xlfn.IFNA(VLOOKUP($E298,Master!$J:$M,3,0),"")</x:f>
      </x:c>
      <x:c r="AC298" s="26">
        <x:f>SUM(K298:P298)</x:f>
      </x:c>
      <x:c r="AD298" s="26">
        <x:f>SUM(Q298:AB298)</x:f>
      </x:c>
    </x:row>
    <x:row r="299" spans="1:35" ht="15" customHeight="1">
      <x:c r="B299" s="3">
        <x:f>_xlfn.IFNA(VLOOKUP(C299,Master!$J:$K,2,0),"")</x:f>
      </x:c>
      <x:c r="D299" s="4">
        <x:f>_xlfn.IFNA(VLOOKUP(E299,Master!$J:$K,2,0),"")</x:f>
      </x:c>
      <x:c r="F299" s="4">
        <x:f>_xlfn.IFNA(VLOOKUP(G299,Master!B:C,2,0),"")</x:f>
      </x:c>
      <x:c r="I299" s="3">
        <x:f>_xlfn.IFNA(VLOOKUP(E299,Master!$J:$M,4,0),"")</x:f>
      </x:c>
      <x:c r="J299" s="3">
        <x:f>_xlfn.IFNA(VLOOKUP($E299,Master!$J:$M,3,0),"")</x:f>
      </x:c>
      <x:c r="AC299" s="26">
        <x:f>SUM(K299:P299)</x:f>
      </x:c>
      <x:c r="AD299" s="26">
        <x:f>SUM(Q299:AB299)</x:f>
      </x:c>
    </x:row>
    <x:row r="300" spans="1:35" ht="15" customHeight="1">
      <x:c r="B300" s="3">
        <x:f>_xlfn.IFNA(VLOOKUP(C300,Master!$J:$K,2,0),"")</x:f>
      </x:c>
      <x:c r="D300" s="4">
        <x:f>_xlfn.IFNA(VLOOKUP(E300,Master!$J:$K,2,0),"")</x:f>
      </x:c>
      <x:c r="F300" s="4">
        <x:f>_xlfn.IFNA(VLOOKUP(G300,Master!B:C,2,0),"")</x:f>
      </x:c>
      <x:c r="I300" s="3">
        <x:f>_xlfn.IFNA(VLOOKUP(E300,Master!$J:$M,4,0),"")</x:f>
      </x:c>
      <x:c r="J300" s="3">
        <x:f>_xlfn.IFNA(VLOOKUP($E300,Master!$J:$M,3,0),"")</x:f>
      </x:c>
      <x:c r="AC300" s="26">
        <x:f>SUM(K300:P300)</x:f>
      </x:c>
      <x:c r="AD300" s="26">
        <x:f>SUM(Q300:AB300)</x:f>
      </x:c>
    </x:row>
    <x:row r="301" spans="1:35" ht="15" customHeight="1">
      <x:c r="B301" s="3">
        <x:f>_xlfn.IFNA(VLOOKUP(C301,Master!$J:$K,2,0),"")</x:f>
      </x:c>
      <x:c r="D301" s="4">
        <x:f>_xlfn.IFNA(VLOOKUP(E301,Master!$J:$K,2,0),"")</x:f>
      </x:c>
      <x:c r="F301" s="4">
        <x:f>_xlfn.IFNA(VLOOKUP(G301,Master!B:C,2,0),"")</x:f>
      </x:c>
      <x:c r="I301" s="3">
        <x:f>_xlfn.IFNA(VLOOKUP(E301,Master!$J:$M,4,0),"")</x:f>
      </x:c>
      <x:c r="J301" s="3">
        <x:f>_xlfn.IFNA(VLOOKUP($E301,Master!$J:$M,3,0),"")</x:f>
      </x:c>
      <x:c r="AC301" s="26">
        <x:f>SUM(K301:P301)</x:f>
      </x:c>
      <x:c r="AD301" s="26">
        <x:f>SUM(Q301:AB301)</x:f>
      </x:c>
    </x:row>
    <x:row r="302" spans="1:35" ht="15" customHeight="1">
      <x:c r="B302" s="3">
        <x:f>_xlfn.IFNA(VLOOKUP(C302,Master!$J:$K,2,0),"")</x:f>
      </x:c>
      <x:c r="D302" s="4">
        <x:f>_xlfn.IFNA(VLOOKUP(E302,Master!$J:$K,2,0),"")</x:f>
      </x:c>
      <x:c r="F302" s="4">
        <x:f>_xlfn.IFNA(VLOOKUP(G302,Master!B:C,2,0),"")</x:f>
      </x:c>
      <x:c r="I302" s="3">
        <x:f>_xlfn.IFNA(VLOOKUP(E302,Master!$J:$M,4,0),"")</x:f>
      </x:c>
      <x:c r="J302" s="3">
        <x:f>_xlfn.IFNA(VLOOKUP($E302,Master!$J:$M,3,0),"")</x:f>
      </x:c>
      <x:c r="AC302" s="26">
        <x:f>SUM(K302:P302)</x:f>
      </x:c>
      <x:c r="AD302" s="26">
        <x:f>SUM(Q302:AB302)</x:f>
      </x:c>
    </x:row>
    <x:row r="303" spans="1:35" ht="15" customHeight="1">
      <x:c r="B303" s="3">
        <x:f>_xlfn.IFNA(VLOOKUP(C303,Master!$J:$K,2,0),"")</x:f>
      </x:c>
      <x:c r="D303" s="4">
        <x:f>_xlfn.IFNA(VLOOKUP(E303,Master!$J:$K,2,0),"")</x:f>
      </x:c>
      <x:c r="F303" s="4">
        <x:f>_xlfn.IFNA(VLOOKUP(G303,Master!B:C,2,0),"")</x:f>
      </x:c>
      <x:c r="I303" s="3">
        <x:f>_xlfn.IFNA(VLOOKUP(E303,Master!$J:$M,4,0),"")</x:f>
      </x:c>
      <x:c r="J303" s="3">
        <x:f>_xlfn.IFNA(VLOOKUP($E303,Master!$J:$M,3,0),"")</x:f>
      </x:c>
      <x:c r="AC303" s="26">
        <x:f>SUM(K303:P303)</x:f>
      </x:c>
      <x:c r="AD303" s="26">
        <x:f>SUM(Q303:AB303)</x:f>
      </x:c>
    </x:row>
    <x:row r="304" spans="1:35" ht="15" customHeight="1">
      <x:c r="B304" s="3">
        <x:f>_xlfn.IFNA(VLOOKUP(C304,Master!$J:$K,2,0),"")</x:f>
      </x:c>
      <x:c r="D304" s="4">
        <x:f>_xlfn.IFNA(VLOOKUP(E304,Master!$J:$K,2,0),"")</x:f>
      </x:c>
      <x:c r="F304" s="4">
        <x:f>_xlfn.IFNA(VLOOKUP(G304,Master!B:C,2,0),"")</x:f>
      </x:c>
      <x:c r="I304" s="3">
        <x:f>_xlfn.IFNA(VLOOKUP(E304,Master!$J:$M,4,0),"")</x:f>
      </x:c>
      <x:c r="J304" s="3">
        <x:f>_xlfn.IFNA(VLOOKUP($E304,Master!$J:$M,3,0),"")</x:f>
      </x:c>
      <x:c r="AC304" s="26">
        <x:f>SUM(K304:P304)</x:f>
      </x:c>
      <x:c r="AD304" s="26">
        <x:f>SUM(Q304:AB304)</x:f>
      </x:c>
    </x:row>
    <x:row r="305" spans="1:35" ht="15" customHeight="1">
      <x:c r="B305" s="3">
        <x:f>_xlfn.IFNA(VLOOKUP(C305,Master!$J:$K,2,0),"")</x:f>
      </x:c>
      <x:c r="D305" s="4">
        <x:f>_xlfn.IFNA(VLOOKUP(E305,Master!$J:$K,2,0),"")</x:f>
      </x:c>
      <x:c r="F305" s="4">
        <x:f>_xlfn.IFNA(VLOOKUP(G305,Master!B:C,2,0),"")</x:f>
      </x:c>
      <x:c r="I305" s="3">
        <x:f>_xlfn.IFNA(VLOOKUP(E305,Master!$J:$M,4,0),"")</x:f>
      </x:c>
      <x:c r="J305" s="3">
        <x:f>_xlfn.IFNA(VLOOKUP($E305,Master!$J:$M,3,0),"")</x:f>
      </x:c>
      <x:c r="AC305" s="26">
        <x:f>SUM(K305:P305)</x:f>
      </x:c>
      <x:c r="AD305" s="26">
        <x:f>SUM(Q305:AB305)</x:f>
      </x:c>
    </x:row>
    <x:row r="306" spans="1:35" ht="15" customHeight="1">
      <x:c r="B306" s="3">
        <x:f>_xlfn.IFNA(VLOOKUP(C306,Master!$J:$K,2,0),"")</x:f>
      </x:c>
      <x:c r="D306" s="4">
        <x:f>_xlfn.IFNA(VLOOKUP(E306,Master!$J:$K,2,0),"")</x:f>
      </x:c>
      <x:c r="F306" s="4">
        <x:f>_xlfn.IFNA(VLOOKUP(G306,Master!B:C,2,0),"")</x:f>
      </x:c>
      <x:c r="I306" s="3">
        <x:f>_xlfn.IFNA(VLOOKUP(E306,Master!$J:$M,4,0),"")</x:f>
      </x:c>
      <x:c r="J306" s="3">
        <x:f>_xlfn.IFNA(VLOOKUP($E306,Master!$J:$M,3,0),"")</x:f>
      </x:c>
      <x:c r="AC306" s="26">
        <x:f>SUM(K306:P306)</x:f>
      </x:c>
      <x:c r="AD306" s="26">
        <x:f>SUM(Q306:AB306)</x:f>
      </x:c>
    </x:row>
    <x:row r="307" spans="1:35" ht="15" customHeight="1">
      <x:c r="B307" s="3">
        <x:f>_xlfn.IFNA(VLOOKUP(C307,Master!$J:$K,2,0),"")</x:f>
      </x:c>
      <x:c r="D307" s="4">
        <x:f>_xlfn.IFNA(VLOOKUP(E307,Master!$J:$K,2,0),"")</x:f>
      </x:c>
      <x:c r="F307" s="4">
        <x:f>_xlfn.IFNA(VLOOKUP(G307,Master!B:C,2,0),"")</x:f>
      </x:c>
      <x:c r="I307" s="3">
        <x:f>_xlfn.IFNA(VLOOKUP(E307,Master!$J:$M,4,0),"")</x:f>
      </x:c>
      <x:c r="J307" s="3">
        <x:f>_xlfn.IFNA(VLOOKUP($E307,Master!$J:$M,3,0),"")</x:f>
      </x:c>
      <x:c r="AC307" s="26">
        <x:f>SUM(K307:P307)</x:f>
      </x:c>
      <x:c r="AD307" s="26">
        <x:f>SUM(Q307:AB307)</x:f>
      </x:c>
    </x:row>
    <x:row r="308" spans="1:35" ht="15" customHeight="1">
      <x:c r="B308" s="3">
        <x:f>_xlfn.IFNA(VLOOKUP(C308,Master!$J:$K,2,0),"")</x:f>
      </x:c>
      <x:c r="D308" s="4">
        <x:f>_xlfn.IFNA(VLOOKUP(E308,Master!$J:$K,2,0),"")</x:f>
      </x:c>
      <x:c r="F308" s="4">
        <x:f>_xlfn.IFNA(VLOOKUP(G308,Master!B:C,2,0),"")</x:f>
      </x:c>
      <x:c r="I308" s="3">
        <x:f>_xlfn.IFNA(VLOOKUP(E308,Master!$J:$M,4,0),"")</x:f>
      </x:c>
      <x:c r="J308" s="3">
        <x:f>_xlfn.IFNA(VLOOKUP($E308,Master!$J:$M,3,0),"")</x:f>
      </x:c>
      <x:c r="AC308" s="26">
        <x:f>SUM(K308:P308)</x:f>
      </x:c>
      <x:c r="AD308" s="26">
        <x:f>SUM(Q308:AB308)</x:f>
      </x:c>
    </x:row>
    <x:row r="309" spans="1:35" ht="15" customHeight="1">
      <x:c r="B309" s="3">
        <x:f>_xlfn.IFNA(VLOOKUP(C309,Master!$J:$K,2,0),"")</x:f>
      </x:c>
      <x:c r="D309" s="4">
        <x:f>_xlfn.IFNA(VLOOKUP(E309,Master!$J:$K,2,0),"")</x:f>
      </x:c>
      <x:c r="F309" s="4">
        <x:f>_xlfn.IFNA(VLOOKUP(G309,Master!B:C,2,0),"")</x:f>
      </x:c>
      <x:c r="I309" s="3">
        <x:f>_xlfn.IFNA(VLOOKUP(E309,Master!$J:$M,4,0),"")</x:f>
      </x:c>
      <x:c r="J309" s="3">
        <x:f>_xlfn.IFNA(VLOOKUP($E309,Master!$J:$M,3,0),"")</x:f>
      </x:c>
      <x:c r="AC309" s="26">
        <x:f>SUM(K309:P309)</x:f>
      </x:c>
      <x:c r="AD309" s="26">
        <x:f>SUM(Q309:AB309)</x:f>
      </x:c>
    </x:row>
    <x:row r="310" spans="1:35" ht="15" customHeight="1">
      <x:c r="B310" s="3">
        <x:f>_xlfn.IFNA(VLOOKUP(C310,Master!$J:$K,2,0),"")</x:f>
      </x:c>
      <x:c r="D310" s="4">
        <x:f>_xlfn.IFNA(VLOOKUP(E310,Master!$J:$K,2,0),"")</x:f>
      </x:c>
      <x:c r="F310" s="4">
        <x:f>_xlfn.IFNA(VLOOKUP(G310,Master!B:C,2,0),"")</x:f>
      </x:c>
      <x:c r="I310" s="3">
        <x:f>_xlfn.IFNA(VLOOKUP(E310,Master!$J:$M,4,0),"")</x:f>
      </x:c>
      <x:c r="J310" s="3">
        <x:f>_xlfn.IFNA(VLOOKUP($E310,Master!$J:$M,3,0),"")</x:f>
      </x:c>
      <x:c r="AC310" s="26">
        <x:f>SUM(K310:P310)</x:f>
      </x:c>
      <x:c r="AD310" s="26">
        <x:f>SUM(Q310:AB310)</x:f>
      </x:c>
    </x:row>
    <x:row r="311" spans="1:35" ht="15" customHeight="1">
      <x:c r="B311" s="3">
        <x:f>_xlfn.IFNA(VLOOKUP(C311,Master!$J:$K,2,0),"")</x:f>
      </x:c>
      <x:c r="D311" s="4">
        <x:f>_xlfn.IFNA(VLOOKUP(E311,Master!$J:$K,2,0),"")</x:f>
      </x:c>
      <x:c r="F311" s="4">
        <x:f>_xlfn.IFNA(VLOOKUP(G311,Master!B:C,2,0),"")</x:f>
      </x:c>
      <x:c r="I311" s="3">
        <x:f>_xlfn.IFNA(VLOOKUP(E311,Master!$J:$M,4,0),"")</x:f>
      </x:c>
      <x:c r="J311" s="3">
        <x:f>_xlfn.IFNA(VLOOKUP($E311,Master!$J:$M,3,0),"")</x:f>
      </x:c>
      <x:c r="AC311" s="26">
        <x:f>SUM(K311:P311)</x:f>
      </x:c>
      <x:c r="AD311" s="26">
        <x:f>SUM(Q311:AB311)</x:f>
      </x:c>
    </x:row>
    <x:row r="312" spans="1:35" ht="15" customHeight="1">
      <x:c r="B312" s="3">
        <x:f>_xlfn.IFNA(VLOOKUP(C312,Master!$J:$K,2,0),"")</x:f>
      </x:c>
      <x:c r="D312" s="4">
        <x:f>_xlfn.IFNA(VLOOKUP(E312,Master!$J:$K,2,0),"")</x:f>
      </x:c>
      <x:c r="F312" s="4">
        <x:f>_xlfn.IFNA(VLOOKUP(G312,Master!B:C,2,0),"")</x:f>
      </x:c>
      <x:c r="I312" s="3">
        <x:f>_xlfn.IFNA(VLOOKUP(E312,Master!$J:$M,4,0),"")</x:f>
      </x:c>
      <x:c r="J312" s="3">
        <x:f>_xlfn.IFNA(VLOOKUP($E312,Master!$J:$M,3,0),"")</x:f>
      </x:c>
      <x:c r="AC312" s="26">
        <x:f>SUM(K312:P312)</x:f>
      </x:c>
      <x:c r="AD312" s="26">
        <x:f>SUM(Q312:AB312)</x:f>
      </x:c>
    </x:row>
    <x:row r="313" spans="1:35" ht="15" customHeight="1">
      <x:c r="B313" s="3">
        <x:f>_xlfn.IFNA(VLOOKUP(C313,Master!$J:$K,2,0),"")</x:f>
      </x:c>
      <x:c r="D313" s="4">
        <x:f>_xlfn.IFNA(VLOOKUP(E313,Master!$J:$K,2,0),"")</x:f>
      </x:c>
      <x:c r="F313" s="4">
        <x:f>_xlfn.IFNA(VLOOKUP(G313,Master!B:C,2,0),"")</x:f>
      </x:c>
      <x:c r="I313" s="3">
        <x:f>_xlfn.IFNA(VLOOKUP(E313,Master!$J:$M,4,0),"")</x:f>
      </x:c>
      <x:c r="J313" s="3">
        <x:f>_xlfn.IFNA(VLOOKUP($E313,Master!$J:$M,3,0),"")</x:f>
      </x:c>
      <x:c r="AC313" s="26">
        <x:f>SUM(K313:P313)</x:f>
      </x:c>
      <x:c r="AD313" s="26">
        <x:f>SUM(Q313:AB313)</x:f>
      </x:c>
    </x:row>
    <x:row r="314" spans="1:35" ht="15" customHeight="1">
      <x:c r="B314" s="3">
        <x:f>_xlfn.IFNA(VLOOKUP(C314,Master!$J:$K,2,0),"")</x:f>
      </x:c>
      <x:c r="D314" s="4">
        <x:f>_xlfn.IFNA(VLOOKUP(E314,Master!$J:$K,2,0),"")</x:f>
      </x:c>
      <x:c r="F314" s="4">
        <x:f>_xlfn.IFNA(VLOOKUP(G314,Master!B:C,2,0),"")</x:f>
      </x:c>
      <x:c r="I314" s="3">
        <x:f>_xlfn.IFNA(VLOOKUP(E314,Master!$J:$M,4,0),"")</x:f>
      </x:c>
      <x:c r="J314" s="3">
        <x:f>_xlfn.IFNA(VLOOKUP($E314,Master!$J:$M,3,0),"")</x:f>
      </x:c>
      <x:c r="AC314" s="26">
        <x:f>SUM(K314:P314)</x:f>
      </x:c>
      <x:c r="AD314" s="26">
        <x:f>SUM(Q314:AB314)</x:f>
      </x:c>
    </x:row>
    <x:row r="315" spans="1:35" ht="15" customHeight="1">
      <x:c r="B315" s="3">
        <x:f>_xlfn.IFNA(VLOOKUP(C315,Master!$J:$K,2,0),"")</x:f>
      </x:c>
      <x:c r="D315" s="4">
        <x:f>_xlfn.IFNA(VLOOKUP(E315,Master!$J:$K,2,0),"")</x:f>
      </x:c>
      <x:c r="F315" s="4">
        <x:f>_xlfn.IFNA(VLOOKUP(G315,Master!B:C,2,0),"")</x:f>
      </x:c>
      <x:c r="I315" s="3">
        <x:f>_xlfn.IFNA(VLOOKUP(E315,Master!$J:$M,4,0),"")</x:f>
      </x:c>
      <x:c r="J315" s="3">
        <x:f>_xlfn.IFNA(VLOOKUP($E315,Master!$J:$M,3,0),"")</x:f>
      </x:c>
      <x:c r="AC315" s="26">
        <x:f>SUM(K315:P315)</x:f>
      </x:c>
      <x:c r="AD315" s="26">
        <x:f>SUM(Q315:AB315)</x:f>
      </x:c>
    </x:row>
    <x:row r="316" spans="1:35" ht="15" customHeight="1">
      <x:c r="B316" s="3">
        <x:f>_xlfn.IFNA(VLOOKUP(C316,Master!$J:$K,2,0),"")</x:f>
      </x:c>
      <x:c r="D316" s="4">
        <x:f>_xlfn.IFNA(VLOOKUP(E316,Master!$J:$K,2,0),"")</x:f>
      </x:c>
      <x:c r="F316" s="4">
        <x:f>_xlfn.IFNA(VLOOKUP(G316,Master!B:C,2,0),"")</x:f>
      </x:c>
      <x:c r="I316" s="3">
        <x:f>_xlfn.IFNA(VLOOKUP(E316,Master!$J:$M,4,0),"")</x:f>
      </x:c>
      <x:c r="J316" s="3">
        <x:f>_xlfn.IFNA(VLOOKUP($E316,Master!$J:$M,3,0),"")</x:f>
      </x:c>
      <x:c r="AC316" s="26">
        <x:f>SUM(K316:P316)</x:f>
      </x:c>
      <x:c r="AD316" s="26">
        <x:f>SUM(Q316:AB316)</x:f>
      </x:c>
    </x:row>
    <x:row r="317" spans="1:35" ht="15" customHeight="1">
      <x:c r="B317" s="3">
        <x:f>_xlfn.IFNA(VLOOKUP(C317,Master!$J:$K,2,0),"")</x:f>
      </x:c>
      <x:c r="D317" s="4">
        <x:f>_xlfn.IFNA(VLOOKUP(E317,Master!$J:$K,2,0),"")</x:f>
      </x:c>
      <x:c r="F317" s="4">
        <x:f>_xlfn.IFNA(VLOOKUP(G317,Master!B:C,2,0),"")</x:f>
      </x:c>
      <x:c r="I317" s="3">
        <x:f>_xlfn.IFNA(VLOOKUP(E317,Master!$J:$M,4,0),"")</x:f>
      </x:c>
      <x:c r="J317" s="3">
        <x:f>_xlfn.IFNA(VLOOKUP($E317,Master!$J:$M,3,0),"")</x:f>
      </x:c>
      <x:c r="AC317" s="26">
        <x:f>SUM(K317:P317)</x:f>
      </x:c>
      <x:c r="AD317" s="26">
        <x:f>SUM(Q317:AB317)</x:f>
      </x:c>
    </x:row>
    <x:row r="318" spans="1:35" ht="15" customHeight="1">
      <x:c r="B318" s="3">
        <x:f>_xlfn.IFNA(VLOOKUP(C318,Master!$J:$K,2,0),"")</x:f>
      </x:c>
      <x:c r="D318" s="4">
        <x:f>_xlfn.IFNA(VLOOKUP(E318,Master!$J:$K,2,0),"")</x:f>
      </x:c>
      <x:c r="F318" s="4">
        <x:f>_xlfn.IFNA(VLOOKUP(G318,Master!B:C,2,0),"")</x:f>
      </x:c>
      <x:c r="I318" s="3">
        <x:f>_xlfn.IFNA(VLOOKUP(E318,Master!$J:$M,4,0),"")</x:f>
      </x:c>
      <x:c r="J318" s="3">
        <x:f>_xlfn.IFNA(VLOOKUP($E318,Master!$J:$M,3,0),"")</x:f>
      </x:c>
      <x:c r="AC318" s="26">
        <x:f>SUM(K318:P318)</x:f>
      </x:c>
      <x:c r="AD318" s="26">
        <x:f>SUM(Q318:AB318)</x:f>
      </x:c>
    </x:row>
    <x:row r="319" spans="1:35" ht="15" customHeight="1">
      <x:c r="B319" s="3">
        <x:f>_xlfn.IFNA(VLOOKUP(C319,Master!$J:$K,2,0),"")</x:f>
      </x:c>
      <x:c r="D319" s="4">
        <x:f>_xlfn.IFNA(VLOOKUP(E319,Master!$J:$K,2,0),"")</x:f>
      </x:c>
      <x:c r="F319" s="4">
        <x:f>_xlfn.IFNA(VLOOKUP(G319,Master!B:C,2,0),"")</x:f>
      </x:c>
      <x:c r="I319" s="3">
        <x:f>_xlfn.IFNA(VLOOKUP(E319,Master!$J:$M,4,0),"")</x:f>
      </x:c>
      <x:c r="J319" s="3">
        <x:f>_xlfn.IFNA(VLOOKUP($E319,Master!$J:$M,3,0),"")</x:f>
      </x:c>
      <x:c r="AC319" s="26">
        <x:f>SUM(K319:P319)</x:f>
      </x:c>
      <x:c r="AD319" s="26">
        <x:f>SUM(Q319:AB319)</x:f>
      </x:c>
    </x:row>
    <x:row r="320" spans="1:35" ht="15" customHeight="1">
      <x:c r="B320" s="3">
        <x:f>_xlfn.IFNA(VLOOKUP(C320,Master!$J:$K,2,0),"")</x:f>
      </x:c>
      <x:c r="D320" s="4">
        <x:f>_xlfn.IFNA(VLOOKUP(E320,Master!$J:$K,2,0),"")</x:f>
      </x:c>
      <x:c r="F320" s="4">
        <x:f>_xlfn.IFNA(VLOOKUP(G320,Master!B:C,2,0),"")</x:f>
      </x:c>
      <x:c r="I320" s="3">
        <x:f>_xlfn.IFNA(VLOOKUP(E320,Master!$J:$M,4,0),"")</x:f>
      </x:c>
      <x:c r="J320" s="3">
        <x:f>_xlfn.IFNA(VLOOKUP($E320,Master!$J:$M,3,0),"")</x:f>
      </x:c>
      <x:c r="AC320" s="26">
        <x:f>SUM(K320:P320)</x:f>
      </x:c>
      <x:c r="AD320" s="26">
        <x:f>SUM(Q320:AB320)</x:f>
      </x:c>
    </x:row>
    <x:row r="321" spans="1:35" ht="15" customHeight="1">
      <x:c r="B321" s="3">
        <x:f>_xlfn.IFNA(VLOOKUP(C321,Master!$J:$K,2,0),"")</x:f>
      </x:c>
      <x:c r="D321" s="4">
        <x:f>_xlfn.IFNA(VLOOKUP(E321,Master!$J:$K,2,0),"")</x:f>
      </x:c>
      <x:c r="F321" s="4">
        <x:f>_xlfn.IFNA(VLOOKUP(G321,Master!B:C,2,0),"")</x:f>
      </x:c>
      <x:c r="I321" s="3">
        <x:f>_xlfn.IFNA(VLOOKUP(E321,Master!$J:$M,4,0),"")</x:f>
      </x:c>
      <x:c r="J321" s="3">
        <x:f>_xlfn.IFNA(VLOOKUP($E321,Master!$J:$M,3,0),"")</x:f>
      </x:c>
      <x:c r="AC321" s="26">
        <x:f>SUM(K321:P321)</x:f>
      </x:c>
      <x:c r="AD321" s="26">
        <x:f>SUM(Q321:AB321)</x:f>
      </x:c>
    </x:row>
    <x:row r="322" spans="1:35" ht="15" customHeight="1">
      <x:c r="B322" s="3">
        <x:f>_xlfn.IFNA(VLOOKUP(C322,Master!$J:$K,2,0),"")</x:f>
      </x:c>
      <x:c r="D322" s="4">
        <x:f>_xlfn.IFNA(VLOOKUP(E322,Master!$J:$K,2,0),"")</x:f>
      </x:c>
      <x:c r="F322" s="4">
        <x:f>_xlfn.IFNA(VLOOKUP(G322,Master!B:C,2,0),"")</x:f>
      </x:c>
      <x:c r="I322" s="3">
        <x:f>_xlfn.IFNA(VLOOKUP(E322,Master!$J:$M,4,0),"")</x:f>
      </x:c>
      <x:c r="J322" s="3">
        <x:f>_xlfn.IFNA(VLOOKUP($E322,Master!$J:$M,3,0),"")</x:f>
      </x:c>
      <x:c r="AC322" s="26">
        <x:f>SUM(K322:P322)</x:f>
      </x:c>
      <x:c r="AD322" s="26">
        <x:f>SUM(Q322:AB322)</x:f>
      </x:c>
    </x:row>
    <x:row r="323" spans="1:35" ht="15" customHeight="1">
      <x:c r="B323" s="3">
        <x:f>_xlfn.IFNA(VLOOKUP(C323,Master!$J:$K,2,0),"")</x:f>
      </x:c>
      <x:c r="D323" s="4">
        <x:f>_xlfn.IFNA(VLOOKUP(E323,Master!$J:$K,2,0),"")</x:f>
      </x:c>
      <x:c r="F323" s="4">
        <x:f>_xlfn.IFNA(VLOOKUP(G323,Master!B:C,2,0),"")</x:f>
      </x:c>
      <x:c r="I323" s="3">
        <x:f>_xlfn.IFNA(VLOOKUP(E323,Master!$J:$M,4,0),"")</x:f>
      </x:c>
      <x:c r="J323" s="3">
        <x:f>_xlfn.IFNA(VLOOKUP($E323,Master!$J:$M,3,0),"")</x:f>
      </x:c>
      <x:c r="AC323" s="26">
        <x:f>SUM(K323:P323)</x:f>
      </x:c>
      <x:c r="AD323" s="26">
        <x:f>SUM(Q323:AB323)</x:f>
      </x:c>
    </x:row>
    <x:row r="324" spans="1:35" ht="15" customHeight="1">
      <x:c r="B324" s="3">
        <x:f>_xlfn.IFNA(VLOOKUP(C324,Master!$J:$K,2,0),"")</x:f>
      </x:c>
      <x:c r="D324" s="4">
        <x:f>_xlfn.IFNA(VLOOKUP(E324,Master!$J:$K,2,0),"")</x:f>
      </x:c>
      <x:c r="F324" s="4">
        <x:f>_xlfn.IFNA(VLOOKUP(G324,Master!B:C,2,0),"")</x:f>
      </x:c>
      <x:c r="I324" s="3">
        <x:f>_xlfn.IFNA(VLOOKUP(E324,Master!$J:$M,4,0),"")</x:f>
      </x:c>
      <x:c r="J324" s="3">
        <x:f>_xlfn.IFNA(VLOOKUP($E324,Master!$J:$M,3,0),"")</x:f>
      </x:c>
      <x:c r="AC324" s="26">
        <x:f>SUM(K324:P324)</x:f>
      </x:c>
      <x:c r="AD324" s="26">
        <x:f>SUM(Q324:AB324)</x:f>
      </x:c>
    </x:row>
    <x:row r="325" spans="1:35" ht="15" customHeight="1">
      <x:c r="B325" s="3">
        <x:f>_xlfn.IFNA(VLOOKUP(C325,Master!$J:$K,2,0),"")</x:f>
      </x:c>
      <x:c r="D325" s="4">
        <x:f>_xlfn.IFNA(VLOOKUP(E325,Master!$J:$K,2,0),"")</x:f>
      </x:c>
      <x:c r="F325" s="4">
        <x:f>_xlfn.IFNA(VLOOKUP(G325,Master!B:C,2,0),"")</x:f>
      </x:c>
      <x:c r="I325" s="3">
        <x:f>_xlfn.IFNA(VLOOKUP(E325,Master!$J:$M,4,0),"")</x:f>
      </x:c>
      <x:c r="J325" s="3">
        <x:f>_xlfn.IFNA(VLOOKUP($E325,Master!$J:$M,3,0),"")</x:f>
      </x:c>
      <x:c r="AC325" s="26">
        <x:f>SUM(K325:P325)</x:f>
      </x:c>
      <x:c r="AD325" s="26">
        <x:f>SUM(Q325:AB325)</x:f>
      </x:c>
    </x:row>
    <x:row r="326" spans="1:35" ht="15" customHeight="1">
      <x:c r="B326" s="3">
        <x:f>_xlfn.IFNA(VLOOKUP(C326,Master!$J:$K,2,0),"")</x:f>
      </x:c>
      <x:c r="D326" s="4">
        <x:f>_xlfn.IFNA(VLOOKUP(E326,Master!$J:$K,2,0),"")</x:f>
      </x:c>
      <x:c r="F326" s="4">
        <x:f>_xlfn.IFNA(VLOOKUP(G326,Master!B:C,2,0),"")</x:f>
      </x:c>
      <x:c r="I326" s="3">
        <x:f>_xlfn.IFNA(VLOOKUP(E326,Master!$J:$M,4,0),"")</x:f>
      </x:c>
      <x:c r="J326" s="3">
        <x:f>_xlfn.IFNA(VLOOKUP($E326,Master!$J:$M,3,0),"")</x:f>
      </x:c>
      <x:c r="AC326" s="26">
        <x:f>SUM(K326:P326)</x:f>
      </x:c>
      <x:c r="AD326" s="26">
        <x:f>SUM(Q326:AB326)</x:f>
      </x:c>
    </x:row>
    <x:row r="327" spans="1:35" ht="15" customHeight="1">
      <x:c r="B327" s="3">
        <x:f>_xlfn.IFNA(VLOOKUP(C327,Master!$J:$K,2,0),"")</x:f>
      </x:c>
      <x:c r="D327" s="4">
        <x:f>_xlfn.IFNA(VLOOKUP(E327,Master!$J:$K,2,0),"")</x:f>
      </x:c>
      <x:c r="F327" s="4">
        <x:f>_xlfn.IFNA(VLOOKUP(G327,Master!B:C,2,0),"")</x:f>
      </x:c>
      <x:c r="I327" s="3">
        <x:f>_xlfn.IFNA(VLOOKUP(E327,Master!$J:$M,4,0),"")</x:f>
      </x:c>
      <x:c r="J327" s="3">
        <x:f>_xlfn.IFNA(VLOOKUP($E327,Master!$J:$M,3,0),"")</x:f>
      </x:c>
      <x:c r="AC327" s="26">
        <x:f>SUM(K327:P327)</x:f>
      </x:c>
      <x:c r="AD327" s="26">
        <x:f>SUM(Q327:AB327)</x:f>
      </x:c>
    </x:row>
    <x:row r="328" spans="1:35" ht="15" customHeight="1">
      <x:c r="B328" s="3">
        <x:f>_xlfn.IFNA(VLOOKUP(C328,Master!$J:$K,2,0),"")</x:f>
      </x:c>
      <x:c r="D328" s="4">
        <x:f>_xlfn.IFNA(VLOOKUP(E328,Master!$J:$K,2,0),"")</x:f>
      </x:c>
      <x:c r="F328" s="4">
        <x:f>_xlfn.IFNA(VLOOKUP(G328,Master!B:C,2,0),"")</x:f>
      </x:c>
      <x:c r="I328" s="3">
        <x:f>_xlfn.IFNA(VLOOKUP(E328,Master!$J:$M,4,0),"")</x:f>
      </x:c>
      <x:c r="J328" s="3">
        <x:f>_xlfn.IFNA(VLOOKUP($E328,Master!$J:$M,3,0),"")</x:f>
      </x:c>
      <x:c r="AC328" s="26">
        <x:f>SUM(K328:P328)</x:f>
      </x:c>
      <x:c r="AD328" s="26">
        <x:f>SUM(Q328:AB328)</x:f>
      </x:c>
    </x:row>
    <x:row r="329" spans="1:35" ht="15" customHeight="1">
      <x:c r="B329" s="3">
        <x:f>_xlfn.IFNA(VLOOKUP(C329,Master!$J:$K,2,0),"")</x:f>
      </x:c>
      <x:c r="D329" s="4">
        <x:f>_xlfn.IFNA(VLOOKUP(E329,Master!$J:$K,2,0),"")</x:f>
      </x:c>
      <x:c r="F329" s="4">
        <x:f>_xlfn.IFNA(VLOOKUP(G329,Master!B:C,2,0),"")</x:f>
      </x:c>
      <x:c r="I329" s="3">
        <x:f>_xlfn.IFNA(VLOOKUP(E329,Master!$J:$M,4,0),"")</x:f>
      </x:c>
      <x:c r="J329" s="3">
        <x:f>_xlfn.IFNA(VLOOKUP($E329,Master!$J:$M,3,0),"")</x:f>
      </x:c>
      <x:c r="AC329" s="26">
        <x:f>SUM(K329:P329)</x:f>
      </x:c>
      <x:c r="AD329" s="26">
        <x:f>SUM(Q329:AB329)</x:f>
      </x:c>
    </x:row>
    <x:row r="330" spans="1:35" ht="15" customHeight="1">
      <x:c r="B330" s="3">
        <x:f>_xlfn.IFNA(VLOOKUP(C330,Master!$J:$K,2,0),"")</x:f>
      </x:c>
      <x:c r="D330" s="4">
        <x:f>_xlfn.IFNA(VLOOKUP(E330,Master!$J:$K,2,0),"")</x:f>
      </x:c>
      <x:c r="F330" s="4">
        <x:f>_xlfn.IFNA(VLOOKUP(G330,Master!B:C,2,0),"")</x:f>
      </x:c>
      <x:c r="I330" s="3">
        <x:f>_xlfn.IFNA(VLOOKUP(E330,Master!$J:$M,4,0),"")</x:f>
      </x:c>
      <x:c r="J330" s="3">
        <x:f>_xlfn.IFNA(VLOOKUP($E330,Master!$J:$M,3,0),"")</x:f>
      </x:c>
      <x:c r="AC330" s="26">
        <x:f>SUM(K330:P330)</x:f>
      </x:c>
      <x:c r="AD330" s="26">
        <x:f>SUM(Q330:AB330)</x:f>
      </x:c>
    </x:row>
    <x:row r="331" spans="1:35" ht="15" customHeight="1">
      <x:c r="B331" s="3">
        <x:f>_xlfn.IFNA(VLOOKUP(C331,Master!$J:$K,2,0),"")</x:f>
      </x:c>
      <x:c r="D331" s="4">
        <x:f>_xlfn.IFNA(VLOOKUP(E331,Master!$J:$K,2,0),"")</x:f>
      </x:c>
      <x:c r="F331" s="4">
        <x:f>_xlfn.IFNA(VLOOKUP(G331,Master!B:C,2,0),"")</x:f>
      </x:c>
      <x:c r="I331" s="3">
        <x:f>_xlfn.IFNA(VLOOKUP(E331,Master!$J:$M,4,0),"")</x:f>
      </x:c>
      <x:c r="J331" s="3">
        <x:f>_xlfn.IFNA(VLOOKUP($E331,Master!$J:$M,3,0),"")</x:f>
      </x:c>
      <x:c r="AC331" s="26">
        <x:f>SUM(K331:P331)</x:f>
      </x:c>
      <x:c r="AD331" s="26">
        <x:f>SUM(Q331:AB331)</x:f>
      </x:c>
    </x:row>
    <x:row r="332" spans="1:35" ht="15" customHeight="1">
      <x:c r="B332" s="3">
        <x:f>_xlfn.IFNA(VLOOKUP(C332,Master!$J:$K,2,0),"")</x:f>
      </x:c>
      <x:c r="D332" s="4">
        <x:f>_xlfn.IFNA(VLOOKUP(E332,Master!$J:$K,2,0),"")</x:f>
      </x:c>
      <x:c r="F332" s="4">
        <x:f>_xlfn.IFNA(VLOOKUP(G332,Master!B:C,2,0),"")</x:f>
      </x:c>
      <x:c r="I332" s="3">
        <x:f>_xlfn.IFNA(VLOOKUP(E332,Master!$J:$M,4,0),"")</x:f>
      </x:c>
      <x:c r="J332" s="3">
        <x:f>_xlfn.IFNA(VLOOKUP($E332,Master!$J:$M,3,0),"")</x:f>
      </x:c>
      <x:c r="AC332" s="26">
        <x:f>SUM(K332:P332)</x:f>
      </x:c>
      <x:c r="AD332" s="26">
        <x:f>SUM(Q332:AB332)</x:f>
      </x:c>
    </x:row>
    <x:row r="333" spans="1:35" ht="15" customHeight="1">
      <x:c r="B333" s="3">
        <x:f>_xlfn.IFNA(VLOOKUP(C333,Master!$J:$K,2,0),"")</x:f>
      </x:c>
      <x:c r="D333" s="4">
        <x:f>_xlfn.IFNA(VLOOKUP(E333,Master!$J:$K,2,0),"")</x:f>
      </x:c>
      <x:c r="F333" s="4">
        <x:f>_xlfn.IFNA(VLOOKUP(G333,Master!B:C,2,0),"")</x:f>
      </x:c>
      <x:c r="I333" s="3">
        <x:f>_xlfn.IFNA(VLOOKUP(E333,Master!$J:$M,4,0),"")</x:f>
      </x:c>
      <x:c r="J333" s="3">
        <x:f>_xlfn.IFNA(VLOOKUP($E333,Master!$J:$M,3,0),"")</x:f>
      </x:c>
      <x:c r="AC333" s="26">
        <x:f>SUM(K333:P333)</x:f>
      </x:c>
      <x:c r="AD333" s="26">
        <x:f>SUM(Q333:AB333)</x:f>
      </x:c>
    </x:row>
    <x:row r="334" spans="1:35" ht="15" customHeight="1">
      <x:c r="B334" s="3">
        <x:f>_xlfn.IFNA(VLOOKUP(C334,Master!$J:$K,2,0),"")</x:f>
      </x:c>
      <x:c r="D334" s="4">
        <x:f>_xlfn.IFNA(VLOOKUP(E334,Master!$J:$K,2,0),"")</x:f>
      </x:c>
      <x:c r="F334" s="4">
        <x:f>_xlfn.IFNA(VLOOKUP(G334,Master!B:C,2,0),"")</x:f>
      </x:c>
      <x:c r="I334" s="3">
        <x:f>_xlfn.IFNA(VLOOKUP(E334,Master!$J:$M,4,0),"")</x:f>
      </x:c>
      <x:c r="J334" s="3">
        <x:f>_xlfn.IFNA(VLOOKUP($E334,Master!$J:$M,3,0),"")</x:f>
      </x:c>
      <x:c r="AC334" s="26">
        <x:f>SUM(K334:P334)</x:f>
      </x:c>
      <x:c r="AD334" s="26">
        <x:f>SUM(Q334:AB334)</x:f>
      </x:c>
    </x:row>
    <x:row r="335" spans="1:35" ht="15" customHeight="1">
      <x:c r="B335" s="3">
        <x:f>_xlfn.IFNA(VLOOKUP(C335,Master!$J:$K,2,0),"")</x:f>
      </x:c>
      <x:c r="D335" s="4">
        <x:f>_xlfn.IFNA(VLOOKUP(E335,Master!$J:$K,2,0),"")</x:f>
      </x:c>
      <x:c r="F335" s="4">
        <x:f>_xlfn.IFNA(VLOOKUP(G335,Master!B:C,2,0),"")</x:f>
      </x:c>
      <x:c r="I335" s="3">
        <x:f>_xlfn.IFNA(VLOOKUP(E335,Master!$J:$M,4,0),"")</x:f>
      </x:c>
      <x:c r="J335" s="3">
        <x:f>_xlfn.IFNA(VLOOKUP($E335,Master!$J:$M,3,0),"")</x:f>
      </x:c>
      <x:c r="AC335" s="26">
        <x:f>SUM(K335:P335)</x:f>
      </x:c>
      <x:c r="AD335" s="26">
        <x:f>SUM(Q335:AB335)</x:f>
      </x:c>
    </x:row>
    <x:row r="336" spans="1:35" ht="15" customHeight="1">
      <x:c r="B336" s="3">
        <x:f>_xlfn.IFNA(VLOOKUP(C336,Master!$J:$K,2,0),"")</x:f>
      </x:c>
      <x:c r="D336" s="4">
        <x:f>_xlfn.IFNA(VLOOKUP(E336,Master!$J:$K,2,0),"")</x:f>
      </x:c>
      <x:c r="F336" s="4">
        <x:f>_xlfn.IFNA(VLOOKUP(G336,Master!B:C,2,0),"")</x:f>
      </x:c>
      <x:c r="I336" s="3">
        <x:f>_xlfn.IFNA(VLOOKUP(E336,Master!$J:$M,4,0),"")</x:f>
      </x:c>
      <x:c r="J336" s="3">
        <x:f>_xlfn.IFNA(VLOOKUP($E336,Master!$J:$M,3,0),"")</x:f>
      </x:c>
      <x:c r="AC336" s="26">
        <x:f>SUM(K336:P336)</x:f>
      </x:c>
      <x:c r="AD336" s="26">
        <x:f>SUM(Q336:AB336)</x:f>
      </x:c>
    </x:row>
    <x:row r="337" spans="1:35" ht="15" customHeight="1">
      <x:c r="B337" s="3">
        <x:f>_xlfn.IFNA(VLOOKUP(C337,Master!$J:$K,2,0),"")</x:f>
      </x:c>
      <x:c r="D337" s="4">
        <x:f>_xlfn.IFNA(VLOOKUP(E337,Master!$J:$K,2,0),"")</x:f>
      </x:c>
      <x:c r="F337" s="4">
        <x:f>_xlfn.IFNA(VLOOKUP(G337,Master!B:C,2,0),"")</x:f>
      </x:c>
      <x:c r="I337" s="3">
        <x:f>_xlfn.IFNA(VLOOKUP(E337,Master!$J:$M,4,0),"")</x:f>
      </x:c>
      <x:c r="J337" s="3">
        <x:f>_xlfn.IFNA(VLOOKUP($E337,Master!$J:$M,3,0),"")</x:f>
      </x:c>
      <x:c r="AC337" s="26">
        <x:f>SUM(K337:P337)</x:f>
      </x:c>
      <x:c r="AD337" s="26">
        <x:f>SUM(Q337:AB337)</x:f>
      </x:c>
    </x:row>
    <x:row r="338" spans="1:35" ht="15" customHeight="1">
      <x:c r="B338" s="3">
        <x:f>_xlfn.IFNA(VLOOKUP(C338,Master!$J:$K,2,0),"")</x:f>
      </x:c>
      <x:c r="D338" s="4">
        <x:f>_xlfn.IFNA(VLOOKUP(E338,Master!$J:$K,2,0),"")</x:f>
      </x:c>
      <x:c r="F338" s="4">
        <x:f>_xlfn.IFNA(VLOOKUP(G338,Master!B:C,2,0),"")</x:f>
      </x:c>
      <x:c r="I338" s="3">
        <x:f>_xlfn.IFNA(VLOOKUP(E338,Master!$J:$M,4,0),"")</x:f>
      </x:c>
      <x:c r="J338" s="3">
        <x:f>_xlfn.IFNA(VLOOKUP($E338,Master!$J:$M,3,0),"")</x:f>
      </x:c>
      <x:c r="AC338" s="26">
        <x:f>SUM(K338:P338)</x:f>
      </x:c>
      <x:c r="AD338" s="26">
        <x:f>SUM(Q338:AB338)</x:f>
      </x:c>
    </x:row>
    <x:row r="339" spans="1:35" ht="15" customHeight="1">
      <x:c r="B339" s="3">
        <x:f>_xlfn.IFNA(VLOOKUP(C339,Master!$J:$K,2,0),"")</x:f>
      </x:c>
      <x:c r="D339" s="4">
        <x:f>_xlfn.IFNA(VLOOKUP(E339,Master!$J:$K,2,0),"")</x:f>
      </x:c>
      <x:c r="F339" s="4">
        <x:f>_xlfn.IFNA(VLOOKUP(G339,Master!B:C,2,0),"")</x:f>
      </x:c>
      <x:c r="I339" s="3">
        <x:f>_xlfn.IFNA(VLOOKUP(E339,Master!$J:$M,4,0),"")</x:f>
      </x:c>
      <x:c r="J339" s="3">
        <x:f>_xlfn.IFNA(VLOOKUP($E339,Master!$J:$M,3,0),"")</x:f>
      </x:c>
      <x:c r="AC339" s="26">
        <x:f>SUM(K339:P339)</x:f>
      </x:c>
      <x:c r="AD339" s="26">
        <x:f>SUM(Q339:AB339)</x:f>
      </x:c>
    </x:row>
    <x:row r="340" spans="1:35" ht="15" customHeight="1">
      <x:c r="B340" s="3">
        <x:f>_xlfn.IFNA(VLOOKUP(C340,Master!$J:$K,2,0),"")</x:f>
      </x:c>
      <x:c r="D340" s="4">
        <x:f>_xlfn.IFNA(VLOOKUP(E340,Master!$J:$K,2,0),"")</x:f>
      </x:c>
      <x:c r="F340" s="4">
        <x:f>_xlfn.IFNA(VLOOKUP(G340,Master!B:C,2,0),"")</x:f>
      </x:c>
      <x:c r="I340" s="3">
        <x:f>_xlfn.IFNA(VLOOKUP(E340,Master!$J:$M,4,0),"")</x:f>
      </x:c>
      <x:c r="J340" s="3">
        <x:f>_xlfn.IFNA(VLOOKUP($E340,Master!$J:$M,3,0),"")</x:f>
      </x:c>
      <x:c r="AC340" s="26">
        <x:f>SUM(K340:P340)</x:f>
      </x:c>
      <x:c r="AD340" s="26">
        <x:f>SUM(Q340:AB340)</x:f>
      </x:c>
    </x:row>
    <x:row r="341" spans="1:35" ht="15" customHeight="1">
      <x:c r="B341" s="3">
        <x:f>_xlfn.IFNA(VLOOKUP(C341,Master!$J:$K,2,0),"")</x:f>
      </x:c>
      <x:c r="D341" s="4">
        <x:f>_xlfn.IFNA(VLOOKUP(E341,Master!$J:$K,2,0),"")</x:f>
      </x:c>
      <x:c r="F341" s="4">
        <x:f>_xlfn.IFNA(VLOOKUP(G341,Master!B:C,2,0),"")</x:f>
      </x:c>
      <x:c r="I341" s="3">
        <x:f>_xlfn.IFNA(VLOOKUP(E341,Master!$J:$M,4,0),"")</x:f>
      </x:c>
      <x:c r="J341" s="3">
        <x:f>_xlfn.IFNA(VLOOKUP($E341,Master!$J:$M,3,0),"")</x:f>
      </x:c>
      <x:c r="AC341" s="26">
        <x:f>SUM(K341:P341)</x:f>
      </x:c>
      <x:c r="AD341" s="26">
        <x:f>SUM(Q341:AB341)</x:f>
      </x:c>
    </x:row>
    <x:row r="342" spans="1:35" ht="15" customHeight="1">
      <x:c r="B342" s="3">
        <x:f>_xlfn.IFNA(VLOOKUP(C342,Master!$J:$K,2,0),"")</x:f>
      </x:c>
      <x:c r="D342" s="4">
        <x:f>_xlfn.IFNA(VLOOKUP(E342,Master!$J:$K,2,0),"")</x:f>
      </x:c>
      <x:c r="F342" s="4">
        <x:f>_xlfn.IFNA(VLOOKUP(G342,Master!B:C,2,0),"")</x:f>
      </x:c>
      <x:c r="I342" s="3">
        <x:f>_xlfn.IFNA(VLOOKUP(E342,Master!$J:$M,4,0),"")</x:f>
      </x:c>
      <x:c r="J342" s="3">
        <x:f>_xlfn.IFNA(VLOOKUP($E342,Master!$J:$M,3,0),"")</x:f>
      </x:c>
      <x:c r="AC342" s="26">
        <x:f>SUM(K342:P342)</x:f>
      </x:c>
      <x:c r="AD342" s="26">
        <x:f>SUM(Q342:AB342)</x:f>
      </x:c>
    </x:row>
    <x:row r="343" spans="1:35" ht="15" customHeight="1">
      <x:c r="B343" s="3">
        <x:f>_xlfn.IFNA(VLOOKUP(C343,Master!$J:$K,2,0),"")</x:f>
      </x:c>
      <x:c r="D343" s="4">
        <x:f>_xlfn.IFNA(VLOOKUP(E343,Master!$J:$K,2,0),"")</x:f>
      </x:c>
      <x:c r="F343" s="4">
        <x:f>_xlfn.IFNA(VLOOKUP(G343,Master!B:C,2,0),"")</x:f>
      </x:c>
      <x:c r="I343" s="3">
        <x:f>_xlfn.IFNA(VLOOKUP(E343,Master!$J:$M,4,0),"")</x:f>
      </x:c>
      <x:c r="J343" s="3">
        <x:f>_xlfn.IFNA(VLOOKUP($E343,Master!$J:$M,3,0),"")</x:f>
      </x:c>
      <x:c r="AC343" s="26">
        <x:f>SUM(K343:P343)</x:f>
      </x:c>
      <x:c r="AD343" s="26">
        <x:f>SUM(Q343:AB343)</x:f>
      </x:c>
    </x:row>
    <x:row r="344" spans="1:35" ht="15" customHeight="1">
      <x:c r="B344" s="3">
        <x:f>_xlfn.IFNA(VLOOKUP(C344,Master!$J:$K,2,0),"")</x:f>
      </x:c>
      <x:c r="D344" s="4">
        <x:f>_xlfn.IFNA(VLOOKUP(E344,Master!$J:$K,2,0),"")</x:f>
      </x:c>
      <x:c r="F344" s="4">
        <x:f>_xlfn.IFNA(VLOOKUP(G344,Master!B:C,2,0),"")</x:f>
      </x:c>
      <x:c r="I344" s="3">
        <x:f>_xlfn.IFNA(VLOOKUP(E344,Master!$J:$M,4,0),"")</x:f>
      </x:c>
      <x:c r="J344" s="3">
        <x:f>_xlfn.IFNA(VLOOKUP($E344,Master!$J:$M,3,0),"")</x:f>
      </x:c>
      <x:c r="AC344" s="26">
        <x:f>SUM(K344:P344)</x:f>
      </x:c>
      <x:c r="AD344" s="26">
        <x:f>SUM(Q344:AB344)</x:f>
      </x:c>
    </x:row>
    <x:row r="345" spans="1:35" ht="15" customHeight="1">
      <x:c r="B345" s="3">
        <x:f>_xlfn.IFNA(VLOOKUP(C345,Master!$J:$K,2,0),"")</x:f>
      </x:c>
      <x:c r="D345" s="4">
        <x:f>_xlfn.IFNA(VLOOKUP(E345,Master!$J:$K,2,0),"")</x:f>
      </x:c>
      <x:c r="F345" s="4">
        <x:f>_xlfn.IFNA(VLOOKUP(G345,Master!B:C,2,0),"")</x:f>
      </x:c>
      <x:c r="I345" s="3">
        <x:f>_xlfn.IFNA(VLOOKUP(E345,Master!$J:$M,4,0),"")</x:f>
      </x:c>
      <x:c r="J345" s="3">
        <x:f>_xlfn.IFNA(VLOOKUP($E345,Master!$J:$M,3,0),"")</x:f>
      </x:c>
      <x:c r="AC345" s="26">
        <x:f>SUM(K345:P345)</x:f>
      </x:c>
      <x:c r="AD345" s="26">
        <x:f>SUM(Q345:AB345)</x:f>
      </x:c>
    </x:row>
    <x:row r="346" spans="1:35" ht="15" customHeight="1">
      <x:c r="B346" s="3">
        <x:f>_xlfn.IFNA(VLOOKUP(C346,Master!$J:$K,2,0),"")</x:f>
      </x:c>
      <x:c r="D346" s="4">
        <x:f>_xlfn.IFNA(VLOOKUP(E346,Master!$J:$K,2,0),"")</x:f>
      </x:c>
      <x:c r="F346" s="4">
        <x:f>_xlfn.IFNA(VLOOKUP(G346,Master!B:C,2,0),"")</x:f>
      </x:c>
      <x:c r="I346" s="3">
        <x:f>_xlfn.IFNA(VLOOKUP(E346,Master!$J:$M,4,0),"")</x:f>
      </x:c>
      <x:c r="J346" s="3">
        <x:f>_xlfn.IFNA(VLOOKUP($E346,Master!$J:$M,3,0),"")</x:f>
      </x:c>
      <x:c r="AC346" s="26">
        <x:f>SUM(K346:P346)</x:f>
      </x:c>
      <x:c r="AD346" s="26">
        <x:f>SUM(Q346:AB346)</x:f>
      </x:c>
    </x:row>
    <x:row r="347" spans="1:35" ht="15" customHeight="1">
      <x:c r="B347" s="3">
        <x:f>_xlfn.IFNA(VLOOKUP(C347,Master!$J:$K,2,0),"")</x:f>
      </x:c>
      <x:c r="D347" s="4">
        <x:f>_xlfn.IFNA(VLOOKUP(E347,Master!$J:$K,2,0),"")</x:f>
      </x:c>
      <x:c r="F347" s="4">
        <x:f>_xlfn.IFNA(VLOOKUP(G347,Master!B:C,2,0),"")</x:f>
      </x:c>
      <x:c r="I347" s="3">
        <x:f>_xlfn.IFNA(VLOOKUP(E347,Master!$J:$M,4,0),"")</x:f>
      </x:c>
      <x:c r="J347" s="3">
        <x:f>_xlfn.IFNA(VLOOKUP($E347,Master!$J:$M,3,0),"")</x:f>
      </x:c>
      <x:c r="AC347" s="26">
        <x:f>SUM(K347:P347)</x:f>
      </x:c>
      <x:c r="AD347" s="26">
        <x:f>SUM(Q347:AB347)</x:f>
      </x:c>
    </x:row>
    <x:row r="348" spans="1:35" ht="15" customHeight="1">
      <x:c r="B348" s="3">
        <x:f>_xlfn.IFNA(VLOOKUP(C348,Master!$J:$K,2,0),"")</x:f>
      </x:c>
      <x:c r="D348" s="4">
        <x:f>_xlfn.IFNA(VLOOKUP(E348,Master!$J:$K,2,0),"")</x:f>
      </x:c>
      <x:c r="F348" s="4">
        <x:f>_xlfn.IFNA(VLOOKUP(G348,Master!B:C,2,0),"")</x:f>
      </x:c>
      <x:c r="I348" s="3">
        <x:f>_xlfn.IFNA(VLOOKUP(E348,Master!$J:$M,4,0),"")</x:f>
      </x:c>
      <x:c r="J348" s="3">
        <x:f>_xlfn.IFNA(VLOOKUP($E348,Master!$J:$M,3,0),"")</x:f>
      </x:c>
      <x:c r="AC348" s="26">
        <x:f>SUM(K348:P348)</x:f>
      </x:c>
      <x:c r="AD348" s="26">
        <x:f>SUM(Q348:AB348)</x:f>
      </x:c>
    </x:row>
    <x:row r="349" spans="1:35" ht="15" customHeight="1">
      <x:c r="B349" s="3">
        <x:f>_xlfn.IFNA(VLOOKUP(C349,Master!$J:$K,2,0),"")</x:f>
      </x:c>
      <x:c r="D349" s="4">
        <x:f>_xlfn.IFNA(VLOOKUP(E349,Master!$J:$K,2,0),"")</x:f>
      </x:c>
      <x:c r="F349" s="4">
        <x:f>_xlfn.IFNA(VLOOKUP(G349,Master!B:C,2,0),"")</x:f>
      </x:c>
      <x:c r="I349" s="3">
        <x:f>_xlfn.IFNA(VLOOKUP(E349,Master!$J:$M,4,0),"")</x:f>
      </x:c>
      <x:c r="J349" s="3">
        <x:f>_xlfn.IFNA(VLOOKUP($E349,Master!$J:$M,3,0),"")</x:f>
      </x:c>
      <x:c r="AC349" s="26">
        <x:f>SUM(K349:P349)</x:f>
      </x:c>
      <x:c r="AD349" s="26">
        <x:f>SUM(Q349:AB349)</x:f>
      </x:c>
    </x:row>
    <x:row r="350" spans="1:35" ht="15" customHeight="1">
      <x:c r="B350" s="3">
        <x:f>_xlfn.IFNA(VLOOKUP(C350,Master!$J:$K,2,0),"")</x:f>
      </x:c>
      <x:c r="D350" s="4">
        <x:f>_xlfn.IFNA(VLOOKUP(E350,Master!$J:$K,2,0),"")</x:f>
      </x:c>
      <x:c r="F350" s="4">
        <x:f>_xlfn.IFNA(VLOOKUP(G350,Master!B:C,2,0),"")</x:f>
      </x:c>
      <x:c r="I350" s="3">
        <x:f>_xlfn.IFNA(VLOOKUP(E350,Master!$J:$M,4,0),"")</x:f>
      </x:c>
      <x:c r="J350" s="3">
        <x:f>_xlfn.IFNA(VLOOKUP($E350,Master!$J:$M,3,0),"")</x:f>
      </x:c>
      <x:c r="AC350" s="26">
        <x:f>SUM(K350:P350)</x:f>
      </x:c>
      <x:c r="AD350" s="26">
        <x:f>SUM(Q350:AB350)</x:f>
      </x:c>
    </x:row>
    <x:row r="351" spans="1:35" ht="15" customHeight="1">
      <x:c r="B351" s="3">
        <x:f>_xlfn.IFNA(VLOOKUP(C351,Master!$J:$K,2,0),"")</x:f>
      </x:c>
      <x:c r="D351" s="4">
        <x:f>_xlfn.IFNA(VLOOKUP(E351,Master!$J:$K,2,0),"")</x:f>
      </x:c>
      <x:c r="F351" s="4">
        <x:f>_xlfn.IFNA(VLOOKUP(G351,Master!B:C,2,0),"")</x:f>
      </x:c>
      <x:c r="I351" s="3">
        <x:f>_xlfn.IFNA(VLOOKUP(E351,Master!$J:$M,4,0),"")</x:f>
      </x:c>
      <x:c r="J351" s="3">
        <x:f>_xlfn.IFNA(VLOOKUP($E351,Master!$J:$M,3,0),"")</x:f>
      </x:c>
      <x:c r="AC351" s="26">
        <x:f>SUM(K351:P351)</x:f>
      </x:c>
      <x:c r="AD351" s="26">
        <x:f>SUM(Q351:AB351)</x:f>
      </x:c>
    </x:row>
    <x:row r="352" spans="1:35" ht="15" customHeight="1">
      <x:c r="B352" s="3">
        <x:f>_xlfn.IFNA(VLOOKUP(C352,Master!$J:$K,2,0),"")</x:f>
      </x:c>
      <x:c r="D352" s="4">
        <x:f>_xlfn.IFNA(VLOOKUP(E352,Master!$J:$K,2,0),"")</x:f>
      </x:c>
      <x:c r="F352" s="4">
        <x:f>_xlfn.IFNA(VLOOKUP(G352,Master!B:C,2,0),"")</x:f>
      </x:c>
      <x:c r="I352" s="3">
        <x:f>_xlfn.IFNA(VLOOKUP(E352,Master!$J:$M,4,0),"")</x:f>
      </x:c>
      <x:c r="J352" s="3">
        <x:f>_xlfn.IFNA(VLOOKUP($E352,Master!$J:$M,3,0),"")</x:f>
      </x:c>
      <x:c r="AC352" s="26">
        <x:f>SUM(K352:P352)</x:f>
      </x:c>
      <x:c r="AD352" s="26">
        <x:f>SUM(Q352:AB352)</x:f>
      </x:c>
    </x:row>
    <x:row r="353" spans="1:35" ht="15" customHeight="1">
      <x:c r="B353" s="3">
        <x:f>_xlfn.IFNA(VLOOKUP(C353,Master!$J:$K,2,0),"")</x:f>
      </x:c>
      <x:c r="D353" s="4">
        <x:f>_xlfn.IFNA(VLOOKUP(E353,Master!$J:$K,2,0),"")</x:f>
      </x:c>
      <x:c r="F353" s="4">
        <x:f>_xlfn.IFNA(VLOOKUP(G353,Master!B:C,2,0),"")</x:f>
      </x:c>
      <x:c r="I353" s="3">
        <x:f>_xlfn.IFNA(VLOOKUP(E353,Master!$J:$M,4,0),"")</x:f>
      </x:c>
      <x:c r="J353" s="3">
        <x:f>_xlfn.IFNA(VLOOKUP($E353,Master!$J:$M,3,0),"")</x:f>
      </x:c>
      <x:c r="AC353" s="26">
        <x:f>SUM(K353:P353)</x:f>
      </x:c>
      <x:c r="AD353" s="26">
        <x:f>SUM(Q353:AB353)</x:f>
      </x:c>
    </x:row>
    <x:row r="354" spans="1:35" ht="15" customHeight="1">
      <x:c r="B354" s="3">
        <x:f>_xlfn.IFNA(VLOOKUP(C354,Master!$J:$K,2,0),"")</x:f>
      </x:c>
      <x:c r="D354" s="4">
        <x:f>_xlfn.IFNA(VLOOKUP(E354,Master!$J:$K,2,0),"")</x:f>
      </x:c>
      <x:c r="F354" s="4">
        <x:f>_xlfn.IFNA(VLOOKUP(G354,Master!B:C,2,0),"")</x:f>
      </x:c>
      <x:c r="I354" s="3">
        <x:f>_xlfn.IFNA(VLOOKUP(E354,Master!$J:$M,4,0),"")</x:f>
      </x:c>
      <x:c r="J354" s="3">
        <x:f>_xlfn.IFNA(VLOOKUP($E354,Master!$J:$M,3,0),"")</x:f>
      </x:c>
      <x:c r="AC354" s="26">
        <x:f>SUM(K354:P354)</x:f>
      </x:c>
      <x:c r="AD354" s="26">
        <x:f>SUM(Q354:AB354)</x:f>
      </x:c>
    </x:row>
    <x:row r="355" spans="1:35" ht="15" customHeight="1">
      <x:c r="B355" s="3">
        <x:f>_xlfn.IFNA(VLOOKUP(C355,Master!$J:$K,2,0),"")</x:f>
      </x:c>
      <x:c r="D355" s="4">
        <x:f>_xlfn.IFNA(VLOOKUP(E355,Master!$J:$K,2,0),"")</x:f>
      </x:c>
      <x:c r="F355" s="4">
        <x:f>_xlfn.IFNA(VLOOKUP(G355,Master!B:C,2,0),"")</x:f>
      </x:c>
      <x:c r="I355" s="3">
        <x:f>_xlfn.IFNA(VLOOKUP(E355,Master!$J:$M,4,0),"")</x:f>
      </x:c>
      <x:c r="J355" s="3">
        <x:f>_xlfn.IFNA(VLOOKUP($E355,Master!$J:$M,3,0),"")</x:f>
      </x:c>
      <x:c r="AC355" s="26">
        <x:f>SUM(K355:P355)</x:f>
      </x:c>
      <x:c r="AD355" s="26">
        <x:f>SUM(Q355:AB355)</x:f>
      </x:c>
    </x:row>
    <x:row r="356" spans="1:35" ht="15" customHeight="1">
      <x:c r="B356" s="3">
        <x:f>_xlfn.IFNA(VLOOKUP(C356,Master!$J:$K,2,0),"")</x:f>
      </x:c>
      <x:c r="D356" s="4">
        <x:f>_xlfn.IFNA(VLOOKUP(E356,Master!$J:$K,2,0),"")</x:f>
      </x:c>
      <x:c r="F356" s="4">
        <x:f>_xlfn.IFNA(VLOOKUP(G356,Master!B:C,2,0),"")</x:f>
      </x:c>
      <x:c r="I356" s="3">
        <x:f>_xlfn.IFNA(VLOOKUP(E356,Master!$J:$M,4,0),"")</x:f>
      </x:c>
      <x:c r="J356" s="3">
        <x:f>_xlfn.IFNA(VLOOKUP($E356,Master!$J:$M,3,0),"")</x:f>
      </x:c>
      <x:c r="AC356" s="26">
        <x:f>SUM(K356:P356)</x:f>
      </x:c>
      <x:c r="AD356" s="26">
        <x:f>SUM(Q356:AB356)</x:f>
      </x:c>
    </x:row>
    <x:row r="357" spans="1:35" ht="15" customHeight="1">
      <x:c r="B357" s="3">
        <x:f>_xlfn.IFNA(VLOOKUP(C357,Master!$J:$K,2,0),"")</x:f>
      </x:c>
      <x:c r="D357" s="4">
        <x:f>_xlfn.IFNA(VLOOKUP(E357,Master!$J:$K,2,0),"")</x:f>
      </x:c>
      <x:c r="F357" s="4">
        <x:f>_xlfn.IFNA(VLOOKUP(G357,Master!B:C,2,0),"")</x:f>
      </x:c>
      <x:c r="I357" s="3">
        <x:f>_xlfn.IFNA(VLOOKUP(E357,Master!$J:$M,4,0),"")</x:f>
      </x:c>
      <x:c r="J357" s="3">
        <x:f>_xlfn.IFNA(VLOOKUP($E357,Master!$J:$M,3,0),"")</x:f>
      </x:c>
      <x:c r="AC357" s="26">
        <x:f>SUM(K357:P357)</x:f>
      </x:c>
      <x:c r="AD357" s="26">
        <x:f>SUM(Q357:AB357)</x:f>
      </x:c>
    </x:row>
    <x:row r="358" spans="1:35" ht="15" customHeight="1">
      <x:c r="B358" s="3">
        <x:f>_xlfn.IFNA(VLOOKUP(C358,Master!$J:$K,2,0),"")</x:f>
      </x:c>
      <x:c r="D358" s="4">
        <x:f>_xlfn.IFNA(VLOOKUP(E358,Master!$J:$K,2,0),"")</x:f>
      </x:c>
      <x:c r="F358" s="4">
        <x:f>_xlfn.IFNA(VLOOKUP(G358,Master!B:C,2,0),"")</x:f>
      </x:c>
      <x:c r="I358" s="3">
        <x:f>_xlfn.IFNA(VLOOKUP(E358,Master!$J:$M,4,0),"")</x:f>
      </x:c>
      <x:c r="J358" s="3">
        <x:f>_xlfn.IFNA(VLOOKUP($E358,Master!$J:$M,3,0),"")</x:f>
      </x:c>
      <x:c r="AC358" s="26">
        <x:f>SUM(K358:P358)</x:f>
      </x:c>
      <x:c r="AD358" s="26">
        <x:f>SUM(Q358:AB358)</x:f>
      </x:c>
    </x:row>
    <x:row r="359" spans="1:35" ht="15" customHeight="1">
      <x:c r="B359" s="3">
        <x:f>_xlfn.IFNA(VLOOKUP(C359,Master!$J:$K,2,0),"")</x:f>
      </x:c>
      <x:c r="D359" s="4">
        <x:f>_xlfn.IFNA(VLOOKUP(E359,Master!$J:$K,2,0),"")</x:f>
      </x:c>
      <x:c r="F359" s="4">
        <x:f>_xlfn.IFNA(VLOOKUP(G359,Master!B:C,2,0),"")</x:f>
      </x:c>
      <x:c r="I359" s="3">
        <x:f>_xlfn.IFNA(VLOOKUP(E359,Master!$J:$M,4,0),"")</x:f>
      </x:c>
      <x:c r="J359" s="3">
        <x:f>_xlfn.IFNA(VLOOKUP($E359,Master!$J:$M,3,0),"")</x:f>
      </x:c>
      <x:c r="AC359" s="26">
        <x:f>SUM(K359:P359)</x:f>
      </x:c>
      <x:c r="AD359" s="26">
        <x:f>SUM(Q359:AB359)</x:f>
      </x:c>
    </x:row>
    <x:row r="360" spans="1:35" ht="15" customHeight="1">
      <x:c r="B360" s="3">
        <x:f>_xlfn.IFNA(VLOOKUP(C360,Master!$J:$K,2,0),"")</x:f>
      </x:c>
      <x:c r="D360" s="4">
        <x:f>_xlfn.IFNA(VLOOKUP(E360,Master!$J:$K,2,0),"")</x:f>
      </x:c>
      <x:c r="F360" s="4">
        <x:f>_xlfn.IFNA(VLOOKUP(G360,Master!B:C,2,0),"")</x:f>
      </x:c>
      <x:c r="I360" s="3">
        <x:f>_xlfn.IFNA(VLOOKUP(E360,Master!$J:$M,4,0),"")</x:f>
      </x:c>
      <x:c r="J360" s="3">
        <x:f>_xlfn.IFNA(VLOOKUP($E360,Master!$J:$M,3,0),"")</x:f>
      </x:c>
      <x:c r="AC360" s="26">
        <x:f>SUM(K360:P360)</x:f>
      </x:c>
      <x:c r="AD360" s="26">
        <x:f>SUM(Q360:AB360)</x:f>
      </x:c>
    </x:row>
    <x:row r="361" spans="1:35" ht="15" customHeight="1">
      <x:c r="B361" s="3">
        <x:f>_xlfn.IFNA(VLOOKUP(C361,Master!$J:$K,2,0),"")</x:f>
      </x:c>
      <x:c r="D361" s="4">
        <x:f>_xlfn.IFNA(VLOOKUP(E361,Master!$J:$K,2,0),"")</x:f>
      </x:c>
      <x:c r="F361" s="4">
        <x:f>_xlfn.IFNA(VLOOKUP(G361,Master!B:C,2,0),"")</x:f>
      </x:c>
      <x:c r="I361" s="3">
        <x:f>_xlfn.IFNA(VLOOKUP(E361,Master!$J:$M,4,0),"")</x:f>
      </x:c>
      <x:c r="J361" s="3">
        <x:f>_xlfn.IFNA(VLOOKUP($E361,Master!$J:$M,3,0),"")</x:f>
      </x:c>
      <x:c r="AC361" s="26">
        <x:f>SUM(K361:P361)</x:f>
      </x:c>
      <x:c r="AD361" s="26">
        <x:f>SUM(Q361:AB361)</x:f>
      </x:c>
    </x:row>
    <x:row r="362" spans="1:35" ht="15" customHeight="1">
      <x:c r="B362" s="3">
        <x:f>_xlfn.IFNA(VLOOKUP(C362,Master!$J:$K,2,0),"")</x:f>
      </x:c>
      <x:c r="D362" s="4">
        <x:f>_xlfn.IFNA(VLOOKUP(E362,Master!$J:$K,2,0),"")</x:f>
      </x:c>
      <x:c r="F362" s="4">
        <x:f>_xlfn.IFNA(VLOOKUP(G362,Master!B:C,2,0),"")</x:f>
      </x:c>
      <x:c r="I362" s="3">
        <x:f>_xlfn.IFNA(VLOOKUP(E362,Master!$J:$M,4,0),"")</x:f>
      </x:c>
      <x:c r="J362" s="3">
        <x:f>_xlfn.IFNA(VLOOKUP($E362,Master!$J:$M,3,0),"")</x:f>
      </x:c>
      <x:c r="AC362" s="26">
        <x:f>SUM(K362:P362)</x:f>
      </x:c>
      <x:c r="AD362" s="26">
        <x:f>SUM(Q362:AB362)</x:f>
      </x:c>
    </x:row>
    <x:row r="363" spans="1:35" ht="15" customHeight="1">
      <x:c r="B363" s="3">
        <x:f>_xlfn.IFNA(VLOOKUP(C363,Master!$J:$K,2,0),"")</x:f>
      </x:c>
      <x:c r="D363" s="4">
        <x:f>_xlfn.IFNA(VLOOKUP(E363,Master!$J:$K,2,0),"")</x:f>
      </x:c>
      <x:c r="F363" s="4">
        <x:f>_xlfn.IFNA(VLOOKUP(G363,Master!B:C,2,0),"")</x:f>
      </x:c>
      <x:c r="I363" s="3">
        <x:f>_xlfn.IFNA(VLOOKUP(E363,Master!$J:$M,4,0),"")</x:f>
      </x:c>
      <x:c r="J363" s="3">
        <x:f>_xlfn.IFNA(VLOOKUP($E363,Master!$J:$M,3,0),"")</x:f>
      </x:c>
      <x:c r="AC363" s="26">
        <x:f>SUM(K363:P363)</x:f>
      </x:c>
      <x:c r="AD363" s="26">
        <x:f>SUM(Q363:AB363)</x:f>
      </x:c>
    </x:row>
    <x:row r="364" spans="1:35" ht="15" customHeight="1">
      <x:c r="B364" s="3">
        <x:f>_xlfn.IFNA(VLOOKUP(C364,Master!$J:$K,2,0),"")</x:f>
      </x:c>
      <x:c r="D364" s="4">
        <x:f>_xlfn.IFNA(VLOOKUP(E364,Master!$J:$K,2,0),"")</x:f>
      </x:c>
      <x:c r="F364" s="4">
        <x:f>_xlfn.IFNA(VLOOKUP(G364,Master!B:C,2,0),"")</x:f>
      </x:c>
      <x:c r="I364" s="3">
        <x:f>_xlfn.IFNA(VLOOKUP(E364,Master!$J:$M,4,0),"")</x:f>
      </x:c>
      <x:c r="J364" s="3">
        <x:f>_xlfn.IFNA(VLOOKUP($E364,Master!$J:$M,3,0),"")</x:f>
      </x:c>
      <x:c r="AC364" s="26">
        <x:f>SUM(K364:P364)</x:f>
      </x:c>
      <x:c r="AD364" s="26">
        <x:f>SUM(Q364:AB364)</x:f>
      </x:c>
    </x:row>
    <x:row r="365" spans="1:35" ht="15" customHeight="1">
      <x:c r="B365" s="3">
        <x:f>_xlfn.IFNA(VLOOKUP(C365,Master!$J:$K,2,0),"")</x:f>
      </x:c>
      <x:c r="D365" s="4">
        <x:f>_xlfn.IFNA(VLOOKUP(E365,Master!$J:$K,2,0),"")</x:f>
      </x:c>
      <x:c r="F365" s="4">
        <x:f>_xlfn.IFNA(VLOOKUP(G365,Master!B:C,2,0),"")</x:f>
      </x:c>
      <x:c r="I365" s="3">
        <x:f>_xlfn.IFNA(VLOOKUP(E365,Master!$J:$M,4,0),"")</x:f>
      </x:c>
      <x:c r="J365" s="3">
        <x:f>_xlfn.IFNA(VLOOKUP($E365,Master!$J:$M,3,0),"")</x:f>
      </x:c>
      <x:c r="AC365" s="26">
        <x:f>SUM(K365:P365)</x:f>
      </x:c>
      <x:c r="AD365" s="26">
        <x:f>SUM(Q365:AB365)</x:f>
      </x:c>
    </x:row>
    <x:row r="366" spans="1:35" ht="15" customHeight="1">
      <x:c r="B366" s="3">
        <x:f>_xlfn.IFNA(VLOOKUP(C366,Master!$J:$K,2,0),"")</x:f>
      </x:c>
      <x:c r="D366" s="4">
        <x:f>_xlfn.IFNA(VLOOKUP(E366,Master!$J:$K,2,0),"")</x:f>
      </x:c>
      <x:c r="F366" s="4">
        <x:f>_xlfn.IFNA(VLOOKUP(G366,Master!B:C,2,0),"")</x:f>
      </x:c>
      <x:c r="I366" s="3">
        <x:f>_xlfn.IFNA(VLOOKUP(E366,Master!$J:$M,4,0),"")</x:f>
      </x:c>
      <x:c r="J366" s="3">
        <x:f>_xlfn.IFNA(VLOOKUP($E366,Master!$J:$M,3,0),"")</x:f>
      </x:c>
      <x:c r="AC366" s="26">
        <x:f>SUM(K366:P366)</x:f>
      </x:c>
      <x:c r="AD366" s="26">
        <x:f>SUM(Q366:AB366)</x:f>
      </x:c>
    </x:row>
    <x:row r="367" spans="1:35" ht="15" customHeight="1">
      <x:c r="B367" s="3">
        <x:f>_xlfn.IFNA(VLOOKUP(C367,Master!$J:$K,2,0),"")</x:f>
      </x:c>
      <x:c r="D367" s="4">
        <x:f>_xlfn.IFNA(VLOOKUP(E367,Master!$J:$K,2,0),"")</x:f>
      </x:c>
      <x:c r="F367" s="4">
        <x:f>_xlfn.IFNA(VLOOKUP(G367,Master!B:C,2,0),"")</x:f>
      </x:c>
      <x:c r="I367" s="3">
        <x:f>_xlfn.IFNA(VLOOKUP(E367,Master!$J:$M,4,0),"")</x:f>
      </x:c>
      <x:c r="J367" s="3">
        <x:f>_xlfn.IFNA(VLOOKUP($E367,Master!$J:$M,3,0),"")</x:f>
      </x:c>
      <x:c r="AC367" s="26">
        <x:f>SUM(K367:P367)</x:f>
      </x:c>
      <x:c r="AD367" s="26">
        <x:f>SUM(Q367:AB367)</x:f>
      </x:c>
    </x:row>
    <x:row r="368" spans="1:35" ht="15" customHeight="1">
      <x:c r="B368" s="3">
        <x:f>_xlfn.IFNA(VLOOKUP(C368,Master!$J:$K,2,0),"")</x:f>
      </x:c>
      <x:c r="D368" s="4">
        <x:f>_xlfn.IFNA(VLOOKUP(E368,Master!$J:$K,2,0),"")</x:f>
      </x:c>
      <x:c r="F368" s="4">
        <x:f>_xlfn.IFNA(VLOOKUP(G368,Master!B:C,2,0),"")</x:f>
      </x:c>
      <x:c r="I368" s="3">
        <x:f>_xlfn.IFNA(VLOOKUP(E368,Master!$J:$M,4,0),"")</x:f>
      </x:c>
      <x:c r="J368" s="3">
        <x:f>_xlfn.IFNA(VLOOKUP($E368,Master!$J:$M,3,0),"")</x:f>
      </x:c>
      <x:c r="AC368" s="26">
        <x:f>SUM(K368:P368)</x:f>
      </x:c>
      <x:c r="AD368" s="26">
        <x:f>SUM(Q368:AB368)</x:f>
      </x:c>
    </x:row>
    <x:row r="369" spans="1:35" ht="15" customHeight="1">
      <x:c r="B369" s="3">
        <x:f>_xlfn.IFNA(VLOOKUP(C369,Master!$J:$K,2,0),"")</x:f>
      </x:c>
      <x:c r="D369" s="4">
        <x:f>_xlfn.IFNA(VLOOKUP(E369,Master!$J:$K,2,0),"")</x:f>
      </x:c>
      <x:c r="F369" s="4">
        <x:f>_xlfn.IFNA(VLOOKUP(G369,Master!B:C,2,0),"")</x:f>
      </x:c>
      <x:c r="I369" s="3">
        <x:f>_xlfn.IFNA(VLOOKUP(E369,Master!$J:$M,4,0),"")</x:f>
      </x:c>
      <x:c r="J369" s="3">
        <x:f>_xlfn.IFNA(VLOOKUP($E369,Master!$J:$M,3,0),"")</x:f>
      </x:c>
      <x:c r="AC369" s="26">
        <x:f>SUM(K369:P369)</x:f>
      </x:c>
      <x:c r="AD369" s="26">
        <x:f>SUM(Q369:AB369)</x:f>
      </x:c>
    </x:row>
    <x:row r="370" spans="1:35" ht="15" customHeight="1">
      <x:c r="B370" s="3">
        <x:f>_xlfn.IFNA(VLOOKUP(C370,Master!$J:$K,2,0),"")</x:f>
      </x:c>
      <x:c r="D370" s="4">
        <x:f>_xlfn.IFNA(VLOOKUP(E370,Master!$J:$K,2,0),"")</x:f>
      </x:c>
      <x:c r="F370" s="4">
        <x:f>_xlfn.IFNA(VLOOKUP(G370,Master!B:C,2,0),"")</x:f>
      </x:c>
      <x:c r="I370" s="3">
        <x:f>_xlfn.IFNA(VLOOKUP(E370,Master!$J:$M,4,0),"")</x:f>
      </x:c>
      <x:c r="J370" s="3">
        <x:f>_xlfn.IFNA(VLOOKUP($E370,Master!$J:$M,3,0),"")</x:f>
      </x:c>
      <x:c r="AC370" s="26">
        <x:f>SUM(K370:P370)</x:f>
      </x:c>
      <x:c r="AD370" s="26">
        <x:f>SUM(Q370:AB370)</x:f>
      </x:c>
    </x:row>
    <x:row r="371" spans="1:35" ht="15" customHeight="1">
      <x:c r="B371" s="3">
        <x:f>_xlfn.IFNA(VLOOKUP(C371,Master!$J:$K,2,0),"")</x:f>
      </x:c>
      <x:c r="D371" s="4">
        <x:f>_xlfn.IFNA(VLOOKUP(E371,Master!$J:$K,2,0),"")</x:f>
      </x:c>
      <x:c r="F371" s="4">
        <x:f>_xlfn.IFNA(VLOOKUP(G371,Master!B:C,2,0),"")</x:f>
      </x:c>
      <x:c r="I371" s="3">
        <x:f>_xlfn.IFNA(VLOOKUP(E371,Master!$J:$M,4,0),"")</x:f>
      </x:c>
      <x:c r="J371" s="3">
        <x:f>_xlfn.IFNA(VLOOKUP($E371,Master!$J:$M,3,0),"")</x:f>
      </x:c>
      <x:c r="AC371" s="26">
        <x:f>SUM(K371:P371)</x:f>
      </x:c>
      <x:c r="AD371" s="26">
        <x:f>SUM(Q371:AB371)</x:f>
      </x:c>
    </x:row>
    <x:row r="372" spans="1:35" ht="15" customHeight="1">
      <x:c r="B372" s="3">
        <x:f>_xlfn.IFNA(VLOOKUP(C372,Master!$J:$K,2,0),"")</x:f>
      </x:c>
      <x:c r="D372" s="4">
        <x:f>_xlfn.IFNA(VLOOKUP(E372,Master!$J:$K,2,0),"")</x:f>
      </x:c>
      <x:c r="F372" s="4">
        <x:f>_xlfn.IFNA(VLOOKUP(G372,Master!B:C,2,0),"")</x:f>
      </x:c>
      <x:c r="I372" s="3">
        <x:f>_xlfn.IFNA(VLOOKUP(E372,Master!$J:$M,4,0),"")</x:f>
      </x:c>
      <x:c r="J372" s="3">
        <x:f>_xlfn.IFNA(VLOOKUP($E372,Master!$J:$M,3,0),"")</x:f>
      </x:c>
      <x:c r="AC372" s="26">
        <x:f>SUM(K372:P372)</x:f>
      </x:c>
      <x:c r="AD372" s="26">
        <x:f>SUM(Q372:AB372)</x:f>
      </x:c>
    </x:row>
    <x:row r="373" spans="1:35" ht="15" customHeight="1">
      <x:c r="B373" s="3">
        <x:f>_xlfn.IFNA(VLOOKUP(C373,Master!$J:$K,2,0),"")</x:f>
      </x:c>
      <x:c r="D373" s="4">
        <x:f>_xlfn.IFNA(VLOOKUP(E373,Master!$J:$K,2,0),"")</x:f>
      </x:c>
      <x:c r="F373" s="4">
        <x:f>_xlfn.IFNA(VLOOKUP(G373,Master!B:C,2,0),"")</x:f>
      </x:c>
      <x:c r="I373" s="3">
        <x:f>_xlfn.IFNA(VLOOKUP(E373,Master!$J:$M,4,0),"")</x:f>
      </x:c>
      <x:c r="J373" s="3">
        <x:f>_xlfn.IFNA(VLOOKUP($E373,Master!$J:$M,3,0),"")</x:f>
      </x:c>
      <x:c r="AC373" s="26">
        <x:f>SUM(K373:P373)</x:f>
      </x:c>
      <x:c r="AD373" s="26">
        <x:f>SUM(Q373:AB373)</x:f>
      </x:c>
    </x:row>
    <x:row r="374" spans="1:35" ht="15" customHeight="1">
      <x:c r="B374" s="3">
        <x:f>_xlfn.IFNA(VLOOKUP(C374,Master!$J:$K,2,0),"")</x:f>
      </x:c>
      <x:c r="D374" s="4">
        <x:f>_xlfn.IFNA(VLOOKUP(E374,Master!$J:$K,2,0),"")</x:f>
      </x:c>
      <x:c r="F374" s="4">
        <x:f>_xlfn.IFNA(VLOOKUP(G374,Master!B:C,2,0),"")</x:f>
      </x:c>
      <x:c r="I374" s="3">
        <x:f>_xlfn.IFNA(VLOOKUP(E374,Master!$J:$M,4,0),"")</x:f>
      </x:c>
      <x:c r="J374" s="3">
        <x:f>_xlfn.IFNA(VLOOKUP($E374,Master!$J:$M,3,0),"")</x:f>
      </x:c>
      <x:c r="AC374" s="26">
        <x:f>SUM(K374:P374)</x:f>
      </x:c>
      <x:c r="AD374" s="26">
        <x:f>SUM(Q374:AB374)</x:f>
      </x:c>
    </x:row>
    <x:row r="375" spans="1:35" ht="15" customHeight="1">
      <x:c r="B375" s="3">
        <x:f>_xlfn.IFNA(VLOOKUP(C375,Master!$J:$K,2,0),"")</x:f>
      </x:c>
      <x:c r="D375" s="4">
        <x:f>_xlfn.IFNA(VLOOKUP(E375,Master!$J:$K,2,0),"")</x:f>
      </x:c>
      <x:c r="F375" s="4">
        <x:f>_xlfn.IFNA(VLOOKUP(G375,Master!B:C,2,0),"")</x:f>
      </x:c>
      <x:c r="I375" s="3">
        <x:f>_xlfn.IFNA(VLOOKUP(E375,Master!$J:$M,4,0),"")</x:f>
      </x:c>
      <x:c r="J375" s="3">
        <x:f>_xlfn.IFNA(VLOOKUP($E375,Master!$J:$M,3,0),"")</x:f>
      </x:c>
      <x:c r="AC375" s="26">
        <x:f>SUM(K375:P375)</x:f>
      </x:c>
      <x:c r="AD375" s="26">
        <x:f>SUM(Q375:AB375)</x:f>
      </x:c>
    </x:row>
    <x:row r="376" spans="1:35" ht="15" customHeight="1">
      <x:c r="B376" s="3">
        <x:f>_xlfn.IFNA(VLOOKUP(C376,Master!$J:$K,2,0),"")</x:f>
      </x:c>
      <x:c r="D376" s="4">
        <x:f>_xlfn.IFNA(VLOOKUP(E376,Master!$J:$K,2,0),"")</x:f>
      </x:c>
      <x:c r="F376" s="4">
        <x:f>_xlfn.IFNA(VLOOKUP(G376,Master!B:C,2,0),"")</x:f>
      </x:c>
      <x:c r="I376" s="3">
        <x:f>_xlfn.IFNA(VLOOKUP(E376,Master!$J:$M,4,0),"")</x:f>
      </x:c>
      <x:c r="J376" s="3">
        <x:f>_xlfn.IFNA(VLOOKUP($E376,Master!$J:$M,3,0),"")</x:f>
      </x:c>
      <x:c r="AC376" s="26">
        <x:f>SUM(K376:P376)</x:f>
      </x:c>
      <x:c r="AD376" s="26">
        <x:f>SUM(Q376:AB376)</x:f>
      </x:c>
    </x:row>
    <x:row r="377" spans="1:35" ht="15" customHeight="1">
      <x:c r="B377" s="3">
        <x:f>_xlfn.IFNA(VLOOKUP(C377,Master!$J:$K,2,0),"")</x:f>
      </x:c>
      <x:c r="D377" s="4">
        <x:f>_xlfn.IFNA(VLOOKUP(E377,Master!$J:$K,2,0),"")</x:f>
      </x:c>
      <x:c r="F377" s="4">
        <x:f>_xlfn.IFNA(VLOOKUP(G377,Master!B:C,2,0),"")</x:f>
      </x:c>
      <x:c r="I377" s="3">
        <x:f>_xlfn.IFNA(VLOOKUP(E377,Master!$J:$M,4,0),"")</x:f>
      </x:c>
      <x:c r="J377" s="3">
        <x:f>_xlfn.IFNA(VLOOKUP($E377,Master!$J:$M,3,0),"")</x:f>
      </x:c>
      <x:c r="AC377" s="26">
        <x:f>SUM(K377:P377)</x:f>
      </x:c>
      <x:c r="AD377" s="26">
        <x:f>SUM(Q377:AB377)</x:f>
      </x:c>
    </x:row>
    <x:row r="378" spans="1:35" ht="15" customHeight="1">
      <x:c r="B378" s="3">
        <x:f>_xlfn.IFNA(VLOOKUP(C378,Master!$J:$K,2,0),"")</x:f>
      </x:c>
      <x:c r="D378" s="4">
        <x:f>_xlfn.IFNA(VLOOKUP(E378,Master!$J:$K,2,0),"")</x:f>
      </x:c>
      <x:c r="F378" s="4">
        <x:f>_xlfn.IFNA(VLOOKUP(G378,Master!B:C,2,0),"")</x:f>
      </x:c>
      <x:c r="I378" s="3">
        <x:f>_xlfn.IFNA(VLOOKUP(E378,Master!$J:$M,4,0),"")</x:f>
      </x:c>
      <x:c r="J378" s="3">
        <x:f>_xlfn.IFNA(VLOOKUP($E378,Master!$J:$M,3,0),"")</x:f>
      </x:c>
      <x:c r="AC378" s="26">
        <x:f>SUM(K378:P378)</x:f>
      </x:c>
      <x:c r="AD378" s="26">
        <x:f>SUM(Q378:AB378)</x:f>
      </x:c>
    </x:row>
    <x:row r="379" spans="1:35" ht="15" customHeight="1">
      <x:c r="B379" s="3">
        <x:f>_xlfn.IFNA(VLOOKUP(C379,Master!$J:$K,2,0),"")</x:f>
      </x:c>
      <x:c r="D379" s="4">
        <x:f>_xlfn.IFNA(VLOOKUP(E379,Master!$J:$K,2,0),"")</x:f>
      </x:c>
      <x:c r="F379" s="4">
        <x:f>_xlfn.IFNA(VLOOKUP(G379,Master!B:C,2,0),"")</x:f>
      </x:c>
      <x:c r="I379" s="3">
        <x:f>_xlfn.IFNA(VLOOKUP(E379,Master!$J:$M,4,0),"")</x:f>
      </x:c>
      <x:c r="J379" s="3">
        <x:f>_xlfn.IFNA(VLOOKUP($E379,Master!$J:$M,3,0),"")</x:f>
      </x:c>
      <x:c r="AC379" s="26">
        <x:f>SUM(K379:P379)</x:f>
      </x:c>
      <x:c r="AD379" s="26">
        <x:f>SUM(Q379:AB379)</x:f>
      </x:c>
    </x:row>
    <x:row r="380" spans="1:35" ht="15" customHeight="1">
      <x:c r="B380" s="3">
        <x:f>_xlfn.IFNA(VLOOKUP(C380,Master!$J:$K,2,0),"")</x:f>
      </x:c>
      <x:c r="D380" s="4">
        <x:f>_xlfn.IFNA(VLOOKUP(E380,Master!$J:$K,2,0),"")</x:f>
      </x:c>
      <x:c r="F380" s="4">
        <x:f>_xlfn.IFNA(VLOOKUP(G380,Master!B:C,2,0),"")</x:f>
      </x:c>
      <x:c r="I380" s="3">
        <x:f>_xlfn.IFNA(VLOOKUP(E380,Master!$J:$M,4,0),"")</x:f>
      </x:c>
      <x:c r="J380" s="3">
        <x:f>_xlfn.IFNA(VLOOKUP($E380,Master!$J:$M,3,0),"")</x:f>
      </x:c>
      <x:c r="AC380" s="26">
        <x:f>SUM(K380:P380)</x:f>
      </x:c>
      <x:c r="AD380" s="26">
        <x:f>SUM(Q380:AB380)</x:f>
      </x:c>
    </x:row>
    <x:row r="381" spans="1:35" ht="15" customHeight="1">
      <x:c r="B381" s="3">
        <x:f>_xlfn.IFNA(VLOOKUP(C381,Master!$J:$K,2,0),"")</x:f>
      </x:c>
      <x:c r="D381" s="4">
        <x:f>_xlfn.IFNA(VLOOKUP(E381,Master!$J:$K,2,0),"")</x:f>
      </x:c>
      <x:c r="F381" s="4">
        <x:f>_xlfn.IFNA(VLOOKUP(G381,Master!B:C,2,0),"")</x:f>
      </x:c>
      <x:c r="I381" s="3">
        <x:f>_xlfn.IFNA(VLOOKUP(E381,Master!$J:$M,4,0),"")</x:f>
      </x:c>
      <x:c r="J381" s="3">
        <x:f>_xlfn.IFNA(VLOOKUP($E381,Master!$J:$M,3,0),"")</x:f>
      </x:c>
      <x:c r="AC381" s="26">
        <x:f>SUM(K381:P381)</x:f>
      </x:c>
      <x:c r="AD381" s="26">
        <x:f>SUM(Q381:AB381)</x:f>
      </x:c>
    </x:row>
    <x:row r="382" spans="1:35" ht="15" customHeight="1">
      <x:c r="B382" s="3">
        <x:f>_xlfn.IFNA(VLOOKUP(C382,Master!$J:$K,2,0),"")</x:f>
      </x:c>
      <x:c r="D382" s="4">
        <x:f>_xlfn.IFNA(VLOOKUP(E382,Master!$J:$K,2,0),"")</x:f>
      </x:c>
      <x:c r="F382" s="4">
        <x:f>_xlfn.IFNA(VLOOKUP(G382,Master!B:C,2,0),"")</x:f>
      </x:c>
      <x:c r="I382" s="3">
        <x:f>_xlfn.IFNA(VLOOKUP(E382,Master!$J:$M,4,0),"")</x:f>
      </x:c>
      <x:c r="J382" s="3">
        <x:f>_xlfn.IFNA(VLOOKUP($E382,Master!$J:$M,3,0),"")</x:f>
      </x:c>
      <x:c r="AC382" s="26">
        <x:f>SUM(K382:P382)</x:f>
      </x:c>
      <x:c r="AD382" s="26">
        <x:f>SUM(Q382:AB382)</x:f>
      </x:c>
    </x:row>
    <x:row r="383" spans="1:35" ht="15" customHeight="1">
      <x:c r="B383" s="3">
        <x:f>_xlfn.IFNA(VLOOKUP(C383,Master!$J:$K,2,0),"")</x:f>
      </x:c>
      <x:c r="D383" s="4">
        <x:f>_xlfn.IFNA(VLOOKUP(E383,Master!$J:$K,2,0),"")</x:f>
      </x:c>
      <x:c r="F383" s="4">
        <x:f>_xlfn.IFNA(VLOOKUP(G383,Master!B:C,2,0),"")</x:f>
      </x:c>
      <x:c r="I383" s="3">
        <x:f>_xlfn.IFNA(VLOOKUP(E383,Master!$J:$M,4,0),"")</x:f>
      </x:c>
      <x:c r="J383" s="3">
        <x:f>_xlfn.IFNA(VLOOKUP($E383,Master!$J:$M,3,0),"")</x:f>
      </x:c>
      <x:c r="AC383" s="26">
        <x:f>SUM(K383:P383)</x:f>
      </x:c>
      <x:c r="AD383" s="26">
        <x:f>SUM(Q383:AB383)</x:f>
      </x:c>
    </x:row>
    <x:row r="384" spans="1:35" ht="15" customHeight="1">
      <x:c r="B384" s="3">
        <x:f>_xlfn.IFNA(VLOOKUP(C384,Master!$J:$K,2,0),"")</x:f>
      </x:c>
      <x:c r="D384" s="4">
        <x:f>_xlfn.IFNA(VLOOKUP(E384,Master!$J:$K,2,0),"")</x:f>
      </x:c>
      <x:c r="F384" s="4">
        <x:f>_xlfn.IFNA(VLOOKUP(G384,Master!B:C,2,0),"")</x:f>
      </x:c>
      <x:c r="I384" s="3">
        <x:f>_xlfn.IFNA(VLOOKUP(E384,Master!$J:$M,4,0),"")</x:f>
      </x:c>
      <x:c r="J384" s="3">
        <x:f>_xlfn.IFNA(VLOOKUP($E384,Master!$J:$M,3,0),"")</x:f>
      </x:c>
      <x:c r="AC384" s="26">
        <x:f>SUM(K384:P384)</x:f>
      </x:c>
      <x:c r="AD384" s="26">
        <x:f>SUM(Q384:AB384)</x:f>
      </x:c>
    </x:row>
    <x:row r="385" spans="1:35" ht="15" customHeight="1">
      <x:c r="B385" s="3">
        <x:f>_xlfn.IFNA(VLOOKUP(C385,Master!$J:$K,2,0),"")</x:f>
      </x:c>
      <x:c r="D385" s="4">
        <x:f>_xlfn.IFNA(VLOOKUP(E385,Master!$J:$K,2,0),"")</x:f>
      </x:c>
      <x:c r="F385" s="4">
        <x:f>_xlfn.IFNA(VLOOKUP(G385,Master!B:C,2,0),"")</x:f>
      </x:c>
      <x:c r="I385" s="3">
        <x:f>_xlfn.IFNA(VLOOKUP(E385,Master!$J:$M,4,0),"")</x:f>
      </x:c>
      <x:c r="J385" s="3">
        <x:f>_xlfn.IFNA(VLOOKUP($E385,Master!$J:$M,3,0),"")</x:f>
      </x:c>
      <x:c r="AC385" s="26">
        <x:f>SUM(K385:P385)</x:f>
      </x:c>
      <x:c r="AD385" s="26">
        <x:f>SUM(Q385:AB385)</x:f>
      </x:c>
    </x:row>
    <x:row r="386" spans="1:35" ht="15" customHeight="1">
      <x:c r="B386" s="3">
        <x:f>_xlfn.IFNA(VLOOKUP(C386,Master!$J:$K,2,0),"")</x:f>
      </x:c>
      <x:c r="D386" s="4">
        <x:f>_xlfn.IFNA(VLOOKUP(E386,Master!$J:$K,2,0),"")</x:f>
      </x:c>
      <x:c r="F386" s="4">
        <x:f>_xlfn.IFNA(VLOOKUP(G386,Master!B:C,2,0),"")</x:f>
      </x:c>
      <x:c r="I386" s="3">
        <x:f>_xlfn.IFNA(VLOOKUP(E386,Master!$J:$M,4,0),"")</x:f>
      </x:c>
      <x:c r="J386" s="3">
        <x:f>_xlfn.IFNA(VLOOKUP($E386,Master!$J:$M,3,0),"")</x:f>
      </x:c>
      <x:c r="AC386" s="26">
        <x:f>SUM(K386:P386)</x:f>
      </x:c>
      <x:c r="AD386" s="26">
        <x:f>SUM(Q386:AB386)</x:f>
      </x:c>
    </x:row>
    <x:row r="387" spans="1:35" ht="15" customHeight="1">
      <x:c r="B387" s="3">
        <x:f>_xlfn.IFNA(VLOOKUP(C387,Master!$J:$K,2,0),"")</x:f>
      </x:c>
      <x:c r="D387" s="4">
        <x:f>_xlfn.IFNA(VLOOKUP(E387,Master!$J:$K,2,0),"")</x:f>
      </x:c>
      <x:c r="F387" s="4">
        <x:f>_xlfn.IFNA(VLOOKUP(G387,Master!B:C,2,0),"")</x:f>
      </x:c>
      <x:c r="I387" s="3">
        <x:f>_xlfn.IFNA(VLOOKUP(E387,Master!$J:$M,4,0),"")</x:f>
      </x:c>
      <x:c r="J387" s="3">
        <x:f>_xlfn.IFNA(VLOOKUP($E387,Master!$J:$M,3,0),"")</x:f>
      </x:c>
      <x:c r="AC387" s="26">
        <x:f>SUM(K387:P387)</x:f>
      </x:c>
      <x:c r="AD387" s="26">
        <x:f>SUM(Q387:AB387)</x:f>
      </x:c>
    </x:row>
    <x:row r="388" spans="1:35" ht="15" customHeight="1">
      <x:c r="B388" s="3">
        <x:f>_xlfn.IFNA(VLOOKUP(C388,Master!$J:$K,2,0),"")</x:f>
      </x:c>
      <x:c r="D388" s="4">
        <x:f>_xlfn.IFNA(VLOOKUP(E388,Master!$J:$K,2,0),"")</x:f>
      </x:c>
      <x:c r="F388" s="4">
        <x:f>_xlfn.IFNA(VLOOKUP(G388,Master!B:C,2,0),"")</x:f>
      </x:c>
      <x:c r="I388" s="3">
        <x:f>_xlfn.IFNA(VLOOKUP(E388,Master!$J:$M,4,0),"")</x:f>
      </x:c>
      <x:c r="J388" s="3">
        <x:f>_xlfn.IFNA(VLOOKUP($E388,Master!$J:$M,3,0),"")</x:f>
      </x:c>
      <x:c r="AC388" s="26">
        <x:f>SUM(K388:P388)</x:f>
      </x:c>
      <x:c r="AD388" s="26">
        <x:f>SUM(Q388:AB388)</x:f>
      </x:c>
    </x:row>
    <x:row r="389" spans="1:35" ht="15" customHeight="1">
      <x:c r="B389" s="3">
        <x:f>_xlfn.IFNA(VLOOKUP(C389,Master!$J:$K,2,0),"")</x:f>
      </x:c>
      <x:c r="D389" s="4">
        <x:f>_xlfn.IFNA(VLOOKUP(E389,Master!$J:$K,2,0),"")</x:f>
      </x:c>
      <x:c r="F389" s="4">
        <x:f>_xlfn.IFNA(VLOOKUP(G389,Master!B:C,2,0),"")</x:f>
      </x:c>
      <x:c r="I389" s="3">
        <x:f>_xlfn.IFNA(VLOOKUP(E389,Master!$J:$M,4,0),"")</x:f>
      </x:c>
      <x:c r="J389" s="3">
        <x:f>_xlfn.IFNA(VLOOKUP($E389,Master!$J:$M,3,0),"")</x:f>
      </x:c>
      <x:c r="AC389" s="26">
        <x:f>SUM(K389:P389)</x:f>
      </x:c>
      <x:c r="AD389" s="26">
        <x:f>SUM(Q389:AB389)</x:f>
      </x:c>
    </x:row>
    <x:row r="390" spans="1:35" ht="15" customHeight="1">
      <x:c r="B390" s="3">
        <x:f>_xlfn.IFNA(VLOOKUP(C390,Master!$J:$K,2,0),"")</x:f>
      </x:c>
      <x:c r="D390" s="4">
        <x:f>_xlfn.IFNA(VLOOKUP(E390,Master!$J:$K,2,0),"")</x:f>
      </x:c>
      <x:c r="F390" s="4">
        <x:f>_xlfn.IFNA(VLOOKUP(G390,Master!B:C,2,0),"")</x:f>
      </x:c>
      <x:c r="I390" s="3">
        <x:f>_xlfn.IFNA(VLOOKUP(E390,Master!$J:$M,4,0),"")</x:f>
      </x:c>
      <x:c r="J390" s="3">
        <x:f>_xlfn.IFNA(VLOOKUP($E390,Master!$J:$M,3,0),"")</x:f>
      </x:c>
      <x:c r="AC390" s="26">
        <x:f>SUM(K390:P390)</x:f>
      </x:c>
      <x:c r="AD390" s="26">
        <x:f>SUM(Q390:AB390)</x:f>
      </x:c>
    </x:row>
    <x:row r="391" spans="1:35" ht="15" customHeight="1">
      <x:c r="B391" s="3">
        <x:f>_xlfn.IFNA(VLOOKUP(C391,Master!$J:$K,2,0),"")</x:f>
      </x:c>
      <x:c r="D391" s="4">
        <x:f>_xlfn.IFNA(VLOOKUP(E391,Master!$J:$K,2,0),"")</x:f>
      </x:c>
      <x:c r="F391" s="4">
        <x:f>_xlfn.IFNA(VLOOKUP(G391,Master!B:C,2,0),"")</x:f>
      </x:c>
      <x:c r="I391" s="3">
        <x:f>_xlfn.IFNA(VLOOKUP(E391,Master!$J:$M,4,0),"")</x:f>
      </x:c>
      <x:c r="J391" s="3">
        <x:f>_xlfn.IFNA(VLOOKUP($E391,Master!$J:$M,3,0),"")</x:f>
      </x:c>
      <x:c r="AC391" s="26">
        <x:f>SUM(K391:P391)</x:f>
      </x:c>
      <x:c r="AD391" s="26">
        <x:f>SUM(Q391:AB391)</x:f>
      </x:c>
    </x:row>
    <x:row r="392" spans="1:35" ht="15" customHeight="1">
      <x:c r="B392" s="3">
        <x:f>_xlfn.IFNA(VLOOKUP(C392,Master!$J:$K,2,0),"")</x:f>
      </x:c>
      <x:c r="D392" s="4">
        <x:f>_xlfn.IFNA(VLOOKUP(E392,Master!$J:$K,2,0),"")</x:f>
      </x:c>
      <x:c r="F392" s="4">
        <x:f>_xlfn.IFNA(VLOOKUP(G392,Master!B:C,2,0),"")</x:f>
      </x:c>
      <x:c r="I392" s="3">
        <x:f>_xlfn.IFNA(VLOOKUP(E392,Master!$J:$M,4,0),"")</x:f>
      </x:c>
      <x:c r="J392" s="3">
        <x:f>_xlfn.IFNA(VLOOKUP($E392,Master!$J:$M,3,0),"")</x:f>
      </x:c>
      <x:c r="AC392" s="26">
        <x:f>SUM(K392:P392)</x:f>
      </x:c>
      <x:c r="AD392" s="26">
        <x:f>SUM(Q392:AB392)</x:f>
      </x:c>
    </x:row>
    <x:row r="393" spans="1:35" ht="15" customHeight="1">
      <x:c r="B393" s="3">
        <x:f>_xlfn.IFNA(VLOOKUP(C393,Master!$J:$K,2,0),"")</x:f>
      </x:c>
      <x:c r="D393" s="4">
        <x:f>_xlfn.IFNA(VLOOKUP(E393,Master!$J:$K,2,0),"")</x:f>
      </x:c>
      <x:c r="F393" s="4">
        <x:f>_xlfn.IFNA(VLOOKUP(G393,Master!B:C,2,0),"")</x:f>
      </x:c>
      <x:c r="I393" s="3">
        <x:f>_xlfn.IFNA(VLOOKUP(E393,Master!$J:$M,4,0),"")</x:f>
      </x:c>
      <x:c r="J393" s="3">
        <x:f>_xlfn.IFNA(VLOOKUP($E393,Master!$J:$M,3,0),"")</x:f>
      </x:c>
      <x:c r="AC393" s="26">
        <x:f>SUM(K393:P393)</x:f>
      </x:c>
      <x:c r="AD393" s="26">
        <x:f>SUM(Q393:AB393)</x:f>
      </x:c>
    </x:row>
    <x:row r="394" spans="1:35" ht="15" customHeight="1">
      <x:c r="B394" s="3">
        <x:f>_xlfn.IFNA(VLOOKUP(C394,Master!$J:$K,2,0),"")</x:f>
      </x:c>
      <x:c r="D394" s="4">
        <x:f>_xlfn.IFNA(VLOOKUP(E394,Master!$J:$K,2,0),"")</x:f>
      </x:c>
      <x:c r="F394" s="4">
        <x:f>_xlfn.IFNA(VLOOKUP(G394,Master!B:C,2,0),"")</x:f>
      </x:c>
      <x:c r="I394" s="3">
        <x:f>_xlfn.IFNA(VLOOKUP(E394,Master!$J:$M,4,0),"")</x:f>
      </x:c>
      <x:c r="J394" s="3">
        <x:f>_xlfn.IFNA(VLOOKUP($E394,Master!$J:$M,3,0),"")</x:f>
      </x:c>
      <x:c r="AC394" s="26">
        <x:f>SUM(K394:P394)</x:f>
      </x:c>
      <x:c r="AD394" s="26">
        <x:f>SUM(Q394:AB394)</x:f>
      </x:c>
    </x:row>
    <x:row r="395" spans="1:35" ht="15" customHeight="1">
      <x:c r="B395" s="3">
        <x:f>_xlfn.IFNA(VLOOKUP(C395,Master!$J:$K,2,0),"")</x:f>
      </x:c>
      <x:c r="D395" s="4">
        <x:f>_xlfn.IFNA(VLOOKUP(E395,Master!$J:$K,2,0),"")</x:f>
      </x:c>
      <x:c r="F395" s="4">
        <x:f>_xlfn.IFNA(VLOOKUP(G395,Master!B:C,2,0),"")</x:f>
      </x:c>
      <x:c r="I395" s="3">
        <x:f>_xlfn.IFNA(VLOOKUP(E395,Master!$J:$M,4,0),"")</x:f>
      </x:c>
      <x:c r="J395" s="3">
        <x:f>_xlfn.IFNA(VLOOKUP($E395,Master!$J:$M,3,0),"")</x:f>
      </x:c>
      <x:c r="AC395" s="26">
        <x:f>SUM(K395:P395)</x:f>
      </x:c>
      <x:c r="AD395" s="26">
        <x:f>SUM(Q395:AB395)</x:f>
      </x:c>
    </x:row>
    <x:row r="396" spans="1:35" ht="15" customHeight="1">
      <x:c r="B396" s="3">
        <x:f>_xlfn.IFNA(VLOOKUP(C396,Master!$J:$K,2,0),"")</x:f>
      </x:c>
      <x:c r="D396" s="4">
        <x:f>_xlfn.IFNA(VLOOKUP(E396,Master!$J:$K,2,0),"")</x:f>
      </x:c>
      <x:c r="F396" s="4">
        <x:f>_xlfn.IFNA(VLOOKUP(G396,Master!B:C,2,0),"")</x:f>
      </x:c>
      <x:c r="I396" s="3">
        <x:f>_xlfn.IFNA(VLOOKUP(E396,Master!$J:$M,4,0),"")</x:f>
      </x:c>
      <x:c r="J396" s="3">
        <x:f>_xlfn.IFNA(VLOOKUP($E396,Master!$J:$M,3,0),"")</x:f>
      </x:c>
      <x:c r="AC396" s="26">
        <x:f>SUM(K396:P396)</x:f>
      </x:c>
      <x:c r="AD396" s="26">
        <x:f>SUM(Q396:AB396)</x:f>
      </x:c>
    </x:row>
    <x:row r="397" spans="1:35" ht="15" customHeight="1">
      <x:c r="B397" s="3">
        <x:f>_xlfn.IFNA(VLOOKUP(C397,Master!$J:$K,2,0),"")</x:f>
      </x:c>
      <x:c r="D397" s="4">
        <x:f>_xlfn.IFNA(VLOOKUP(E397,Master!$J:$K,2,0),"")</x:f>
      </x:c>
      <x:c r="F397" s="4">
        <x:f>_xlfn.IFNA(VLOOKUP(G397,Master!B:C,2,0),"")</x:f>
      </x:c>
      <x:c r="I397" s="3">
        <x:f>_xlfn.IFNA(VLOOKUP(E397,Master!$J:$M,4,0),"")</x:f>
      </x:c>
      <x:c r="J397" s="3">
        <x:f>_xlfn.IFNA(VLOOKUP($E397,Master!$J:$M,3,0),"")</x:f>
      </x:c>
      <x:c r="AC397" s="26">
        <x:f>SUM(K397:P397)</x:f>
      </x:c>
      <x:c r="AD397" s="26">
        <x:f>SUM(Q397:AB397)</x:f>
      </x:c>
    </x:row>
    <x:row r="398" spans="1:35" ht="15" customHeight="1">
      <x:c r="B398" s="3">
        <x:f>_xlfn.IFNA(VLOOKUP(C398,Master!$J:$K,2,0),"")</x:f>
      </x:c>
      <x:c r="D398" s="4">
        <x:f>_xlfn.IFNA(VLOOKUP(E398,Master!$J:$K,2,0),"")</x:f>
      </x:c>
      <x:c r="F398" s="4">
        <x:f>_xlfn.IFNA(VLOOKUP(G398,Master!B:C,2,0),"")</x:f>
      </x:c>
      <x:c r="I398" s="3">
        <x:f>_xlfn.IFNA(VLOOKUP(E398,Master!$J:$M,4,0),"")</x:f>
      </x:c>
      <x:c r="J398" s="3">
        <x:f>_xlfn.IFNA(VLOOKUP($E398,Master!$J:$M,3,0),"")</x:f>
      </x:c>
      <x:c r="AC398" s="26">
        <x:f>SUM(K398:P398)</x:f>
      </x:c>
      <x:c r="AD398" s="26">
        <x:f>SUM(Q398:AB398)</x:f>
      </x:c>
    </x:row>
    <x:row r="399" spans="1:35" ht="15" customHeight="1">
      <x:c r="B399" s="3">
        <x:f>_xlfn.IFNA(VLOOKUP(C399,Master!$J:$K,2,0),"")</x:f>
      </x:c>
      <x:c r="D399" s="4">
        <x:f>_xlfn.IFNA(VLOOKUP(E399,Master!$J:$K,2,0),"")</x:f>
      </x:c>
      <x:c r="F399" s="4">
        <x:f>_xlfn.IFNA(VLOOKUP(G399,Master!B:C,2,0),"")</x:f>
      </x:c>
      <x:c r="I399" s="3">
        <x:f>_xlfn.IFNA(VLOOKUP(E399,Master!$J:$M,4,0),"")</x:f>
      </x:c>
      <x:c r="J399" s="3">
        <x:f>_xlfn.IFNA(VLOOKUP($E399,Master!$J:$M,3,0),"")</x:f>
      </x:c>
      <x:c r="AC399" s="26">
        <x:f>SUM(K399:P399)</x:f>
      </x:c>
      <x:c r="AD399" s="26">
        <x:f>SUM(Q399:AB399)</x:f>
      </x:c>
    </x:row>
    <x:row r="400" spans="1:35" ht="15" customHeight="1">
      <x:c r="B400" s="3">
        <x:f>_xlfn.IFNA(VLOOKUP(C400,Master!$J:$K,2,0),"")</x:f>
      </x:c>
      <x:c r="D400" s="4">
        <x:f>_xlfn.IFNA(VLOOKUP(E400,Master!$J:$K,2,0),"")</x:f>
      </x:c>
      <x:c r="F400" s="4">
        <x:f>_xlfn.IFNA(VLOOKUP(G400,Master!B:C,2,0),"")</x:f>
      </x:c>
      <x:c r="I400" s="3">
        <x:f>_xlfn.IFNA(VLOOKUP(E400,Master!$J:$M,4,0),"")</x:f>
      </x:c>
      <x:c r="J400" s="3">
        <x:f>_xlfn.IFNA(VLOOKUP($E400,Master!$J:$M,3,0),"")</x:f>
      </x:c>
      <x:c r="AC400" s="26">
        <x:f>SUM(K400:P400)</x:f>
      </x:c>
      <x:c r="AD400" s="26">
        <x:f>SUM(Q400:AB400)</x:f>
      </x:c>
    </x:row>
    <x:row r="401" spans="1:35" ht="15" customHeight="1">
      <x:c r="B401" s="3">
        <x:f>_xlfn.IFNA(VLOOKUP(C401,Master!$J:$K,2,0),"")</x:f>
      </x:c>
      <x:c r="D401" s="4">
        <x:f>_xlfn.IFNA(VLOOKUP(E401,Master!$J:$K,2,0),"")</x:f>
      </x:c>
      <x:c r="F401" s="4">
        <x:f>_xlfn.IFNA(VLOOKUP(G401,Master!B:C,2,0),"")</x:f>
      </x:c>
      <x:c r="I401" s="3">
        <x:f>_xlfn.IFNA(VLOOKUP(E401,Master!$J:$M,4,0),"")</x:f>
      </x:c>
      <x:c r="J401" s="3">
        <x:f>_xlfn.IFNA(VLOOKUP($E401,Master!$J:$M,3,0),"")</x:f>
      </x:c>
      <x:c r="AC401" s="26">
        <x:f>SUM(K401:P401)</x:f>
      </x:c>
      <x:c r="AD401" s="26">
        <x:f>SUM(Q401:AB401)</x:f>
      </x:c>
    </x:row>
    <x:row r="402" spans="1:35" ht="15" customHeight="1">
      <x:c r="B402" s="3">
        <x:f>_xlfn.IFNA(VLOOKUP(C402,Master!$J:$K,2,0),"")</x:f>
      </x:c>
      <x:c r="D402" s="4">
        <x:f>_xlfn.IFNA(VLOOKUP(E402,Master!$J:$K,2,0),"")</x:f>
      </x:c>
      <x:c r="F402" s="4">
        <x:f>_xlfn.IFNA(VLOOKUP(G402,Master!B:C,2,0),"")</x:f>
      </x:c>
      <x:c r="I402" s="3">
        <x:f>_xlfn.IFNA(VLOOKUP(E402,Master!$J:$M,4,0),"")</x:f>
      </x:c>
      <x:c r="J402" s="3">
        <x:f>_xlfn.IFNA(VLOOKUP($E402,Master!$J:$M,3,0),"")</x:f>
      </x:c>
      <x:c r="AC402" s="26">
        <x:f>SUM(K402:P402)</x:f>
      </x:c>
      <x:c r="AD402" s="26">
        <x:f>SUM(Q402:AB402)</x:f>
      </x:c>
    </x:row>
    <x:row r="403" spans="1:35" ht="15" customHeight="1">
      <x:c r="B403" s="3">
        <x:f>_xlfn.IFNA(VLOOKUP(C403,Master!$J:$K,2,0),"")</x:f>
      </x:c>
      <x:c r="D403" s="4">
        <x:f>_xlfn.IFNA(VLOOKUP(E403,Master!$J:$K,2,0),"")</x:f>
      </x:c>
      <x:c r="F403" s="4">
        <x:f>_xlfn.IFNA(VLOOKUP(G403,Master!B:C,2,0),"")</x:f>
      </x:c>
      <x:c r="I403" s="3">
        <x:f>_xlfn.IFNA(VLOOKUP(E403,Master!$J:$M,4,0),"")</x:f>
      </x:c>
      <x:c r="J403" s="3">
        <x:f>_xlfn.IFNA(VLOOKUP($E403,Master!$J:$M,3,0),"")</x:f>
      </x:c>
      <x:c r="AC403" s="26">
        <x:f>SUM(K403:P403)</x:f>
      </x:c>
      <x:c r="AD403" s="26">
        <x:f>SUM(Q403:AB403)</x:f>
      </x:c>
    </x:row>
    <x:row r="404" spans="1:35" ht="15" customHeight="1">
      <x:c r="B404" s="3">
        <x:f>_xlfn.IFNA(VLOOKUP(C404,Master!$J:$K,2,0),"")</x:f>
      </x:c>
      <x:c r="D404" s="4">
        <x:f>_xlfn.IFNA(VLOOKUP(E404,Master!$J:$K,2,0),"")</x:f>
      </x:c>
      <x:c r="F404" s="4">
        <x:f>_xlfn.IFNA(VLOOKUP(G404,Master!B:C,2,0),"")</x:f>
      </x:c>
      <x:c r="I404" s="3">
        <x:f>_xlfn.IFNA(VLOOKUP(E404,Master!$J:$M,4,0),"")</x:f>
      </x:c>
      <x:c r="J404" s="3">
        <x:f>_xlfn.IFNA(VLOOKUP($E404,Master!$J:$M,3,0),"")</x:f>
      </x:c>
      <x:c r="AC404" s="26">
        <x:f>SUM(K404:P404)</x:f>
      </x:c>
      <x:c r="AD404" s="26">
        <x:f>SUM(Q404:AB404)</x:f>
      </x:c>
    </x:row>
    <x:row r="405" spans="1:35" ht="15" customHeight="1">
      <x:c r="B405" s="3">
        <x:f>_xlfn.IFNA(VLOOKUP(C405,Master!$J:$K,2,0),"")</x:f>
      </x:c>
      <x:c r="D405" s="4">
        <x:f>_xlfn.IFNA(VLOOKUP(E405,Master!$J:$K,2,0),"")</x:f>
      </x:c>
      <x:c r="F405" s="4">
        <x:f>_xlfn.IFNA(VLOOKUP(G405,Master!B:C,2,0),"")</x:f>
      </x:c>
      <x:c r="I405" s="3">
        <x:f>_xlfn.IFNA(VLOOKUP(E405,Master!$J:$M,4,0),"")</x:f>
      </x:c>
      <x:c r="J405" s="3">
        <x:f>_xlfn.IFNA(VLOOKUP($E405,Master!$J:$M,3,0),"")</x:f>
      </x:c>
      <x:c r="AC405" s="26">
        <x:f>SUM(K405:P405)</x:f>
      </x:c>
      <x:c r="AD405" s="26">
        <x:f>SUM(Q405:AB405)</x:f>
      </x:c>
    </x:row>
    <x:row r="406" spans="1:35" ht="15" customHeight="1">
      <x:c r="B406" s="3">
        <x:f>_xlfn.IFNA(VLOOKUP(C406,Master!$J:$K,2,0),"")</x:f>
      </x:c>
      <x:c r="D406" s="4">
        <x:f>_xlfn.IFNA(VLOOKUP(E406,Master!$J:$K,2,0),"")</x:f>
      </x:c>
      <x:c r="F406" s="4">
        <x:f>_xlfn.IFNA(VLOOKUP(G406,Master!B:C,2,0),"")</x:f>
      </x:c>
      <x:c r="I406" s="3">
        <x:f>_xlfn.IFNA(VLOOKUP(E406,Master!$J:$M,4,0),"")</x:f>
      </x:c>
      <x:c r="J406" s="3">
        <x:f>_xlfn.IFNA(VLOOKUP($E406,Master!$J:$M,3,0),"")</x:f>
      </x:c>
      <x:c r="AC406" s="26">
        <x:f>SUM(K406:P406)</x:f>
      </x:c>
      <x:c r="AD406" s="26">
        <x:f>SUM(Q406:AB406)</x:f>
      </x:c>
    </x:row>
    <x:row r="407" spans="1:35" ht="15" customHeight="1">
      <x:c r="B407" s="3">
        <x:f>_xlfn.IFNA(VLOOKUP(C407,Master!$J:$K,2,0),"")</x:f>
      </x:c>
      <x:c r="D407" s="4">
        <x:f>_xlfn.IFNA(VLOOKUP(E407,Master!$J:$K,2,0),"")</x:f>
      </x:c>
      <x:c r="F407" s="4">
        <x:f>_xlfn.IFNA(VLOOKUP(G407,Master!B:C,2,0),"")</x:f>
      </x:c>
      <x:c r="I407" s="3">
        <x:f>_xlfn.IFNA(VLOOKUP(E407,Master!$J:$M,4,0),"")</x:f>
      </x:c>
      <x:c r="J407" s="3">
        <x:f>_xlfn.IFNA(VLOOKUP($E407,Master!$J:$M,3,0),"")</x:f>
      </x:c>
      <x:c r="AC407" s="26">
        <x:f>SUM(K407:P407)</x:f>
      </x:c>
      <x:c r="AD407" s="26">
        <x:f>SUM(Q407:AB407)</x:f>
      </x:c>
    </x:row>
    <x:row r="408" spans="1:35" ht="15" customHeight="1">
      <x:c r="B408" s="3">
        <x:f>_xlfn.IFNA(VLOOKUP(C408,Master!$J:$K,2,0),"")</x:f>
      </x:c>
      <x:c r="D408" s="4">
        <x:f>_xlfn.IFNA(VLOOKUP(E408,Master!$J:$K,2,0),"")</x:f>
      </x:c>
      <x:c r="F408" s="4">
        <x:f>_xlfn.IFNA(VLOOKUP(G408,Master!B:C,2,0),"")</x:f>
      </x:c>
      <x:c r="I408" s="3">
        <x:f>_xlfn.IFNA(VLOOKUP(E408,Master!$J:$M,4,0),"")</x:f>
      </x:c>
      <x:c r="J408" s="3">
        <x:f>_xlfn.IFNA(VLOOKUP($E408,Master!$J:$M,3,0),"")</x:f>
      </x:c>
      <x:c r="AC408" s="26">
        <x:f>SUM(K408:P408)</x:f>
      </x:c>
      <x:c r="AD408" s="26">
        <x:f>SUM(Q408:AB408)</x:f>
      </x:c>
    </x:row>
    <x:row r="409" spans="1:35" ht="15" customHeight="1">
      <x:c r="B409" s="3">
        <x:f>_xlfn.IFNA(VLOOKUP(C409,Master!$J:$K,2,0),"")</x:f>
      </x:c>
      <x:c r="D409" s="4">
        <x:f>_xlfn.IFNA(VLOOKUP(E409,Master!$J:$K,2,0),"")</x:f>
      </x:c>
      <x:c r="F409" s="4">
        <x:f>_xlfn.IFNA(VLOOKUP(G409,Master!B:C,2,0),"")</x:f>
      </x:c>
      <x:c r="I409" s="3">
        <x:f>_xlfn.IFNA(VLOOKUP(E409,Master!$J:$M,4,0),"")</x:f>
      </x:c>
      <x:c r="J409" s="3">
        <x:f>_xlfn.IFNA(VLOOKUP($E409,Master!$J:$M,3,0),"")</x:f>
      </x:c>
      <x:c r="AC409" s="26">
        <x:f>SUM(K409:P409)</x:f>
      </x:c>
      <x:c r="AD409" s="26">
        <x:f>SUM(Q409:AB409)</x:f>
      </x:c>
    </x:row>
    <x:row r="410" spans="1:35" ht="15" customHeight="1">
      <x:c r="B410" s="3">
        <x:f>_xlfn.IFNA(VLOOKUP(C410,Master!$J:$K,2,0),"")</x:f>
      </x:c>
      <x:c r="D410" s="4">
        <x:f>_xlfn.IFNA(VLOOKUP(E410,Master!$J:$K,2,0),"")</x:f>
      </x:c>
      <x:c r="F410" s="4">
        <x:f>_xlfn.IFNA(VLOOKUP(G410,Master!B:C,2,0),"")</x:f>
      </x:c>
      <x:c r="I410" s="3">
        <x:f>_xlfn.IFNA(VLOOKUP(E410,Master!$J:$M,4,0),"")</x:f>
      </x:c>
      <x:c r="J410" s="3">
        <x:f>_xlfn.IFNA(VLOOKUP($E410,Master!$J:$M,3,0),"")</x:f>
      </x:c>
      <x:c r="AC410" s="26">
        <x:f>SUM(K410:P410)</x:f>
      </x:c>
      <x:c r="AD410" s="26">
        <x:f>SUM(Q410:AB410)</x:f>
      </x:c>
    </x:row>
    <x:row r="411" spans="1:35" ht="15" customHeight="1">
      <x:c r="B411" s="3">
        <x:f>_xlfn.IFNA(VLOOKUP(C411,Master!$J:$K,2,0),"")</x:f>
      </x:c>
      <x:c r="D411" s="4">
        <x:f>_xlfn.IFNA(VLOOKUP(E411,Master!$J:$K,2,0),"")</x:f>
      </x:c>
      <x:c r="F411" s="4">
        <x:f>_xlfn.IFNA(VLOOKUP(G411,Master!B:C,2,0),"")</x:f>
      </x:c>
      <x:c r="I411" s="3">
        <x:f>_xlfn.IFNA(VLOOKUP(E411,Master!$J:$M,4,0),"")</x:f>
      </x:c>
      <x:c r="J411" s="3">
        <x:f>_xlfn.IFNA(VLOOKUP($E411,Master!$J:$M,3,0),"")</x:f>
      </x:c>
      <x:c r="AC411" s="26">
        <x:f>SUM(K411:P411)</x:f>
      </x:c>
      <x:c r="AD411" s="26">
        <x:f>SUM(Q411:AB411)</x:f>
      </x:c>
    </x:row>
    <x:row r="412" spans="1:35" ht="15" customHeight="1">
      <x:c r="B412" s="3">
        <x:f>_xlfn.IFNA(VLOOKUP(C412,Master!$J:$K,2,0),"")</x:f>
      </x:c>
      <x:c r="D412" s="4">
        <x:f>_xlfn.IFNA(VLOOKUP(E412,Master!$J:$K,2,0),"")</x:f>
      </x:c>
      <x:c r="F412" s="4">
        <x:f>_xlfn.IFNA(VLOOKUP(G412,Master!B:C,2,0),"")</x:f>
      </x:c>
      <x:c r="I412" s="3">
        <x:f>_xlfn.IFNA(VLOOKUP(E412,Master!$J:$M,4,0),"")</x:f>
      </x:c>
      <x:c r="J412" s="3">
        <x:f>_xlfn.IFNA(VLOOKUP($E412,Master!$J:$M,3,0),"")</x:f>
      </x:c>
      <x:c r="AC412" s="26">
        <x:f>SUM(K412:P412)</x:f>
      </x:c>
      <x:c r="AD412" s="26">
        <x:f>SUM(Q412:AB412)</x:f>
      </x:c>
    </x:row>
    <x:row r="413" spans="1:35" ht="15" customHeight="1">
      <x:c r="B413" s="3">
        <x:f>_xlfn.IFNA(VLOOKUP(C413,Master!$J:$K,2,0),"")</x:f>
      </x:c>
      <x:c r="D413" s="4">
        <x:f>_xlfn.IFNA(VLOOKUP(E413,Master!$J:$K,2,0),"")</x:f>
      </x:c>
      <x:c r="F413" s="4">
        <x:f>_xlfn.IFNA(VLOOKUP(G413,Master!B:C,2,0),"")</x:f>
      </x:c>
      <x:c r="I413" s="3">
        <x:f>_xlfn.IFNA(VLOOKUP(E413,Master!$J:$M,4,0),"")</x:f>
      </x:c>
      <x:c r="J413" s="3">
        <x:f>_xlfn.IFNA(VLOOKUP($E413,Master!$J:$M,3,0),"")</x:f>
      </x:c>
      <x:c r="AC413" s="26">
        <x:f>SUM(K413:P413)</x:f>
      </x:c>
      <x:c r="AD413" s="26">
        <x:f>SUM(Q413:AB413)</x:f>
      </x:c>
    </x:row>
    <x:row r="414" spans="1:35" ht="15" customHeight="1">
      <x:c r="B414" s="3">
        <x:f>_xlfn.IFNA(VLOOKUP(C414,Master!$J:$K,2,0),"")</x:f>
      </x:c>
      <x:c r="D414" s="4">
        <x:f>_xlfn.IFNA(VLOOKUP(E414,Master!$J:$K,2,0),"")</x:f>
      </x:c>
      <x:c r="F414" s="4">
        <x:f>_xlfn.IFNA(VLOOKUP(G414,Master!B:C,2,0),"")</x:f>
      </x:c>
      <x:c r="I414" s="3">
        <x:f>_xlfn.IFNA(VLOOKUP(E414,Master!$J:$M,4,0),"")</x:f>
      </x:c>
      <x:c r="J414" s="3">
        <x:f>_xlfn.IFNA(VLOOKUP($E414,Master!$J:$M,3,0),"")</x:f>
      </x:c>
      <x:c r="AC414" s="26">
        <x:f>SUM(K414:P414)</x:f>
      </x:c>
      <x:c r="AD414" s="26">
        <x:f>SUM(Q414:AB414)</x:f>
      </x:c>
    </x:row>
    <x:row r="415" spans="1:35" ht="15" customHeight="1">
      <x:c r="B415" s="3">
        <x:f>_xlfn.IFNA(VLOOKUP(C415,Master!$J:$K,2,0),"")</x:f>
      </x:c>
      <x:c r="D415" s="4">
        <x:f>_xlfn.IFNA(VLOOKUP(E415,Master!$J:$K,2,0),"")</x:f>
      </x:c>
      <x:c r="F415" s="4">
        <x:f>_xlfn.IFNA(VLOOKUP(G415,Master!B:C,2,0),"")</x:f>
      </x:c>
      <x:c r="I415" s="3">
        <x:f>_xlfn.IFNA(VLOOKUP(E415,Master!$J:$M,4,0),"")</x:f>
      </x:c>
      <x:c r="J415" s="3">
        <x:f>_xlfn.IFNA(VLOOKUP($E415,Master!$J:$M,3,0),"")</x:f>
      </x:c>
      <x:c r="AC415" s="26">
        <x:f>SUM(K415:P415)</x:f>
      </x:c>
      <x:c r="AD415" s="26">
        <x:f>SUM(Q415:AB415)</x:f>
      </x:c>
    </x:row>
    <x:row r="416" spans="1:35" ht="15" customHeight="1">
      <x:c r="B416" s="3">
        <x:f>_xlfn.IFNA(VLOOKUP(C416,Master!$J:$K,2,0),"")</x:f>
      </x:c>
      <x:c r="D416" s="4">
        <x:f>_xlfn.IFNA(VLOOKUP(E416,Master!$J:$K,2,0),"")</x:f>
      </x:c>
      <x:c r="F416" s="4">
        <x:f>_xlfn.IFNA(VLOOKUP(G416,Master!B:C,2,0),"")</x:f>
      </x:c>
      <x:c r="I416" s="3">
        <x:f>_xlfn.IFNA(VLOOKUP(E416,Master!$J:$M,4,0),"")</x:f>
      </x:c>
      <x:c r="J416" s="3">
        <x:f>_xlfn.IFNA(VLOOKUP($E416,Master!$J:$M,3,0),"")</x:f>
      </x:c>
      <x:c r="AC416" s="26">
        <x:f>SUM(K416:P416)</x:f>
      </x:c>
      <x:c r="AD416" s="26">
        <x:f>SUM(Q416:AB416)</x:f>
      </x:c>
    </x:row>
    <x:row r="417" spans="1:35" ht="15" customHeight="1">
      <x:c r="B417" s="3">
        <x:f>_xlfn.IFNA(VLOOKUP(C417,Master!$J:$K,2,0),"")</x:f>
      </x:c>
      <x:c r="D417" s="4">
        <x:f>_xlfn.IFNA(VLOOKUP(E417,Master!$J:$K,2,0),"")</x:f>
      </x:c>
      <x:c r="F417" s="4">
        <x:f>_xlfn.IFNA(VLOOKUP(G417,Master!B:C,2,0),"")</x:f>
      </x:c>
      <x:c r="I417" s="3">
        <x:f>_xlfn.IFNA(VLOOKUP(E417,Master!$J:$M,4,0),"")</x:f>
      </x:c>
      <x:c r="J417" s="3">
        <x:f>_xlfn.IFNA(VLOOKUP($E417,Master!$J:$M,3,0),"")</x:f>
      </x:c>
      <x:c r="AC417" s="26">
        <x:f>SUM(K417:P417)</x:f>
      </x:c>
      <x:c r="AD417" s="26">
        <x:f>SUM(Q417:AB417)</x:f>
      </x:c>
    </x:row>
    <x:row r="418" spans="1:35" ht="15" customHeight="1">
      <x:c r="B418" s="3">
        <x:f>_xlfn.IFNA(VLOOKUP(C418,Master!$J:$K,2,0),"")</x:f>
      </x:c>
      <x:c r="D418" s="4">
        <x:f>_xlfn.IFNA(VLOOKUP(E418,Master!$J:$K,2,0),"")</x:f>
      </x:c>
      <x:c r="F418" s="4">
        <x:f>_xlfn.IFNA(VLOOKUP(G418,Master!B:C,2,0),"")</x:f>
      </x:c>
      <x:c r="I418" s="3">
        <x:f>_xlfn.IFNA(VLOOKUP(E418,Master!$J:$M,4,0),"")</x:f>
      </x:c>
      <x:c r="J418" s="3">
        <x:f>_xlfn.IFNA(VLOOKUP($E418,Master!$J:$M,3,0),"")</x:f>
      </x:c>
      <x:c r="AC418" s="26">
        <x:f>SUM(K418:P418)</x:f>
      </x:c>
      <x:c r="AD418" s="26">
        <x:f>SUM(Q418:AB418)</x:f>
      </x:c>
    </x:row>
    <x:row r="419" spans="1:35" ht="15" customHeight="1">
      <x:c r="B419" s="3">
        <x:f>_xlfn.IFNA(VLOOKUP(C419,Master!$J:$K,2,0),"")</x:f>
      </x:c>
      <x:c r="D419" s="4">
        <x:f>_xlfn.IFNA(VLOOKUP(E419,Master!$J:$K,2,0),"")</x:f>
      </x:c>
      <x:c r="F419" s="4">
        <x:f>_xlfn.IFNA(VLOOKUP(G419,Master!B:C,2,0),"")</x:f>
      </x:c>
      <x:c r="I419" s="3">
        <x:f>_xlfn.IFNA(VLOOKUP(E419,Master!$J:$M,4,0),"")</x:f>
      </x:c>
      <x:c r="J419" s="3">
        <x:f>_xlfn.IFNA(VLOOKUP($E419,Master!$J:$M,3,0),"")</x:f>
      </x:c>
      <x:c r="AC419" s="26">
        <x:f>SUM(K419:P419)</x:f>
      </x:c>
      <x:c r="AD419" s="26">
        <x:f>SUM(Q419:AB419)</x:f>
      </x:c>
    </x:row>
    <x:row r="420" spans="1:35" ht="15" customHeight="1">
      <x:c r="B420" s="3">
        <x:f>_xlfn.IFNA(VLOOKUP(C420,Master!$J:$K,2,0),"")</x:f>
      </x:c>
      <x:c r="D420" s="4">
        <x:f>_xlfn.IFNA(VLOOKUP(E420,Master!$J:$K,2,0),"")</x:f>
      </x:c>
      <x:c r="F420" s="4">
        <x:f>_xlfn.IFNA(VLOOKUP(G420,Master!B:C,2,0),"")</x:f>
      </x:c>
      <x:c r="I420" s="3">
        <x:f>_xlfn.IFNA(VLOOKUP(E420,Master!$J:$M,4,0),"")</x:f>
      </x:c>
      <x:c r="J420" s="3">
        <x:f>_xlfn.IFNA(VLOOKUP($E420,Master!$J:$M,3,0),"")</x:f>
      </x:c>
      <x:c r="AC420" s="26">
        <x:f>SUM(K420:P420)</x:f>
      </x:c>
      <x:c r="AD420" s="26">
        <x:f>SUM(Q420:AB420)</x:f>
      </x:c>
    </x:row>
    <x:row r="421" spans="1:35" ht="15" customHeight="1">
      <x:c r="B421" s="3">
        <x:f>_xlfn.IFNA(VLOOKUP(C421,Master!$J:$K,2,0),"")</x:f>
      </x:c>
      <x:c r="D421" s="4">
        <x:f>_xlfn.IFNA(VLOOKUP(E421,Master!$J:$K,2,0),"")</x:f>
      </x:c>
      <x:c r="F421" s="4">
        <x:f>_xlfn.IFNA(VLOOKUP(G421,Master!B:C,2,0),"")</x:f>
      </x:c>
      <x:c r="I421" s="3">
        <x:f>_xlfn.IFNA(VLOOKUP(E421,Master!$J:$M,4,0),"")</x:f>
      </x:c>
      <x:c r="J421" s="3">
        <x:f>_xlfn.IFNA(VLOOKUP($E421,Master!$J:$M,3,0),"")</x:f>
      </x:c>
      <x:c r="AC421" s="26">
        <x:f>SUM(K421:P421)</x:f>
      </x:c>
      <x:c r="AD421" s="26">
        <x:f>SUM(Q421:AB421)</x:f>
      </x:c>
    </x:row>
    <x:row r="422" spans="1:35" ht="15" customHeight="1">
      <x:c r="B422" s="3">
        <x:f>_xlfn.IFNA(VLOOKUP(C422,Master!$J:$K,2,0),"")</x:f>
      </x:c>
      <x:c r="D422" s="4">
        <x:f>_xlfn.IFNA(VLOOKUP(E422,Master!$J:$K,2,0),"")</x:f>
      </x:c>
      <x:c r="F422" s="4">
        <x:f>_xlfn.IFNA(VLOOKUP(G422,Master!B:C,2,0),"")</x:f>
      </x:c>
      <x:c r="I422" s="3">
        <x:f>_xlfn.IFNA(VLOOKUP(E422,Master!$J:$M,4,0),"")</x:f>
      </x:c>
      <x:c r="J422" s="3">
        <x:f>_xlfn.IFNA(VLOOKUP($E422,Master!$J:$M,3,0),"")</x:f>
      </x:c>
      <x:c r="AC422" s="26">
        <x:f>SUM(K422:P422)</x:f>
      </x:c>
      <x:c r="AD422" s="26">
        <x:f>SUM(Q422:AB422)</x:f>
      </x:c>
    </x:row>
    <x:row r="423" spans="1:35" ht="15" customHeight="1">
      <x:c r="B423" s="3">
        <x:f>_xlfn.IFNA(VLOOKUP(C423,Master!$J:$K,2,0),"")</x:f>
      </x:c>
      <x:c r="D423" s="4">
        <x:f>_xlfn.IFNA(VLOOKUP(E423,Master!$J:$K,2,0),"")</x:f>
      </x:c>
      <x:c r="F423" s="4">
        <x:f>_xlfn.IFNA(VLOOKUP(G423,Master!B:C,2,0),"")</x:f>
      </x:c>
      <x:c r="I423" s="3">
        <x:f>_xlfn.IFNA(VLOOKUP(E423,Master!$J:$M,4,0),"")</x:f>
      </x:c>
      <x:c r="J423" s="3">
        <x:f>_xlfn.IFNA(VLOOKUP($E423,Master!$J:$M,3,0),"")</x:f>
      </x:c>
      <x:c r="AC423" s="26">
        <x:f>SUM(K423:P423)</x:f>
      </x:c>
      <x:c r="AD423" s="26">
        <x:f>SUM(Q423:AB423)</x:f>
      </x:c>
    </x:row>
    <x:row r="424" spans="1:35" ht="15" customHeight="1">
      <x:c r="B424" s="3">
        <x:f>_xlfn.IFNA(VLOOKUP(C424,Master!$J:$K,2,0),"")</x:f>
      </x:c>
      <x:c r="D424" s="4">
        <x:f>_xlfn.IFNA(VLOOKUP(E424,Master!$J:$K,2,0),"")</x:f>
      </x:c>
      <x:c r="F424" s="4">
        <x:f>_xlfn.IFNA(VLOOKUP(G424,Master!B:C,2,0),"")</x:f>
      </x:c>
      <x:c r="I424" s="3">
        <x:f>_xlfn.IFNA(VLOOKUP(E424,Master!$J:$M,4,0),"")</x:f>
      </x:c>
      <x:c r="J424" s="3">
        <x:f>_xlfn.IFNA(VLOOKUP($E424,Master!$J:$M,3,0),"")</x:f>
      </x:c>
      <x:c r="AC424" s="26">
        <x:f>SUM(K424:P424)</x:f>
      </x:c>
      <x:c r="AD424" s="26">
        <x:f>SUM(Q424:AB424)</x:f>
      </x:c>
    </x:row>
    <x:row r="425" spans="1:35" ht="15" customHeight="1">
      <x:c r="B425" s="3">
        <x:f>_xlfn.IFNA(VLOOKUP(C425,Master!$J:$K,2,0),"")</x:f>
      </x:c>
      <x:c r="D425" s="4">
        <x:f>_xlfn.IFNA(VLOOKUP(E425,Master!$J:$K,2,0),"")</x:f>
      </x:c>
      <x:c r="F425" s="4">
        <x:f>_xlfn.IFNA(VLOOKUP(G425,Master!B:C,2,0),"")</x:f>
      </x:c>
      <x:c r="I425" s="3">
        <x:f>_xlfn.IFNA(VLOOKUP(E425,Master!$J:$M,4,0),"")</x:f>
      </x:c>
      <x:c r="J425" s="3">
        <x:f>_xlfn.IFNA(VLOOKUP($E425,Master!$J:$M,3,0),"")</x:f>
      </x:c>
      <x:c r="AC425" s="26">
        <x:f>SUM(K425:P425)</x:f>
      </x:c>
      <x:c r="AD425" s="26">
        <x:f>SUM(Q425:AB425)</x:f>
      </x:c>
    </x:row>
    <x:row r="426" spans="1:35" ht="15" customHeight="1">
      <x:c r="B426" s="3">
        <x:f>_xlfn.IFNA(VLOOKUP(C426,Master!$J:$K,2,0),"")</x:f>
      </x:c>
      <x:c r="D426" s="4">
        <x:f>_xlfn.IFNA(VLOOKUP(E426,Master!$J:$K,2,0),"")</x:f>
      </x:c>
      <x:c r="F426" s="4">
        <x:f>_xlfn.IFNA(VLOOKUP(G426,Master!B:C,2,0),"")</x:f>
      </x:c>
      <x:c r="I426" s="3">
        <x:f>_xlfn.IFNA(VLOOKUP(E426,Master!$J:$M,4,0),"")</x:f>
      </x:c>
      <x:c r="J426" s="3">
        <x:f>_xlfn.IFNA(VLOOKUP($E426,Master!$J:$M,3,0),"")</x:f>
      </x:c>
      <x:c r="AC426" s="26">
        <x:f>SUM(K426:P426)</x:f>
      </x:c>
      <x:c r="AD426" s="26">
        <x:f>SUM(Q426:AB426)</x:f>
      </x:c>
    </x:row>
    <x:row r="427" spans="1:35" ht="15" customHeight="1">
      <x:c r="B427" s="3">
        <x:f>_xlfn.IFNA(VLOOKUP(C427,Master!$J:$K,2,0),"")</x:f>
      </x:c>
      <x:c r="D427" s="4">
        <x:f>_xlfn.IFNA(VLOOKUP(E427,Master!$J:$K,2,0),"")</x:f>
      </x:c>
      <x:c r="F427" s="4">
        <x:f>_xlfn.IFNA(VLOOKUP(G427,Master!B:C,2,0),"")</x:f>
      </x:c>
      <x:c r="I427" s="3">
        <x:f>_xlfn.IFNA(VLOOKUP(E427,Master!$J:$M,4,0),"")</x:f>
      </x:c>
      <x:c r="J427" s="3">
        <x:f>_xlfn.IFNA(VLOOKUP($E427,Master!$J:$M,3,0),"")</x:f>
      </x:c>
      <x:c r="AC427" s="26">
        <x:f>SUM(K427:P427)</x:f>
      </x:c>
      <x:c r="AD427" s="26">
        <x:f>SUM(Q427:AB427)</x:f>
      </x:c>
    </x:row>
    <x:row r="428" spans="1:35" ht="15" customHeight="1">
      <x:c r="B428" s="3">
        <x:f>_xlfn.IFNA(VLOOKUP(C428,Master!$J:$K,2,0),"")</x:f>
      </x:c>
      <x:c r="D428" s="4">
        <x:f>_xlfn.IFNA(VLOOKUP(E428,Master!$J:$K,2,0),"")</x:f>
      </x:c>
      <x:c r="F428" s="4">
        <x:f>_xlfn.IFNA(VLOOKUP(G428,Master!B:C,2,0),"")</x:f>
      </x:c>
      <x:c r="I428" s="3">
        <x:f>_xlfn.IFNA(VLOOKUP(E428,Master!$J:$M,4,0),"")</x:f>
      </x:c>
      <x:c r="J428" s="3">
        <x:f>_xlfn.IFNA(VLOOKUP($E428,Master!$J:$M,3,0),"")</x:f>
      </x:c>
      <x:c r="AC428" s="26">
        <x:f>SUM(K428:P428)</x:f>
      </x:c>
      <x:c r="AD428" s="26">
        <x:f>SUM(Q428:AB428)</x:f>
      </x:c>
    </x:row>
    <x:row r="429" spans="1:35" ht="15" customHeight="1">
      <x:c r="B429" s="3">
        <x:f>_xlfn.IFNA(VLOOKUP(C429,Master!$J:$K,2,0),"")</x:f>
      </x:c>
      <x:c r="D429" s="4">
        <x:f>_xlfn.IFNA(VLOOKUP(E429,Master!$J:$K,2,0),"")</x:f>
      </x:c>
      <x:c r="F429" s="4">
        <x:f>_xlfn.IFNA(VLOOKUP(G429,Master!B:C,2,0),"")</x:f>
      </x:c>
      <x:c r="I429" s="3">
        <x:f>_xlfn.IFNA(VLOOKUP(E429,Master!$J:$M,4,0),"")</x:f>
      </x:c>
      <x:c r="J429" s="3">
        <x:f>_xlfn.IFNA(VLOOKUP($E429,Master!$J:$M,3,0),"")</x:f>
      </x:c>
      <x:c r="AC429" s="26">
        <x:f>SUM(K429:P429)</x:f>
      </x:c>
      <x:c r="AD429" s="26">
        <x:f>SUM(Q429:AB429)</x:f>
      </x:c>
    </x:row>
    <x:row r="430" spans="1:35" ht="15" customHeight="1">
      <x:c r="B430" s="3">
        <x:f>_xlfn.IFNA(VLOOKUP(C430,Master!$J:$K,2,0),"")</x:f>
      </x:c>
      <x:c r="D430" s="4">
        <x:f>_xlfn.IFNA(VLOOKUP(E430,Master!$J:$K,2,0),"")</x:f>
      </x:c>
      <x:c r="F430" s="4">
        <x:f>_xlfn.IFNA(VLOOKUP(G430,Master!B:C,2,0),"")</x:f>
      </x:c>
      <x:c r="I430" s="3">
        <x:f>_xlfn.IFNA(VLOOKUP(E430,Master!$J:$M,4,0),"")</x:f>
      </x:c>
      <x:c r="J430" s="3">
        <x:f>_xlfn.IFNA(VLOOKUP($E430,Master!$J:$M,3,0),"")</x:f>
      </x:c>
      <x:c r="AC430" s="26">
        <x:f>SUM(K430:P430)</x:f>
      </x:c>
      <x:c r="AD430" s="26">
        <x:f>SUM(Q430:AB430)</x:f>
      </x:c>
    </x:row>
    <x:row r="431" spans="1:35" ht="15" customHeight="1">
      <x:c r="B431" s="3">
        <x:f>_xlfn.IFNA(VLOOKUP(C431,Master!$J:$K,2,0),"")</x:f>
      </x:c>
      <x:c r="D431" s="4">
        <x:f>_xlfn.IFNA(VLOOKUP(E431,Master!$J:$K,2,0),"")</x:f>
      </x:c>
      <x:c r="F431" s="4">
        <x:f>_xlfn.IFNA(VLOOKUP(G431,Master!B:C,2,0),"")</x:f>
      </x:c>
      <x:c r="I431" s="3">
        <x:f>_xlfn.IFNA(VLOOKUP(E431,Master!$J:$M,4,0),"")</x:f>
      </x:c>
      <x:c r="J431" s="3">
        <x:f>_xlfn.IFNA(VLOOKUP($E431,Master!$J:$M,3,0),"")</x:f>
      </x:c>
      <x:c r="AC431" s="26">
        <x:f>SUM(K431:P431)</x:f>
      </x:c>
      <x:c r="AD431" s="26">
        <x:f>SUM(Q431:AB431)</x:f>
      </x:c>
    </x:row>
    <x:row r="432" spans="1:35" ht="15" customHeight="1">
      <x:c r="B432" s="3">
        <x:f>_xlfn.IFNA(VLOOKUP(C432,Master!$J:$K,2,0),"")</x:f>
      </x:c>
      <x:c r="D432" s="4">
        <x:f>_xlfn.IFNA(VLOOKUP(E432,Master!$J:$K,2,0),"")</x:f>
      </x:c>
      <x:c r="F432" s="4">
        <x:f>_xlfn.IFNA(VLOOKUP(G432,Master!B:C,2,0),"")</x:f>
      </x:c>
      <x:c r="I432" s="3">
        <x:f>_xlfn.IFNA(VLOOKUP(E432,Master!$J:$M,4,0),"")</x:f>
      </x:c>
      <x:c r="J432" s="3">
        <x:f>_xlfn.IFNA(VLOOKUP($E432,Master!$J:$M,3,0),"")</x:f>
      </x:c>
      <x:c r="AC432" s="26">
        <x:f>SUM(K432:P432)</x:f>
      </x:c>
      <x:c r="AD432" s="26">
        <x:f>SUM(Q432:AB432)</x:f>
      </x:c>
    </x:row>
    <x:row r="433" spans="1:35" ht="15" customHeight="1">
      <x:c r="B433" s="3">
        <x:f>_xlfn.IFNA(VLOOKUP(C433,Master!$J:$K,2,0),"")</x:f>
      </x:c>
      <x:c r="D433" s="4">
        <x:f>_xlfn.IFNA(VLOOKUP(E433,Master!$J:$K,2,0),"")</x:f>
      </x:c>
      <x:c r="F433" s="4">
        <x:f>_xlfn.IFNA(VLOOKUP(G433,Master!B:C,2,0),"")</x:f>
      </x:c>
      <x:c r="I433" s="3">
        <x:f>_xlfn.IFNA(VLOOKUP(E433,Master!$J:$M,4,0),"")</x:f>
      </x:c>
      <x:c r="J433" s="3">
        <x:f>_xlfn.IFNA(VLOOKUP($E433,Master!$J:$M,3,0),"")</x:f>
      </x:c>
      <x:c r="AC433" s="26">
        <x:f>SUM(K433:P433)</x:f>
      </x:c>
      <x:c r="AD433" s="26">
        <x:f>SUM(Q433:AB433)</x:f>
      </x:c>
    </x:row>
    <x:row r="434" spans="1:35" ht="15" customHeight="1">
      <x:c r="B434" s="3">
        <x:f>_xlfn.IFNA(VLOOKUP(C434,Master!$J:$K,2,0),"")</x:f>
      </x:c>
      <x:c r="D434" s="4">
        <x:f>_xlfn.IFNA(VLOOKUP(E434,Master!$J:$K,2,0),"")</x:f>
      </x:c>
      <x:c r="F434" s="4">
        <x:f>_xlfn.IFNA(VLOOKUP(G434,Master!B:C,2,0),"")</x:f>
      </x:c>
      <x:c r="I434" s="3">
        <x:f>_xlfn.IFNA(VLOOKUP(E434,Master!$J:$M,4,0),"")</x:f>
      </x:c>
      <x:c r="J434" s="3">
        <x:f>_xlfn.IFNA(VLOOKUP($E434,Master!$J:$M,3,0),"")</x:f>
      </x:c>
      <x:c r="AC434" s="26">
        <x:f>SUM(K434:P434)</x:f>
      </x:c>
      <x:c r="AD434" s="26">
        <x:f>SUM(Q434:AB434)</x:f>
      </x:c>
    </x:row>
    <x:row r="435" spans="1:35" ht="15" customHeight="1">
      <x:c r="B435" s="3">
        <x:f>_xlfn.IFNA(VLOOKUP(C435,Master!$J:$K,2,0),"")</x:f>
      </x:c>
      <x:c r="D435" s="4">
        <x:f>_xlfn.IFNA(VLOOKUP(E435,Master!$J:$K,2,0),"")</x:f>
      </x:c>
      <x:c r="F435" s="4">
        <x:f>_xlfn.IFNA(VLOOKUP(G435,Master!B:C,2,0),"")</x:f>
      </x:c>
      <x:c r="I435" s="3">
        <x:f>_xlfn.IFNA(VLOOKUP(E435,Master!$J:$M,4,0),"")</x:f>
      </x:c>
      <x:c r="J435" s="3">
        <x:f>_xlfn.IFNA(VLOOKUP($E435,Master!$J:$M,3,0),"")</x:f>
      </x:c>
      <x:c r="AC435" s="26">
        <x:f>SUM(K435:P435)</x:f>
      </x:c>
      <x:c r="AD435" s="26">
        <x:f>SUM(Q435:AB435)</x:f>
      </x:c>
    </x:row>
    <x:row r="436" spans="1:35" ht="15" customHeight="1">
      <x:c r="B436" s="3">
        <x:f>_xlfn.IFNA(VLOOKUP(C436,Master!$J:$K,2,0),"")</x:f>
      </x:c>
      <x:c r="D436" s="4">
        <x:f>_xlfn.IFNA(VLOOKUP(E436,Master!$J:$K,2,0),"")</x:f>
      </x:c>
      <x:c r="F436" s="4">
        <x:f>_xlfn.IFNA(VLOOKUP(G436,Master!B:C,2,0),"")</x:f>
      </x:c>
      <x:c r="I436" s="3">
        <x:f>_xlfn.IFNA(VLOOKUP(E436,Master!$J:$M,4,0),"")</x:f>
      </x:c>
      <x:c r="J436" s="3">
        <x:f>_xlfn.IFNA(VLOOKUP($E436,Master!$J:$M,3,0),"")</x:f>
      </x:c>
      <x:c r="AC436" s="26">
        <x:f>SUM(K436:P436)</x:f>
      </x:c>
      <x:c r="AD436" s="26">
        <x:f>SUM(Q436:AB436)</x:f>
      </x:c>
    </x:row>
    <x:row r="437" spans="1:35" ht="15" customHeight="1">
      <x:c r="B437" s="3">
        <x:f>_xlfn.IFNA(VLOOKUP(C437,Master!$J:$K,2,0),"")</x:f>
      </x:c>
      <x:c r="D437" s="4">
        <x:f>_xlfn.IFNA(VLOOKUP(E437,Master!$J:$K,2,0),"")</x:f>
      </x:c>
      <x:c r="F437" s="4">
        <x:f>_xlfn.IFNA(VLOOKUP(G437,Master!B:C,2,0),"")</x:f>
      </x:c>
      <x:c r="I437" s="3">
        <x:f>_xlfn.IFNA(VLOOKUP(E437,Master!$J:$M,4,0),"")</x:f>
      </x:c>
      <x:c r="J437" s="3">
        <x:f>_xlfn.IFNA(VLOOKUP($E437,Master!$J:$M,3,0),"")</x:f>
      </x:c>
      <x:c r="AC437" s="26">
        <x:f>SUM(K437:P437)</x:f>
      </x:c>
      <x:c r="AD437" s="26">
        <x:f>SUM(Q437:AB437)</x:f>
      </x:c>
    </x:row>
    <x:row r="438" spans="1:35" ht="15" customHeight="1">
      <x:c r="B438" s="3">
        <x:f>_xlfn.IFNA(VLOOKUP(C438,Master!$J:$K,2,0),"")</x:f>
      </x:c>
      <x:c r="D438" s="4">
        <x:f>_xlfn.IFNA(VLOOKUP(E438,Master!$J:$K,2,0),"")</x:f>
      </x:c>
      <x:c r="F438" s="4">
        <x:f>_xlfn.IFNA(VLOOKUP(G438,Master!B:C,2,0),"")</x:f>
      </x:c>
      <x:c r="I438" s="3">
        <x:f>_xlfn.IFNA(VLOOKUP(E438,Master!$J:$M,4,0),"")</x:f>
      </x:c>
      <x:c r="J438" s="3">
        <x:f>_xlfn.IFNA(VLOOKUP($E438,Master!$J:$M,3,0),"")</x:f>
      </x:c>
      <x:c r="AC438" s="26">
        <x:f>SUM(K438:P438)</x:f>
      </x:c>
      <x:c r="AD438" s="26">
        <x:f>SUM(Q438:AB438)</x:f>
      </x:c>
    </x:row>
    <x:row r="439" spans="1:35" ht="15" customHeight="1">
      <x:c r="B439" s="3">
        <x:f>_xlfn.IFNA(VLOOKUP(C439,Master!$J:$K,2,0),"")</x:f>
      </x:c>
      <x:c r="D439" s="4">
        <x:f>_xlfn.IFNA(VLOOKUP(E439,Master!$J:$K,2,0),"")</x:f>
      </x:c>
      <x:c r="F439" s="4">
        <x:f>_xlfn.IFNA(VLOOKUP(G439,Master!B:C,2,0),"")</x:f>
      </x:c>
      <x:c r="I439" s="3">
        <x:f>_xlfn.IFNA(VLOOKUP(E439,Master!$J:$M,4,0),"")</x:f>
      </x:c>
      <x:c r="J439" s="3">
        <x:f>_xlfn.IFNA(VLOOKUP($E439,Master!$J:$M,3,0),"")</x:f>
      </x:c>
      <x:c r="AC439" s="26">
        <x:f>SUM(K439:P439)</x:f>
      </x:c>
      <x:c r="AD439" s="26">
        <x:f>SUM(Q439:AB439)</x:f>
      </x:c>
    </x:row>
    <x:row r="440" spans="1:35" ht="15" customHeight="1">
      <x:c r="B440" s="3">
        <x:f>_xlfn.IFNA(VLOOKUP(C440,Master!$J:$K,2,0),"")</x:f>
      </x:c>
      <x:c r="D440" s="4">
        <x:f>_xlfn.IFNA(VLOOKUP(E440,Master!$J:$K,2,0),"")</x:f>
      </x:c>
      <x:c r="F440" s="4">
        <x:f>_xlfn.IFNA(VLOOKUP(G440,Master!B:C,2,0),"")</x:f>
      </x:c>
      <x:c r="I440" s="3">
        <x:f>_xlfn.IFNA(VLOOKUP(E440,Master!$J:$M,4,0),"")</x:f>
      </x:c>
      <x:c r="J440" s="3">
        <x:f>_xlfn.IFNA(VLOOKUP($E440,Master!$J:$M,3,0),"")</x:f>
      </x:c>
      <x:c r="AC440" s="26">
        <x:f>SUM(K440:P440)</x:f>
      </x:c>
      <x:c r="AD440" s="26">
        <x:f>SUM(Q440:AB440)</x:f>
      </x:c>
    </x:row>
    <x:row r="441" spans="1:35" ht="15" customHeight="1">
      <x:c r="B441" s="3">
        <x:f>_xlfn.IFNA(VLOOKUP(C441,Master!$J:$K,2,0),"")</x:f>
      </x:c>
      <x:c r="D441" s="4">
        <x:f>_xlfn.IFNA(VLOOKUP(E441,Master!$J:$K,2,0),"")</x:f>
      </x:c>
      <x:c r="F441" s="4">
        <x:f>_xlfn.IFNA(VLOOKUP(G441,Master!B:C,2,0),"")</x:f>
      </x:c>
      <x:c r="I441" s="3">
        <x:f>_xlfn.IFNA(VLOOKUP(E441,Master!$J:$M,4,0),"")</x:f>
      </x:c>
      <x:c r="J441" s="3">
        <x:f>_xlfn.IFNA(VLOOKUP($E441,Master!$J:$M,3,0),"")</x:f>
      </x:c>
      <x:c r="AC441" s="26">
        <x:f>SUM(K441:P441)</x:f>
      </x:c>
      <x:c r="AD441" s="26">
        <x:f>SUM(Q441:AB441)</x:f>
      </x:c>
    </x:row>
    <x:row r="442" spans="1:35" ht="15" customHeight="1">
      <x:c r="B442" s="3">
        <x:f>_xlfn.IFNA(VLOOKUP(C442,Master!$J:$K,2,0),"")</x:f>
      </x:c>
      <x:c r="D442" s="4">
        <x:f>_xlfn.IFNA(VLOOKUP(E442,Master!$J:$K,2,0),"")</x:f>
      </x:c>
      <x:c r="F442" s="4">
        <x:f>_xlfn.IFNA(VLOOKUP(G442,Master!B:C,2,0),"")</x:f>
      </x:c>
      <x:c r="I442" s="3">
        <x:f>_xlfn.IFNA(VLOOKUP(E442,Master!$J:$M,4,0),"")</x:f>
      </x:c>
      <x:c r="J442" s="3">
        <x:f>_xlfn.IFNA(VLOOKUP($E442,Master!$J:$M,3,0),"")</x:f>
      </x:c>
      <x:c r="AC442" s="26">
        <x:f>SUM(K442:P442)</x:f>
      </x:c>
      <x:c r="AD442" s="26">
        <x:f>SUM(Q442:AB442)</x:f>
      </x:c>
    </x:row>
    <x:row r="443" spans="1:35" ht="15" customHeight="1">
      <x:c r="B443" s="3">
        <x:f>_xlfn.IFNA(VLOOKUP(C443,Master!$J:$K,2,0),"")</x:f>
      </x:c>
      <x:c r="D443" s="4">
        <x:f>_xlfn.IFNA(VLOOKUP(E443,Master!$J:$K,2,0),"")</x:f>
      </x:c>
      <x:c r="F443" s="4">
        <x:f>_xlfn.IFNA(VLOOKUP(G443,Master!B:C,2,0),"")</x:f>
      </x:c>
      <x:c r="I443" s="3">
        <x:f>_xlfn.IFNA(VLOOKUP(E443,Master!$J:$M,4,0),"")</x:f>
      </x:c>
      <x:c r="J443" s="3">
        <x:f>_xlfn.IFNA(VLOOKUP($E443,Master!$J:$M,3,0),"")</x:f>
      </x:c>
      <x:c r="AC443" s="26">
        <x:f>SUM(K443:P443)</x:f>
      </x:c>
      <x:c r="AD443" s="26">
        <x:f>SUM(Q443:AB443)</x:f>
      </x:c>
    </x:row>
    <x:row r="444" spans="1:35" ht="15" customHeight="1">
      <x:c r="B444" s="3">
        <x:f>_xlfn.IFNA(VLOOKUP(C444,Master!$J:$K,2,0),"")</x:f>
      </x:c>
      <x:c r="D444" s="4">
        <x:f>_xlfn.IFNA(VLOOKUP(E444,Master!$J:$K,2,0),"")</x:f>
      </x:c>
      <x:c r="F444" s="4">
        <x:f>_xlfn.IFNA(VLOOKUP(G444,Master!B:C,2,0),"")</x:f>
      </x:c>
      <x:c r="I444" s="3">
        <x:f>_xlfn.IFNA(VLOOKUP(E444,Master!$J:$M,4,0),"")</x:f>
      </x:c>
      <x:c r="J444" s="3">
        <x:f>_xlfn.IFNA(VLOOKUP($E444,Master!$J:$M,3,0),"")</x:f>
      </x:c>
      <x:c r="AC444" s="26">
        <x:f>SUM(K444:P444)</x:f>
      </x:c>
      <x:c r="AD444" s="26">
        <x:f>SUM(Q444:AB444)</x:f>
      </x:c>
    </x:row>
    <x:row r="445" spans="1:35" ht="15" customHeight="1">
      <x:c r="B445" s="3">
        <x:f>_xlfn.IFNA(VLOOKUP(C445,Master!$J:$K,2,0),"")</x:f>
      </x:c>
      <x:c r="D445" s="4">
        <x:f>_xlfn.IFNA(VLOOKUP(E445,Master!$J:$K,2,0),"")</x:f>
      </x:c>
      <x:c r="F445" s="4">
        <x:f>_xlfn.IFNA(VLOOKUP(G445,Master!B:C,2,0),"")</x:f>
      </x:c>
      <x:c r="I445" s="3">
        <x:f>_xlfn.IFNA(VLOOKUP(E445,Master!$J:$M,4,0),"")</x:f>
      </x:c>
      <x:c r="J445" s="3">
        <x:f>_xlfn.IFNA(VLOOKUP($E445,Master!$J:$M,3,0),"")</x:f>
      </x:c>
      <x:c r="AC445" s="26">
        <x:f>SUM(K445:P445)</x:f>
      </x:c>
      <x:c r="AD445" s="26">
        <x:f>SUM(Q445:AB445)</x:f>
      </x:c>
    </x:row>
    <x:row r="446" spans="1:35" ht="15" customHeight="1">
      <x:c r="B446" s="3">
        <x:f>_xlfn.IFNA(VLOOKUP(C446,Master!$J:$K,2,0),"")</x:f>
      </x:c>
      <x:c r="D446" s="4">
        <x:f>_xlfn.IFNA(VLOOKUP(E446,Master!$J:$K,2,0),"")</x:f>
      </x:c>
      <x:c r="F446" s="4">
        <x:f>_xlfn.IFNA(VLOOKUP(G446,Master!B:C,2,0),"")</x:f>
      </x:c>
      <x:c r="I446" s="3">
        <x:f>_xlfn.IFNA(VLOOKUP(E446,Master!$J:$M,4,0),"")</x:f>
      </x:c>
      <x:c r="J446" s="3">
        <x:f>_xlfn.IFNA(VLOOKUP($E446,Master!$J:$M,3,0),"")</x:f>
      </x:c>
      <x:c r="AC446" s="26">
        <x:f>SUM(K446:P446)</x:f>
      </x:c>
      <x:c r="AD446" s="26">
        <x:f>SUM(Q446:AB446)</x:f>
      </x:c>
    </x:row>
    <x:row r="447" spans="1:35" ht="15" customHeight="1">
      <x:c r="B447" s="3">
        <x:f>_xlfn.IFNA(VLOOKUP(C447,Master!$J:$K,2,0),"")</x:f>
      </x:c>
      <x:c r="D447" s="4">
        <x:f>_xlfn.IFNA(VLOOKUP(E447,Master!$J:$K,2,0),"")</x:f>
      </x:c>
      <x:c r="F447" s="4">
        <x:f>_xlfn.IFNA(VLOOKUP(G447,Master!B:C,2,0),"")</x:f>
      </x:c>
      <x:c r="I447" s="3">
        <x:f>_xlfn.IFNA(VLOOKUP(E447,Master!$J:$M,4,0),"")</x:f>
      </x:c>
      <x:c r="J447" s="3">
        <x:f>_xlfn.IFNA(VLOOKUP($E447,Master!$J:$M,3,0),"")</x:f>
      </x:c>
      <x:c r="AC447" s="26">
        <x:f>SUM(K447:P447)</x:f>
      </x:c>
      <x:c r="AD447" s="26">
        <x:f>SUM(Q447:AB447)</x:f>
      </x:c>
    </x:row>
    <x:row r="448" spans="1:35" ht="15" customHeight="1">
      <x:c r="B448" s="3">
        <x:f>_xlfn.IFNA(VLOOKUP(C448,Master!$J:$K,2,0),"")</x:f>
      </x:c>
      <x:c r="D448" s="4">
        <x:f>_xlfn.IFNA(VLOOKUP(E448,Master!$J:$K,2,0),"")</x:f>
      </x:c>
      <x:c r="F448" s="4">
        <x:f>_xlfn.IFNA(VLOOKUP(G448,Master!B:C,2,0),"")</x:f>
      </x:c>
      <x:c r="I448" s="3">
        <x:f>_xlfn.IFNA(VLOOKUP(E448,Master!$J:$M,4,0),"")</x:f>
      </x:c>
      <x:c r="J448" s="3">
        <x:f>_xlfn.IFNA(VLOOKUP($E448,Master!$J:$M,3,0),"")</x:f>
      </x:c>
      <x:c r="AC448" s="26">
        <x:f>SUM(K448:P448)</x:f>
      </x:c>
      <x:c r="AD448" s="26">
        <x:f>SUM(Q448:AB448)</x:f>
      </x:c>
    </x:row>
    <x:row r="449" spans="1:35" ht="15" customHeight="1">
      <x:c r="B449" s="3">
        <x:f>_xlfn.IFNA(VLOOKUP(C449,Master!$J:$K,2,0),"")</x:f>
      </x:c>
      <x:c r="D449" s="4">
        <x:f>_xlfn.IFNA(VLOOKUP(E449,Master!$J:$K,2,0),"")</x:f>
      </x:c>
      <x:c r="F449" s="4">
        <x:f>_xlfn.IFNA(VLOOKUP(G449,Master!B:C,2,0),"")</x:f>
      </x:c>
      <x:c r="I449" s="3">
        <x:f>_xlfn.IFNA(VLOOKUP(E449,Master!$J:$M,4,0),"")</x:f>
      </x:c>
      <x:c r="J449" s="3">
        <x:f>_xlfn.IFNA(VLOOKUP($E449,Master!$J:$M,3,0),"")</x:f>
      </x:c>
      <x:c r="AC449" s="26">
        <x:f>SUM(K449:P449)</x:f>
      </x:c>
      <x:c r="AD449" s="26">
        <x:f>SUM(Q449:AB449)</x:f>
      </x:c>
    </x:row>
    <x:row r="450" spans="1:35" ht="15" customHeight="1">
      <x:c r="B450" s="3">
        <x:f>_xlfn.IFNA(VLOOKUP(C450,Master!$J:$K,2,0),"")</x:f>
      </x:c>
      <x:c r="D450" s="4">
        <x:f>_xlfn.IFNA(VLOOKUP(E450,Master!$J:$K,2,0),"")</x:f>
      </x:c>
      <x:c r="F450" s="4">
        <x:f>_xlfn.IFNA(VLOOKUP(G450,Master!B:C,2,0),"")</x:f>
      </x:c>
      <x:c r="I450" s="3">
        <x:f>_xlfn.IFNA(VLOOKUP(E450,Master!$J:$M,4,0),"")</x:f>
      </x:c>
      <x:c r="J450" s="3">
        <x:f>_xlfn.IFNA(VLOOKUP($E450,Master!$J:$M,3,0),"")</x:f>
      </x:c>
      <x:c r="AC450" s="26">
        <x:f>SUM(K450:P450)</x:f>
      </x:c>
      <x:c r="AD450" s="26">
        <x:f>SUM(Q450:AB450)</x:f>
      </x:c>
    </x:row>
    <x:row r="451" spans="1:35" ht="15" customHeight="1">
      <x:c r="B451" s="3">
        <x:f>_xlfn.IFNA(VLOOKUP(C451,Master!$J:$K,2,0),"")</x:f>
      </x:c>
      <x:c r="F451" s="4">
        <x:f>_xlfn.IFNA(VLOOKUP(G451,Master!B:C,2,0),"")</x:f>
      </x:c>
      <x:c r="I451" s="3">
        <x:f>_xlfn.IFNA(VLOOKUP(E451,Master!$J:$M,4,0),"")</x:f>
      </x:c>
      <x:c r="J451" s="3">
        <x:f>_xlfn.IFNA(VLOOKUP($E451,Master!$J:$M,3,0),"")</x:f>
      </x:c>
      <x:c r="AC451" s="26">
        <x:f>SUM(K451:P451)</x:f>
      </x:c>
      <x:c r="AD451" s="26">
        <x:f>SUM(Q451:AB451)</x:f>
      </x:c>
    </x:row>
    <x:row r="452" spans="1:35" ht="15" customHeight="1">
      <x:c r="B452" s="3">
        <x:f>_xlfn.IFNA(VLOOKUP(C452,Master!$J:$K,2,0),"")</x:f>
      </x:c>
      <x:c r="F452" s="4">
        <x:f>_xlfn.IFNA(VLOOKUP(G452,Master!B:C,2,0),"")</x:f>
      </x:c>
      <x:c r="I452" s="3">
        <x:f>_xlfn.IFNA(VLOOKUP(E452,Master!$J:$M,4,0),"")</x:f>
      </x:c>
      <x:c r="J452" s="3">
        <x:f>_xlfn.IFNA(VLOOKUP($E452,Master!$J:$M,3,0),"")</x:f>
      </x:c>
      <x:c r="AC452" s="26">
        <x:f>SUM(K452:P452)</x:f>
      </x:c>
      <x:c r="AD452" s="26">
        <x:f>SUM(Q452:AB452)</x:f>
      </x:c>
    </x:row>
    <x:row r="453" spans="1:35" ht="15" customHeight="1">
      <x:c r="B453" s="3">
        <x:f>_xlfn.IFNA(VLOOKUP(C453,Master!$J:$K,2,0),"")</x:f>
      </x:c>
      <x:c r="F453" s="4">
        <x:f>_xlfn.IFNA(VLOOKUP(G453,Master!B:C,2,0),"")</x:f>
      </x:c>
      <x:c r="I453" s="3">
        <x:f>_xlfn.IFNA(VLOOKUP(E453,Master!$J:$M,4,0),"")</x:f>
      </x:c>
      <x:c r="J453" s="3">
        <x:f>_xlfn.IFNA(VLOOKUP($E453,Master!$J:$M,3,0),"")</x:f>
      </x:c>
      <x:c r="AC453" s="26">
        <x:f>SUM(K453:P453)</x:f>
      </x:c>
      <x:c r="AD453" s="26">
        <x:f>SUM(Q453:AB453)</x:f>
      </x:c>
    </x:row>
    <x:row r="454" spans="1:35" ht="15" customHeight="1">
      <x:c r="B454" s="3">
        <x:f>_xlfn.IFNA(VLOOKUP(C454,Master!$J:$K,2,0),"")</x:f>
      </x:c>
      <x:c r="F454" s="4">
        <x:f>_xlfn.IFNA(VLOOKUP(G454,Master!B:C,2,0),"")</x:f>
      </x:c>
      <x:c r="I454" s="3">
        <x:f>_xlfn.IFNA(VLOOKUP(E454,Master!$J:$M,4,0),"")</x:f>
      </x:c>
      <x:c r="J454" s="3">
        <x:f>_xlfn.IFNA(VLOOKUP($E454,Master!$J:$M,3,0),"")</x:f>
      </x:c>
      <x:c r="AC454" s="26">
        <x:f>SUM(K454:P454)</x:f>
      </x:c>
      <x:c r="AD454" s="26">
        <x:f>SUM(Q454:AB454)</x:f>
      </x:c>
    </x:row>
    <x:row r="455" spans="1:35" ht="15" customHeight="1">
      <x:c r="B455" s="3">
        <x:f>_xlfn.IFNA(VLOOKUP(C455,Master!$J:$K,2,0),"")</x:f>
      </x:c>
      <x:c r="F455" s="4">
        <x:f>_xlfn.IFNA(VLOOKUP(G455,Master!B:C,2,0),"")</x:f>
      </x:c>
      <x:c r="I455" s="3">
        <x:f>_xlfn.IFNA(VLOOKUP(E455,Master!$J:$M,4,0),"")</x:f>
      </x:c>
      <x:c r="J455" s="3">
        <x:f>_xlfn.IFNA(VLOOKUP($E455,Master!$J:$M,3,0),"")</x:f>
      </x:c>
      <x:c r="AC455" s="26">
        <x:f>SUM(K455:P455)</x:f>
      </x:c>
      <x:c r="AD455" s="26">
        <x:f>SUM(Q455:AB455)</x:f>
      </x:c>
    </x:row>
    <x:row r="456" spans="1:35" ht="15" customHeight="1">
      <x:c r="B456" s="3">
        <x:f>_xlfn.IFNA(VLOOKUP(C456,Master!$J:$K,2,0),"")</x:f>
      </x:c>
      <x:c r="F456" s="4">
        <x:f>_xlfn.IFNA(VLOOKUP(G456,Master!B:C,2,0),"")</x:f>
      </x:c>
      <x:c r="I456" s="3">
        <x:f>_xlfn.IFNA(VLOOKUP(E456,Master!$J:$M,4,0),"")</x:f>
      </x:c>
      <x:c r="J456" s="3">
        <x:f>_xlfn.IFNA(VLOOKUP($E456,Master!$J:$M,3,0),"")</x:f>
      </x:c>
      <x:c r="AC456" s="26">
        <x:f>SUM(K456:P456)</x:f>
      </x:c>
      <x:c r="AD456" s="26">
        <x:f>SUM(Q456:AB456)</x:f>
      </x:c>
    </x:row>
    <x:row r="457" spans="1:35" ht="15" customHeight="1">
      <x:c r="B457" s="3">
        <x:f>_xlfn.IFNA(VLOOKUP(C457,Master!$J:$K,2,0),"")</x:f>
      </x:c>
      <x:c r="F457" s="4">
        <x:f>_xlfn.IFNA(VLOOKUP(G457,Master!B:C,2,0),"")</x:f>
      </x:c>
      <x:c r="I457" s="3">
        <x:f>_xlfn.IFNA(VLOOKUP(E457,Master!$J:$M,4,0),"")</x:f>
      </x:c>
      <x:c r="J457" s="3">
        <x:f>_xlfn.IFNA(VLOOKUP($E457,Master!$J:$M,3,0),"")</x:f>
      </x:c>
      <x:c r="AC457" s="26">
        <x:f>SUM(K457:P457)</x:f>
      </x:c>
      <x:c r="AD457" s="26">
        <x:f>SUM(Q457:AB457)</x:f>
      </x:c>
    </x:row>
    <x:row r="458" spans="1:35" ht="15" customHeight="1">
      <x:c r="B458" s="3">
        <x:f>_xlfn.IFNA(VLOOKUP(C458,Master!$J:$K,2,0),"")</x:f>
      </x:c>
      <x:c r="F458" s="4">
        <x:f>_xlfn.IFNA(VLOOKUP(G458,Master!B:C,2,0),"")</x:f>
      </x:c>
      <x:c r="I458" s="3">
        <x:f>_xlfn.IFNA(VLOOKUP(E458,Master!$J:$M,4,0),"")</x:f>
      </x:c>
      <x:c r="J458" s="3">
        <x:f>_xlfn.IFNA(VLOOKUP($E458,Master!$J:$M,3,0),"")</x:f>
      </x:c>
      <x:c r="AC458" s="26">
        <x:f>SUM(K458:P458)</x:f>
      </x:c>
      <x:c r="AD458" s="26">
        <x:f>SUM(Q458:AB458)</x:f>
      </x:c>
    </x:row>
    <x:row r="459" spans="1:35" ht="15" customHeight="1">
      <x:c r="B459" s="3">
        <x:f>_xlfn.IFNA(VLOOKUP(C459,Master!$J:$K,2,0),"")</x:f>
      </x:c>
      <x:c r="F459" s="4">
        <x:f>_xlfn.IFNA(VLOOKUP(G459,Master!B:C,2,0),"")</x:f>
      </x:c>
      <x:c r="I459" s="3">
        <x:f>_xlfn.IFNA(VLOOKUP(E459,Master!$J:$M,4,0),"")</x:f>
      </x:c>
      <x:c r="J459" s="3">
        <x:f>_xlfn.IFNA(VLOOKUP($E459,Master!$J:$M,3,0),"")</x:f>
      </x:c>
      <x:c r="AC459" s="26">
        <x:f>SUM(K459:P459)</x:f>
      </x:c>
      <x:c r="AD459" s="26">
        <x:f>SUM(Q459:AB459)</x:f>
      </x:c>
    </x:row>
    <x:row r="460" spans="1:35" ht="15" customHeight="1">
      <x:c r="B460" s="3">
        <x:f>_xlfn.IFNA(VLOOKUP(C460,Master!$J:$K,2,0),"")</x:f>
      </x:c>
      <x:c r="F460" s="4">
        <x:f>_xlfn.IFNA(VLOOKUP(G460,Master!B:C,2,0),"")</x:f>
      </x:c>
      <x:c r="I460" s="3">
        <x:f>_xlfn.IFNA(VLOOKUP(E460,Master!$J:$M,4,0),"")</x:f>
      </x:c>
      <x:c r="J460" s="3">
        <x:f>_xlfn.IFNA(VLOOKUP($E460,Master!$J:$M,3,0),"")</x:f>
      </x:c>
      <x:c r="AC460" s="26">
        <x:f>SUM(K460:P460)</x:f>
      </x:c>
      <x:c r="AD460" s="26">
        <x:f>SUM(Q460:AB460)</x:f>
      </x:c>
    </x:row>
    <x:row r="461" spans="1:35" ht="15" customHeight="1">
      <x:c r="B461" s="3">
        <x:f>_xlfn.IFNA(VLOOKUP(C461,Master!$J:$K,2,0),"")</x:f>
      </x:c>
      <x:c r="F461" s="4">
        <x:f>_xlfn.IFNA(VLOOKUP(G461,Master!B:C,2,0),"")</x:f>
      </x:c>
      <x:c r="I461" s="3">
        <x:f>_xlfn.IFNA(VLOOKUP(E461,Master!$J:$M,4,0),"")</x:f>
      </x:c>
      <x:c r="J461" s="3">
        <x:f>_xlfn.IFNA(VLOOKUP($E461,Master!$J:$M,3,0),"")</x:f>
      </x:c>
      <x:c r="AC461" s="26">
        <x:f>SUM(K461:P461)</x:f>
      </x:c>
      <x:c r="AD461" s="26">
        <x:f>SUM(Q461:AB461)</x:f>
      </x:c>
    </x:row>
    <x:row r="462" spans="1:35" ht="15" customHeight="1">
      <x:c r="B462" s="3">
        <x:f>_xlfn.IFNA(VLOOKUP(C462,Master!$J:$K,2,0),"")</x:f>
      </x:c>
      <x:c r="F462" s="4">
        <x:f>_xlfn.IFNA(VLOOKUP(G462,Master!B:C,2,0),"")</x:f>
      </x:c>
      <x:c r="I462" s="3">
        <x:f>_xlfn.IFNA(VLOOKUP(E462,Master!$J:$M,4,0),"")</x:f>
      </x:c>
      <x:c r="J462" s="3">
        <x:f>_xlfn.IFNA(VLOOKUP($E462,Master!$J:$M,3,0),"")</x:f>
      </x:c>
      <x:c r="AC462" s="26">
        <x:f>SUM(K462:P462)</x:f>
      </x:c>
      <x:c r="AD462" s="26">
        <x:f>SUM(Q462:AB462)</x:f>
      </x:c>
    </x:row>
    <x:row r="463" spans="1:35" ht="15" customHeight="1">
      <x:c r="B463" s="3">
        <x:f>_xlfn.IFNA(VLOOKUP(C463,Master!$J:$K,2,0),"")</x:f>
      </x:c>
      <x:c r="F463" s="4">
        <x:f>_xlfn.IFNA(VLOOKUP(G463,Master!B:C,2,0),"")</x:f>
      </x:c>
      <x:c r="I463" s="3">
        <x:f>_xlfn.IFNA(VLOOKUP(E463,Master!$J:$M,4,0),"")</x:f>
      </x:c>
      <x:c r="J463" s="3">
        <x:f>_xlfn.IFNA(VLOOKUP($E463,Master!$J:$M,3,0),"")</x:f>
      </x:c>
      <x:c r="AC463" s="26">
        <x:f>SUM(K463:P463)</x:f>
      </x:c>
      <x:c r="AD463" s="26">
        <x:f>SUM(Q463:AB463)</x:f>
      </x:c>
    </x:row>
    <x:row r="464" spans="1:35" ht="15" customHeight="1">
      <x:c r="B464" s="3">
        <x:f>_xlfn.IFNA(VLOOKUP(C464,Master!$J:$K,2,0),"")</x:f>
      </x:c>
      <x:c r="F464" s="4">
        <x:f>_xlfn.IFNA(VLOOKUP(G464,Master!B:C,2,0),"")</x:f>
      </x:c>
      <x:c r="I464" s="3">
        <x:f>_xlfn.IFNA(VLOOKUP(E464,Master!$J:$M,4,0),"")</x:f>
      </x:c>
      <x:c r="J464" s="3">
        <x:f>_xlfn.IFNA(VLOOKUP($E464,Master!$J:$M,3,0),"")</x:f>
      </x:c>
      <x:c r="AC464" s="26">
        <x:f>SUM(K464:P464)</x:f>
      </x:c>
      <x:c r="AD464" s="26">
        <x:f>SUM(Q464:AB464)</x:f>
      </x:c>
    </x:row>
    <x:row r="465" spans="1:35" ht="15" customHeight="1">
      <x:c r="B465" s="3">
        <x:f>_xlfn.IFNA(VLOOKUP(C465,Master!$J:$K,2,0),"")</x:f>
      </x:c>
      <x:c r="F465" s="4">
        <x:f>_xlfn.IFNA(VLOOKUP(G465,Master!B:C,2,0),"")</x:f>
      </x:c>
      <x:c r="I465" s="3">
        <x:f>_xlfn.IFNA(VLOOKUP(E465,Master!$J:$M,4,0),"")</x:f>
      </x:c>
      <x:c r="J465" s="3">
        <x:f>_xlfn.IFNA(VLOOKUP($E465,Master!$J:$M,3,0),"")</x:f>
      </x:c>
      <x:c r="AC465" s="26">
        <x:f>SUM(K465:P465)</x:f>
      </x:c>
      <x:c r="AD465" s="26">
        <x:f>SUM(Q465:AB465)</x:f>
      </x:c>
    </x:row>
    <x:row r="466" spans="1:35" ht="15" customHeight="1">
      <x:c r="B466" s="3">
        <x:f>_xlfn.IFNA(VLOOKUP(C466,Master!$J:$K,2,0),"")</x:f>
      </x:c>
      <x:c r="F466" s="4">
        <x:f>_xlfn.IFNA(VLOOKUP(G466,Master!B:C,2,0),"")</x:f>
      </x:c>
      <x:c r="I466" s="3">
        <x:f>_xlfn.IFNA(VLOOKUP(E466,Master!$J:$M,4,0),"")</x:f>
      </x:c>
      <x:c r="J466" s="3">
        <x:f>_xlfn.IFNA(VLOOKUP($E466,Master!$J:$M,3,0),"")</x:f>
      </x:c>
      <x:c r="AC466" s="26">
        <x:f>SUM(K466:P466)</x:f>
      </x:c>
      <x:c r="AD466" s="26">
        <x:f>SUM(Q466:AB466)</x:f>
      </x:c>
    </x:row>
    <x:row r="467" spans="1:35" ht="15" customHeight="1">
      <x:c r="B467" s="3">
        <x:f>_xlfn.IFNA(VLOOKUP(C467,Master!$J:$K,2,0),"")</x:f>
      </x:c>
      <x:c r="F467" s="4">
        <x:f>_xlfn.IFNA(VLOOKUP(G467,Master!B:C,2,0),"")</x:f>
      </x:c>
      <x:c r="I467" s="3">
        <x:f>_xlfn.IFNA(VLOOKUP(E467,Master!$J:$M,4,0),"")</x:f>
      </x:c>
      <x:c r="J467" s="3">
        <x:f>_xlfn.IFNA(VLOOKUP($E467,Master!$J:$M,3,0),"")</x:f>
      </x:c>
      <x:c r="AC467" s="26">
        <x:f>SUM(K467:P467)</x:f>
      </x:c>
      <x:c r="AD467" s="26">
        <x:f>SUM(Q467:AB467)</x:f>
      </x:c>
    </x:row>
    <x:row r="468" spans="1:35" ht="15" customHeight="1">
      <x:c r="B468" s="3">
        <x:f>_xlfn.IFNA(VLOOKUP(C468,Master!$J:$K,2,0),"")</x:f>
      </x:c>
      <x:c r="F468" s="4">
        <x:f>_xlfn.IFNA(VLOOKUP(G468,Master!B:C,2,0),"")</x:f>
      </x:c>
      <x:c r="I468" s="3">
        <x:f>_xlfn.IFNA(VLOOKUP(E468,Master!$J:$M,4,0),"")</x:f>
      </x:c>
      <x:c r="J468" s="3">
        <x:f>_xlfn.IFNA(VLOOKUP($E468,Master!$J:$M,3,0),"")</x:f>
      </x:c>
      <x:c r="AC468" s="26">
        <x:f>SUM(K468:P468)</x:f>
      </x:c>
      <x:c r="AD468" s="26">
        <x:f>SUM(Q468:AB468)</x:f>
      </x:c>
    </x:row>
    <x:row r="469" spans="1:35" ht="15" customHeight="1">
      <x:c r="B469" s="3">
        <x:f>_xlfn.IFNA(VLOOKUP(C469,Master!$J:$K,2,0),"")</x:f>
      </x:c>
      <x:c r="F469" s="4">
        <x:f>_xlfn.IFNA(VLOOKUP(G469,Master!B:C,2,0),"")</x:f>
      </x:c>
      <x:c r="I469" s="3">
        <x:f>_xlfn.IFNA(VLOOKUP(E469,Master!$J:$M,4,0),"")</x:f>
      </x:c>
      <x:c r="J469" s="3">
        <x:f>_xlfn.IFNA(VLOOKUP($E469,Master!$J:$M,3,0),"")</x:f>
      </x:c>
      <x:c r="AC469" s="26">
        <x:f>SUM(K469:P469)</x:f>
      </x:c>
      <x:c r="AD469" s="26">
        <x:f>SUM(Q469:AB469)</x:f>
      </x:c>
    </x:row>
    <x:row r="470" spans="1:35" ht="15" customHeight="1">
      <x:c r="B470" s="3">
        <x:f>_xlfn.IFNA(VLOOKUP(C470,Master!$J:$K,2,0),"")</x:f>
      </x:c>
      <x:c r="F470" s="4">
        <x:f>_xlfn.IFNA(VLOOKUP(G470,Master!B:C,2,0),"")</x:f>
      </x:c>
      <x:c r="I470" s="3">
        <x:f>_xlfn.IFNA(VLOOKUP(E470,Master!$J:$M,4,0),"")</x:f>
      </x:c>
      <x:c r="J470" s="3">
        <x:f>_xlfn.IFNA(VLOOKUP($E470,Master!$J:$M,3,0),"")</x:f>
      </x:c>
      <x:c r="AC470" s="26">
        <x:f>SUM(K470:P470)</x:f>
      </x:c>
      <x:c r="AD470" s="26">
        <x:f>SUM(Q470:AB470)</x:f>
      </x:c>
    </x:row>
    <x:row r="471" spans="1:35" ht="15" customHeight="1">
      <x:c r="B471" s="3">
        <x:f>_xlfn.IFNA(VLOOKUP(C471,Master!$J:$K,2,0),"")</x:f>
      </x:c>
      <x:c r="F471" s="4">
        <x:f>_xlfn.IFNA(VLOOKUP(G471,Master!B:C,2,0),"")</x:f>
      </x:c>
      <x:c r="I471" s="3">
        <x:f>_xlfn.IFNA(VLOOKUP(E471,Master!$J:$M,4,0),"")</x:f>
      </x:c>
      <x:c r="J471" s="3">
        <x:f>_xlfn.IFNA(VLOOKUP($E471,Master!$J:$M,3,0),"")</x:f>
      </x:c>
      <x:c r="AC471" s="26">
        <x:f>SUM(K471:P471)</x:f>
      </x:c>
      <x:c r="AD471" s="26">
        <x:f>SUM(Q471:AB471)</x:f>
      </x:c>
    </x:row>
    <x:row r="472" spans="1:35" ht="15" customHeight="1">
      <x:c r="B472" s="3">
        <x:f>_xlfn.IFNA(VLOOKUP(C472,Master!$J:$K,2,0),"")</x:f>
      </x:c>
      <x:c r="F472" s="4">
        <x:f>_xlfn.IFNA(VLOOKUP(G472,Master!B:C,2,0),"")</x:f>
      </x:c>
      <x:c r="I472" s="3">
        <x:f>_xlfn.IFNA(VLOOKUP(E472,Master!$J:$M,4,0),"")</x:f>
      </x:c>
      <x:c r="J472" s="3">
        <x:f>_xlfn.IFNA(VLOOKUP($E472,Master!$J:$M,3,0),"")</x:f>
      </x:c>
      <x:c r="AC472" s="26">
        <x:f>SUM(K472:P472)</x:f>
      </x:c>
      <x:c r="AD472" s="26">
        <x:f>SUM(Q472:AB472)</x:f>
      </x:c>
    </x:row>
    <x:row r="473" spans="1:35" ht="15" customHeight="1">
      <x:c r="B473" s="3">
        <x:f>_xlfn.IFNA(VLOOKUP(C473,Master!$J:$K,2,0),"")</x:f>
      </x:c>
      <x:c r="F473" s="4">
        <x:f>_xlfn.IFNA(VLOOKUP(G473,Master!B:C,2,0),"")</x:f>
      </x:c>
      <x:c r="I473" s="3">
        <x:f>_xlfn.IFNA(VLOOKUP(E473,Master!$J:$M,4,0),"")</x:f>
      </x:c>
      <x:c r="J473" s="3">
        <x:f>_xlfn.IFNA(VLOOKUP($E473,Master!$J:$M,3,0),"")</x:f>
      </x:c>
      <x:c r="AC473" s="26">
        <x:f>SUM(K473:P473)</x:f>
      </x:c>
      <x:c r="AD473" s="26">
        <x:f>SUM(Q473:AB473)</x:f>
      </x:c>
    </x:row>
    <x:row r="474" spans="1:35" ht="15" customHeight="1">
      <x:c r="B474" s="3">
        <x:f>_xlfn.IFNA(VLOOKUP(C474,Master!$J:$K,2,0),"")</x:f>
      </x:c>
      <x:c r="F474" s="4">
        <x:f>_xlfn.IFNA(VLOOKUP(G474,Master!B:C,2,0),"")</x:f>
      </x:c>
      <x:c r="I474" s="3">
        <x:f>_xlfn.IFNA(VLOOKUP(E474,Master!$J:$M,4,0),"")</x:f>
      </x:c>
      <x:c r="J474" s="3">
        <x:f>_xlfn.IFNA(VLOOKUP($E474,Master!$J:$M,3,0),"")</x:f>
      </x:c>
      <x:c r="AC474" s="26">
        <x:f>SUM(K474:P474)</x:f>
      </x:c>
      <x:c r="AD474" s="26">
        <x:f>SUM(Q474:AB474)</x:f>
      </x:c>
    </x:row>
    <x:row r="475" spans="1:35" ht="15" customHeight="1">
      <x:c r="B475" s="3">
        <x:f>_xlfn.IFNA(VLOOKUP(C475,Master!$J:$K,2,0),"")</x:f>
      </x:c>
      <x:c r="F475" s="4">
        <x:f>_xlfn.IFNA(VLOOKUP(G475,Master!B:C,2,0),"")</x:f>
      </x:c>
      <x:c r="I475" s="3">
        <x:f>_xlfn.IFNA(VLOOKUP(E475,Master!$J:$M,4,0),"")</x:f>
      </x:c>
      <x:c r="J475" s="3">
        <x:f>_xlfn.IFNA(VLOOKUP($E475,Master!$J:$M,3,0),"")</x:f>
      </x:c>
      <x:c r="AC475" s="26">
        <x:f>SUM(K475:P475)</x:f>
      </x:c>
      <x:c r="AD475" s="26">
        <x:f>SUM(Q475:AB475)</x:f>
      </x:c>
    </x:row>
    <x:row r="476" spans="1:35" ht="15" customHeight="1">
      <x:c r="B476" s="3">
        <x:f>_xlfn.IFNA(VLOOKUP(C476,Master!$J:$K,2,0),"")</x:f>
      </x:c>
      <x:c r="F476" s="4">
        <x:f>_xlfn.IFNA(VLOOKUP(G476,Master!B:C,2,0),"")</x:f>
      </x:c>
      <x:c r="I476" s="3">
        <x:f>_xlfn.IFNA(VLOOKUP(E476,Master!$J:$M,4,0),"")</x:f>
      </x:c>
      <x:c r="J476" s="3">
        <x:f>_xlfn.IFNA(VLOOKUP($E476,Master!$J:$M,3,0),"")</x:f>
      </x:c>
      <x:c r="AC476" s="26">
        <x:f>SUM(K476:P476)</x:f>
      </x:c>
      <x:c r="AD476" s="26">
        <x:f>SUM(Q476:AB476)</x:f>
      </x:c>
    </x:row>
    <x:row r="477" spans="1:35" ht="15" customHeight="1">
      <x:c r="B477" s="3">
        <x:f>_xlfn.IFNA(VLOOKUP(C477,Master!$J:$K,2,0),"")</x:f>
      </x:c>
      <x:c r="F477" s="4">
        <x:f>_xlfn.IFNA(VLOOKUP(G477,Master!B:C,2,0),"")</x:f>
      </x:c>
      <x:c r="I477" s="3">
        <x:f>_xlfn.IFNA(VLOOKUP(E477,Master!$J:$M,4,0),"")</x:f>
      </x:c>
      <x:c r="J477" s="3">
        <x:f>_xlfn.IFNA(VLOOKUP($E477,Master!$J:$M,3,0),"")</x:f>
      </x:c>
      <x:c r="AC477" s="26">
        <x:f>SUM(K477:P477)</x:f>
      </x:c>
      <x:c r="AD477" s="26">
        <x:f>SUM(Q477:AB477)</x:f>
      </x:c>
    </x:row>
    <x:row r="478" spans="1:35" ht="15" customHeight="1">
      <x:c r="B478" s="3">
        <x:f>_xlfn.IFNA(VLOOKUP(C478,Master!$J:$K,2,0),"")</x:f>
      </x:c>
      <x:c r="F478" s="4">
        <x:f>_xlfn.IFNA(VLOOKUP(G478,Master!B:C,2,0),"")</x:f>
      </x:c>
      <x:c r="I478" s="3">
        <x:f>_xlfn.IFNA(VLOOKUP(E478,Master!$J:$M,4,0),"")</x:f>
      </x:c>
      <x:c r="J478" s="3">
        <x:f>_xlfn.IFNA(VLOOKUP($E478,Master!$J:$M,3,0),"")</x:f>
      </x:c>
      <x:c r="AC478" s="26">
        <x:f>SUM(K478:P478)</x:f>
      </x:c>
      <x:c r="AD478" s="26">
        <x:f>SUM(Q478:AB478)</x:f>
      </x:c>
    </x:row>
    <x:row r="479" spans="1:35" ht="15" customHeight="1">
      <x:c r="B479" s="3">
        <x:f>_xlfn.IFNA(VLOOKUP(C479,Master!$J:$K,2,0),"")</x:f>
      </x:c>
      <x:c r="F479" s="4">
        <x:f>_xlfn.IFNA(VLOOKUP(G479,Master!B:C,2,0),"")</x:f>
      </x:c>
      <x:c r="I479" s="3">
        <x:f>_xlfn.IFNA(VLOOKUP(E479,Master!$J:$M,4,0),"")</x:f>
      </x:c>
      <x:c r="J479" s="3">
        <x:f>_xlfn.IFNA(VLOOKUP($E479,Master!$J:$M,3,0),"")</x:f>
      </x:c>
      <x:c r="AC479" s="26">
        <x:f>SUM(K479:P479)</x:f>
      </x:c>
      <x:c r="AD479" s="26">
        <x:f>SUM(Q479:AB479)</x:f>
      </x:c>
    </x:row>
    <x:row r="480" spans="1:35" ht="15" customHeight="1">
      <x:c r="B480" s="3">
        <x:f>_xlfn.IFNA(VLOOKUP(C480,Master!$J:$K,2,0),"")</x:f>
      </x:c>
      <x:c r="F480" s="4">
        <x:f>_xlfn.IFNA(VLOOKUP(G480,Master!B:C,2,0),"")</x:f>
      </x:c>
      <x:c r="I480" s="3">
        <x:f>_xlfn.IFNA(VLOOKUP(E480,Master!$J:$M,4,0),"")</x:f>
      </x:c>
      <x:c r="J480" s="3">
        <x:f>_xlfn.IFNA(VLOOKUP($E480,Master!$J:$M,3,0),"")</x:f>
      </x:c>
      <x:c r="AC480" s="26">
        <x:f>SUM(K480:P480)</x:f>
      </x:c>
      <x:c r="AD480" s="26">
        <x:f>SUM(Q480:AB480)</x:f>
      </x:c>
    </x:row>
    <x:row r="481" spans="1:35" ht="15" customHeight="1">
      <x:c r="B481" s="3">
        <x:f>_xlfn.IFNA(VLOOKUP(C481,Master!$J:$K,2,0),"")</x:f>
      </x:c>
      <x:c r="F481" s="4">
        <x:f>_xlfn.IFNA(VLOOKUP(G481,Master!B:C,2,0),"")</x:f>
      </x:c>
      <x:c r="I481" s="3">
        <x:f>_xlfn.IFNA(VLOOKUP(E481,Master!$J:$M,4,0),"")</x:f>
      </x:c>
      <x:c r="J481" s="3">
        <x:f>_xlfn.IFNA(VLOOKUP($E481,Master!$J:$M,3,0),"")</x:f>
      </x:c>
      <x:c r="AC481" s="26">
        <x:f>SUM(K481:P481)</x:f>
      </x:c>
      <x:c r="AD481" s="26">
        <x:f>SUM(Q481:AB481)</x:f>
      </x:c>
    </x:row>
    <x:row r="482" spans="1:35" ht="15" customHeight="1">
      <x:c r="B482" s="3">
        <x:f>_xlfn.IFNA(VLOOKUP(C482,Master!$J:$K,2,0),"")</x:f>
      </x:c>
      <x:c r="F482" s="4">
        <x:f>_xlfn.IFNA(VLOOKUP(G482,Master!B:C,2,0),"")</x:f>
      </x:c>
      <x:c r="I482" s="3">
        <x:f>_xlfn.IFNA(VLOOKUP(E482,Master!$J:$M,4,0),"")</x:f>
      </x:c>
      <x:c r="J482" s="3">
        <x:f>_xlfn.IFNA(VLOOKUP($E482,Master!$J:$M,3,0),"")</x:f>
      </x:c>
      <x:c r="AC482" s="26">
        <x:f>SUM(K482:P482)</x:f>
      </x:c>
      <x:c r="AD482" s="26">
        <x:f>SUM(Q482:AB482)</x:f>
      </x:c>
    </x:row>
    <x:row r="483" spans="1:35" ht="15" customHeight="1">
      <x:c r="B483" s="3">
        <x:f>_xlfn.IFNA(VLOOKUP(C483,Master!$J:$K,2,0),"")</x:f>
      </x:c>
      <x:c r="F483" s="4">
        <x:f>_xlfn.IFNA(VLOOKUP(G483,Master!B:C,2,0),"")</x:f>
      </x:c>
      <x:c r="I483" s="3">
        <x:f>_xlfn.IFNA(VLOOKUP(E483,Master!$J:$M,4,0),"")</x:f>
      </x:c>
      <x:c r="J483" s="3">
        <x:f>_xlfn.IFNA(VLOOKUP($E483,Master!$J:$M,3,0),"")</x:f>
      </x:c>
      <x:c r="AC483" s="26">
        <x:f>SUM(K483:P483)</x:f>
      </x:c>
      <x:c r="AD483" s="26">
        <x:f>SUM(Q483:AB483)</x:f>
      </x:c>
    </x:row>
    <x:row r="484" spans="1:35" ht="15" customHeight="1">
      <x:c r="B484" s="3">
        <x:f>_xlfn.IFNA(VLOOKUP(C484,Master!$J:$K,2,0),"")</x:f>
      </x:c>
      <x:c r="F484" s="4">
        <x:f>_xlfn.IFNA(VLOOKUP(G484,Master!B:C,2,0),"")</x:f>
      </x:c>
      <x:c r="I484" s="3">
        <x:f>_xlfn.IFNA(VLOOKUP(E484,Master!$J:$M,4,0),"")</x:f>
      </x:c>
      <x:c r="J484" s="3">
        <x:f>_xlfn.IFNA(VLOOKUP($E484,Master!$J:$M,3,0),"")</x:f>
      </x:c>
      <x:c r="AC484" s="26">
        <x:f>SUM(K484:P484)</x:f>
      </x:c>
      <x:c r="AD484" s="26">
        <x:f>SUM(Q484:AB484)</x:f>
      </x:c>
    </x:row>
    <x:row r="485" spans="1:35" ht="15" customHeight="1">
      <x:c r="B485" s="3">
        <x:f>_xlfn.IFNA(VLOOKUP(C485,Master!$J:$K,2,0),"")</x:f>
      </x:c>
      <x:c r="F485" s="4">
        <x:f>_xlfn.IFNA(VLOOKUP(G485,Master!B:C,2,0),"")</x:f>
      </x:c>
      <x:c r="I485" s="3">
        <x:f>_xlfn.IFNA(VLOOKUP(E485,Master!$J:$M,4,0),"")</x:f>
      </x:c>
      <x:c r="J485" s="3">
        <x:f>_xlfn.IFNA(VLOOKUP($E485,Master!$J:$M,3,0),"")</x:f>
      </x:c>
      <x:c r="AC485" s="26">
        <x:f>SUM(K485:P485)</x:f>
      </x:c>
      <x:c r="AD485" s="26">
        <x:f>SUM(Q485:AB485)</x:f>
      </x:c>
    </x:row>
    <x:row r="486" spans="1:35" ht="15" customHeight="1">
      <x:c r="B486" s="3">
        <x:f>_xlfn.IFNA(VLOOKUP(C486,Master!$J:$K,2,0),"")</x:f>
      </x:c>
      <x:c r="F486" s="4">
        <x:f>_xlfn.IFNA(VLOOKUP(G486,Master!B:C,2,0),"")</x:f>
      </x:c>
      <x:c r="I486" s="3">
        <x:f>_xlfn.IFNA(VLOOKUP(E486,Master!$J:$M,4,0),"")</x:f>
      </x:c>
      <x:c r="J486" s="3">
        <x:f>_xlfn.IFNA(VLOOKUP($E486,Master!$J:$M,3,0),"")</x:f>
      </x:c>
      <x:c r="AC486" s="26">
        <x:f>SUM(K486:P486)</x:f>
      </x:c>
      <x:c r="AD486" s="26">
        <x:f>SUM(Q486:AB486)</x:f>
      </x:c>
    </x:row>
    <x:row r="487" spans="1:35" ht="15" customHeight="1">
      <x:c r="B487" s="3">
        <x:f>_xlfn.IFNA(VLOOKUP(C487,Master!$J:$K,2,0),"")</x:f>
      </x:c>
      <x:c r="F487" s="4">
        <x:f>_xlfn.IFNA(VLOOKUP(G487,Master!B:C,2,0),"")</x:f>
      </x:c>
      <x:c r="I487" s="3">
        <x:f>_xlfn.IFNA(VLOOKUP(E487,Master!$J:$M,4,0),"")</x:f>
      </x:c>
      <x:c r="J487" s="3">
        <x:f>_xlfn.IFNA(VLOOKUP($E487,Master!$J:$M,3,0),"")</x:f>
      </x:c>
      <x:c r="AC487" s="26">
        <x:f>SUM(K487:P487)</x:f>
      </x:c>
      <x:c r="AD487" s="26">
        <x:f>SUM(Q487:AB487)</x:f>
      </x:c>
    </x:row>
    <x:row r="488" spans="1:35" ht="15" customHeight="1">
      <x:c r="B488" s="3">
        <x:f>_xlfn.IFNA(VLOOKUP(C488,Master!$J:$K,2,0),"")</x:f>
      </x:c>
      <x:c r="F488" s="4">
        <x:f>_xlfn.IFNA(VLOOKUP(G488,Master!B:C,2,0),"")</x:f>
      </x:c>
      <x:c r="I488" s="3">
        <x:f>_xlfn.IFNA(VLOOKUP(E488,Master!$J:$M,4,0),"")</x:f>
      </x:c>
      <x:c r="J488" s="3">
        <x:f>_xlfn.IFNA(VLOOKUP($E488,Master!$J:$M,3,0),"")</x:f>
      </x:c>
      <x:c r="AC488" s="26">
        <x:f>SUM(K488:P488)</x:f>
      </x:c>
      <x:c r="AD488" s="26">
        <x:f>SUM(Q488:AB488)</x:f>
      </x:c>
    </x:row>
    <x:row r="489" spans="1:35" ht="15" customHeight="1">
      <x:c r="B489" s="3">
        <x:f>_xlfn.IFNA(VLOOKUP(C489,Master!$J:$K,2,0),"")</x:f>
      </x:c>
      <x:c r="F489" s="4">
        <x:f>_xlfn.IFNA(VLOOKUP(G489,Master!B:C,2,0),"")</x:f>
      </x:c>
      <x:c r="I489" s="3">
        <x:f>_xlfn.IFNA(VLOOKUP(E489,Master!$J:$M,4,0),"")</x:f>
      </x:c>
      <x:c r="J489" s="3">
        <x:f>_xlfn.IFNA(VLOOKUP($E489,Master!$J:$M,3,0),"")</x:f>
      </x:c>
      <x:c r="AC489" s="26">
        <x:f>SUM(K489:P489)</x:f>
      </x:c>
      <x:c r="AD489" s="26">
        <x:f>SUM(Q489:AB489)</x:f>
      </x:c>
    </x:row>
    <x:row r="490" spans="1:35" ht="15" customHeight="1">
      <x:c r="B490" s="3">
        <x:f>_xlfn.IFNA(VLOOKUP(C490,Master!$J:$K,2,0),"")</x:f>
      </x:c>
      <x:c r="F490" s="4">
        <x:f>_xlfn.IFNA(VLOOKUP(G490,Master!B:C,2,0),"")</x:f>
      </x:c>
      <x:c r="I490" s="3">
        <x:f>_xlfn.IFNA(VLOOKUP(E490,Master!$J:$M,4,0),"")</x:f>
      </x:c>
      <x:c r="J490" s="3">
        <x:f>_xlfn.IFNA(VLOOKUP($E490,Master!$J:$M,3,0),"")</x:f>
      </x:c>
      <x:c r="AC490" s="26">
        <x:f>SUM(K490:P490)</x:f>
      </x:c>
      <x:c r="AD490" s="26">
        <x:f>SUM(Q490:AB490)</x:f>
      </x:c>
    </x:row>
    <x:row r="491" spans="1:35" ht="15" customHeight="1">
      <x:c r="B491" s="3">
        <x:f>_xlfn.IFNA(VLOOKUP(C491,Master!$J:$K,2,0),"")</x:f>
      </x:c>
      <x:c r="F491" s="4">
        <x:f>_xlfn.IFNA(VLOOKUP(G491,Master!B:C,2,0),"")</x:f>
      </x:c>
      <x:c r="I491" s="3">
        <x:f>_xlfn.IFNA(VLOOKUP(E491,Master!$J:$M,4,0),"")</x:f>
      </x:c>
      <x:c r="J491" s="3">
        <x:f>_xlfn.IFNA(VLOOKUP($E491,Master!$J:$M,3,0),"")</x:f>
      </x:c>
      <x:c r="AC491" s="26">
        <x:f>SUM(K491:P491)</x:f>
      </x:c>
      <x:c r="AD491" s="26">
        <x:f>SUM(Q491:AB491)</x:f>
      </x:c>
    </x:row>
    <x:row r="492" spans="1:35" ht="15" customHeight="1">
      <x:c r="B492" s="3">
        <x:f>_xlfn.IFNA(VLOOKUP(C492,Master!$J:$K,2,0),"")</x:f>
      </x:c>
      <x:c r="F492" s="4">
        <x:f>_xlfn.IFNA(VLOOKUP(G492,Master!B:C,2,0),"")</x:f>
      </x:c>
      <x:c r="I492" s="3">
        <x:f>_xlfn.IFNA(VLOOKUP(E492,Master!$J:$M,4,0),"")</x:f>
      </x:c>
      <x:c r="J492" s="3">
        <x:f>_xlfn.IFNA(VLOOKUP($E492,Master!$J:$M,3,0),"")</x:f>
      </x:c>
      <x:c r="AC492" s="26">
        <x:f>SUM(K492:P492)</x:f>
      </x:c>
      <x:c r="AD492" s="26">
        <x:f>SUM(Q492:AB492)</x:f>
      </x:c>
    </x:row>
    <x:row r="493" spans="1:35" ht="15" customHeight="1">
      <x:c r="B493" s="3">
        <x:f>_xlfn.IFNA(VLOOKUP(C493,Master!$J:$K,2,0),"")</x:f>
      </x:c>
      <x:c r="F493" s="4">
        <x:f>_xlfn.IFNA(VLOOKUP(G493,Master!B:C,2,0),"")</x:f>
      </x:c>
      <x:c r="I493" s="3">
        <x:f>_xlfn.IFNA(VLOOKUP(E493,Master!$J:$M,4,0),"")</x:f>
      </x:c>
      <x:c r="J493" s="3">
        <x:f>_xlfn.IFNA(VLOOKUP($E493,Master!$J:$M,3,0),"")</x:f>
      </x:c>
      <x:c r="AC493" s="26">
        <x:f>SUM(K493:P493)</x:f>
      </x:c>
      <x:c r="AD493" s="26">
        <x:f>SUM(Q493:AB493)</x:f>
      </x:c>
    </x:row>
    <x:row r="494" spans="1:35" ht="15" customHeight="1">
      <x:c r="B494" s="3">
        <x:f>_xlfn.IFNA(VLOOKUP(C494,Master!$J:$K,2,0),"")</x:f>
      </x:c>
      <x:c r="F494" s="4">
        <x:f>_xlfn.IFNA(VLOOKUP(G494,Master!B:C,2,0),"")</x:f>
      </x:c>
      <x:c r="I494" s="3">
        <x:f>_xlfn.IFNA(VLOOKUP(E494,Master!$J:$M,4,0),"")</x:f>
      </x:c>
      <x:c r="J494" s="3">
        <x:f>_xlfn.IFNA(VLOOKUP($E494,Master!$J:$M,3,0),"")</x:f>
      </x:c>
      <x:c r="AC494" s="26">
        <x:f>SUM(K494:P494)</x:f>
      </x:c>
      <x:c r="AD494" s="26">
        <x:f>SUM(Q494:AB494)</x:f>
      </x:c>
    </x:row>
    <x:row r="495" spans="1:35" ht="15" customHeight="1">
      <x:c r="B495" s="3">
        <x:f>_xlfn.IFNA(VLOOKUP(C495,Master!$J:$K,2,0),"")</x:f>
      </x:c>
      <x:c r="F495" s="4">
        <x:f>_xlfn.IFNA(VLOOKUP(G495,Master!B:C,2,0),"")</x:f>
      </x:c>
      <x:c r="I495" s="3">
        <x:f>_xlfn.IFNA(VLOOKUP(E495,Master!$J:$M,4,0),"")</x:f>
      </x:c>
      <x:c r="J495" s="3">
        <x:f>_xlfn.IFNA(VLOOKUP($E495,Master!$J:$M,3,0),"")</x:f>
      </x:c>
      <x:c r="AC495" s="26">
        <x:f>SUM(K495:P495)</x:f>
      </x:c>
      <x:c r="AD495" s="26">
        <x:f>SUM(Q495:AB495)</x:f>
      </x:c>
    </x:row>
    <x:row r="496" spans="1:35" ht="15" customHeight="1">
      <x:c r="B496" s="3">
        <x:f>_xlfn.IFNA(VLOOKUP(C496,Master!$J:$K,2,0),"")</x:f>
      </x:c>
      <x:c r="F496" s="4">
        <x:f>_xlfn.IFNA(VLOOKUP(G496,Master!B:C,2,0),"")</x:f>
      </x:c>
      <x:c r="I496" s="3">
        <x:f>_xlfn.IFNA(VLOOKUP(E496,Master!$J:$M,4,0),"")</x:f>
      </x:c>
      <x:c r="J496" s="3">
        <x:f>_xlfn.IFNA(VLOOKUP($E496,Master!$J:$M,3,0),"")</x:f>
      </x:c>
      <x:c r="AC496" s="26">
        <x:f>SUM(K496:P496)</x:f>
      </x:c>
      <x:c r="AD496" s="26">
        <x:f>SUM(Q496:AB496)</x:f>
      </x:c>
    </x:row>
    <x:row r="497" spans="1:35" ht="15" customHeight="1">
      <x:c r="B497" s="3">
        <x:f>_xlfn.IFNA(VLOOKUP(C497,Master!$J:$K,2,0),"")</x:f>
      </x:c>
      <x:c r="F497" s="4">
        <x:f>_xlfn.IFNA(VLOOKUP(G497,Master!B:C,2,0),"")</x:f>
      </x:c>
      <x:c r="I497" s="3">
        <x:f>_xlfn.IFNA(VLOOKUP(E497,Master!$J:$M,4,0),"")</x:f>
      </x:c>
      <x:c r="J497" s="3">
        <x:f>_xlfn.IFNA(VLOOKUP($E497,Master!$J:$M,3,0),"")</x:f>
      </x:c>
      <x:c r="AC497" s="26">
        <x:f>SUM(K497:P497)</x:f>
      </x:c>
      <x:c r="AD497" s="26">
        <x:f>SUM(Q497:AB497)</x:f>
      </x:c>
    </x:row>
    <x:row r="498" spans="1:35" ht="15" customHeight="1">
      <x:c r="B498" s="3">
        <x:f>_xlfn.IFNA(VLOOKUP(C498,Master!$J:$K,2,0),"")</x:f>
      </x:c>
      <x:c r="F498" s="4">
        <x:f>_xlfn.IFNA(VLOOKUP(G498,Master!B:C,2,0),"")</x:f>
      </x:c>
      <x:c r="I498" s="3">
        <x:f>_xlfn.IFNA(VLOOKUP(E498,Master!$J:$M,4,0),"")</x:f>
      </x:c>
      <x:c r="J498" s="3">
        <x:f>_xlfn.IFNA(VLOOKUP($E498,Master!$J:$M,3,0),"")</x:f>
      </x:c>
      <x:c r="AC498" s="26">
        <x:f>SUM(K498:P498)</x:f>
      </x:c>
      <x:c r="AD498" s="26">
        <x:f>SUM(Q498:AB498)</x:f>
      </x:c>
    </x:row>
    <x:row r="499" spans="1:35" ht="15" customHeight="1">
      <x:c r="B499" s="3">
        <x:f>_xlfn.IFNA(VLOOKUP(C499,Master!$J:$K,2,0),"")</x:f>
      </x:c>
      <x:c r="F499" s="4">
        <x:f>_xlfn.IFNA(VLOOKUP(G499,Master!B:C,2,0),"")</x:f>
      </x:c>
      <x:c r="I499" s="3">
        <x:f>_xlfn.IFNA(VLOOKUP(E499,Master!$J:$M,4,0),"")</x:f>
      </x:c>
      <x:c r="J499" s="3">
        <x:f>_xlfn.IFNA(VLOOKUP($E499,Master!$J:$M,3,0),"")</x:f>
      </x:c>
      <x:c r="AC499" s="26">
        <x:f>SUM(K499:P499)</x:f>
      </x:c>
      <x:c r="AD499" s="26">
        <x:f>SUM(Q499:AB499)</x:f>
      </x:c>
    </x:row>
    <x:row r="500" spans="1:35" ht="15" customHeight="1">
      <x:c r="B500" s="3">
        <x:f>_xlfn.IFNA(VLOOKUP(C500,Master!$J:$K,2,0),"")</x:f>
      </x:c>
      <x:c r="F500" s="4">
        <x:f>_xlfn.IFNA(VLOOKUP(G500,Master!B:C,2,0),"")</x:f>
      </x:c>
      <x:c r="I500" s="3">
        <x:f>_xlfn.IFNA(VLOOKUP(E500,Master!$J:$M,4,0),"")</x:f>
      </x:c>
      <x:c r="J500" s="3">
        <x:f>_xlfn.IFNA(VLOOKUP($E500,Master!$J:$M,3,0),"")</x:f>
      </x:c>
      <x:c r="AC500" s="26">
        <x:f>SUM(K500:P500)</x:f>
      </x:c>
      <x:c r="AD500" s="26">
        <x:f>SUM(Q500:AB500)</x:f>
      </x:c>
    </x:row>
    <x:row r="501" spans="1:35" ht="15" customHeight="1">
      <x:c r="B501" s="3">
        <x:f>_xlfn.IFNA(VLOOKUP(C501,Master!$J:$K,2,0),"")</x:f>
      </x:c>
      <x:c r="F501" s="4">
        <x:f>_xlfn.IFNA(VLOOKUP(G501,Master!B:C,2,0),"")</x:f>
      </x:c>
      <x:c r="I501" s="3">
        <x:f>_xlfn.IFNA(VLOOKUP(E501,Master!$J:$M,4,0),"")</x:f>
      </x:c>
      <x:c r="J501" s="3">
        <x:f>_xlfn.IFNA(VLOOKUP($E501,Master!$J:$M,3,0),"")</x:f>
      </x:c>
      <x:c r="AC501" s="26">
        <x:f>SUM(K501:P501)</x:f>
      </x:c>
      <x:c r="AD501" s="26">
        <x:f>SUM(Q501:AB501)</x:f>
      </x:c>
    </x:row>
    <x:row r="502" spans="1:35" ht="15" customHeight="1">
      <x:c r="B502" s="3">
        <x:f>_xlfn.IFNA(VLOOKUP(C502,Master!$J:$K,2,0),"")</x:f>
      </x:c>
      <x:c r="F502" s="4">
        <x:f>_xlfn.IFNA(VLOOKUP(G502,Master!B:C,2,0),"")</x:f>
      </x:c>
      <x:c r="I502" s="3">
        <x:f>_xlfn.IFNA(VLOOKUP(E502,Master!$J:$M,4,0),"")</x:f>
      </x:c>
      <x:c r="J502" s="3">
        <x:f>_xlfn.IFNA(VLOOKUP($E502,Master!$J:$M,3,0),"")</x:f>
      </x:c>
      <x:c r="AC502" s="26">
        <x:f>SUM(K502:P502)</x:f>
      </x:c>
      <x:c r="AD502" s="26">
        <x:f>SUM(Q502:AB502)</x:f>
      </x:c>
    </x:row>
    <x:row r="503" spans="1:35" ht="15" customHeight="1">
      <x:c r="B503" s="3">
        <x:f>_xlfn.IFNA(VLOOKUP(C503,Master!$J:$K,2,0),"")</x:f>
      </x:c>
      <x:c r="F503" s="4">
        <x:f>_xlfn.IFNA(VLOOKUP(G503,Master!B:C,2,0),"")</x:f>
      </x:c>
      <x:c r="I503" s="3">
        <x:f>_xlfn.IFNA(VLOOKUP(E503,Master!$J:$M,4,0),"")</x:f>
      </x:c>
      <x:c r="J503" s="3">
        <x:f>_xlfn.IFNA(VLOOKUP($E503,Master!$J:$M,3,0),"")</x:f>
      </x:c>
      <x:c r="AC503" s="26">
        <x:f>SUM(K503:P503)</x:f>
      </x:c>
      <x:c r="AD503" s="26">
        <x:f>SUM(Q503:AB503)</x:f>
      </x:c>
    </x:row>
    <x:row r="504" spans="1:35" ht="15" customHeight="1">
      <x:c r="B504" s="3">
        <x:f>_xlfn.IFNA(VLOOKUP(C504,Master!$J:$K,2,0),"")</x:f>
      </x:c>
      <x:c r="F504" s="4">
        <x:f>_xlfn.IFNA(VLOOKUP(G504,Master!B:C,2,0),"")</x:f>
      </x:c>
      <x:c r="I504" s="3">
        <x:f>_xlfn.IFNA(VLOOKUP(E504,Master!$J:$M,4,0),"")</x:f>
      </x:c>
      <x:c r="J504" s="3">
        <x:f>_xlfn.IFNA(VLOOKUP($E504,Master!$J:$M,3,0),"")</x:f>
      </x:c>
      <x:c r="AC504" s="26">
        <x:f>SUM(K504:P504)</x:f>
      </x:c>
      <x:c r="AD504" s="26">
        <x:f>SUM(Q504:AB504)</x:f>
      </x:c>
    </x:row>
    <x:row r="505" spans="1:35" ht="15" customHeight="1">
      <x:c r="B505" s="3">
        <x:f>_xlfn.IFNA(VLOOKUP(C505,Master!$J:$K,2,0),"")</x:f>
      </x:c>
      <x:c r="F505" s="4">
        <x:f>_xlfn.IFNA(VLOOKUP(G505,Master!B:C,2,0),"")</x:f>
      </x:c>
      <x:c r="I505" s="3">
        <x:f>_xlfn.IFNA(VLOOKUP(E505,Master!$J:$M,4,0),"")</x:f>
      </x:c>
      <x:c r="J505" s="3">
        <x:f>_xlfn.IFNA(VLOOKUP($E505,Master!$J:$M,3,0),"")</x:f>
      </x:c>
      <x:c r="AC505" s="26">
        <x:f>SUM(K505:P505)</x:f>
      </x:c>
      <x:c r="AD505" s="26">
        <x:f>SUM(Q505:AB505)</x:f>
      </x:c>
    </x:row>
    <x:row r="506" spans="1:35" ht="15" customHeight="1">
      <x:c r="B506" s="3">
        <x:f>_xlfn.IFNA(VLOOKUP(C506,Master!$J:$K,2,0),"")</x:f>
      </x:c>
      <x:c r="F506" s="4">
        <x:f>_xlfn.IFNA(VLOOKUP(G506,Master!B:C,2,0),"")</x:f>
      </x:c>
      <x:c r="I506" s="3">
        <x:f>_xlfn.IFNA(VLOOKUP(E506,Master!$J:$M,4,0),"")</x:f>
      </x:c>
      <x:c r="J506" s="3">
        <x:f>_xlfn.IFNA(VLOOKUP($E506,Master!$J:$M,3,0),"")</x:f>
      </x:c>
      <x:c r="AC506" s="26">
        <x:f>SUM(K506:P506)</x:f>
      </x:c>
      <x:c r="AD506" s="26">
        <x:f>SUM(Q506:AB506)</x:f>
      </x:c>
    </x:row>
    <x:row r="507" spans="1:35" ht="15" customHeight="1">
      <x:c r="B507" s="3">
        <x:f>_xlfn.IFNA(VLOOKUP(C507,Master!$J:$K,2,0),"")</x:f>
      </x:c>
      <x:c r="F507" s="4">
        <x:f>_xlfn.IFNA(VLOOKUP(G507,Master!B:C,2,0),"")</x:f>
      </x:c>
      <x:c r="I507" s="3">
        <x:f>_xlfn.IFNA(VLOOKUP(E507,Master!$J:$M,4,0),"")</x:f>
      </x:c>
      <x:c r="J507" s="3">
        <x:f>_xlfn.IFNA(VLOOKUP($E507,Master!$J:$M,3,0),"")</x:f>
      </x:c>
      <x:c r="AC507" s="26">
        <x:f>SUM(K507:P507)</x:f>
      </x:c>
      <x:c r="AD507" s="26">
        <x:f>SUM(Q507:AB507)</x:f>
      </x:c>
    </x:row>
    <x:row r="508" spans="1:35" ht="15" customHeight="1">
      <x:c r="B508" s="3">
        <x:f>_xlfn.IFNA(VLOOKUP(C508,Master!$J:$K,2,0),"")</x:f>
      </x:c>
      <x:c r="F508" s="4">
        <x:f>_xlfn.IFNA(VLOOKUP(G508,Master!B:C,2,0),"")</x:f>
      </x:c>
      <x:c r="I508" s="3">
        <x:f>_xlfn.IFNA(VLOOKUP(E508,Master!$J:$M,4,0),"")</x:f>
      </x:c>
      <x:c r="J508" s="3">
        <x:f>_xlfn.IFNA(VLOOKUP($E508,Master!$J:$M,3,0),"")</x:f>
      </x:c>
      <x:c r="AC508" s="26">
        <x:f>SUM(K508:P508)</x:f>
      </x:c>
      <x:c r="AD508" s="26">
        <x:f>SUM(Q508:AB508)</x:f>
      </x:c>
    </x:row>
    <x:row r="509" spans="1:35" ht="15" customHeight="1">
      <x:c r="B509" s="3">
        <x:f>_xlfn.IFNA(VLOOKUP(C509,Master!$J:$K,2,0),"")</x:f>
      </x:c>
      <x:c r="F509" s="4">
        <x:f>_xlfn.IFNA(VLOOKUP(G509,Master!B:C,2,0),"")</x:f>
      </x:c>
      <x:c r="I509" s="3">
        <x:f>_xlfn.IFNA(VLOOKUP(E509,Master!$J:$M,4,0),"")</x:f>
      </x:c>
      <x:c r="J509" s="3">
        <x:f>_xlfn.IFNA(VLOOKUP($E509,Master!$J:$M,3,0),"")</x:f>
      </x:c>
      <x:c r="AC509" s="26">
        <x:f>SUM(K509:P509)</x:f>
      </x:c>
      <x:c r="AD509" s="26">
        <x:f>SUM(Q509:AB509)</x:f>
      </x:c>
    </x:row>
    <x:row r="510" spans="1:35" ht="15" customHeight="1">
      <x:c r="B510" s="3">
        <x:f>_xlfn.IFNA(VLOOKUP(C510,Master!$J:$K,2,0),"")</x:f>
      </x:c>
      <x:c r="F510" s="4">
        <x:f>_xlfn.IFNA(VLOOKUP(G510,Master!B:C,2,0),"")</x:f>
      </x:c>
      <x:c r="I510" s="3">
        <x:f>_xlfn.IFNA(VLOOKUP(E510,Master!$J:$M,4,0),"")</x:f>
      </x:c>
      <x:c r="J510" s="3">
        <x:f>_xlfn.IFNA(VLOOKUP($E510,Master!$J:$M,3,0),"")</x:f>
      </x:c>
      <x:c r="AC510" s="26">
        <x:f>SUM(K510:P510)</x:f>
      </x:c>
      <x:c r="AD510" s="26">
        <x:f>SUM(Q510:AB510)</x:f>
      </x:c>
    </x:row>
    <x:row r="511" spans="1:35" ht="15" customHeight="1">
      <x:c r="B511" s="3">
        <x:f>_xlfn.IFNA(VLOOKUP(C511,Master!$J:$K,2,0),"")</x:f>
      </x:c>
      <x:c r="F511" s="4">
        <x:f>_xlfn.IFNA(VLOOKUP(G511,Master!B:C,2,0),"")</x:f>
      </x:c>
      <x:c r="I511" s="3">
        <x:f>_xlfn.IFNA(VLOOKUP(E511,Master!$J:$M,4,0),"")</x:f>
      </x:c>
      <x:c r="J511" s="3">
        <x:f>_xlfn.IFNA(VLOOKUP($E511,Master!$J:$M,3,0),"")</x:f>
      </x:c>
      <x:c r="AC511" s="26">
        <x:f>SUM(K511:P511)</x:f>
      </x:c>
      <x:c r="AD511" s="26">
        <x:f>SUM(Q511:AB511)</x:f>
      </x:c>
    </x:row>
    <x:row r="512" spans="1:35" ht="15" customHeight="1">
      <x:c r="B512" s="3">
        <x:f>_xlfn.IFNA(VLOOKUP(C512,Master!$J:$K,2,0),"")</x:f>
      </x:c>
      <x:c r="F512" s="4">
        <x:f>_xlfn.IFNA(VLOOKUP(G512,Master!B:C,2,0),"")</x:f>
      </x:c>
      <x:c r="I512" s="3">
        <x:f>_xlfn.IFNA(VLOOKUP(E512,Master!$J:$M,4,0),"")</x:f>
      </x:c>
      <x:c r="J512" s="3">
        <x:f>_xlfn.IFNA(VLOOKUP($E512,Master!$J:$M,3,0),"")</x:f>
      </x:c>
      <x:c r="AC512" s="26">
        <x:f>SUM(K512:P512)</x:f>
      </x:c>
      <x:c r="AD512" s="26">
        <x:f>SUM(Q512:AB512)</x:f>
      </x:c>
    </x:row>
    <x:row r="513" spans="1:35" ht="15" customHeight="1">
      <x:c r="B513" s="3">
        <x:f>_xlfn.IFNA(VLOOKUP(C513,Master!$J:$K,2,0),"")</x:f>
      </x:c>
      <x:c r="F513" s="4">
        <x:f>_xlfn.IFNA(VLOOKUP(G513,Master!B:C,2,0),"")</x:f>
      </x:c>
      <x:c r="AC513" s="26">
        <x:f>SUM(K513:P513)</x:f>
      </x:c>
      <x:c r="AD513" s="26">
        <x:f>SUM(Q513:AB513)</x:f>
      </x:c>
    </x:row>
    <x:row r="514" spans="1:35" ht="15" customHeight="1">
      <x:c r="B514" s="3">
        <x:f>_xlfn.IFNA(VLOOKUP(C514,Master!$J:$K,2,0),"")</x:f>
      </x:c>
      <x:c r="F514" s="4">
        <x:f>_xlfn.IFNA(VLOOKUP(G514,Master!B:C,2,0),"")</x:f>
      </x:c>
      <x:c r="AC514" s="26">
        <x:f>SUM(K514:P514)</x:f>
      </x:c>
      <x:c r="AD514" s="26">
        <x:f>SUM(Q514:AB514)</x:f>
      </x:c>
    </x:row>
    <x:row r="515" spans="1:35" ht="15" customHeight="1">
      <x:c r="B515" s="3">
        <x:f>_xlfn.IFNA(VLOOKUP(C515,Master!$J:$K,2,0),"")</x:f>
      </x:c>
      <x:c r="F515" s="4">
        <x:f>_xlfn.IFNA(VLOOKUP(G515,Master!B:C,2,0),"")</x:f>
      </x:c>
      <x:c r="AC515" s="26">
        <x:f>SUM(K515:P515)</x:f>
      </x:c>
      <x:c r="AD515" s="26">
        <x:f>SUM(Q515:AB515)</x:f>
      </x:c>
    </x:row>
    <x:row r="516" spans="1:35" ht="15" customHeight="1">
      <x:c r="B516" s="3">
        <x:f>_xlfn.IFNA(VLOOKUP(C516,Master!$J:$K,2,0),"")</x:f>
      </x:c>
      <x:c r="F516" s="4">
        <x:f>_xlfn.IFNA(VLOOKUP(G516,Master!B:C,2,0),"")</x:f>
      </x:c>
      <x:c r="AC516" s="26">
        <x:f>SUM(K516:P516)</x:f>
      </x:c>
      <x:c r="AD516" s="26">
        <x:f>SUM(Q516:AB516)</x:f>
      </x:c>
    </x:row>
    <x:row r="517" spans="1:35" ht="15" customHeight="1">
      <x:c r="B517" s="3">
        <x:f>_xlfn.IFNA(VLOOKUP(C517,Master!$J:$K,2,0),"")</x:f>
      </x:c>
      <x:c r="F517" s="4">
        <x:f>_xlfn.IFNA(VLOOKUP(G517,Master!B:C,2,0),"")</x:f>
      </x:c>
      <x:c r="AC517" s="26">
        <x:f>SUM(K517:P517)</x:f>
      </x:c>
      <x:c r="AD517" s="26">
        <x:f>SUM(Q517:AB517)</x:f>
      </x:c>
    </x:row>
    <x:row r="518" spans="1:35" ht="15" customHeight="1">
      <x:c r="B518" s="3">
        <x:f>_xlfn.IFNA(VLOOKUP(C518,Master!$J:$K,2,0),"")</x:f>
      </x:c>
      <x:c r="F518" s="4">
        <x:f>_xlfn.IFNA(VLOOKUP(G518,Master!B:C,2,0),"")</x:f>
      </x:c>
      <x:c r="AC518" s="26">
        <x:f>SUM(K518:P518)</x:f>
      </x:c>
      <x:c r="AD518" s="26">
        <x:f>SUM(Q518:AB518)</x:f>
      </x:c>
    </x:row>
    <x:row r="519" spans="1:35" ht="15" customHeight="1">
      <x:c r="B519" s="3">
        <x:f>_xlfn.IFNA(VLOOKUP(C519,Master!$J:$K,2,0),"")</x:f>
      </x:c>
      <x:c r="F519" s="4">
        <x:f>_xlfn.IFNA(VLOOKUP(G519,Master!B:C,2,0),"")</x:f>
      </x:c>
      <x:c r="AC519" s="26">
        <x:f>SUM(K519:P519)</x:f>
      </x:c>
      <x:c r="AD519" s="26">
        <x:f>SUM(Q519:AB519)</x:f>
      </x:c>
    </x:row>
    <x:row r="520" spans="1:35" ht="15" customHeight="1">
      <x:c r="B520" s="3">
        <x:f>_xlfn.IFNA(VLOOKUP(C520,Master!$J:$K,2,0),"")</x:f>
      </x:c>
      <x:c r="F520" s="4">
        <x:f>_xlfn.IFNA(VLOOKUP(G520,Master!B:C,2,0),"")</x:f>
      </x:c>
      <x:c r="AC520" s="26">
        <x:f>SUM(K520:P520)</x:f>
      </x:c>
      <x:c r="AD520" s="26">
        <x:f>SUM(Q520:AB520)</x:f>
      </x:c>
    </x:row>
    <x:row r="521" spans="1:35" ht="15" customHeight="1">
      <x:c r="B521" s="3">
        <x:f>_xlfn.IFNA(VLOOKUP(C521,Master!$J:$K,2,0),"")</x:f>
      </x:c>
      <x:c r="F521" s="4">
        <x:f>_xlfn.IFNA(VLOOKUP(G521,Master!B:C,2,0),"")</x:f>
      </x:c>
      <x:c r="AC521" s="26">
        <x:f>SUM(K521:P521)</x:f>
      </x:c>
      <x:c r="AD521" s="26">
        <x:f>SUM(Q521:AB521)</x:f>
      </x:c>
    </x:row>
    <x:row r="522" spans="1:35" ht="15" customHeight="1">
      <x:c r="B522" s="3">
        <x:f>_xlfn.IFNA(VLOOKUP(C522,Master!$J:$K,2,0),"")</x:f>
      </x:c>
      <x:c r="F522" s="4">
        <x:f>_xlfn.IFNA(VLOOKUP(G522,Master!B:C,2,0),"")</x:f>
      </x:c>
      <x:c r="AC522" s="26">
        <x:f>SUM(K522:P522)</x:f>
      </x:c>
      <x:c r="AD522" s="26">
        <x:f>SUM(Q522:AB522)</x:f>
      </x:c>
    </x:row>
    <x:row r="523" spans="1:35" ht="15" customHeight="1">
      <x:c r="B523" s="3">
        <x:f>_xlfn.IFNA(VLOOKUP(C523,Master!$J:$K,2,0),"")</x:f>
      </x:c>
      <x:c r="F523" s="4">
        <x:f>_xlfn.IFNA(VLOOKUP(G523,Master!B:C,2,0),"")</x:f>
      </x:c>
      <x:c r="AC523" s="26">
        <x:f>SUM(K523:P523)</x:f>
      </x:c>
      <x:c r="AD523" s="26">
        <x:f>SUM(Q523:AB523)</x:f>
      </x:c>
    </x:row>
    <x:row r="524" spans="1:35" ht="15" customHeight="1">
      <x:c r="B524" s="3">
        <x:f>_xlfn.IFNA(VLOOKUP(C524,Master!$J:$K,2,0),"")</x:f>
      </x:c>
      <x:c r="F524" s="4">
        <x:f>_xlfn.IFNA(VLOOKUP(G524,Master!B:C,2,0),"")</x:f>
      </x:c>
    </x:row>
    <x:row r="525" spans="1:35" ht="15" customHeight="1">
      <x:c r="B525" s="3">
        <x:f>_xlfn.IFNA(VLOOKUP(C525,Master!$J:$K,2,0),"")</x:f>
      </x:c>
    </x:row>
    <x:row r="526" spans="1:35" ht="15" customHeight="1">
      <x:c r="B526" s="3">
        <x:f>_xlfn.IFNA(VLOOKUP(C526,Master!$J:$K,2,0),"")</x:f>
      </x:c>
    </x:row>
    <x:row r="527" spans="1:35" ht="15" customHeight="1">
      <x:c r="B527" s="3">
        <x:f>_xlfn.IFNA(VLOOKUP(C527,Master!$J:$K,2,0),"")</x:f>
      </x:c>
    </x:row>
  </x:sheetData>
  <x:sheetProtection algorithmName="SHA-512" hashValue="LIxgODuAN6nP3JbuWRsj8SSYZOerQU7ER3rfWCa8DEl2YdHa+DhZitx1jaxVc/+92vmhCne7rzkoc5wIAKLeqg==" saltValue="kcOjSk7fHZLEdju+uSN7Rg==" spinCount="100000" sheet="1" objects="1"/>
  <x:phoneticPr fontId="7" type="noConversion"/>
  <x:conditionalFormatting sqref="AC1:AD1 AC62:AD1048576">
    <x:cfRule type="cellIs" dxfId="0" priority="1" operator="equal">
      <x:formula>0</x:formula>
    </x:cfRule>
  </x:conditionalFormatting>
  <x:conditionalFormatting sqref="B1:B1 D1:D1 F1:F1 I1:J1 AC1:AD1 AH1:AH1 B62:B1048576 D62:D1048576 F62:F1048576 I62:J1048576 AC62:AD1048576 AH62:AH1048576">
    <x:cfRule type="containsBlanks" dxfId="0" priority="2">
      <x:formula>LEN(TRIM(B1))=0</x:formula>
    </x:cfRule>
  </x:conditionalFormatting>
  <x:conditionalFormatting sqref="A1:A1 C1:C1 E1:E1 G1:H1 AE1:AG1 A62:A1048576 C62:C1048576 E62:E1048576 G62:H1048576 AE62:AG1048576">
    <x:cfRule type="containsBlanks" dxfId="1" priority="3">
      <x:formula>LEN(TRIM(A1))=0</x:formula>
    </x:cfRule>
  </x:conditionalFormatting>
  <x:conditionalFormatting sqref="K1:AB1 K62:AB1048576">
    <x:cfRule type="expression" priority="4" operator="equal">
      <x:formula>#REF! &gt; 0</x:formula>
    </x:cfRule>
    <x:cfRule type="containsBlanks" dxfId="1" priority="5">
      <x:formula>LEN(TRIM(K1))=0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E2:E1048576 C2:C1048576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931B1AF-BB1F-4F7E-8E93-DEE4524AD7F1}" mc:Ignorable="x14ac xr xr2 xr3">
  <x:sheetPr>
    <x:outlinePr summaryBelow="1" summaryRight="1"/>
  </x:sheetPr>
  <x:dimension ref="A1"/>
  <x:sheetViews>
    <x:sheetView workbookViewId="0">
      <x:selection activeCell="C8" sqref="C8"/>
    </x:sheetView>
  </x:sheetViews>
  <x:sheetFormatPr defaultRowHeight="15"/>
  <x:sheetData>
    <x:row r="1" spans="1:3">
      <x:c r="A1" s="0" t="s">
        <x:v>202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F3CC09-F54F-4602-9602-D049D82F822B}" mc:Ignorable="x14ac xr xr2 xr3">
  <x:sheetPr>
    <x:outlinePr summaryBelow="1" summaryRight="1"/>
    <x:pageSetUpPr fitToPage="1"/>
  </x:sheetPr>
  <x:dimension ref="A1:U174"/>
  <x:sheetViews>
    <x:sheetView zoomScale="80" zoomScaleNormal="80" workbookViewId="0">
      <x:pane xSplit="2" ySplit="1" topLeftCell="C2" activePane="bottomRight" state="frozenSplit"/>
      <x:selection activeCell="B16" sqref="B16"/>
      <x:selection pane="bottomRight" activeCell="B16" sqref="B16"/>
    </x:sheetView>
  </x:sheetViews>
  <x:sheetFormatPr defaultColWidth="8.855469" defaultRowHeight="18" customHeight="1"/>
  <x:cols>
    <x:col min="1" max="1" width="10.710938" style="9" bestFit="1" customWidth="1"/>
    <x:col min="2" max="2" width="56.140625" style="8" bestFit="1" customWidth="1"/>
    <x:col min="3" max="3" width="10.710938" style="9" bestFit="1" customWidth="1"/>
    <x:col min="4" max="4" width="10.710938" style="9" hidden="1" customWidth="1"/>
    <x:col min="5" max="5" width="12.710938" style="10" bestFit="1" customWidth="1"/>
    <x:col min="6" max="6" width="12.285156" style="10" bestFit="1" customWidth="1"/>
    <x:col min="7" max="7" width="13.855469" style="10" bestFit="1" customWidth="1"/>
    <x:col min="8" max="8" width="50.710938" style="8" customWidth="1"/>
    <x:col min="9" max="9" width="0.855469" style="64" customWidth="1"/>
    <x:col min="10" max="10" width="28.710938" style="8" bestFit="1" customWidth="1"/>
    <x:col min="11" max="11" width="11.285156" style="9" bestFit="1" customWidth="1"/>
    <x:col min="12" max="12" width="15.855469" style="8" bestFit="1" customWidth="1"/>
    <x:col min="13" max="13" width="19.425781" style="8" bestFit="1" customWidth="1"/>
    <x:col min="14" max="14" width="28.710938" style="8" bestFit="1" customWidth="1"/>
    <x:col min="15" max="15" width="0.855469" style="64" customWidth="1"/>
    <x:col min="16" max="16" width="9.855469" style="8" bestFit="1" customWidth="1"/>
    <x:col min="17" max="17" width="19.710938" style="8" bestFit="1" customWidth="1"/>
    <x:col min="18" max="18" width="0.855469" style="64" customWidth="1"/>
    <x:col min="19" max="19" width="18.285156" style="19" bestFit="1" customWidth="1"/>
    <x:col min="20" max="20" width="19" style="20" bestFit="1" customWidth="1"/>
    <x:col min="21" max="21" width="72.710938" style="21" bestFit="1" customWidth="1"/>
    <x:col min="22" max="16384" width="8.855469" style="8" customWidth="1"/>
  </x:cols>
  <x:sheetData>
    <x:row r="1" spans="1:22" s="7" customFormat="1" ht="60" customHeight="1">
      <x:c r="A1" s="65" t="s">
        <x:v>203</x:v>
      </x:c>
      <x:c r="B1" s="65" t="s">
        <x:v>204</x:v>
      </x:c>
      <x:c r="C1" s="65" t="s">
        <x:v>203</x:v>
      </x:c>
      <x:c r="D1" s="65" t="s">
        <x:v>203</x:v>
      </x:c>
      <x:c r="E1" s="66" t="s">
        <x:v>205</x:v>
      </x:c>
      <x:c r="F1" s="66" t="s">
        <x:v>206</x:v>
      </x:c>
      <x:c r="G1" s="66" t="s">
        <x:v>207</x:v>
      </x:c>
      <x:c r="H1" s="65" t="s">
        <x:v>208</x:v>
      </x:c>
      <x:c r="I1" s="67" t="s"/>
      <x:c r="J1" s="68" t="s">
        <x:v>209</x:v>
      </x:c>
      <x:c r="K1" s="68" t="s">
        <x:v>210</x:v>
      </x:c>
      <x:c r="L1" s="69" t="s">
        <x:v>9</x:v>
      </x:c>
      <x:c r="M1" s="69" t="s">
        <x:v>8</x:v>
      </x:c>
      <x:c r="N1" s="68" t="s">
        <x:v>211</x:v>
      </x:c>
      <x:c r="O1" s="70" t="s"/>
      <x:c r="P1" s="71" t="s">
        <x:v>212</x:v>
      </x:c>
      <x:c r="Q1" s="71" t="s">
        <x:v>213</x:v>
      </x:c>
      <x:c r="R1" s="70" t="s"/>
      <x:c r="S1" s="72" t="s">
        <x:v>214</x:v>
      </x:c>
      <x:c r="T1" s="72" t="s">
        <x:v>215</x:v>
      </x:c>
      <x:c r="U1" s="73" t="s">
        <x:v>208</x:v>
      </x:c>
    </x:row>
    <x:row r="2" spans="1:22" ht="18" customHeight="1">
      <x:c r="A2" s="9" t="n">
        <x:v>7511101</x:v>
      </x:c>
      <x:c r="B2" s="8" t="s">
        <x:v>216</x:v>
      </x:c>
      <x:c r="C2" s="9" t="n">
        <x:v>7511101</x:v>
      </x:c>
      <x:c r="D2" s="9" t="n">
        <x:v>7511101</x:v>
      </x:c>
      <x:c r="E2" s="10" t="s">
        <x:v>41</x:v>
      </x:c>
      <x:c r="F2" s="11" t="s">
        <x:v>217</x:v>
      </x:c>
      <x:c r="G2" s="10" t="s">
        <x:v>218</x:v>
      </x:c>
      <x:c r="H2" s="8" t="s">
        <x:v>216</x:v>
      </x:c>
      <x:c r="J2" s="12" t="s">
        <x:v>123</x:v>
      </x:c>
      <x:c r="K2" s="13" t="s">
        <x:v>122</x:v>
      </x:c>
      <x:c r="L2" s="14" t="s">
        <x:v>41</x:v>
      </x:c>
      <x:c r="M2" s="15" t="s">
        <x:v>40</x:v>
      </x:c>
      <x:c r="N2" s="15" t="s">
        <x:v>123</x:v>
      </x:c>
      <x:c r="P2" s="15" t="n">
        <x:v>53450</x:v>
      </x:c>
      <x:c r="Q2" s="15" t="s">
        <x:v>219</x:v>
      </x:c>
      <x:c r="S2" s="16" t="s">
        <x:v>42</x:v>
      </x:c>
      <x:c r="T2" s="17" t="s">
        <x:v>220</x:v>
      </x:c>
      <x:c r="U2" s="18" t="s">
        <x:v>221</x:v>
      </x:c>
    </x:row>
    <x:row r="3" spans="1:22" ht="18" customHeight="1">
      <x:c r="A3" s="9" t="n">
        <x:v>7511102</x:v>
      </x:c>
      <x:c r="B3" s="8" t="s">
        <x:v>222</x:v>
      </x:c>
      <x:c r="C3" s="9" t="n">
        <x:v>7511102</x:v>
      </x:c>
      <x:c r="D3" s="9" t="n">
        <x:v>7511102</x:v>
      </x:c>
      <x:c r="E3" s="10" t="s">
        <x:v>41</x:v>
      </x:c>
      <x:c r="F3" s="11" t="s">
        <x:v>223</x:v>
      </x:c>
      <x:c r="G3" s="10" t="s">
        <x:v>218</x:v>
      </x:c>
      <x:c r="H3" s="8" t="s">
        <x:v>224</x:v>
      </x:c>
      <x:c r="J3" s="12" t="s">
        <x:v>225</x:v>
      </x:c>
      <x:c r="K3" s="13" t="s">
        <x:v>226</x:v>
      </x:c>
      <x:c r="L3" s="14" t="s">
        <x:v>41</x:v>
      </x:c>
      <x:c r="M3" s="15" t="s">
        <x:v>40</x:v>
      </x:c>
      <x:c r="N3" s="15" t="s">
        <x:v>225</x:v>
      </x:c>
      <x:c r="P3" s="15" t="s"/>
      <x:c r="Q3" s="15" t="s"/>
      <x:c r="S3" s="16" t="s">
        <x:v>154</x:v>
      </x:c>
      <x:c r="T3" s="17" t="s">
        <x:v>227</x:v>
      </x:c>
      <x:c r="U3" s="18" t="s">
        <x:v>228</x:v>
      </x:c>
    </x:row>
    <x:row r="4" spans="1:22" ht="18" customHeight="1">
      <x:c r="A4" s="9" t="n">
        <x:v>7511103</x:v>
      </x:c>
      <x:c r="B4" s="8" t="s">
        <x:v>229</x:v>
      </x:c>
      <x:c r="C4" s="9" t="n">
        <x:v>7511103</x:v>
      </x:c>
      <x:c r="D4" s="9" t="n">
        <x:v>7511103</x:v>
      </x:c>
      <x:c r="E4" s="10" t="s">
        <x:v>41</x:v>
      </x:c>
      <x:c r="F4" s="11" t="s">
        <x:v>230</x:v>
      </x:c>
      <x:c r="G4" s="10" t="s">
        <x:v>231</x:v>
      </x:c>
      <x:c r="H4" s="8" t="s">
        <x:v>232</x:v>
      </x:c>
      <x:c r="J4" s="12" t="s">
        <x:v>233</x:v>
      </x:c>
      <x:c r="K4" s="13" t="s">
        <x:v>234</x:v>
      </x:c>
      <x:c r="L4" s="14" t="s">
        <x:v>41</x:v>
      </x:c>
      <x:c r="M4" s="15" t="s">
        <x:v>40</x:v>
      </x:c>
      <x:c r="N4" s="15" t="s">
        <x:v>233</x:v>
      </x:c>
      <x:c r="P4" s="15" t="s"/>
      <x:c r="Q4" s="15" t="s"/>
      <x:c r="S4" s="16" t="s">
        <x:v>147</x:v>
      </x:c>
      <x:c r="T4" s="17" t="s">
        <x:v>235</x:v>
      </x:c>
      <x:c r="U4" s="18" t="s">
        <x:v>236</x:v>
      </x:c>
    </x:row>
    <x:row r="5" spans="1:22" ht="18" customHeight="1">
      <x:c r="A5" s="9" t="n">
        <x:v>7511111</x:v>
      </x:c>
      <x:c r="B5" s="8" t="s">
        <x:v>237</x:v>
      </x:c>
      <x:c r="C5" s="9" t="n">
        <x:v>7511111</x:v>
      </x:c>
      <x:c r="D5" s="9" t="n">
        <x:v>7511111</x:v>
      </x:c>
      <x:c r="E5" s="10" t="s">
        <x:v>41</x:v>
      </x:c>
      <x:c r="F5" s="11" t="s">
        <x:v>238</x:v>
      </x:c>
      <x:c r="G5" s="10" t="s">
        <x:v>231</x:v>
      </x:c>
      <x:c r="H5" s="8" t="s">
        <x:v>239</x:v>
      </x:c>
      <x:c r="J5" s="12" t="s">
        <x:v>129</x:v>
      </x:c>
      <x:c r="K5" s="13" t="s">
        <x:v>128</x:v>
      </x:c>
      <x:c r="L5" s="14" t="s">
        <x:v>41</x:v>
      </x:c>
      <x:c r="M5" s="15" t="s">
        <x:v>40</x:v>
      </x:c>
      <x:c r="N5" s="15" t="s">
        <x:v>129</x:v>
      </x:c>
    </x:row>
    <x:row r="6" spans="1:22" ht="18" customHeight="1">
      <x:c r="A6" s="9" t="n">
        <x:v>7511112</x:v>
      </x:c>
      <x:c r="B6" s="8" t="s">
        <x:v>240</x:v>
      </x:c>
      <x:c r="C6" s="9" t="n">
        <x:v>7511112</x:v>
      </x:c>
      <x:c r="D6" s="9" t="n">
        <x:v>7511112</x:v>
      </x:c>
      <x:c r="E6" s="10" t="s">
        <x:v>41</x:v>
      </x:c>
      <x:c r="F6" s="11" t="s">
        <x:v>241</x:v>
      </x:c>
      <x:c r="G6" s="10" t="s">
        <x:v>231</x:v>
      </x:c>
      <x:c r="H6" s="8" t="s">
        <x:v>242</x:v>
      </x:c>
      <x:c r="J6" s="12" t="s">
        <x:v>126</x:v>
      </x:c>
      <x:c r="K6" s="13" t="s">
        <x:v>125</x:v>
      </x:c>
      <x:c r="L6" s="14" t="s">
        <x:v>41</x:v>
      </x:c>
      <x:c r="M6" s="15" t="s">
        <x:v>40</x:v>
      </x:c>
      <x:c r="N6" s="15" t="s">
        <x:v>126</x:v>
      </x:c>
      <x:c r="P6" s="8" t="s">
        <x:v>34</x:v>
      </x:c>
    </x:row>
    <x:row r="7" spans="1:22" ht="18" customHeight="1">
      <x:c r="A7" s="9" t="n">
        <x:v>7511121</x:v>
      </x:c>
      <x:c r="B7" s="8" t="s">
        <x:v>243</x:v>
      </x:c>
      <x:c r="C7" s="9" t="n">
        <x:v>7511121</x:v>
      </x:c>
      <x:c r="D7" s="9" t="n">
        <x:v>7511121</x:v>
      </x:c>
      <x:c r="E7" s="10" t="s">
        <x:v>41</x:v>
      </x:c>
      <x:c r="F7" s="11" t="s">
        <x:v>244</x:v>
      </x:c>
      <x:c r="G7" s="10" t="s">
        <x:v>231</x:v>
      </x:c>
      <x:c r="H7" s="8" t="s">
        <x:v>245</x:v>
      </x:c>
      <x:c r="J7" s="12" t="s">
        <x:v>93</x:v>
      </x:c>
      <x:c r="K7" s="13" t="s">
        <x:v>92</x:v>
      </x:c>
      <x:c r="L7" s="14" t="s">
        <x:v>41</x:v>
      </x:c>
      <x:c r="M7" s="15" t="s">
        <x:v>40</x:v>
      </x:c>
      <x:c r="N7" s="15" t="s">
        <x:v>93</x:v>
      </x:c>
      <x:c r="P7" s="8" t="s">
        <x:v>246</x:v>
      </x:c>
    </x:row>
    <x:row r="8" spans="1:22" ht="18" customHeight="1">
      <x:c r="A8" s="9" t="n">
        <x:v>7511122</x:v>
      </x:c>
      <x:c r="B8" s="8" t="s">
        <x:v>247</x:v>
      </x:c>
      <x:c r="C8" s="9" t="n">
        <x:v>7511122</x:v>
      </x:c>
      <x:c r="D8" s="9" t="n">
        <x:v>7511122</x:v>
      </x:c>
      <x:c r="E8" s="10" t="s">
        <x:v>41</x:v>
      </x:c>
      <x:c r="F8" s="11" t="s">
        <x:v>248</x:v>
      </x:c>
      <x:c r="G8" s="10" t="s">
        <x:v>231</x:v>
      </x:c>
      <x:c r="H8" s="8" t="s">
        <x:v>249</x:v>
      </x:c>
      <x:c r="J8" s="12" t="s">
        <x:v>132</x:v>
      </x:c>
      <x:c r="K8" s="13" t="s">
        <x:v>131</x:v>
      </x:c>
      <x:c r="L8" s="14" t="s">
        <x:v>41</x:v>
      </x:c>
      <x:c r="M8" s="15" t="s">
        <x:v>40</x:v>
      </x:c>
      <x:c r="N8" s="15" t="s">
        <x:v>132</x:v>
      </x:c>
    </x:row>
    <x:row r="9" spans="1:22" ht="18" customHeight="1">
      <x:c r="A9" s="9" t="n">
        <x:v>7511201</x:v>
      </x:c>
      <x:c r="B9" s="8" t="s">
        <x:v>250</x:v>
      </x:c>
      <x:c r="C9" s="9" t="n">
        <x:v>7511201</x:v>
      </x:c>
      <x:c r="D9" s="9" t="n">
        <x:v>7511201</x:v>
      </x:c>
      <x:c r="E9" s="10" t="s">
        <x:v>41</x:v>
      </x:c>
      <x:c r="F9" s="11" t="s">
        <x:v>251</x:v>
      </x:c>
      <x:c r="G9" s="10" t="s">
        <x:v>252</x:v>
      </x:c>
      <x:c r="H9" s="8" t="s">
        <x:v>253</x:v>
      </x:c>
      <x:c r="J9" s="12" t="s">
        <x:v>36</x:v>
      </x:c>
      <x:c r="K9" s="13" t="s">
        <x:v>35</x:v>
      </x:c>
      <x:c r="L9" s="14" t="s">
        <x:v>41</x:v>
      </x:c>
      <x:c r="M9" s="15" t="s">
        <x:v>40</x:v>
      </x:c>
      <x:c r="N9" s="15" t="s">
        <x:v>36</x:v>
      </x:c>
    </x:row>
    <x:row r="10" spans="1:22" ht="18" customHeight="1">
      <x:c r="A10" s="9" t="n">
        <x:v>7512111</x:v>
      </x:c>
      <x:c r="B10" s="8" t="s">
        <x:v>254</x:v>
      </x:c>
      <x:c r="C10" s="9" t="n">
        <x:v>7512111</x:v>
      </x:c>
      <x:c r="D10" s="9" t="n">
        <x:v>7512111</x:v>
      </x:c>
      <x:c r="E10" s="10" t="s">
        <x:v>41</x:v>
      </x:c>
      <x:c r="F10" s="11" t="s">
        <x:v>255</x:v>
      </x:c>
      <x:c r="G10" s="10" t="s">
        <x:v>256</x:v>
      </x:c>
      <x:c r="H10" s="8" t="s">
        <x:v>257</x:v>
      </x:c>
      <x:c r="J10" s="12" t="s">
        <x:v>71</x:v>
      </x:c>
      <x:c r="K10" s="13" t="s">
        <x:v>70</x:v>
      </x:c>
      <x:c r="L10" s="14" t="s">
        <x:v>41</x:v>
      </x:c>
      <x:c r="M10" s="15" t="s">
        <x:v>40</x:v>
      </x:c>
      <x:c r="N10" s="15" t="s">
        <x:v>71</x:v>
      </x:c>
    </x:row>
    <x:row r="11" spans="1:22" ht="18" customHeight="1">
      <x:c r="A11" s="9" t="n">
        <x:v>7512112</x:v>
      </x:c>
      <x:c r="B11" s="8" t="s">
        <x:v>258</x:v>
      </x:c>
      <x:c r="C11" s="9" t="n">
        <x:v>7512112</x:v>
      </x:c>
      <x:c r="D11" s="9" t="n">
        <x:v>7512112</x:v>
      </x:c>
      <x:c r="E11" s="10" t="s">
        <x:v>41</x:v>
      </x:c>
      <x:c r="F11" s="11" t="s">
        <x:v>259</x:v>
      </x:c>
      <x:c r="G11" s="10" t="s">
        <x:v>256</x:v>
      </x:c>
      <x:c r="H11" s="8" t="s">
        <x:v>260</x:v>
      </x:c>
      <x:c r="J11" s="12" t="s">
        <x:v>144</x:v>
      </x:c>
      <x:c r="K11" s="13" t="s">
        <x:v>143</x:v>
      </x:c>
      <x:c r="L11" s="14" t="s">
        <x:v>41</x:v>
      </x:c>
      <x:c r="M11" s="15" t="s">
        <x:v>40</x:v>
      </x:c>
      <x:c r="N11" s="15" t="s">
        <x:v>144</x:v>
      </x:c>
    </x:row>
    <x:row r="12" spans="1:22" ht="18" customHeight="1">
      <x:c r="A12" s="9" t="n">
        <x:v>7514101</x:v>
      </x:c>
      <x:c r="B12" s="8" t="s">
        <x:v>261</x:v>
      </x:c>
      <x:c r="C12" s="9" t="n">
        <x:v>7514101</x:v>
      </x:c>
      <x:c r="D12" s="9" t="n">
        <x:v>7514101</x:v>
      </x:c>
      <x:c r="E12" s="10" t="s">
        <x:v>41</x:v>
      </x:c>
      <x:c r="F12" s="11" t="s">
        <x:v>262</x:v>
      </x:c>
      <x:c r="G12" s="10" t="s">
        <x:v>231</x:v>
      </x:c>
      <x:c r="H12" s="8" t="s">
        <x:v>263</x:v>
      </x:c>
      <x:c r="J12" s="12" t="s">
        <x:v>77</x:v>
      </x:c>
      <x:c r="K12" s="13" t="s">
        <x:v>76</x:v>
      </x:c>
      <x:c r="L12" s="14" t="s">
        <x:v>41</x:v>
      </x:c>
      <x:c r="M12" s="15" t="s">
        <x:v>40</x:v>
      </x:c>
      <x:c r="N12" s="15" t="s">
        <x:v>77</x:v>
      </x:c>
    </x:row>
    <x:row r="13" spans="1:22" ht="18" customHeight="1">
      <x:c r="A13" s="9" t="n">
        <x:v>7514102</x:v>
      </x:c>
      <x:c r="B13" s="8" t="s">
        <x:v>264</x:v>
      </x:c>
      <x:c r="C13" s="9" t="n">
        <x:v>7514102</x:v>
      </x:c>
      <x:c r="D13" s="9" t="n">
        <x:v>7514102</x:v>
      </x:c>
      <x:c r="E13" s="10" t="s">
        <x:v>41</x:v>
      </x:c>
      <x:c r="F13" s="11" t="s">
        <x:v>265</x:v>
      </x:c>
      <x:c r="G13" s="10" t="s">
        <x:v>231</x:v>
      </x:c>
      <x:c r="H13" s="8" t="s">
        <x:v>266</x:v>
      </x:c>
      <x:c r="J13" s="12" t="s">
        <x:v>74</x:v>
      </x:c>
      <x:c r="K13" s="13" t="s">
        <x:v>73</x:v>
      </x:c>
      <x:c r="L13" s="14" t="s">
        <x:v>41</x:v>
      </x:c>
      <x:c r="M13" s="15" t="s">
        <x:v>40</x:v>
      </x:c>
      <x:c r="N13" s="15" t="s">
        <x:v>74</x:v>
      </x:c>
    </x:row>
    <x:row r="14" spans="1:22" ht="18" customHeight="1">
      <x:c r="A14" s="9" t="n">
        <x:v>7515401</x:v>
      </x:c>
      <x:c r="B14" s="8" t="s">
        <x:v>38</x:v>
      </x:c>
      <x:c r="C14" s="9" t="n">
        <x:v>7515401</x:v>
      </x:c>
      <x:c r="D14" s="9" t="n">
        <x:v>7515401</x:v>
      </x:c>
      <x:c r="E14" s="10" t="s">
        <x:v>41</x:v>
      </x:c>
      <x:c r="F14" s="11" t="s">
        <x:v>267</x:v>
      </x:c>
      <x:c r="G14" s="10" t="s">
        <x:v>256</x:v>
      </x:c>
      <x:c r="H14" s="8" t="s">
        <x:v>268</x:v>
      </x:c>
      <x:c r="J14" s="12" t="s">
        <x:v>80</x:v>
      </x:c>
      <x:c r="K14" s="13" t="s">
        <x:v>79</x:v>
      </x:c>
      <x:c r="L14" s="14" t="s">
        <x:v>41</x:v>
      </x:c>
      <x:c r="M14" s="15" t="s">
        <x:v>40</x:v>
      </x:c>
      <x:c r="N14" s="15" t="s">
        <x:v>80</x:v>
      </x:c>
    </x:row>
    <x:row r="15" spans="1:22" ht="18" customHeight="1">
      <x:c r="A15" s="9" t="n">
        <x:v>7515402</x:v>
      </x:c>
      <x:c r="B15" s="8" t="s">
        <x:v>45</x:v>
      </x:c>
      <x:c r="C15" s="9" t="n">
        <x:v>7515402</x:v>
      </x:c>
      <x:c r="D15" s="9" t="n">
        <x:v>7515402</x:v>
      </x:c>
      <x:c r="E15" s="10" t="s">
        <x:v>41</x:v>
      </x:c>
      <x:c r="F15" s="11" t="s">
        <x:v>269</x:v>
      </x:c>
      <x:c r="G15" s="10" t="s">
        <x:v>256</x:v>
      </x:c>
      <x:c r="H15" s="8" t="s">
        <x:v>270</x:v>
      </x:c>
      <x:c r="J15" s="12" t="s">
        <x:v>271</x:v>
      </x:c>
      <x:c r="K15" s="13" t="s">
        <x:v>272</x:v>
      </x:c>
      <x:c r="L15" s="14" t="s">
        <x:v>41</x:v>
      </x:c>
      <x:c r="M15" s="15" t="s">
        <x:v>40</x:v>
      </x:c>
      <x:c r="N15" s="15" t="s">
        <x:v>271</x:v>
      </x:c>
    </x:row>
    <x:row r="16" spans="1:22" s="0" customFormat="1" ht="18" customHeight="1">
      <x:c r="A16" s="9" t="n">
        <x:v>7515403</x:v>
      </x:c>
      <x:c r="B16" s="8" t="s">
        <x:v>273</x:v>
      </x:c>
      <x:c r="C16" s="9" t="n">
        <x:v>7515403</x:v>
      </x:c>
      <x:c r="D16" s="9" t="n">
        <x:v>7515403</x:v>
      </x:c>
      <x:c r="E16" s="10" t="s">
        <x:v>41</x:v>
      </x:c>
      <x:c r="F16" s="11" t="s">
        <x:v>274</x:v>
      </x:c>
      <x:c r="G16" s="10" t="s">
        <x:v>256</x:v>
      </x:c>
      <x:c r="H16" s="8" t="s">
        <x:v>275</x:v>
      </x:c>
      <x:c r="I16" s="74" t="s"/>
      <x:c r="J16" s="12" t="s">
        <x:v>276</x:v>
      </x:c>
      <x:c r="K16" s="13" t="s">
        <x:v>277</x:v>
      </x:c>
      <x:c r="L16" s="15" t="s">
        <x:v>58</x:v>
      </x:c>
      <x:c r="M16" s="15" t="s">
        <x:v>62</x:v>
      </x:c>
      <x:c r="N16" s="15" t="s">
        <x:v>276</x:v>
      </x:c>
      <x:c r="O16" s="74" t="s"/>
      <x:c r="P16" s="0" t="s"/>
      <x:c r="Q16" s="0" t="s"/>
      <x:c r="R16" s="74" t="s"/>
      <x:c r="S16" s="0" t="s"/>
      <x:c r="T16" s="0" t="s"/>
      <x:c r="U16" s="0" t="s"/>
      <x:c r="V16" s="0" t="s"/>
    </x:row>
    <x:row r="17" spans="1:22" ht="18" customHeight="1">
      <x:c r="A17" s="9" t="n">
        <x:v>7515404</x:v>
      </x:c>
      <x:c r="B17" s="8" t="s">
        <x:v>49</x:v>
      </x:c>
      <x:c r="C17" s="9" t="n">
        <x:v>7515404</x:v>
      </x:c>
      <x:c r="D17" s="9" t="n">
        <x:v>7515404</x:v>
      </x:c>
      <x:c r="E17" s="10" t="s">
        <x:v>41</x:v>
      </x:c>
      <x:c r="F17" s="11" t="s">
        <x:v>278</x:v>
      </x:c>
      <x:c r="G17" s="10" t="s">
        <x:v>256</x:v>
      </x:c>
      <x:c r="H17" s="8" t="s">
        <x:v>279</x:v>
      </x:c>
      <x:c r="I17" s="74" t="s"/>
      <x:c r="J17" s="12" t="s">
        <x:v>99</x:v>
      </x:c>
      <x:c r="K17" s="13" t="s">
        <x:v>98</x:v>
      </x:c>
      <x:c r="L17" s="15" t="s">
        <x:v>58</x:v>
      </x:c>
      <x:c r="M17" s="15" t="s">
        <x:v>62</x:v>
      </x:c>
      <x:c r="N17" s="15" t="s">
        <x:v>99</x:v>
      </x:c>
      <x:c r="O17" s="74" t="s"/>
      <x:c r="R17" s="74" t="s"/>
    </x:row>
    <x:row r="18" spans="1:22" ht="18" customHeight="1">
      <x:c r="A18" s="9" t="n">
        <x:v>7515405</x:v>
      </x:c>
      <x:c r="B18" s="8" t="s">
        <x:v>280</x:v>
      </x:c>
      <x:c r="C18" s="9" t="n">
        <x:v>7515405</x:v>
      </x:c>
      <x:c r="D18" s="9" t="n">
        <x:v>7515405</x:v>
      </x:c>
      <x:c r="E18" s="10" t="s">
        <x:v>41</x:v>
      </x:c>
      <x:c r="F18" s="11" t="s">
        <x:v>281</x:v>
      </x:c>
      <x:c r="G18" s="10" t="s">
        <x:v>256</x:v>
      </x:c>
      <x:c r="H18" s="8" t="s">
        <x:v>282</x:v>
      </x:c>
      <x:c r="J18" s="12" t="s">
        <x:v>283</x:v>
      </x:c>
      <x:c r="K18" s="13" t="s">
        <x:v>284</x:v>
      </x:c>
      <x:c r="L18" s="15" t="s">
        <x:v>58</x:v>
      </x:c>
      <x:c r="M18" s="15" t="s">
        <x:v>62</x:v>
      </x:c>
      <x:c r="N18" s="15" t="s">
        <x:v>283</x:v>
      </x:c>
    </x:row>
    <x:row r="19" spans="1:22" ht="18" customHeight="1">
      <x:c r="A19" s="9" t="n">
        <x:v>7515406</x:v>
      </x:c>
      <x:c r="B19" s="8" t="s">
        <x:v>285</x:v>
      </x:c>
      <x:c r="C19" s="9" t="n">
        <x:v>7515406</x:v>
      </x:c>
      <x:c r="D19" s="9" t="n">
        <x:v>7515406</x:v>
      </x:c>
      <x:c r="E19" s="10" t="s">
        <x:v>41</x:v>
      </x:c>
      <x:c r="F19" s="11" t="s">
        <x:v>286</x:v>
      </x:c>
      <x:c r="G19" s="10" t="s">
        <x:v>256</x:v>
      </x:c>
      <x:c r="H19" s="8" t="s">
        <x:v>287</x:v>
      </x:c>
      <x:c r="J19" s="12" t="s">
        <x:v>61</x:v>
      </x:c>
      <x:c r="K19" s="13" t="s">
        <x:v>60</x:v>
      </x:c>
      <x:c r="L19" s="15" t="s">
        <x:v>58</x:v>
      </x:c>
      <x:c r="M19" s="15" t="s">
        <x:v>62</x:v>
      </x:c>
      <x:c r="N19" s="15" t="s">
        <x:v>61</x:v>
      </x:c>
    </x:row>
    <x:row r="20" spans="1:22" ht="18" customHeight="1">
      <x:c r="A20" s="9" t="n">
        <x:v>7515407</x:v>
      </x:c>
      <x:c r="B20" s="8" t="s">
        <x:v>288</x:v>
      </x:c>
      <x:c r="C20" s="9" t="n">
        <x:v>7515407</x:v>
      </x:c>
      <x:c r="D20" s="9" t="n">
        <x:v>7515407</x:v>
      </x:c>
      <x:c r="E20" s="10" t="s">
        <x:v>41</x:v>
      </x:c>
      <x:c r="F20" s="11" t="s">
        <x:v>289</x:v>
      </x:c>
      <x:c r="G20" s="10" t="s">
        <x:v>256</x:v>
      </x:c>
      <x:c r="J20" s="12" t="s">
        <x:v>290</x:v>
      </x:c>
      <x:c r="K20" s="13" t="s">
        <x:v>291</x:v>
      </x:c>
      <x:c r="L20" s="15" t="s">
        <x:v>58</x:v>
      </x:c>
      <x:c r="M20" s="15" t="s">
        <x:v>62</x:v>
      </x:c>
      <x:c r="N20" s="15" t="s">
        <x:v>290</x:v>
      </x:c>
    </x:row>
    <x:row r="21" spans="1:22" ht="18" customHeight="1">
      <x:c r="A21" s="9" t="n">
        <x:v>7515408</x:v>
      </x:c>
      <x:c r="B21" s="8" t="s">
        <x:v>292</x:v>
      </x:c>
      <x:c r="C21" s="9" t="n">
        <x:v>7515408</x:v>
      </x:c>
      <x:c r="D21" s="9" t="n">
        <x:v>7515408</x:v>
      </x:c>
      <x:c r="E21" s="10" t="s">
        <x:v>41</x:v>
      </x:c>
      <x:c r="F21" s="11" t="s">
        <x:v>293</x:v>
      </x:c>
      <x:c r="G21" s="10" t="s">
        <x:v>256</x:v>
      </x:c>
      <x:c r="H21" s="8" t="s">
        <x:v>294</x:v>
      </x:c>
      <x:c r="J21" s="12" t="s">
        <x:v>108</x:v>
      </x:c>
      <x:c r="K21" s="13" t="s">
        <x:v>107</x:v>
      </x:c>
      <x:c r="L21" s="15" t="s">
        <x:v>58</x:v>
      </x:c>
      <x:c r="M21" s="15" t="s">
        <x:v>62</x:v>
      </x:c>
      <x:c r="N21" s="15" t="s">
        <x:v>108</x:v>
      </x:c>
    </x:row>
    <x:row r="22" spans="1:22" ht="18" customHeight="1">
      <x:c r="A22" s="9" t="n">
        <x:v>7515409</x:v>
      </x:c>
      <x:c r="B22" s="8" t="s">
        <x:v>295</x:v>
      </x:c>
      <x:c r="C22" s="9" t="n">
        <x:v>7515409</x:v>
      </x:c>
      <x:c r="D22" s="9" t="n">
        <x:v>7515409</x:v>
      </x:c>
      <x:c r="E22" s="10" t="s">
        <x:v>41</x:v>
      </x:c>
      <x:c r="F22" s="11" t="s">
        <x:v>296</x:v>
      </x:c>
      <x:c r="G22" s="10" t="s">
        <x:v>256</x:v>
      </x:c>
      <x:c r="H22" s="8" t="s">
        <x:v>297</x:v>
      </x:c>
      <x:c r="J22" s="12" t="s">
        <x:v>117</x:v>
      </x:c>
      <x:c r="K22" s="13" t="s">
        <x:v>116</x:v>
      </x:c>
      <x:c r="L22" s="15" t="s">
        <x:v>58</x:v>
      </x:c>
      <x:c r="M22" s="15" t="s">
        <x:v>62</x:v>
      </x:c>
      <x:c r="N22" s="15" t="s">
        <x:v>117</x:v>
      </x:c>
    </x:row>
    <x:row r="23" spans="1:22" ht="18" customHeight="1">
      <x:c r="A23" s="9" t="n">
        <x:v>7515410</x:v>
      </x:c>
      <x:c r="B23" s="8" t="s">
        <x:v>298</x:v>
      </x:c>
      <x:c r="C23" s="9" t="n">
        <x:v>7515410</x:v>
      </x:c>
      <x:c r="D23" s="9" t="n">
        <x:v>7515410</x:v>
      </x:c>
      <x:c r="E23" s="10" t="s">
        <x:v>41</x:v>
      </x:c>
      <x:c r="F23" s="11" t="s">
        <x:v>299</x:v>
      </x:c>
      <x:c r="G23" s="10" t="s">
        <x:v>256</x:v>
      </x:c>
      <x:c r="H23" s="8" t="s">
        <x:v>300</x:v>
      </x:c>
      <x:c r="J23" s="12" t="s">
        <x:v>301</x:v>
      </x:c>
      <x:c r="K23" s="13" t="s">
        <x:v>302</x:v>
      </x:c>
      <x:c r="L23" s="15" t="s">
        <x:v>58</x:v>
      </x:c>
      <x:c r="M23" s="15" t="s">
        <x:v>62</x:v>
      </x:c>
      <x:c r="N23" s="15" t="s">
        <x:v>301</x:v>
      </x:c>
    </x:row>
    <x:row r="24" spans="1:22" ht="18" customHeight="1">
      <x:c r="A24" s="9" t="n">
        <x:v>7515499</x:v>
      </x:c>
      <x:c r="B24" s="8" t="s">
        <x:v>303</x:v>
      </x:c>
      <x:c r="C24" s="9" t="n">
        <x:v>7515499</x:v>
      </x:c>
      <x:c r="D24" s="9" t="n">
        <x:v>7515499</x:v>
      </x:c>
      <x:c r="E24" s="10" t="s">
        <x:v>41</x:v>
      </x:c>
      <x:c r="F24" s="11" t="s">
        <x:v>304</x:v>
      </x:c>
      <x:c r="G24" s="10" t="s">
        <x:v>256</x:v>
      </x:c>
      <x:c r="H24" s="8" t="s">
        <x:v>305</x:v>
      </x:c>
      <x:c r="J24" s="12" t="s">
        <x:v>306</x:v>
      </x:c>
      <x:c r="K24" s="13" t="s">
        <x:v>307</x:v>
      </x:c>
      <x:c r="L24" s="15" t="s">
        <x:v>58</x:v>
      </x:c>
      <x:c r="M24" s="15" t="s">
        <x:v>62</x:v>
      </x:c>
      <x:c r="N24" s="15" t="s">
        <x:v>306</x:v>
      </x:c>
    </x:row>
    <x:row r="25" spans="1:22" ht="18" customHeight="1">
      <x:c r="A25" s="9" t="n">
        <x:v>7516102</x:v>
      </x:c>
      <x:c r="B25" s="8" t="s">
        <x:v>308</x:v>
      </x:c>
      <x:c r="C25" s="9" t="n">
        <x:v>7516102</x:v>
      </x:c>
      <x:c r="D25" s="9" t="n">
        <x:v>7516102</x:v>
      </x:c>
      <x:c r="E25" s="10" t="s">
        <x:v>41</x:v>
      </x:c>
      <x:c r="F25" s="11" t="s">
        <x:v>309</x:v>
      </x:c>
      <x:c r="G25" s="10" t="s">
        <x:v>310</x:v>
      </x:c>
      <x:c r="H25" s="8" t="s">
        <x:v>311</x:v>
      </x:c>
      <x:c r="J25" s="12" t="s">
        <x:v>141</x:v>
      </x:c>
      <x:c r="K25" s="13" t="s">
        <x:v>140</x:v>
      </x:c>
      <x:c r="L25" s="15" t="s">
        <x:v>58</x:v>
      </x:c>
      <x:c r="M25" s="15" t="s">
        <x:v>62</x:v>
      </x:c>
      <x:c r="N25" s="15" t="s">
        <x:v>141</x:v>
      </x:c>
    </x:row>
    <x:row r="26" spans="1:22" ht="18" customHeight="1">
      <x:c r="A26" s="9" t="n">
        <x:v>7519101</x:v>
      </x:c>
      <x:c r="B26" s="8" t="s">
        <x:v>312</x:v>
      </x:c>
      <x:c r="C26" s="9" t="n">
        <x:v>7519101</x:v>
      </x:c>
      <x:c r="D26" s="9" t="n">
        <x:v>7519101</x:v>
      </x:c>
      <x:c r="E26" s="10" t="s">
        <x:v>41</x:v>
      </x:c>
      <x:c r="F26" s="11" t="s">
        <x:v>313</x:v>
      </x:c>
      <x:c r="G26" s="10" t="s">
        <x:v>218</x:v>
      </x:c>
      <x:c r="H26" s="8" t="s">
        <x:v>314</x:v>
      </x:c>
      <x:c r="J26" s="12" t="s">
        <x:v>111</x:v>
      </x:c>
      <x:c r="K26" s="13" t="s">
        <x:v>110</x:v>
      </x:c>
      <x:c r="L26" s="15" t="s">
        <x:v>58</x:v>
      </x:c>
      <x:c r="M26" s="15" t="s">
        <x:v>62</x:v>
      </x:c>
      <x:c r="N26" s="15" t="s">
        <x:v>111</x:v>
      </x:c>
    </x:row>
    <x:row r="27" spans="1:22" ht="18" customHeight="1">
      <x:c r="A27" s="9" t="n">
        <x:v>7521101</x:v>
      </x:c>
      <x:c r="B27" s="8" t="s">
        <x:v>315</x:v>
      </x:c>
      <x:c r="C27" s="9" t="n">
        <x:v>7521101</x:v>
      </x:c>
      <x:c r="D27" s="9" t="n">
        <x:v>7521101</x:v>
      </x:c>
      <x:c r="E27" s="10" t="s">
        <x:v>41</x:v>
      </x:c>
      <x:c r="F27" s="11" t="s">
        <x:v>316</x:v>
      </x:c>
      <x:c r="G27" s="10" t="s">
        <x:v>231</x:v>
      </x:c>
      <x:c r="H27" s="8" t="s">
        <x:v>317</x:v>
      </x:c>
      <x:c r="J27" s="12" t="s">
        <x:v>105</x:v>
      </x:c>
      <x:c r="K27" s="13" t="s">
        <x:v>104</x:v>
      </x:c>
      <x:c r="L27" s="15" t="s">
        <x:v>58</x:v>
      </x:c>
      <x:c r="M27" s="15" t="s">
        <x:v>62</x:v>
      </x:c>
      <x:c r="N27" s="15" t="s">
        <x:v>105</x:v>
      </x:c>
    </x:row>
    <x:row r="28" spans="1:22" ht="18" customHeight="1">
      <x:c r="A28" s="9" t="n">
        <x:v>7521102</x:v>
      </x:c>
      <x:c r="B28" s="8" t="s">
        <x:v>318</x:v>
      </x:c>
      <x:c r="C28" s="9" t="n">
        <x:v>7521102</x:v>
      </x:c>
      <x:c r="D28" s="9" t="n">
        <x:v>7521102</x:v>
      </x:c>
      <x:c r="E28" s="10" t="s">
        <x:v>41</x:v>
      </x:c>
      <x:c r="F28" s="11" t="s">
        <x:v>319</x:v>
      </x:c>
      <x:c r="G28" s="10" t="s">
        <x:v>252</x:v>
      </x:c>
      <x:c r="H28" s="8" t="s">
        <x:v>320</x:v>
      </x:c>
      <x:c r="J28" s="12" t="s">
        <x:v>321</x:v>
      </x:c>
      <x:c r="K28" s="13" t="s">
        <x:v>322</x:v>
      </x:c>
      <x:c r="L28" s="15" t="s">
        <x:v>58</x:v>
      </x:c>
      <x:c r="M28" s="15" t="s">
        <x:v>62</x:v>
      </x:c>
      <x:c r="N28" s="15" t="s">
        <x:v>321</x:v>
      </x:c>
    </x:row>
    <x:row r="29" spans="1:22" ht="18" customHeight="1">
      <x:c r="A29" s="9" t="n">
        <x:v>7571101</x:v>
      </x:c>
      <x:c r="B29" s="8" t="s">
        <x:v>323</x:v>
      </x:c>
      <x:c r="C29" s="9" t="n">
        <x:v>7571101</x:v>
      </x:c>
      <x:c r="D29" s="9" t="n">
        <x:v>7571101</x:v>
      </x:c>
      <x:c r="E29" s="10" t="s">
        <x:v>41</x:v>
      </x:c>
      <x:c r="F29" s="11" t="s">
        <x:v>324</x:v>
      </x:c>
      <x:c r="G29" s="10" t="s">
        <x:v>325</x:v>
      </x:c>
      <x:c r="H29" s="8" t="s">
        <x:v>326</x:v>
      </x:c>
      <x:c r="J29" s="12" t="s">
        <x:v>327</x:v>
      </x:c>
      <x:c r="K29" s="13" t="s">
        <x:v>328</x:v>
      </x:c>
      <x:c r="L29" s="15" t="s">
        <x:v>58</x:v>
      </x:c>
      <x:c r="M29" s="15" t="s">
        <x:v>62</x:v>
      </x:c>
      <x:c r="N29" s="15" t="s">
        <x:v>327</x:v>
      </x:c>
    </x:row>
    <x:row r="30" spans="1:22" ht="18" customHeight="1">
      <x:c r="A30" s="9" t="n">
        <x:v>7611100</x:v>
      </x:c>
      <x:c r="B30" s="8" t="s">
        <x:v>329</x:v>
      </x:c>
      <x:c r="C30" s="9" t="n">
        <x:v>7611100</x:v>
      </x:c>
      <x:c r="D30" s="9" t="n">
        <x:v>7611100</x:v>
      </x:c>
      <x:c r="E30" s="10" t="s">
        <x:v>41</x:v>
      </x:c>
      <x:c r="F30" s="11" t="s">
        <x:v>330</x:v>
      </x:c>
      <x:c r="G30" s="10" t="s">
        <x:v>331</x:v>
      </x:c>
      <x:c r="H30" s="8" t="s">
        <x:v>332</x:v>
      </x:c>
      <x:c r="J30" s="12" t="s">
        <x:v>102</x:v>
      </x:c>
      <x:c r="K30" s="13" t="s">
        <x:v>101</x:v>
      </x:c>
      <x:c r="L30" s="15" t="s">
        <x:v>58</x:v>
      </x:c>
      <x:c r="M30" s="15" t="s">
        <x:v>57</x:v>
      </x:c>
      <x:c r="N30" s="15" t="s">
        <x:v>102</x:v>
      </x:c>
    </x:row>
    <x:row r="31" spans="1:22" ht="18" customHeight="1">
      <x:c r="A31" s="9" t="n">
        <x:v>7611300</x:v>
      </x:c>
      <x:c r="B31" s="8" t="s">
        <x:v>333</x:v>
      </x:c>
      <x:c r="C31" s="9" t="n">
        <x:v>7611300</x:v>
      </x:c>
      <x:c r="D31" s="9" t="n">
        <x:v>7611300</x:v>
      </x:c>
      <x:c r="E31" s="10" t="s">
        <x:v>41</x:v>
      </x:c>
      <x:c r="F31" s="11" t="s">
        <x:v>334</x:v>
      </x:c>
      <x:c r="G31" s="10" t="s">
        <x:v>331</x:v>
      </x:c>
      <x:c r="H31" s="8" t="s">
        <x:v>335</x:v>
      </x:c>
      <x:c r="J31" s="12" t="s">
        <x:v>89</x:v>
      </x:c>
      <x:c r="K31" s="13" t="s">
        <x:v>88</x:v>
      </x:c>
      <x:c r="L31" s="15" t="s">
        <x:v>58</x:v>
      </x:c>
      <x:c r="M31" s="15" t="s">
        <x:v>57</x:v>
      </x:c>
      <x:c r="N31" s="15" t="s">
        <x:v>89</x:v>
      </x:c>
    </x:row>
    <x:row r="32" spans="1:22" ht="18" customHeight="1">
      <x:c r="A32" s="9" t="n">
        <x:v>7611400</x:v>
      </x:c>
      <x:c r="B32" s="8" t="s">
        <x:v>336</x:v>
      </x:c>
      <x:c r="C32" s="9" t="n">
        <x:v>7611400</x:v>
      </x:c>
      <x:c r="D32" s="9" t="n">
        <x:v>7611400</x:v>
      </x:c>
      <x:c r="E32" s="10" t="s">
        <x:v>41</x:v>
      </x:c>
      <x:c r="F32" s="11" t="s">
        <x:v>337</x:v>
      </x:c>
      <x:c r="G32" s="10" t="s">
        <x:v>331</x:v>
      </x:c>
      <x:c r="H32" s="8" t="s">
        <x:v>338</x:v>
      </x:c>
      <x:c r="J32" s="12" t="s">
        <x:v>135</x:v>
      </x:c>
      <x:c r="K32" s="13" t="s">
        <x:v>134</x:v>
      </x:c>
      <x:c r="L32" s="15" t="s">
        <x:v>58</x:v>
      </x:c>
      <x:c r="M32" s="15" t="s">
        <x:v>57</x:v>
      </x:c>
      <x:c r="N32" s="15" t="s">
        <x:v>135</x:v>
      </x:c>
    </x:row>
    <x:row r="33" spans="1:22" ht="18" customHeight="1">
      <x:c r="A33" s="9" t="n">
        <x:v>7611500</x:v>
      </x:c>
      <x:c r="B33" s="8" t="s">
        <x:v>339</x:v>
      </x:c>
      <x:c r="C33" s="9" t="n">
        <x:v>7611500</x:v>
      </x:c>
      <x:c r="D33" s="9" t="n">
        <x:v>7611500</x:v>
      </x:c>
      <x:c r="E33" s="10" t="s">
        <x:v>41</x:v>
      </x:c>
      <x:c r="F33" s="11" t="s">
        <x:v>340</x:v>
      </x:c>
      <x:c r="G33" s="10" t="s">
        <x:v>331</x:v>
      </x:c>
      <x:c r="H33" s="8" t="s">
        <x:v>341</x:v>
      </x:c>
      <x:c r="J33" s="12" t="s">
        <x:v>120</x:v>
      </x:c>
      <x:c r="K33" s="13" t="s">
        <x:v>119</x:v>
      </x:c>
      <x:c r="L33" s="15" t="s">
        <x:v>58</x:v>
      </x:c>
      <x:c r="M33" s="15" t="s">
        <x:v>57</x:v>
      </x:c>
      <x:c r="N33" s="15" t="s">
        <x:v>120</x:v>
      </x:c>
    </x:row>
    <x:row r="34" spans="1:22" ht="18" customHeight="1">
      <x:c r="A34" s="9" t="n">
        <x:v>7611600</x:v>
      </x:c>
      <x:c r="B34" s="8" t="s">
        <x:v>342</x:v>
      </x:c>
      <x:c r="C34" s="9" t="n">
        <x:v>7611600</x:v>
      </x:c>
      <x:c r="D34" s="9" t="n">
        <x:v>7611600</x:v>
      </x:c>
      <x:c r="E34" s="10" t="s">
        <x:v>41</x:v>
      </x:c>
      <x:c r="F34" s="11" t="s">
        <x:v>343</x:v>
      </x:c>
      <x:c r="G34" s="10" t="s">
        <x:v>331</x:v>
      </x:c>
      <x:c r="H34" s="8" t="s">
        <x:v>344</x:v>
      </x:c>
      <x:c r="J34" s="12" t="s">
        <x:v>53</x:v>
      </x:c>
      <x:c r="K34" s="13" t="s">
        <x:v>52</x:v>
      </x:c>
      <x:c r="L34" s="15" t="s">
        <x:v>58</x:v>
      </x:c>
      <x:c r="M34" s="15" t="s">
        <x:v>57</x:v>
      </x:c>
      <x:c r="N34" s="15" t="s">
        <x:v>53</x:v>
      </x:c>
    </x:row>
    <x:row r="35" spans="1:22" ht="18" customHeight="1">
      <x:c r="A35" s="9" t="n">
        <x:v>7611700</x:v>
      </x:c>
      <x:c r="B35" s="8" t="s">
        <x:v>345</x:v>
      </x:c>
      <x:c r="C35" s="9" t="n">
        <x:v>7611700</x:v>
      </x:c>
      <x:c r="D35" s="9" t="n">
        <x:v>7611700</x:v>
      </x:c>
      <x:c r="E35" s="10" t="s">
        <x:v>41</x:v>
      </x:c>
      <x:c r="F35" s="11" t="s">
        <x:v>346</x:v>
      </x:c>
      <x:c r="G35" s="10" t="s">
        <x:v>331</x:v>
      </x:c>
      <x:c r="H35" s="8" t="s">
        <x:v>347</x:v>
      </x:c>
      <x:c r="J35" s="12" t="s">
        <x:v>96</x:v>
      </x:c>
      <x:c r="K35" s="13" t="s">
        <x:v>95</x:v>
      </x:c>
      <x:c r="L35" s="15" t="s">
        <x:v>58</x:v>
      </x:c>
      <x:c r="M35" s="15" t="s">
        <x:v>57</x:v>
      </x:c>
      <x:c r="N35" s="15" t="s">
        <x:v>96</x:v>
      </x:c>
    </x:row>
    <x:row r="36" spans="1:22" ht="18" customHeight="1">
      <x:c r="A36" s="9" t="n">
        <x:v>7611800</x:v>
      </x:c>
      <x:c r="B36" s="8" t="s">
        <x:v>348</x:v>
      </x:c>
      <x:c r="C36" s="9" t="n">
        <x:v>7611800</x:v>
      </x:c>
      <x:c r="D36" s="9" t="n">
        <x:v>7611800</x:v>
      </x:c>
      <x:c r="E36" s="10" t="s">
        <x:v>41</x:v>
      </x:c>
      <x:c r="F36" s="11" t="s">
        <x:v>349</x:v>
      </x:c>
      <x:c r="G36" s="10" t="s">
        <x:v>331</x:v>
      </x:c>
      <x:c r="H36" s="8" t="s">
        <x:v>350</x:v>
      </x:c>
      <x:c r="J36" s="12" t="s">
        <x:v>68</x:v>
      </x:c>
      <x:c r="K36" s="13" t="s">
        <x:v>67</x:v>
      </x:c>
      <x:c r="L36" s="15" t="s">
        <x:v>58</x:v>
      </x:c>
      <x:c r="M36" s="15" t="s">
        <x:v>57</x:v>
      </x:c>
      <x:c r="N36" s="15" t="s">
        <x:v>68</x:v>
      </x:c>
    </x:row>
    <x:row r="37" spans="1:22" ht="18" customHeight="1">
      <x:c r="A37" s="9" t="n">
        <x:v>7621101</x:v>
      </x:c>
      <x:c r="B37" s="8" t="s">
        <x:v>351</x:v>
      </x:c>
      <x:c r="C37" s="9" t="n">
        <x:v>7621101</x:v>
      </x:c>
      <x:c r="D37" s="9" t="n">
        <x:v>7621101</x:v>
      </x:c>
      <x:c r="E37" s="10" t="s">
        <x:v>41</x:v>
      </x:c>
      <x:c r="F37" s="11" t="s">
        <x:v>352</x:v>
      </x:c>
      <x:c r="G37" s="10" t="s">
        <x:v>353</x:v>
      </x:c>
      <x:c r="H37" s="8" t="s">
        <x:v>354</x:v>
      </x:c>
      <x:c r="J37" s="12" t="s">
        <x:v>114</x:v>
      </x:c>
      <x:c r="K37" s="13" t="s">
        <x:v>113</x:v>
      </x:c>
      <x:c r="L37" s="15" t="s">
        <x:v>58</x:v>
      </x:c>
      <x:c r="M37" s="15" t="s">
        <x:v>57</x:v>
      </x:c>
      <x:c r="N37" s="15" t="s">
        <x:v>114</x:v>
      </x:c>
    </x:row>
    <x:row r="38" spans="1:22" ht="18" customHeight="1">
      <x:c r="A38" s="9" t="n">
        <x:v>7621199</x:v>
      </x:c>
      <x:c r="B38" s="8" t="s">
        <x:v>355</x:v>
      </x:c>
      <x:c r="C38" s="9" t="n">
        <x:v>7621199</x:v>
      </x:c>
      <x:c r="D38" s="9" t="n">
        <x:v>7621199</x:v>
      </x:c>
      <x:c r="E38" s="10" t="s">
        <x:v>41</x:v>
      </x:c>
      <x:c r="F38" s="11" t="s">
        <x:v>356</x:v>
      </x:c>
      <x:c r="G38" s="10" t="s">
        <x:v>357</x:v>
      </x:c>
      <x:c r="H38" s="8" t="s">
        <x:v>358</x:v>
      </x:c>
      <x:c r="J38" s="12" t="s">
        <x:v>65</x:v>
      </x:c>
      <x:c r="K38" s="13" t="s">
        <x:v>64</x:v>
      </x:c>
      <x:c r="L38" s="15" t="s">
        <x:v>58</x:v>
      </x:c>
      <x:c r="M38" s="15" t="s">
        <x:v>57</x:v>
      </x:c>
      <x:c r="N38" s="15" t="s">
        <x:v>65</x:v>
      </x:c>
    </x:row>
    <x:row r="39" spans="1:22" ht="18" customHeight="1">
      <x:c r="A39" s="9" t="n">
        <x:v>7631101</x:v>
      </x:c>
      <x:c r="B39" s="8" t="s">
        <x:v>359</x:v>
      </x:c>
      <x:c r="C39" s="9" t="n">
        <x:v>7631101</x:v>
      </x:c>
      <x:c r="D39" s="9" t="n">
        <x:v>7631101</x:v>
      </x:c>
      <x:c r="E39" s="10" t="s">
        <x:v>41</x:v>
      </x:c>
      <x:c r="F39" s="11" t="s">
        <x:v>360</x:v>
      </x:c>
      <x:c r="G39" s="10" t="s">
        <x:v>361</x:v>
      </x:c>
      <x:c r="H39" s="8" t="s">
        <x:v>362</x:v>
      </x:c>
      <x:c r="J39" s="12" t="s">
        <x:v>363</x:v>
      </x:c>
      <x:c r="K39" s="13" t="s">
        <x:v>364</x:v>
      </x:c>
      <x:c r="L39" s="15" t="s">
        <x:v>58</x:v>
      </x:c>
      <x:c r="M39" s="15" t="s">
        <x:v>57</x:v>
      </x:c>
      <x:c r="N39" s="15" t="s">
        <x:v>363</x:v>
      </x:c>
    </x:row>
    <x:row r="40" spans="1:22" ht="18" customHeight="1">
      <x:c r="A40" s="9" t="n">
        <x:v>7631102</x:v>
      </x:c>
      <x:c r="B40" s="8" t="s">
        <x:v>365</x:v>
      </x:c>
      <x:c r="C40" s="9" t="n">
        <x:v>7631102</x:v>
      </x:c>
      <x:c r="D40" s="9" t="n">
        <x:v>7631102</x:v>
      </x:c>
      <x:c r="E40" s="10" t="s">
        <x:v>41</x:v>
      </x:c>
      <x:c r="F40" s="11" t="s">
        <x:v>366</x:v>
      </x:c>
      <x:c r="G40" s="10" t="s">
        <x:v>367</x:v>
      </x:c>
      <x:c r="H40" s="8" t="s">
        <x:v>368</x:v>
      </x:c>
      <x:c r="J40" s="75" t="s">
        <x:v>138</x:v>
      </x:c>
      <x:c r="K40" s="76" t="s">
        <x:v>137</x:v>
      </x:c>
      <x:c r="L40" s="75" t="s">
        <x:v>41</x:v>
      </x:c>
      <x:c r="M40" s="75" t="s">
        <x:v>40</x:v>
      </x:c>
      <x:c r="N40" s="75" t="s">
        <x:v>138</x:v>
      </x:c>
    </x:row>
    <x:row r="41" spans="1:22" ht="18" customHeight="1">
      <x:c r="A41" s="9" t="n">
        <x:v>7641101</x:v>
      </x:c>
      <x:c r="B41" s="8" t="s">
        <x:v>369</x:v>
      </x:c>
      <x:c r="C41" s="9" t="n">
        <x:v>7641101</x:v>
      </x:c>
      <x:c r="D41" s="9" t="n">
        <x:v>7641101</x:v>
      </x:c>
      <x:c r="E41" s="10" t="s">
        <x:v>41</x:v>
      </x:c>
      <x:c r="F41" s="11" t="s">
        <x:v>370</x:v>
      </x:c>
      <x:c r="G41" s="10" t="s">
        <x:v>371</x:v>
      </x:c>
      <x:c r="H41" s="8" t="s">
        <x:v>372</x:v>
      </x:c>
      <x:c r="J41" s="12" t="s">
        <x:v>86</x:v>
      </x:c>
      <x:c r="K41" s="13" t="s">
        <x:v>85</x:v>
      </x:c>
      <x:c r="L41" s="15" t="s">
        <x:v>58</x:v>
      </x:c>
      <x:c r="M41" s="15" t="s">
        <x:v>57</x:v>
      </x:c>
      <x:c r="N41" s="15" t="s">
        <x:v>86</x:v>
      </x:c>
    </x:row>
    <x:row r="42" spans="1:22" ht="18" customHeight="1">
      <x:c r="A42" s="9" t="n">
        <x:v>7641102</x:v>
      </x:c>
      <x:c r="B42" s="8" t="s">
        <x:v>373</x:v>
      </x:c>
      <x:c r="C42" s="9" t="n">
        <x:v>7641102</x:v>
      </x:c>
      <x:c r="D42" s="9" t="n">
        <x:v>7641102</x:v>
      </x:c>
      <x:c r="E42" s="10" t="s">
        <x:v>41</x:v>
      </x:c>
      <x:c r="F42" s="11" t="s">
        <x:v>374</x:v>
      </x:c>
      <x:c r="G42" s="10" t="s">
        <x:v>371</x:v>
      </x:c>
      <x:c r="H42" s="8" t="s">
        <x:v>375</x:v>
      </x:c>
      <x:c r="J42" s="12" t="s">
        <x:v>83</x:v>
      </x:c>
      <x:c r="K42" s="13" t="s">
        <x:v>82</x:v>
      </x:c>
      <x:c r="L42" s="15" t="s">
        <x:v>58</x:v>
      </x:c>
      <x:c r="M42" s="15" t="s">
        <x:v>57</x:v>
      </x:c>
      <x:c r="N42" s="15" t="s">
        <x:v>83</x:v>
      </x:c>
    </x:row>
    <x:row r="43" spans="1:22" ht="18" customHeight="1">
      <x:c r="A43" s="9" t="n">
        <x:v>7641103</x:v>
      </x:c>
      <x:c r="B43" s="8" t="s">
        <x:v>376</x:v>
      </x:c>
      <x:c r="C43" s="9" t="n">
        <x:v>7641103</x:v>
      </x:c>
      <x:c r="D43" s="9" t="n">
        <x:v>7641103</x:v>
      </x:c>
      <x:c r="E43" s="10" t="s">
        <x:v>41</x:v>
      </x:c>
      <x:c r="F43" s="11" t="s">
        <x:v>377</x:v>
      </x:c>
      <x:c r="G43" s="10" t="s">
        <x:v>378</x:v>
      </x:c>
      <x:c r="H43" s="8" t="s">
        <x:v>379</x:v>
      </x:c>
      <x:c r="J43" s="8" t="s">
        <x:v>380</x:v>
      </x:c>
      <x:c r="K43" s="9" t="s">
        <x:v>381</x:v>
      </x:c>
      <x:c r="N43" s="8" t="s">
        <x:v>380</x:v>
      </x:c>
    </x:row>
    <x:row r="44" spans="1:22" ht="18" customHeight="1">
      <x:c r="A44" s="9" t="n">
        <x:v>7641104</x:v>
      </x:c>
      <x:c r="B44" s="8" t="s">
        <x:v>382</x:v>
      </x:c>
      <x:c r="C44" s="9" t="n">
        <x:v>7641104</x:v>
      </x:c>
      <x:c r="D44" s="9" t="n">
        <x:v>7641104</x:v>
      </x:c>
      <x:c r="E44" s="10" t="s">
        <x:v>41</x:v>
      </x:c>
      <x:c r="F44" s="11" t="s">
        <x:v>383</x:v>
      </x:c>
      <x:c r="G44" s="10" t="s">
        <x:v>378</x:v>
      </x:c>
      <x:c r="H44" s="8" t="s">
        <x:v>384</x:v>
      </x:c>
    </x:row>
    <x:row r="45" spans="1:22" ht="18" customHeight="1">
      <x:c r="A45" s="9" t="n">
        <x:v>7651101</x:v>
      </x:c>
      <x:c r="B45" s="8" t="s">
        <x:v>385</x:v>
      </x:c>
      <x:c r="C45" s="9" t="n">
        <x:v>7651101</x:v>
      </x:c>
      <x:c r="D45" s="9" t="n">
        <x:v>7651101</x:v>
      </x:c>
      <x:c r="E45" s="10" t="s">
        <x:v>41</x:v>
      </x:c>
      <x:c r="F45" s="11" t="s">
        <x:v>386</x:v>
      </x:c>
      <x:c r="G45" s="10" t="s">
        <x:v>353</x:v>
      </x:c>
      <x:c r="H45" s="8" t="s">
        <x:v>387</x:v>
      </x:c>
    </x:row>
    <x:row r="46" spans="1:22" ht="18" customHeight="1">
      <x:c r="A46" s="9" t="n">
        <x:v>7651102</x:v>
      </x:c>
      <x:c r="B46" s="8" t="s">
        <x:v>388</x:v>
      </x:c>
      <x:c r="C46" s="9" t="n">
        <x:v>7651102</x:v>
      </x:c>
      <x:c r="D46" s="9" t="n">
        <x:v>7651102</x:v>
      </x:c>
      <x:c r="E46" s="10" t="s">
        <x:v>41</x:v>
      </x:c>
      <x:c r="F46" s="11" t="s">
        <x:v>389</x:v>
      </x:c>
      <x:c r="G46" s="10" t="s">
        <x:v>353</x:v>
      </x:c>
      <x:c r="H46" s="8" t="s">
        <x:v>390</x:v>
      </x:c>
    </x:row>
    <x:row r="47" spans="1:22" ht="18" customHeight="1">
      <x:c r="A47" s="9" t="n">
        <x:v>7651103</x:v>
      </x:c>
      <x:c r="B47" s="8" t="s">
        <x:v>391</x:v>
      </x:c>
      <x:c r="C47" s="9" t="n">
        <x:v>7651103</x:v>
      </x:c>
      <x:c r="D47" s="9" t="n">
        <x:v>7651103</x:v>
      </x:c>
      <x:c r="E47" s="10" t="s">
        <x:v>41</x:v>
      </x:c>
      <x:c r="F47" s="11" t="s">
        <x:v>392</x:v>
      </x:c>
      <x:c r="G47" s="10" t="s">
        <x:v>353</x:v>
      </x:c>
      <x:c r="H47" s="8" t="s">
        <x:v>393</x:v>
      </x:c>
    </x:row>
    <x:row r="48" spans="1:22" ht="18" customHeight="1">
      <x:c r="A48" s="9" t="n">
        <x:v>7661101</x:v>
      </x:c>
      <x:c r="B48" s="8" t="s">
        <x:v>394</x:v>
      </x:c>
      <x:c r="C48" s="9" t="n">
        <x:v>7661101</x:v>
      </x:c>
      <x:c r="D48" s="9" t="n">
        <x:v>7661101</x:v>
      </x:c>
      <x:c r="E48" s="10" t="s">
        <x:v>41</x:v>
      </x:c>
      <x:c r="F48" s="11" t="s">
        <x:v>395</x:v>
      </x:c>
      <x:c r="G48" s="10" t="s">
        <x:v>396</x:v>
      </x:c>
      <x:c r="H48" s="8" t="s">
        <x:v>397</x:v>
      </x:c>
    </x:row>
    <x:row r="49" spans="1:22" ht="18" customHeight="1">
      <x:c r="A49" s="9" t="n">
        <x:v>7671102</x:v>
      </x:c>
      <x:c r="B49" s="8" t="s">
        <x:v>398</x:v>
      </x:c>
      <x:c r="C49" s="9" t="n">
        <x:v>7671102</x:v>
      </x:c>
      <x:c r="D49" s="9" t="n">
        <x:v>7671102</x:v>
      </x:c>
      <x:c r="E49" s="10" t="s">
        <x:v>41</x:v>
      </x:c>
      <x:c r="F49" s="11" t="s">
        <x:v>399</x:v>
      </x:c>
      <x:c r="G49" s="10" t="s">
        <x:v>378</x:v>
      </x:c>
      <x:c r="H49" s="8" t="s">
        <x:v>400</x:v>
      </x:c>
    </x:row>
    <x:row r="50" spans="1:22" ht="18" customHeight="1">
      <x:c r="A50" s="9" t="n">
        <x:v>7671103</x:v>
      </x:c>
      <x:c r="B50" s="8" t="s">
        <x:v>55</x:v>
      </x:c>
      <x:c r="C50" s="9" t="n">
        <x:v>7671103</x:v>
      </x:c>
      <x:c r="D50" s="9" t="n">
        <x:v>7671103</x:v>
      </x:c>
      <x:c r="E50" s="10" t="s">
        <x:v>41</x:v>
      </x:c>
      <x:c r="F50" s="11" t="s">
        <x:v>401</x:v>
      </x:c>
      <x:c r="G50" s="10" t="s">
        <x:v>378</x:v>
      </x:c>
      <x:c r="H50" s="8" t="s">
        <x:v>402</x:v>
      </x:c>
    </x:row>
    <x:row r="51" spans="1:22" ht="18" customHeight="1">
      <x:c r="A51" s="9" t="n">
        <x:v>7681101</x:v>
      </x:c>
      <x:c r="B51" s="8" t="s">
        <x:v>403</x:v>
      </x:c>
      <x:c r="C51" s="9" t="n">
        <x:v>7681101</x:v>
      </x:c>
      <x:c r="D51" s="9" t="n">
        <x:v>7681101</x:v>
      </x:c>
      <x:c r="E51" s="10" t="s">
        <x:v>41</x:v>
      </x:c>
      <x:c r="F51" s="11" t="s">
        <x:v>404</x:v>
      </x:c>
      <x:c r="G51" s="10" t="s">
        <x:v>378</x:v>
      </x:c>
      <x:c r="H51" s="8" t="s">
        <x:v>405</x:v>
      </x:c>
    </x:row>
    <x:row r="52" spans="1:22" ht="18" customHeight="1">
      <x:c r="A52" s="9" t="n">
        <x:v>7691000</x:v>
      </x:c>
      <x:c r="B52" s="8" t="s">
        <x:v>187</x:v>
      </x:c>
      <x:c r="C52" s="9" t="n">
        <x:v>7691000</x:v>
      </x:c>
      <x:c r="D52" s="9" t="n">
        <x:v>7691000</x:v>
      </x:c>
      <x:c r="E52" s="10" t="s">
        <x:v>41</x:v>
      </x:c>
      <x:c r="F52" s="11" t="s">
        <x:v>406</x:v>
      </x:c>
      <x:c r="G52" s="10" t="s">
        <x:v>378</x:v>
      </x:c>
      <x:c r="H52" s="8" t="s">
        <x:v>407</x:v>
      </x:c>
    </x:row>
    <x:row r="53" spans="1:22" ht="18" customHeight="1">
      <x:c r="A53" s="9" t="n">
        <x:v>7711101</x:v>
      </x:c>
      <x:c r="B53" s="8" t="s">
        <x:v>191</x:v>
      </x:c>
      <x:c r="C53" s="9" t="n">
        <x:v>7711101</x:v>
      </x:c>
      <x:c r="D53" s="9" t="n">
        <x:v>7711101</x:v>
      </x:c>
      <x:c r="E53" s="10" t="s">
        <x:v>41</x:v>
      </x:c>
      <x:c r="F53" s="11" t="s">
        <x:v>408</x:v>
      </x:c>
      <x:c r="G53" s="10" t="s">
        <x:v>378</x:v>
      </x:c>
      <x:c r="H53" s="8" t="s">
        <x:v>409</x:v>
      </x:c>
    </x:row>
    <x:row r="54" spans="1:22" ht="18" customHeight="1">
      <x:c r="A54" s="9" t="n">
        <x:v>7711102</x:v>
      </x:c>
      <x:c r="B54" s="8" t="s">
        <x:v>195</x:v>
      </x:c>
      <x:c r="C54" s="9" t="n">
        <x:v>7711102</x:v>
      </x:c>
      <x:c r="D54" s="9" t="n">
        <x:v>7711102</x:v>
      </x:c>
      <x:c r="E54" s="10" t="s">
        <x:v>41</x:v>
      </x:c>
      <x:c r="F54" s="11" t="s">
        <x:v>410</x:v>
      </x:c>
      <x:c r="G54" s="10" t="s">
        <x:v>411</x:v>
      </x:c>
      <x:c r="H54" s="8" t="s">
        <x:v>412</x:v>
      </x:c>
    </x:row>
    <x:row r="55" spans="1:22" ht="18" customHeight="1">
      <x:c r="A55" s="9" t="n">
        <x:v>7711103</x:v>
      </x:c>
      <x:c r="B55" s="8" t="s">
        <x:v>413</x:v>
      </x:c>
      <x:c r="C55" s="9" t="n">
        <x:v>7711103</x:v>
      </x:c>
      <x:c r="D55" s="9" t="n">
        <x:v>7711103</x:v>
      </x:c>
      <x:c r="E55" s="10" t="s">
        <x:v>41</x:v>
      </x:c>
      <x:c r="F55" s="11" t="s">
        <x:v>414</x:v>
      </x:c>
      <x:c r="G55" s="10" t="s">
        <x:v>378</x:v>
      </x:c>
      <x:c r="H55" s="8" t="s">
        <x:v>415</x:v>
      </x:c>
    </x:row>
    <x:row r="56" spans="1:22" ht="18" customHeight="1">
      <x:c r="A56" s="9" t="n">
        <x:v>7721101</x:v>
      </x:c>
      <x:c r="B56" s="8" t="s">
        <x:v>416</x:v>
      </x:c>
      <x:c r="C56" s="9" t="n">
        <x:v>7721101</x:v>
      </x:c>
      <x:c r="D56" s="9" t="n">
        <x:v>7721101</x:v>
      </x:c>
      <x:c r="E56" s="10" t="s">
        <x:v>41</x:v>
      </x:c>
      <x:c r="F56" s="11" t="s">
        <x:v>417</x:v>
      </x:c>
      <x:c r="G56" s="10" t="s">
        <x:v>378</x:v>
      </x:c>
      <x:c r="H56" s="8" t="s">
        <x:v>418</x:v>
      </x:c>
    </x:row>
    <x:row r="57" spans="1:22" ht="18" customHeight="1">
      <x:c r="A57" s="9" t="n">
        <x:v>7729101</x:v>
      </x:c>
      <x:c r="B57" s="8" t="s">
        <x:v>199</x:v>
      </x:c>
      <x:c r="C57" s="9" t="n">
        <x:v>7729101</x:v>
      </x:c>
      <x:c r="D57" s="9" t="n">
        <x:v>7729101</x:v>
      </x:c>
      <x:c r="E57" s="10" t="s">
        <x:v>41</x:v>
      </x:c>
      <x:c r="F57" s="11" t="s">
        <x:v>419</x:v>
      </x:c>
      <x:c r="G57" s="10" t="s">
        <x:v>420</x:v>
      </x:c>
      <x:c r="H57" s="8" t="s">
        <x:v>421</x:v>
      </x:c>
    </x:row>
    <x:row r="58" spans="1:22" ht="18" customHeight="1">
      <x:c r="A58" s="9" t="n">
        <x:v>7729103</x:v>
      </x:c>
      <x:c r="B58" s="8" t="s">
        <x:v>422</x:v>
      </x:c>
      <x:c r="C58" s="9" t="n">
        <x:v>7729103</x:v>
      </x:c>
      <x:c r="D58" s="9" t="n">
        <x:v>7729103</x:v>
      </x:c>
      <x:c r="E58" s="10" t="s">
        <x:v>41</x:v>
      </x:c>
      <x:c r="F58" s="11" t="s">
        <x:v>423</x:v>
      </x:c>
      <x:c r="G58" s="10" t="s">
        <x:v>424</x:v>
      </x:c>
      <x:c r="H58" s="8" t="s">
        <x:v>425</x:v>
      </x:c>
    </x:row>
    <x:row r="59" spans="1:22" ht="18" customHeight="1">
      <x:c r="A59" s="9" t="n">
        <x:v>7729105</x:v>
      </x:c>
      <x:c r="B59" s="8" t="s">
        <x:v>426</x:v>
      </x:c>
      <x:c r="C59" s="9" t="n">
        <x:v>7729105</x:v>
      </x:c>
      <x:c r="D59" s="9" t="n">
        <x:v>7729105</x:v>
      </x:c>
      <x:c r="E59" s="10" t="s">
        <x:v>41</x:v>
      </x:c>
      <x:c r="F59" s="11" t="s">
        <x:v>427</x:v>
      </x:c>
      <x:c r="G59" s="10" t="s">
        <x:v>378</x:v>
      </x:c>
      <x:c r="H59" s="8" t="s">
        <x:v>428</x:v>
      </x:c>
    </x:row>
    <x:row r="60" spans="1:22" ht="18" customHeight="1">
      <x:c r="A60" s="9" t="n">
        <x:v>7781101</x:v>
      </x:c>
      <x:c r="B60" s="8" t="s">
        <x:v>429</x:v>
      </x:c>
      <x:c r="C60" s="9" t="n">
        <x:v>7781101</x:v>
      </x:c>
      <x:c r="D60" s="9" t="n">
        <x:v>7781101</x:v>
      </x:c>
      <x:c r="E60" s="10" t="s">
        <x:v>41</x:v>
      </x:c>
      <x:c r="F60" s="11" t="s">
        <x:v>430</x:v>
      </x:c>
      <x:c r="G60" s="10" t="s">
        <x:v>378</x:v>
      </x:c>
      <x:c r="H60" s="8" t="s">
        <x:v>431</x:v>
      </x:c>
    </x:row>
    <x:row r="61" spans="1:22" ht="18" customHeight="1">
      <x:c r="A61" s="9" t="n">
        <x:v>7781103</x:v>
      </x:c>
      <x:c r="B61" s="8" t="s">
        <x:v>432</x:v>
      </x:c>
      <x:c r="C61" s="9" t="n">
        <x:v>7781103</x:v>
      </x:c>
      <x:c r="D61" s="9" t="n">
        <x:v>7781103</x:v>
      </x:c>
      <x:c r="E61" s="10" t="s">
        <x:v>41</x:v>
      </x:c>
      <x:c r="F61" s="11" t="s">
        <x:v>433</x:v>
      </x:c>
      <x:c r="G61" s="10" t="s">
        <x:v>378</x:v>
      </x:c>
      <x:c r="H61" s="8" t="s">
        <x:v>434</x:v>
      </x:c>
    </x:row>
    <x:row r="62" spans="1:22" ht="18" customHeight="1">
      <x:c r="A62" s="9" t="n">
        <x:v>7781104</x:v>
      </x:c>
      <x:c r="B62" s="8" t="s">
        <x:v>435</x:v>
      </x:c>
      <x:c r="C62" s="9" t="n">
        <x:v>7781104</x:v>
      </x:c>
      <x:c r="D62" s="9" t="n">
        <x:v>7781104</x:v>
      </x:c>
      <x:c r="E62" s="10" t="s">
        <x:v>41</x:v>
      </x:c>
      <x:c r="F62" s="11" t="s">
        <x:v>436</x:v>
      </x:c>
      <x:c r="G62" s="10" t="s">
        <x:v>378</x:v>
      </x:c>
      <x:c r="H62" s="8" t="s">
        <x:v>437</x:v>
      </x:c>
    </x:row>
    <x:row r="63" spans="1:22" ht="18" customHeight="1">
      <x:c r="A63" s="9" t="n">
        <x:v>7781105</x:v>
      </x:c>
      <x:c r="B63" s="8" t="s">
        <x:v>438</x:v>
      </x:c>
      <x:c r="C63" s="9" t="n">
        <x:v>7781105</x:v>
      </x:c>
      <x:c r="D63" s="9" t="n">
        <x:v>7781105</x:v>
      </x:c>
      <x:c r="E63" s="10" t="s">
        <x:v>41</x:v>
      </x:c>
      <x:c r="F63" s="11" t="s">
        <x:v>439</x:v>
      </x:c>
      <x:c r="G63" s="10" t="s">
        <x:v>378</x:v>
      </x:c>
      <x:c r="H63" s="8" t="s">
        <x:v>440</x:v>
      </x:c>
    </x:row>
    <x:row r="64" spans="1:22" ht="18" customHeight="1">
      <x:c r="A64" s="9" t="n">
        <x:v>7781106</x:v>
      </x:c>
      <x:c r="B64" s="8" t="s">
        <x:v>441</x:v>
      </x:c>
      <x:c r="C64" s="9" t="n">
        <x:v>7781106</x:v>
      </x:c>
      <x:c r="D64" s="9" t="n">
        <x:v>7781106</x:v>
      </x:c>
      <x:c r="E64" s="10" t="s">
        <x:v>41</x:v>
      </x:c>
      <x:c r="F64" s="11" t="s">
        <x:v>442</x:v>
      </x:c>
      <x:c r="G64" s="10" t="s">
        <x:v>378</x:v>
      </x:c>
      <x:c r="H64" s="8" t="s">
        <x:v>443</x:v>
      </x:c>
    </x:row>
    <x:row r="65" spans="1:22" ht="18" customHeight="1">
      <x:c r="A65" s="9" t="n">
        <x:v>7781107</x:v>
      </x:c>
      <x:c r="B65" s="8" t="s">
        <x:v>444</x:v>
      </x:c>
      <x:c r="C65" s="9" t="n">
        <x:v>7781107</x:v>
      </x:c>
      <x:c r="D65" s="9" t="n">
        <x:v>7781107</x:v>
      </x:c>
      <x:c r="E65" s="10" t="s">
        <x:v>41</x:v>
      </x:c>
      <x:c r="F65" s="11" t="s">
        <x:v>445</x:v>
      </x:c>
      <x:c r="G65" s="10" t="s">
        <x:v>446</x:v>
      </x:c>
      <x:c r="H65" s="8" t="s">
        <x:v>447</x:v>
      </x:c>
    </x:row>
    <x:row r="66" spans="1:22" ht="18" customHeight="1">
      <x:c r="A66" s="9" t="n">
        <x:v>7781111</x:v>
      </x:c>
      <x:c r="B66" s="8" t="s">
        <x:v>448</x:v>
      </x:c>
      <x:c r="C66" s="9" t="n">
        <x:v>7781111</x:v>
      </x:c>
      <x:c r="D66" s="9" t="n">
        <x:v>7781111</x:v>
      </x:c>
      <x:c r="E66" s="10" t="s">
        <x:v>41</x:v>
      </x:c>
      <x:c r="F66" s="11" t="s">
        <x:v>449</x:v>
      </x:c>
      <x:c r="G66" s="10" t="s">
        <x:v>378</x:v>
      </x:c>
      <x:c r="H66" s="8" t="s">
        <x:v>450</x:v>
      </x:c>
    </x:row>
    <x:row r="67" spans="1:22" ht="18" customHeight="1">
      <x:c r="A67" s="9" t="n">
        <x:v>7781112</x:v>
      </x:c>
      <x:c r="B67" s="8" t="s">
        <x:v>451</x:v>
      </x:c>
      <x:c r="C67" s="9" t="n">
        <x:v>7781112</x:v>
      </x:c>
      <x:c r="D67" s="9" t="n">
        <x:v>7781112</x:v>
      </x:c>
      <x:c r="E67" s="10" t="s">
        <x:v>41</x:v>
      </x:c>
      <x:c r="F67" s="11" t="s">
        <x:v>452</x:v>
      </x:c>
      <x:c r="G67" s="10" t="s">
        <x:v>378</x:v>
      </x:c>
      <x:c r="H67" s="8" t="s">
        <x:v>453</x:v>
      </x:c>
    </x:row>
    <x:row r="68" spans="1:22" ht="18" customHeight="1">
      <x:c r="A68" s="9" t="n">
        <x:v>7781113</x:v>
      </x:c>
      <x:c r="B68" s="8" t="s">
        <x:v>454</x:v>
      </x:c>
      <x:c r="C68" s="9" t="n">
        <x:v>7781113</x:v>
      </x:c>
      <x:c r="D68" s="9" t="n">
        <x:v>7781113</x:v>
      </x:c>
      <x:c r="E68" s="10" t="s">
        <x:v>41</x:v>
      </x:c>
      <x:c r="F68" s="11" t="s">
        <x:v>455</x:v>
      </x:c>
      <x:c r="G68" s="10" t="s">
        <x:v>378</x:v>
      </x:c>
      <x:c r="H68" s="8" t="s">
        <x:v>456</x:v>
      </x:c>
    </x:row>
    <x:row r="69" spans="1:22" ht="18" customHeight="1">
      <x:c r="A69" s="9" t="n">
        <x:v>7411101</x:v>
      </x:c>
      <x:c r="B69" s="8" t="s">
        <x:v>457</x:v>
      </x:c>
      <x:c r="C69" s="9" t="n">
        <x:v>7411101</x:v>
      </x:c>
      <x:c r="D69" s="9" t="n">
        <x:v>7411101</x:v>
      </x:c>
      <x:c r="E69" s="10" t="s">
        <x:v>41</x:v>
      </x:c>
      <x:c r="F69" s="11" t="s">
        <x:v>458</x:v>
      </x:c>
      <x:c r="G69" s="10" t="s">
        <x:v>459</x:v>
      </x:c>
      <x:c r="H69" s="8" t="s">
        <x:v>460</x:v>
      </x:c>
    </x:row>
    <x:row r="70" spans="1:22" ht="18" customHeight="1">
      <x:c r="A70" s="9" t="n">
        <x:v>7411103</x:v>
      </x:c>
      <x:c r="B70" s="8" t="s">
        <x:v>461</x:v>
      </x:c>
      <x:c r="C70" s="9" t="n">
        <x:v>7411103</x:v>
      </x:c>
      <x:c r="D70" s="9" t="n">
        <x:v>7411103</x:v>
      </x:c>
      <x:c r="E70" s="10" t="s">
        <x:v>41</x:v>
      </x:c>
      <x:c r="F70" s="11" t="s">
        <x:v>462</x:v>
      </x:c>
      <x:c r="G70" s="10" t="s">
        <x:v>463</x:v>
      </x:c>
      <x:c r="H70" s="8" t="s">
        <x:v>464</x:v>
      </x:c>
    </x:row>
    <x:row r="71" spans="1:22" ht="18" customHeight="1">
      <x:c r="A71" s="9" t="n">
        <x:v>7411104</x:v>
      </x:c>
      <x:c r="B71" s="8" t="s">
        <x:v>465</x:v>
      </x:c>
      <x:c r="C71" s="9" t="n">
        <x:v>7411104</x:v>
      </x:c>
      <x:c r="D71" s="9" t="n">
        <x:v>7411104</x:v>
      </x:c>
      <x:c r="E71" s="10" t="s">
        <x:v>41</x:v>
      </x:c>
      <x:c r="F71" s="11" t="s">
        <x:v>466</x:v>
      </x:c>
      <x:c r="G71" s="10" t="s">
        <x:v>467</x:v>
      </x:c>
      <x:c r="H71" s="8" t="s">
        <x:v>468</x:v>
      </x:c>
    </x:row>
    <x:row r="72" spans="1:22" ht="18" customHeight="1">
      <x:c r="A72" s="9" t="n">
        <x:v>7431101</x:v>
      </x:c>
      <x:c r="B72" s="8" t="s">
        <x:v>469</x:v>
      </x:c>
      <x:c r="C72" s="9" t="n">
        <x:v>7431101</x:v>
      </x:c>
      <x:c r="D72" s="9" t="n">
        <x:v>7431101</x:v>
      </x:c>
      <x:c r="E72" s="10" t="s">
        <x:v>41</x:v>
      </x:c>
      <x:c r="F72" s="11" t="s">
        <x:v>470</x:v>
      </x:c>
      <x:c r="G72" s="10" t="s">
        <x:v>471</x:v>
      </x:c>
      <x:c r="H72" s="8" t="s">
        <x:v>472</x:v>
      </x:c>
    </x:row>
    <x:row r="73" spans="1:22" ht="18" customHeight="1">
      <x:c r="A73" s="9" t="n">
        <x:v>7451101</x:v>
      </x:c>
      <x:c r="B73" s="8" t="s">
        <x:v>473</x:v>
      </x:c>
      <x:c r="C73" s="9" t="n">
        <x:v>7451101</x:v>
      </x:c>
      <x:c r="D73" s="9" t="n">
        <x:v>7451101</x:v>
      </x:c>
      <x:c r="E73" s="10" t="s">
        <x:v>41</x:v>
      </x:c>
      <x:c r="F73" s="11" t="s">
        <x:v>474</x:v>
      </x:c>
      <x:c r="G73" s="10" t="s">
        <x:v>475</x:v>
      </x:c>
      <x:c r="H73" s="8" t="s">
        <x:v>476</x:v>
      </x:c>
    </x:row>
    <x:row r="74" spans="1:22" ht="18" customHeight="1">
      <x:c r="A74" s="9" t="n">
        <x:v>7451102</x:v>
      </x:c>
      <x:c r="B74" s="8" t="s">
        <x:v>477</x:v>
      </x:c>
      <x:c r="C74" s="9" t="n">
        <x:v>7451102</x:v>
      </x:c>
      <x:c r="D74" s="9" t="n">
        <x:v>7451102</x:v>
      </x:c>
      <x:c r="E74" s="10" t="s">
        <x:v>41</x:v>
      </x:c>
      <x:c r="F74" s="11" t="s">
        <x:v>478</x:v>
      </x:c>
      <x:c r="G74" s="10" t="s">
        <x:v>479</x:v>
      </x:c>
      <x:c r="H74" s="8" t="s">
        <x:v>480</x:v>
      </x:c>
    </x:row>
    <x:row r="75" spans="1:22" ht="18" customHeight="1">
      <x:c r="A75" s="9" t="n">
        <x:v>7451103</x:v>
      </x:c>
      <x:c r="B75" s="8" t="s">
        <x:v>481</x:v>
      </x:c>
      <x:c r="C75" s="9" t="n">
        <x:v>7451103</x:v>
      </x:c>
      <x:c r="D75" s="9" t="n">
        <x:v>7451103</x:v>
      </x:c>
      <x:c r="E75" s="10" t="s">
        <x:v>41</x:v>
      </x:c>
      <x:c r="F75" s="11" t="s">
        <x:v>482</x:v>
      </x:c>
      <x:c r="G75" s="10" t="s">
        <x:v>483</x:v>
      </x:c>
      <x:c r="H75" s="8" t="s">
        <x:v>484</x:v>
      </x:c>
    </x:row>
    <x:row r="76" spans="1:22" ht="18" customHeight="1">
      <x:c r="A76" s="9" t="n">
        <x:v>7461101</x:v>
      </x:c>
      <x:c r="B76" s="8" t="s">
        <x:v>485</x:v>
      </x:c>
      <x:c r="C76" s="9" t="n">
        <x:v>7461101</x:v>
      </x:c>
      <x:c r="D76" s="9" t="n">
        <x:v>7461101</x:v>
      </x:c>
      <x:c r="E76" s="10" t="s">
        <x:v>41</x:v>
      </x:c>
      <x:c r="F76" s="11" t="s">
        <x:v>486</x:v>
      </x:c>
      <x:c r="G76" s="10" t="s">
        <x:v>487</x:v>
      </x:c>
      <x:c r="H76" s="8" t="s">
        <x:v>485</x:v>
      </x:c>
    </x:row>
    <x:row r="77" spans="1:22" ht="18" customHeight="1">
      <x:c r="A77" s="9" t="n">
        <x:v>7411105</x:v>
      </x:c>
      <x:c r="B77" s="8" t="s">
        <x:v>488</x:v>
      </x:c>
      <x:c r="C77" s="9" t="n">
        <x:v>7411105</x:v>
      </x:c>
      <x:c r="D77" s="9" t="n">
        <x:v>7411105</x:v>
      </x:c>
      <x:c r="E77" s="10" t="s">
        <x:v>41</x:v>
      </x:c>
      <x:c r="F77" s="10" t="s">
        <x:v>489</x:v>
      </x:c>
      <x:c r="G77" s="77" t="s">
        <x:v>490</x:v>
      </x:c>
    </x:row>
    <x:row r="78" spans="1:22" ht="18" customHeight="1">
      <x:c r="A78" s="9" t="n">
        <x:v>7471201</x:v>
      </x:c>
      <x:c r="B78" s="8" t="s">
        <x:v>491</x:v>
      </x:c>
      <x:c r="C78" s="9" t="n">
        <x:v>7471201</x:v>
      </x:c>
      <x:c r="D78" s="9" t="n">
        <x:v>7471201</x:v>
      </x:c>
      <x:c r="E78" s="10" t="s">
        <x:v>41</x:v>
      </x:c>
      <x:c r="F78" s="10" t="s">
        <x:v>492</x:v>
      </x:c>
      <x:c r="G78" s="77" t="s">
        <x:v>493</x:v>
      </x:c>
    </x:row>
    <x:row r="79" spans="1:22" ht="18" customHeight="1">
      <x:c r="A79" s="9" t="n">
        <x:v>7751101</x:v>
      </x:c>
      <x:c r="B79" s="8" t="s">
        <x:v>494</x:v>
      </x:c>
      <x:c r="C79" s="9" t="n">
        <x:v>7751101</x:v>
      </x:c>
      <x:c r="D79" s="9" t="n">
        <x:v>7751101</x:v>
      </x:c>
      <x:c r="E79" s="10" t="s">
        <x:v>41</x:v>
      </x:c>
      <x:c r="F79" s="10" t="s">
        <x:v>495</x:v>
      </x:c>
    </x:row>
    <x:row r="80" spans="1:22" ht="18" customHeight="1">
      <x:c r="A80" s="9" t="n">
        <x:v>7751102</x:v>
      </x:c>
      <x:c r="B80" s="8" t="s">
        <x:v>496</x:v>
      </x:c>
      <x:c r="C80" s="9" t="n">
        <x:v>7751102</x:v>
      </x:c>
      <x:c r="D80" s="9" t="n">
        <x:v>7751102</x:v>
      </x:c>
      <x:c r="E80" s="10" t="s">
        <x:v>41</x:v>
      </x:c>
      <x:c r="F80" s="10" t="s">
        <x:v>497</x:v>
      </x:c>
    </x:row>
    <x:row r="81" spans="1:22" ht="18" customHeight="1">
      <x:c r="A81" s="22" t="n">
        <x:v>7111211</x:v>
      </x:c>
      <x:c r="B81" s="8" t="s">
        <x:v>498</x:v>
      </x:c>
      <x:c r="C81" s="22" t="n">
        <x:v>7111211</x:v>
      </x:c>
      <x:c r="D81" s="22" t="n">
        <x:v>7111211</x:v>
      </x:c>
      <x:c r="E81" s="22" t="s">
        <x:v>58</x:v>
      </x:c>
      <x:c r="F81" s="22" t="s">
        <x:v>499</x:v>
      </x:c>
    </x:row>
    <x:row r="82" spans="1:22" ht="18" customHeight="1">
      <x:c r="A82" s="22" t="n">
        <x:v>7111212</x:v>
      </x:c>
      <x:c r="B82" s="8" t="s">
        <x:v>500</x:v>
      </x:c>
      <x:c r="C82" s="22" t="n">
        <x:v>7111212</x:v>
      </x:c>
      <x:c r="D82" s="22" t="n">
        <x:v>7111212</x:v>
      </x:c>
      <x:c r="E82" s="22" t="s">
        <x:v>58</x:v>
      </x:c>
      <x:c r="F82" s="22" t="s">
        <x:v>501</x:v>
      </x:c>
    </x:row>
    <x:row r="83" spans="1:22" ht="18" customHeight="1">
      <x:c r="A83" s="22" t="n">
        <x:v>7111221</x:v>
      </x:c>
      <x:c r="B83" s="8" t="s">
        <x:v>502</x:v>
      </x:c>
      <x:c r="C83" s="22" t="n">
        <x:v>7111221</x:v>
      </x:c>
      <x:c r="D83" s="22" t="n">
        <x:v>7111221</x:v>
      </x:c>
      <x:c r="E83" s="22" t="s">
        <x:v>58</x:v>
      </x:c>
      <x:c r="F83" s="22" t="s">
        <x:v>503</x:v>
      </x:c>
    </x:row>
    <x:row r="84" spans="1:22" ht="18" customHeight="1">
      <x:c r="A84" s="22" t="n">
        <x:v>7111222</x:v>
      </x:c>
      <x:c r="B84" s="8" t="s">
        <x:v>504</x:v>
      </x:c>
      <x:c r="C84" s="22" t="n">
        <x:v>7111222</x:v>
      </x:c>
      <x:c r="D84" s="22" t="n">
        <x:v>7111222</x:v>
      </x:c>
      <x:c r="E84" s="22" t="s">
        <x:v>58</x:v>
      </x:c>
      <x:c r="F84" s="22" t="s">
        <x:v>505</x:v>
      </x:c>
    </x:row>
    <x:row r="85" spans="1:22" ht="18" customHeight="1">
      <x:c r="A85" s="22" t="n">
        <x:v>7111223</x:v>
      </x:c>
      <x:c r="B85" s="8" t="s">
        <x:v>506</x:v>
      </x:c>
      <x:c r="C85" s="22" t="n">
        <x:v>7111223</x:v>
      </x:c>
      <x:c r="D85" s="22" t="n">
        <x:v>7111223</x:v>
      </x:c>
      <x:c r="E85" s="22" t="s">
        <x:v>58</x:v>
      </x:c>
      <x:c r="F85" s="22" t="s">
        <x:v>507</x:v>
      </x:c>
    </x:row>
    <x:row r="86" spans="1:22" ht="18" customHeight="1">
      <x:c r="A86" s="22" t="n">
        <x:v>7111311</x:v>
      </x:c>
      <x:c r="B86" s="8" t="s">
        <x:v>508</x:v>
      </x:c>
      <x:c r="C86" s="22" t="n">
        <x:v>7111311</x:v>
      </x:c>
      <x:c r="D86" s="22" t="n">
        <x:v>7111311</x:v>
      </x:c>
      <x:c r="E86" s="22" t="s">
        <x:v>58</x:v>
      </x:c>
      <x:c r="F86" s="22" t="s">
        <x:v>509</x:v>
      </x:c>
    </x:row>
    <x:row r="87" spans="1:22" ht="18" customHeight="1">
      <x:c r="A87" s="22" t="n">
        <x:v>7111312</x:v>
      </x:c>
      <x:c r="B87" s="8" t="s">
        <x:v>510</x:v>
      </x:c>
      <x:c r="C87" s="22" t="n">
        <x:v>7111312</x:v>
      </x:c>
      <x:c r="D87" s="22" t="n">
        <x:v>7111312</x:v>
      </x:c>
      <x:c r="E87" s="22" t="s">
        <x:v>58</x:v>
      </x:c>
      <x:c r="F87" s="22" t="s">
        <x:v>511</x:v>
      </x:c>
    </x:row>
    <x:row r="88" spans="1:22" ht="18" customHeight="1">
      <x:c r="A88" s="22" t="n">
        <x:v>7111321</x:v>
      </x:c>
      <x:c r="B88" s="8" t="s">
        <x:v>512</x:v>
      </x:c>
      <x:c r="C88" s="22" t="n">
        <x:v>7111321</x:v>
      </x:c>
      <x:c r="D88" s="22" t="n">
        <x:v>7111321</x:v>
      </x:c>
      <x:c r="E88" s="22" t="s">
        <x:v>58</x:v>
      </x:c>
      <x:c r="F88" s="22" t="s">
        <x:v>513</x:v>
      </x:c>
    </x:row>
    <x:row r="89" spans="1:22" ht="18" customHeight="1">
      <x:c r="A89" s="22" t="n">
        <x:v>7111322</x:v>
      </x:c>
      <x:c r="B89" s="8" t="s">
        <x:v>514</x:v>
      </x:c>
      <x:c r="C89" s="22" t="n">
        <x:v>7111322</x:v>
      </x:c>
      <x:c r="D89" s="22" t="n">
        <x:v>7111322</x:v>
      </x:c>
      <x:c r="E89" s="22" t="s">
        <x:v>58</x:v>
      </x:c>
      <x:c r="F89" s="22" t="s">
        <x:v>515</x:v>
      </x:c>
    </x:row>
    <x:row r="90" spans="1:22" ht="18" customHeight="1">
      <x:c r="A90" s="22" t="n">
        <x:v>7111323</x:v>
      </x:c>
      <x:c r="B90" s="8" t="s">
        <x:v>516</x:v>
      </x:c>
      <x:c r="C90" s="22" t="n">
        <x:v>7111323</x:v>
      </x:c>
      <x:c r="D90" s="22" t="n">
        <x:v>7111323</x:v>
      </x:c>
      <x:c r="E90" s="22" t="s">
        <x:v>58</x:v>
      </x:c>
      <x:c r="F90" s="22" t="s">
        <x:v>517</x:v>
      </x:c>
    </x:row>
    <x:row r="91" spans="1:22" ht="18" customHeight="1">
      <x:c r="A91" s="22" t="n">
        <x:v>7111411</x:v>
      </x:c>
      <x:c r="B91" s="8" t="s">
        <x:v>518</x:v>
      </x:c>
      <x:c r="C91" s="22" t="n">
        <x:v>7111411</x:v>
      </x:c>
      <x:c r="D91" s="22" t="n">
        <x:v>7111411</x:v>
      </x:c>
      <x:c r="E91" s="22" t="s">
        <x:v>58</x:v>
      </x:c>
      <x:c r="F91" s="22" t="s">
        <x:v>519</x:v>
      </x:c>
    </x:row>
    <x:row r="92" spans="1:22" ht="18" customHeight="1">
      <x:c r="A92" s="22" t="n">
        <x:v>7151101</x:v>
      </x:c>
      <x:c r="B92" s="8" t="s">
        <x:v>520</x:v>
      </x:c>
      <x:c r="C92" s="22" t="n">
        <x:v>7151101</x:v>
      </x:c>
      <x:c r="D92" s="22" t="n">
        <x:v>7151101</x:v>
      </x:c>
      <x:c r="E92" s="22" t="s">
        <x:v>58</x:v>
      </x:c>
      <x:c r="F92" s="22" t="s">
        <x:v>521</x:v>
      </x:c>
    </x:row>
    <x:row r="93" spans="1:22" ht="18" customHeight="1">
      <x:c r="A93" s="22" t="n">
        <x:v>7200000</x:v>
      </x:c>
      <x:c r="B93" s="8" t="s">
        <x:v>522</x:v>
      </x:c>
      <x:c r="C93" s="22" t="n">
        <x:v>7200000</x:v>
      </x:c>
      <x:c r="D93" s="22" t="n">
        <x:v>7200000</x:v>
      </x:c>
      <x:c r="E93" s="22" t="s">
        <x:v>58</x:v>
      </x:c>
      <x:c r="F93" s="22" t="s">
        <x:v>523</x:v>
      </x:c>
    </x:row>
    <x:row r="94" spans="1:22" ht="18" customHeight="1">
      <x:c r="A94" s="22" t="n">
        <x:v>7211101</x:v>
      </x:c>
      <x:c r="B94" s="8" t="s">
        <x:v>524</x:v>
      </x:c>
      <x:c r="C94" s="22" t="n">
        <x:v>7211101</x:v>
      </x:c>
      <x:c r="D94" s="22" t="n">
        <x:v>7211101</x:v>
      </x:c>
      <x:c r="E94" s="22" t="s">
        <x:v>58</x:v>
      </x:c>
      <x:c r="F94" s="22" t="s">
        <x:v>525</x:v>
      </x:c>
    </x:row>
    <x:row r="95" spans="1:22" ht="18" customHeight="1">
      <x:c r="A95" s="22" t="n">
        <x:v>7211102</x:v>
      </x:c>
      <x:c r="B95" s="8" t="s">
        <x:v>526</x:v>
      </x:c>
      <x:c r="C95" s="22" t="n">
        <x:v>7211102</x:v>
      </x:c>
      <x:c r="D95" s="22" t="n">
        <x:v>7211102</x:v>
      </x:c>
      <x:c r="E95" s="22" t="s">
        <x:v>58</x:v>
      </x:c>
      <x:c r="F95" s="22" t="s">
        <x:v>527</x:v>
      </x:c>
      <x:c r="G95" s="22" t="n">
        <x:v>901</x:v>
      </x:c>
      <x:c r="H95" s="8" t="s">
        <x:v>528</x:v>
      </x:c>
    </x:row>
    <x:row r="96" spans="1:22" ht="18" customHeight="1">
      <x:c r="A96" s="22" t="n">
        <x:v>7211103</x:v>
      </x:c>
      <x:c r="B96" s="8" t="s">
        <x:v>529</x:v>
      </x:c>
      <x:c r="C96" s="22" t="n">
        <x:v>7211103</x:v>
      </x:c>
      <x:c r="D96" s="22" t="n">
        <x:v>7211103</x:v>
      </x:c>
      <x:c r="E96" s="22" t="s">
        <x:v>58</x:v>
      </x:c>
      <x:c r="F96" s="22" t="s">
        <x:v>530</x:v>
      </x:c>
      <x:c r="G96" s="22" t="s"/>
    </x:row>
    <x:row r="97" spans="1:22" ht="18" customHeight="1">
      <x:c r="A97" s="22" t="n">
        <x:v>7211104</x:v>
      </x:c>
      <x:c r="B97" s="8" t="s">
        <x:v>531</x:v>
      </x:c>
      <x:c r="C97" s="22" t="n">
        <x:v>7211104</x:v>
      </x:c>
      <x:c r="D97" s="22" t="n">
        <x:v>7211104</x:v>
      </x:c>
      <x:c r="E97" s="22" t="s">
        <x:v>58</x:v>
      </x:c>
      <x:c r="F97" s="22" t="s">
        <x:v>532</x:v>
      </x:c>
      <x:c r="G97" s="22" t="n">
        <x:v>302</x:v>
      </x:c>
    </x:row>
    <x:row r="98" spans="1:22" ht="18" customHeight="1">
      <x:c r="A98" s="22" t="n">
        <x:v>7221101</x:v>
      </x:c>
      <x:c r="B98" s="8" t="s">
        <x:v>533</x:v>
      </x:c>
      <x:c r="C98" s="22" t="n">
        <x:v>7221101</x:v>
      </x:c>
      <x:c r="D98" s="22" t="n">
        <x:v>7221101</x:v>
      </x:c>
      <x:c r="E98" s="22" t="s">
        <x:v>58</x:v>
      </x:c>
      <x:c r="F98" s="22" t="s">
        <x:v>534</x:v>
      </x:c>
      <x:c r="G98" s="22" t="n">
        <x:v>302</x:v>
      </x:c>
      <x:c r="H98" s="8" t="s">
        <x:v>535</x:v>
      </x:c>
    </x:row>
    <x:row r="99" spans="1:22" ht="18" customHeight="1">
      <x:c r="A99" s="22" t="n">
        <x:v>7221102</x:v>
      </x:c>
      <x:c r="B99" s="8" t="s">
        <x:v>536</x:v>
      </x:c>
      <x:c r="C99" s="22" t="n">
        <x:v>7221102</x:v>
      </x:c>
      <x:c r="D99" s="22" t="n">
        <x:v>7221102</x:v>
      </x:c>
      <x:c r="E99" s="22" t="s">
        <x:v>58</x:v>
      </x:c>
      <x:c r="F99" s="22" t="s">
        <x:v>537</x:v>
      </x:c>
      <x:c r="G99" s="22" t="n">
        <x:v>301</x:v>
      </x:c>
      <x:c r="H99" s="8" t="s">
        <x:v>538</x:v>
      </x:c>
    </x:row>
    <x:row r="100" spans="1:22" ht="18" customHeight="1">
      <x:c r="A100" s="22" t="n">
        <x:v>7511101</x:v>
      </x:c>
      <x:c r="B100" s="8" t="s">
        <x:v>216</x:v>
      </x:c>
      <x:c r="C100" s="22" t="n">
        <x:v>7511101</x:v>
      </x:c>
      <x:c r="D100" s="22" t="n">
        <x:v>7511101</x:v>
      </x:c>
      <x:c r="E100" s="22" t="s">
        <x:v>58</x:v>
      </x:c>
      <x:c r="F100" s="22" t="s">
        <x:v>539</x:v>
      </x:c>
      <x:c r="G100" s="22" t="n">
        <x:v>602</x:v>
      </x:c>
      <x:c r="H100" s="8" t="s">
        <x:v>216</x:v>
      </x:c>
    </x:row>
    <x:row r="101" spans="1:22" ht="18" customHeight="1">
      <x:c r="A101" s="22" t="n">
        <x:v>7511102</x:v>
      </x:c>
      <x:c r="B101" s="8" t="s">
        <x:v>222</x:v>
      </x:c>
      <x:c r="C101" s="22" t="n">
        <x:v>7511102</x:v>
      </x:c>
      <x:c r="D101" s="22" t="n">
        <x:v>7511102</x:v>
      </x:c>
      <x:c r="E101" s="22" t="s">
        <x:v>58</x:v>
      </x:c>
      <x:c r="F101" s="22" t="s">
        <x:v>540</x:v>
      </x:c>
      <x:c r="G101" s="22" t="n">
        <x:v>602</x:v>
      </x:c>
      <x:c r="H101" s="8" t="s">
        <x:v>224</x:v>
      </x:c>
    </x:row>
    <x:row r="102" spans="1:22" ht="18" customHeight="1">
      <x:c r="A102" s="22" t="n">
        <x:v>7511103</x:v>
      </x:c>
      <x:c r="B102" s="8" t="s">
        <x:v>229</x:v>
      </x:c>
      <x:c r="C102" s="22" t="n">
        <x:v>7511103</x:v>
      </x:c>
      <x:c r="D102" s="22" t="n">
        <x:v>7511103</x:v>
      </x:c>
      <x:c r="E102" s="22" t="s">
        <x:v>58</x:v>
      </x:c>
      <x:c r="F102" s="22" t="s">
        <x:v>541</x:v>
      </x:c>
      <x:c r="G102" s="22" t="n">
        <x:v>601</x:v>
      </x:c>
      <x:c r="H102" s="8" t="s">
        <x:v>232</x:v>
      </x:c>
    </x:row>
    <x:row r="103" spans="1:22" ht="18" customHeight="1">
      <x:c r="A103" s="22" t="n">
        <x:v>7511111</x:v>
      </x:c>
      <x:c r="B103" s="8" t="s">
        <x:v>237</x:v>
      </x:c>
      <x:c r="C103" s="22" t="n">
        <x:v>7511111</x:v>
      </x:c>
      <x:c r="D103" s="22" t="n">
        <x:v>7511111</x:v>
      </x:c>
      <x:c r="E103" s="22" t="s">
        <x:v>58</x:v>
      </x:c>
      <x:c r="F103" s="22" t="s">
        <x:v>542</x:v>
      </x:c>
      <x:c r="G103" s="22" t="n">
        <x:v>601</x:v>
      </x:c>
      <x:c r="H103" s="8" t="s">
        <x:v>239</x:v>
      </x:c>
    </x:row>
    <x:row r="104" spans="1:22" ht="18" customHeight="1">
      <x:c r="A104" s="22" t="n">
        <x:v>7511112</x:v>
      </x:c>
      <x:c r="B104" s="8" t="s">
        <x:v>240</x:v>
      </x:c>
      <x:c r="C104" s="22" t="n">
        <x:v>7511112</x:v>
      </x:c>
      <x:c r="D104" s="22" t="n">
        <x:v>7511112</x:v>
      </x:c>
      <x:c r="E104" s="22" t="s">
        <x:v>58</x:v>
      </x:c>
      <x:c r="F104" s="22" t="s">
        <x:v>543</x:v>
      </x:c>
      <x:c r="G104" s="22" t="n">
        <x:v>601</x:v>
      </x:c>
      <x:c r="H104" s="8" t="s">
        <x:v>242</x:v>
      </x:c>
    </x:row>
    <x:row r="105" spans="1:22" ht="18" customHeight="1">
      <x:c r="A105" s="22" t="n">
        <x:v>7511121</x:v>
      </x:c>
      <x:c r="B105" s="8" t="s">
        <x:v>243</x:v>
      </x:c>
      <x:c r="C105" s="22" t="n">
        <x:v>7511121</x:v>
      </x:c>
      <x:c r="D105" s="22" t="n">
        <x:v>7511121</x:v>
      </x:c>
      <x:c r="E105" s="22" t="s">
        <x:v>58</x:v>
      </x:c>
      <x:c r="F105" s="22" t="s">
        <x:v>544</x:v>
      </x:c>
      <x:c r="G105" s="22" t="n">
        <x:v>601</x:v>
      </x:c>
      <x:c r="H105" s="8" t="s">
        <x:v>245</x:v>
      </x:c>
    </x:row>
    <x:row r="106" spans="1:22" ht="18" customHeight="1">
      <x:c r="A106" s="22" t="n">
        <x:v>7511122</x:v>
      </x:c>
      <x:c r="B106" s="8" t="s">
        <x:v>247</x:v>
      </x:c>
      <x:c r="C106" s="22" t="n">
        <x:v>7511122</x:v>
      </x:c>
      <x:c r="D106" s="22" t="n">
        <x:v>7511122</x:v>
      </x:c>
      <x:c r="E106" s="22" t="s">
        <x:v>58</x:v>
      </x:c>
      <x:c r="F106" s="22" t="s">
        <x:v>545</x:v>
      </x:c>
      <x:c r="G106" s="22" t="n">
        <x:v>601</x:v>
      </x:c>
      <x:c r="H106" s="8" t="s">
        <x:v>249</x:v>
      </x:c>
    </x:row>
    <x:row r="107" spans="1:22" ht="18" customHeight="1">
      <x:c r="A107" s="22" t="n">
        <x:v>7511201</x:v>
      </x:c>
      <x:c r="B107" s="8" t="s">
        <x:v>250</x:v>
      </x:c>
      <x:c r="C107" s="22" t="n">
        <x:v>7511201</x:v>
      </x:c>
      <x:c r="D107" s="22" t="n">
        <x:v>7511201</x:v>
      </x:c>
      <x:c r="E107" s="22" t="s">
        <x:v>58</x:v>
      </x:c>
      <x:c r="F107" s="22" t="s">
        <x:v>546</x:v>
      </x:c>
      <x:c r="G107" s="22" t="n">
        <x:v>603</x:v>
      </x:c>
      <x:c r="H107" s="8" t="s">
        <x:v>253</x:v>
      </x:c>
    </x:row>
    <x:row r="108" spans="1:22" ht="18" customHeight="1">
      <x:c r="A108" s="22" t="n">
        <x:v>7512111</x:v>
      </x:c>
      <x:c r="B108" s="8" t="s">
        <x:v>254</x:v>
      </x:c>
      <x:c r="C108" s="22" t="n">
        <x:v>7512111</x:v>
      </x:c>
      <x:c r="D108" s="22" t="n">
        <x:v>7512111</x:v>
      </x:c>
      <x:c r="E108" s="22" t="s">
        <x:v>58</x:v>
      </x:c>
      <x:c r="F108" s="22" t="s">
        <x:v>547</x:v>
      </x:c>
      <x:c r="G108" s="22" t="n">
        <x:v>604</x:v>
      </x:c>
      <x:c r="H108" s="8" t="s">
        <x:v>257</x:v>
      </x:c>
    </x:row>
    <x:row r="109" spans="1:22" ht="18" customHeight="1">
      <x:c r="A109" s="22" t="n">
        <x:v>7512112</x:v>
      </x:c>
      <x:c r="B109" s="8" t="s">
        <x:v>258</x:v>
      </x:c>
      <x:c r="C109" s="22" t="n">
        <x:v>7512112</x:v>
      </x:c>
      <x:c r="D109" s="22" t="n">
        <x:v>7512112</x:v>
      </x:c>
      <x:c r="E109" s="22" t="s">
        <x:v>58</x:v>
      </x:c>
      <x:c r="F109" s="22" t="s">
        <x:v>548</x:v>
      </x:c>
      <x:c r="G109" s="22" t="n">
        <x:v>604</x:v>
      </x:c>
      <x:c r="H109" s="8" t="s">
        <x:v>260</x:v>
      </x:c>
    </x:row>
    <x:row r="110" spans="1:22" ht="18" customHeight="1">
      <x:c r="A110" s="22" t="n">
        <x:v>7514101</x:v>
      </x:c>
      <x:c r="B110" s="8" t="s">
        <x:v>261</x:v>
      </x:c>
      <x:c r="C110" s="22" t="n">
        <x:v>7514101</x:v>
      </x:c>
      <x:c r="D110" s="22" t="n">
        <x:v>7514101</x:v>
      </x:c>
      <x:c r="E110" s="22" t="s">
        <x:v>58</x:v>
      </x:c>
      <x:c r="F110" s="22" t="s">
        <x:v>549</x:v>
      </x:c>
      <x:c r="G110" s="22" t="n">
        <x:v>601</x:v>
      </x:c>
      <x:c r="H110" s="8" t="s">
        <x:v>263</x:v>
      </x:c>
    </x:row>
    <x:row r="111" spans="1:22" ht="18" customHeight="1">
      <x:c r="A111" s="22" t="n">
        <x:v>7514102</x:v>
      </x:c>
      <x:c r="B111" s="8" t="s">
        <x:v>264</x:v>
      </x:c>
      <x:c r="C111" s="22" t="n">
        <x:v>7514102</x:v>
      </x:c>
      <x:c r="D111" s="22" t="n">
        <x:v>7514102</x:v>
      </x:c>
      <x:c r="E111" s="22" t="s">
        <x:v>58</x:v>
      </x:c>
      <x:c r="F111" s="22" t="s">
        <x:v>550</x:v>
      </x:c>
      <x:c r="G111" s="22" t="n">
        <x:v>601</x:v>
      </x:c>
      <x:c r="H111" s="8" t="s">
        <x:v>266</x:v>
      </x:c>
    </x:row>
    <x:row r="112" spans="1:22" ht="18" customHeight="1">
      <x:c r="A112" s="22" t="n">
        <x:v>7515401</x:v>
      </x:c>
      <x:c r="B112" s="8" t="s">
        <x:v>38</x:v>
      </x:c>
      <x:c r="C112" s="22" t="n">
        <x:v>7515401</x:v>
      </x:c>
      <x:c r="D112" s="22" t="n">
        <x:v>7515401</x:v>
      </x:c>
      <x:c r="E112" s="22" t="s">
        <x:v>58</x:v>
      </x:c>
      <x:c r="F112" s="22" t="s">
        <x:v>551</x:v>
      </x:c>
      <x:c r="G112" s="22" t="n">
        <x:v>604</x:v>
      </x:c>
      <x:c r="H112" s="8" t="s">
        <x:v>268</x:v>
      </x:c>
    </x:row>
    <x:row r="113" spans="1:22" ht="18" customHeight="1">
      <x:c r="A113" s="22" t="n">
        <x:v>7515402</x:v>
      </x:c>
      <x:c r="B113" s="8" t="s">
        <x:v>45</x:v>
      </x:c>
      <x:c r="C113" s="22" t="n">
        <x:v>7515402</x:v>
      </x:c>
      <x:c r="D113" s="22" t="n">
        <x:v>7515402</x:v>
      </x:c>
      <x:c r="E113" s="22" t="s">
        <x:v>58</x:v>
      </x:c>
      <x:c r="F113" s="22" t="s">
        <x:v>552</x:v>
      </x:c>
      <x:c r="G113" s="22" t="n">
        <x:v>604</x:v>
      </x:c>
      <x:c r="H113" s="8" t="s">
        <x:v>270</x:v>
      </x:c>
    </x:row>
    <x:row r="114" spans="1:22" ht="18" customHeight="1">
      <x:c r="A114" s="22" t="n">
        <x:v>7515403</x:v>
      </x:c>
      <x:c r="B114" s="8" t="s">
        <x:v>273</x:v>
      </x:c>
      <x:c r="C114" s="22" t="n">
        <x:v>7515403</x:v>
      </x:c>
      <x:c r="D114" s="22" t="n">
        <x:v>7515403</x:v>
      </x:c>
      <x:c r="E114" s="22" t="s">
        <x:v>58</x:v>
      </x:c>
      <x:c r="F114" s="22" t="s">
        <x:v>553</x:v>
      </x:c>
      <x:c r="G114" s="22" t="n">
        <x:v>604</x:v>
      </x:c>
      <x:c r="H114" s="8" t="s">
        <x:v>275</x:v>
      </x:c>
    </x:row>
    <x:row r="115" spans="1:22" ht="18" customHeight="1">
      <x:c r="A115" s="22" t="n">
        <x:v>7515404</x:v>
      </x:c>
      <x:c r="B115" s="8" t="s">
        <x:v>49</x:v>
      </x:c>
      <x:c r="C115" s="22" t="n">
        <x:v>7515404</x:v>
      </x:c>
      <x:c r="D115" s="22" t="n">
        <x:v>7515404</x:v>
      </x:c>
      <x:c r="E115" s="22" t="s">
        <x:v>58</x:v>
      </x:c>
      <x:c r="F115" s="22" t="s">
        <x:v>554</x:v>
      </x:c>
      <x:c r="G115" s="22" t="n">
        <x:v>604</x:v>
      </x:c>
      <x:c r="H115" s="8" t="s">
        <x:v>279</x:v>
      </x:c>
    </x:row>
    <x:row r="116" spans="1:22" ht="18" customHeight="1">
      <x:c r="A116" s="22" t="n">
        <x:v>7515405</x:v>
      </x:c>
      <x:c r="B116" s="8" t="s">
        <x:v>280</x:v>
      </x:c>
      <x:c r="C116" s="22" t="n">
        <x:v>7515405</x:v>
      </x:c>
      <x:c r="D116" s="22" t="n">
        <x:v>7515405</x:v>
      </x:c>
      <x:c r="E116" s="22" t="s">
        <x:v>58</x:v>
      </x:c>
      <x:c r="F116" s="22" t="s">
        <x:v>555</x:v>
      </x:c>
      <x:c r="G116" s="22" t="n">
        <x:v>604</x:v>
      </x:c>
      <x:c r="H116" s="8" t="s">
        <x:v>282</x:v>
      </x:c>
    </x:row>
    <x:row r="117" spans="1:22" ht="18" customHeight="1">
      <x:c r="A117" s="22" t="n">
        <x:v>7515406</x:v>
      </x:c>
      <x:c r="B117" s="8" t="s">
        <x:v>285</x:v>
      </x:c>
      <x:c r="C117" s="22" t="n">
        <x:v>7515406</x:v>
      </x:c>
      <x:c r="D117" s="22" t="n">
        <x:v>7515406</x:v>
      </x:c>
      <x:c r="E117" s="22" t="s">
        <x:v>58</x:v>
      </x:c>
      <x:c r="F117" s="22" t="s">
        <x:v>556</x:v>
      </x:c>
      <x:c r="G117" s="22" t="n">
        <x:v>604</x:v>
      </x:c>
      <x:c r="H117" s="8" t="s">
        <x:v>287</x:v>
      </x:c>
    </x:row>
    <x:row r="118" spans="1:22" ht="18" customHeight="1">
      <x:c r="A118" s="22" t="n">
        <x:v>7515407</x:v>
      </x:c>
      <x:c r="B118" s="8" t="s">
        <x:v>288</x:v>
      </x:c>
      <x:c r="C118" s="22" t="n">
        <x:v>7515407</x:v>
      </x:c>
      <x:c r="D118" s="22" t="n">
        <x:v>7515407</x:v>
      </x:c>
      <x:c r="E118" s="22" t="s">
        <x:v>58</x:v>
      </x:c>
      <x:c r="F118" s="22" t="s">
        <x:v>557</x:v>
      </x:c>
      <x:c r="G118" s="22" t="n">
        <x:v>604</x:v>
      </x:c>
    </x:row>
    <x:row r="119" spans="1:22" ht="18" customHeight="1">
      <x:c r="A119" s="22" t="n">
        <x:v>7515408</x:v>
      </x:c>
      <x:c r="B119" s="8" t="s">
        <x:v>292</x:v>
      </x:c>
      <x:c r="C119" s="22" t="n">
        <x:v>7515408</x:v>
      </x:c>
      <x:c r="D119" s="22" t="n">
        <x:v>7515408</x:v>
      </x:c>
      <x:c r="E119" s="22" t="s">
        <x:v>58</x:v>
      </x:c>
      <x:c r="F119" s="22" t="s">
        <x:v>558</x:v>
      </x:c>
      <x:c r="G119" s="22" t="n">
        <x:v>604</x:v>
      </x:c>
      <x:c r="H119" s="8" t="s">
        <x:v>294</x:v>
      </x:c>
    </x:row>
    <x:row r="120" spans="1:22" ht="18" customHeight="1">
      <x:c r="A120" s="22" t="n">
        <x:v>7515409</x:v>
      </x:c>
      <x:c r="B120" s="8" t="s">
        <x:v>295</x:v>
      </x:c>
      <x:c r="C120" s="22" t="n">
        <x:v>7515409</x:v>
      </x:c>
      <x:c r="D120" s="22" t="n">
        <x:v>7515409</x:v>
      </x:c>
      <x:c r="E120" s="22" t="s">
        <x:v>58</x:v>
      </x:c>
      <x:c r="F120" s="22" t="s">
        <x:v>559</x:v>
      </x:c>
      <x:c r="G120" s="22" t="n">
        <x:v>604</x:v>
      </x:c>
      <x:c r="H120" s="8" t="s">
        <x:v>297</x:v>
      </x:c>
    </x:row>
    <x:row r="121" spans="1:22" ht="18" customHeight="1">
      <x:c r="A121" s="22" t="n">
        <x:v>7515410</x:v>
      </x:c>
      <x:c r="B121" s="8" t="s">
        <x:v>298</x:v>
      </x:c>
      <x:c r="C121" s="22" t="n">
        <x:v>7515410</x:v>
      </x:c>
      <x:c r="D121" s="22" t="n">
        <x:v>7515410</x:v>
      </x:c>
      <x:c r="E121" s="22" t="s">
        <x:v>58</x:v>
      </x:c>
      <x:c r="F121" s="22" t="s">
        <x:v>560</x:v>
      </x:c>
      <x:c r="G121" s="22" t="n">
        <x:v>604</x:v>
      </x:c>
      <x:c r="H121" s="8" t="s">
        <x:v>300</x:v>
      </x:c>
    </x:row>
    <x:row r="122" spans="1:22" ht="18" customHeight="1">
      <x:c r="A122" s="22" t="n">
        <x:v>7515499</x:v>
      </x:c>
      <x:c r="B122" s="8" t="s">
        <x:v>303</x:v>
      </x:c>
      <x:c r="C122" s="22" t="n">
        <x:v>7515499</x:v>
      </x:c>
      <x:c r="D122" s="22" t="n">
        <x:v>7515499</x:v>
      </x:c>
      <x:c r="E122" s="22" t="s">
        <x:v>58</x:v>
      </x:c>
      <x:c r="F122" s="22" t="s">
        <x:v>561</x:v>
      </x:c>
      <x:c r="G122" s="22" t="n">
        <x:v>604</x:v>
      </x:c>
      <x:c r="H122" s="8" t="s">
        <x:v>305</x:v>
      </x:c>
    </x:row>
    <x:row r="123" spans="1:22" ht="18" customHeight="1">
      <x:c r="A123" s="22" t="n">
        <x:v>7516102</x:v>
      </x:c>
      <x:c r="B123" s="8" t="s">
        <x:v>308</x:v>
      </x:c>
      <x:c r="C123" s="22" t="n">
        <x:v>7516102</x:v>
      </x:c>
      <x:c r="D123" s="22" t="n">
        <x:v>7516102</x:v>
      </x:c>
      <x:c r="E123" s="22" t="s">
        <x:v>58</x:v>
      </x:c>
      <x:c r="F123" s="22" t="s">
        <x:v>562</x:v>
      </x:c>
      <x:c r="G123" s="22" t="n">
        <x:v>605</x:v>
      </x:c>
      <x:c r="H123" s="8" t="s">
        <x:v>311</x:v>
      </x:c>
    </x:row>
    <x:row r="124" spans="1:22" ht="18" customHeight="1">
      <x:c r="A124" s="22" t="n">
        <x:v>7519101</x:v>
      </x:c>
      <x:c r="B124" s="8" t="s">
        <x:v>312</x:v>
      </x:c>
      <x:c r="C124" s="22" t="n">
        <x:v>7519101</x:v>
      </x:c>
      <x:c r="D124" s="22" t="n">
        <x:v>7519101</x:v>
      </x:c>
      <x:c r="E124" s="22" t="s">
        <x:v>58</x:v>
      </x:c>
      <x:c r="F124" s="22" t="s">
        <x:v>563</x:v>
      </x:c>
      <x:c r="G124" s="22" t="n">
        <x:v>602</x:v>
      </x:c>
      <x:c r="H124" s="8" t="s">
        <x:v>314</x:v>
      </x:c>
    </x:row>
    <x:row r="125" spans="1:22" ht="18" customHeight="1">
      <x:c r="A125" s="22" t="n">
        <x:v>7521101</x:v>
      </x:c>
      <x:c r="B125" s="8" t="s">
        <x:v>315</x:v>
      </x:c>
      <x:c r="C125" s="22" t="n">
        <x:v>7521101</x:v>
      </x:c>
      <x:c r="D125" s="22" t="n">
        <x:v>7521101</x:v>
      </x:c>
      <x:c r="E125" s="22" t="s">
        <x:v>58</x:v>
      </x:c>
      <x:c r="F125" s="22" t="s">
        <x:v>564</x:v>
      </x:c>
      <x:c r="G125" s="22" t="n">
        <x:v>601</x:v>
      </x:c>
      <x:c r="H125" s="8" t="s">
        <x:v>317</x:v>
      </x:c>
    </x:row>
    <x:row r="126" spans="1:22" ht="18" customHeight="1">
      <x:c r="A126" s="22" t="n">
        <x:v>7521102</x:v>
      </x:c>
      <x:c r="B126" s="8" t="s">
        <x:v>318</x:v>
      </x:c>
      <x:c r="C126" s="22" t="n">
        <x:v>7521102</x:v>
      </x:c>
      <x:c r="D126" s="22" t="n">
        <x:v>7521102</x:v>
      </x:c>
      <x:c r="E126" s="22" t="s">
        <x:v>58</x:v>
      </x:c>
      <x:c r="F126" s="22" t="s">
        <x:v>565</x:v>
      </x:c>
      <x:c r="G126" s="22" t="n">
        <x:v>603</x:v>
      </x:c>
      <x:c r="H126" s="8" t="s">
        <x:v>320</x:v>
      </x:c>
    </x:row>
    <x:row r="127" spans="1:22" ht="18" customHeight="1">
      <x:c r="A127" s="22" t="n">
        <x:v>7571101</x:v>
      </x:c>
      <x:c r="B127" s="8" t="s">
        <x:v>323</x:v>
      </x:c>
      <x:c r="C127" s="22" t="n">
        <x:v>7571101</x:v>
      </x:c>
      <x:c r="D127" s="22" t="n">
        <x:v>7571101</x:v>
      </x:c>
      <x:c r="E127" s="22" t="s">
        <x:v>58</x:v>
      </x:c>
      <x:c r="F127" s="22" t="s">
        <x:v>566</x:v>
      </x:c>
      <x:c r="G127" s="22" t="n">
        <x:v>606</x:v>
      </x:c>
      <x:c r="H127" s="8" t="s">
        <x:v>326</x:v>
      </x:c>
    </x:row>
    <x:row r="128" spans="1:22" ht="18" customHeight="1">
      <x:c r="A128" s="22" t="n">
        <x:v>7611100</x:v>
      </x:c>
      <x:c r="B128" s="8" t="s">
        <x:v>329</x:v>
      </x:c>
      <x:c r="C128" s="22" t="n">
        <x:v>7611100</x:v>
      </x:c>
      <x:c r="D128" s="22" t="n">
        <x:v>7611100</x:v>
      </x:c>
      <x:c r="E128" s="22" t="s">
        <x:v>58</x:v>
      </x:c>
      <x:c r="F128" s="22" t="s">
        <x:v>567</x:v>
      </x:c>
      <x:c r="G128" s="22" t="n">
        <x:v>701</x:v>
      </x:c>
      <x:c r="H128" s="8" t="s">
        <x:v>332</x:v>
      </x:c>
    </x:row>
    <x:row r="129" spans="1:22" ht="18" customHeight="1">
      <x:c r="A129" s="22" t="n">
        <x:v>7611300</x:v>
      </x:c>
      <x:c r="B129" s="8" t="s">
        <x:v>333</x:v>
      </x:c>
      <x:c r="C129" s="22" t="n">
        <x:v>7611300</x:v>
      </x:c>
      <x:c r="D129" s="22" t="n">
        <x:v>7611300</x:v>
      </x:c>
      <x:c r="E129" s="22" t="s">
        <x:v>58</x:v>
      </x:c>
      <x:c r="F129" s="22" t="s">
        <x:v>568</x:v>
      </x:c>
      <x:c r="G129" s="22" t="n">
        <x:v>701</x:v>
      </x:c>
      <x:c r="H129" s="8" t="s">
        <x:v>335</x:v>
      </x:c>
    </x:row>
    <x:row r="130" spans="1:22" ht="18" customHeight="1">
      <x:c r="A130" s="22" t="n">
        <x:v>7611400</x:v>
      </x:c>
      <x:c r="B130" s="8" t="s">
        <x:v>336</x:v>
      </x:c>
      <x:c r="C130" s="22" t="n">
        <x:v>7611400</x:v>
      </x:c>
      <x:c r="D130" s="22" t="n">
        <x:v>7611400</x:v>
      </x:c>
      <x:c r="E130" s="22" t="s">
        <x:v>58</x:v>
      </x:c>
      <x:c r="F130" s="22" t="s">
        <x:v>569</x:v>
      </x:c>
      <x:c r="G130" s="22" t="n">
        <x:v>701</x:v>
      </x:c>
      <x:c r="H130" s="8" t="s">
        <x:v>338</x:v>
      </x:c>
    </x:row>
    <x:row r="131" spans="1:22" ht="18" customHeight="1">
      <x:c r="A131" s="22" t="n">
        <x:v>7611500</x:v>
      </x:c>
      <x:c r="B131" s="8" t="s">
        <x:v>339</x:v>
      </x:c>
      <x:c r="C131" s="22" t="n">
        <x:v>7611500</x:v>
      </x:c>
      <x:c r="D131" s="22" t="n">
        <x:v>7611500</x:v>
      </x:c>
      <x:c r="E131" s="22" t="s">
        <x:v>58</x:v>
      </x:c>
      <x:c r="F131" s="22" t="s">
        <x:v>570</x:v>
      </x:c>
      <x:c r="G131" s="22" t="n">
        <x:v>701</x:v>
      </x:c>
      <x:c r="H131" s="8" t="s">
        <x:v>341</x:v>
      </x:c>
    </x:row>
    <x:row r="132" spans="1:22" ht="18" customHeight="1">
      <x:c r="A132" s="22" t="n">
        <x:v>7611600</x:v>
      </x:c>
      <x:c r="B132" s="8" t="s">
        <x:v>342</x:v>
      </x:c>
      <x:c r="C132" s="22" t="n">
        <x:v>7611600</x:v>
      </x:c>
      <x:c r="D132" s="22" t="n">
        <x:v>7611600</x:v>
      </x:c>
      <x:c r="E132" s="22" t="s">
        <x:v>58</x:v>
      </x:c>
      <x:c r="F132" s="22" t="s">
        <x:v>571</x:v>
      </x:c>
      <x:c r="G132" s="22" t="n">
        <x:v>701</x:v>
      </x:c>
      <x:c r="H132" s="8" t="s">
        <x:v>344</x:v>
      </x:c>
    </x:row>
    <x:row r="133" spans="1:22" ht="18" customHeight="1">
      <x:c r="A133" s="22" t="n">
        <x:v>7611700</x:v>
      </x:c>
      <x:c r="B133" s="8" t="s">
        <x:v>345</x:v>
      </x:c>
      <x:c r="C133" s="22" t="n">
        <x:v>7611700</x:v>
      </x:c>
      <x:c r="D133" s="22" t="n">
        <x:v>7611700</x:v>
      </x:c>
      <x:c r="E133" s="22" t="s">
        <x:v>58</x:v>
      </x:c>
      <x:c r="F133" s="22" t="s">
        <x:v>572</x:v>
      </x:c>
      <x:c r="G133" s="22" t="n">
        <x:v>701</x:v>
      </x:c>
      <x:c r="H133" s="8" t="s">
        <x:v>573</x:v>
      </x:c>
    </x:row>
    <x:row r="134" spans="1:22" ht="18" customHeight="1">
      <x:c r="A134" s="22" t="n">
        <x:v>7611800</x:v>
      </x:c>
      <x:c r="B134" s="8" t="s">
        <x:v>348</x:v>
      </x:c>
      <x:c r="C134" s="22" t="n">
        <x:v>7611800</x:v>
      </x:c>
      <x:c r="D134" s="22" t="n">
        <x:v>7611800</x:v>
      </x:c>
      <x:c r="E134" s="22" t="s">
        <x:v>58</x:v>
      </x:c>
      <x:c r="F134" s="22" t="s">
        <x:v>574</x:v>
      </x:c>
      <x:c r="G134" s="22" t="n">
        <x:v>701</x:v>
      </x:c>
      <x:c r="H134" s="8" t="s">
        <x:v>350</x:v>
      </x:c>
    </x:row>
    <x:row r="135" spans="1:22" ht="18" customHeight="1">
      <x:c r="A135" s="22" t="n">
        <x:v>7621101</x:v>
      </x:c>
      <x:c r="B135" s="8" t="s">
        <x:v>351</x:v>
      </x:c>
      <x:c r="C135" s="22" t="n">
        <x:v>7621101</x:v>
      </x:c>
      <x:c r="D135" s="22" t="n">
        <x:v>7621101</x:v>
      </x:c>
      <x:c r="E135" s="22" t="s">
        <x:v>58</x:v>
      </x:c>
      <x:c r="F135" s="22" t="s">
        <x:v>575</x:v>
      </x:c>
      <x:c r="G135" s="22" t="n">
        <x:v>903</x:v>
      </x:c>
      <x:c r="H135" s="8" t="s">
        <x:v>354</x:v>
      </x:c>
    </x:row>
    <x:row r="136" spans="1:22" ht="18" customHeight="1">
      <x:c r="A136" s="78" t="n">
        <x:v>7621199</x:v>
      </x:c>
      <x:c r="B136" s="8" t="s">
        <x:v>355</x:v>
      </x:c>
      <x:c r="C136" s="78" t="n">
        <x:v>7621199</x:v>
      </x:c>
      <x:c r="D136" s="78" t="n">
        <x:v>7621199</x:v>
      </x:c>
      <x:c r="E136" s="22" t="s">
        <x:v>58</x:v>
      </x:c>
      <x:c r="F136" s="22" t="s">
        <x:v>576</x:v>
      </x:c>
      <x:c r="G136" s="22" t="n">
        <x:v>801</x:v>
      </x:c>
      <x:c r="H136" s="8" t="s">
        <x:v>358</x:v>
      </x:c>
    </x:row>
    <x:row r="137" spans="1:22" ht="18" customHeight="1">
      <x:c r="A137" s="22" t="n">
        <x:v>7631101</x:v>
      </x:c>
      <x:c r="B137" s="8" t="s">
        <x:v>359</x:v>
      </x:c>
      <x:c r="C137" s="22" t="n">
        <x:v>7631101</x:v>
      </x:c>
      <x:c r="D137" s="22" t="n">
        <x:v>7631101</x:v>
      </x:c>
      <x:c r="E137" s="22" t="s">
        <x:v>58</x:v>
      </x:c>
      <x:c r="F137" s="22" t="s">
        <x:v>577</x:v>
      </x:c>
      <x:c r="G137" s="22" t="n">
        <x:v>501</x:v>
      </x:c>
      <x:c r="H137" s="8" t="s">
        <x:v>362</x:v>
      </x:c>
    </x:row>
    <x:row r="138" spans="1:22" ht="18" customHeight="1">
      <x:c r="A138" s="22" t="n">
        <x:v>7631102</x:v>
      </x:c>
      <x:c r="B138" s="8" t="s">
        <x:v>365</x:v>
      </x:c>
      <x:c r="C138" s="22" t="n">
        <x:v>7631102</x:v>
      </x:c>
      <x:c r="D138" s="22" t="n">
        <x:v>7631102</x:v>
      </x:c>
      <x:c r="E138" s="22" t="s">
        <x:v>58</x:v>
      </x:c>
      <x:c r="F138" s="22" t="s">
        <x:v>578</x:v>
      </x:c>
      <x:c r="G138" s="22" t="n">
        <x:v>502</x:v>
      </x:c>
      <x:c r="H138" s="8" t="s">
        <x:v>368</x:v>
      </x:c>
    </x:row>
    <x:row r="139" spans="1:22" ht="18" customHeight="1">
      <x:c r="A139" s="22" t="n">
        <x:v>7641101</x:v>
      </x:c>
      <x:c r="B139" s="8" t="s">
        <x:v>369</x:v>
      </x:c>
      <x:c r="C139" s="22" t="n">
        <x:v>7641101</x:v>
      </x:c>
      <x:c r="D139" s="22" t="n">
        <x:v>7641101</x:v>
      </x:c>
      <x:c r="E139" s="22" t="s">
        <x:v>58</x:v>
      </x:c>
      <x:c r="F139" s="22" t="s">
        <x:v>579</x:v>
      </x:c>
      <x:c r="G139" s="22" t="n">
        <x:v>401</x:v>
      </x:c>
      <x:c r="H139" s="8" t="s">
        <x:v>372</x:v>
      </x:c>
    </x:row>
    <x:row r="140" spans="1:22" ht="18" customHeight="1">
      <x:c r="A140" s="22" t="n">
        <x:v>7641102</x:v>
      </x:c>
      <x:c r="B140" s="8" t="s">
        <x:v>373</x:v>
      </x:c>
      <x:c r="C140" s="22" t="n">
        <x:v>7641102</x:v>
      </x:c>
      <x:c r="D140" s="22" t="n">
        <x:v>7641102</x:v>
      </x:c>
      <x:c r="E140" s="22" t="s">
        <x:v>58</x:v>
      </x:c>
      <x:c r="F140" s="22" t="s">
        <x:v>580</x:v>
      </x:c>
      <x:c r="G140" s="22" t="n">
        <x:v>401</x:v>
      </x:c>
      <x:c r="H140" s="8" t="s">
        <x:v>375</x:v>
      </x:c>
    </x:row>
    <x:row r="141" spans="1:22" ht="18" customHeight="1">
      <x:c r="A141" s="22" t="n">
        <x:v>7641103</x:v>
      </x:c>
      <x:c r="B141" s="8" t="s">
        <x:v>376</x:v>
      </x:c>
      <x:c r="C141" s="22" t="n">
        <x:v>7641103</x:v>
      </x:c>
      <x:c r="D141" s="22" t="n">
        <x:v>7641103</x:v>
      </x:c>
      <x:c r="E141" s="22" t="s">
        <x:v>58</x:v>
      </x:c>
      <x:c r="F141" s="22" t="s">
        <x:v>581</x:v>
      </x:c>
      <x:c r="G141" s="22" t="n">
        <x:v>902</x:v>
      </x:c>
      <x:c r="H141" s="8" t="s">
        <x:v>379</x:v>
      </x:c>
    </x:row>
    <x:row r="142" spans="1:22" ht="18" customHeight="1">
      <x:c r="A142" s="22" t="n">
        <x:v>7641104</x:v>
      </x:c>
      <x:c r="B142" s="8" t="s">
        <x:v>382</x:v>
      </x:c>
      <x:c r="C142" s="22" t="n">
        <x:v>7641104</x:v>
      </x:c>
      <x:c r="D142" s="22" t="n">
        <x:v>7641104</x:v>
      </x:c>
      <x:c r="E142" s="22" t="s">
        <x:v>58</x:v>
      </x:c>
      <x:c r="F142" s="22" t="s">
        <x:v>582</x:v>
      </x:c>
      <x:c r="G142" s="22" t="n">
        <x:v>999</x:v>
      </x:c>
      <x:c r="H142" s="8" t="s">
        <x:v>384</x:v>
      </x:c>
    </x:row>
    <x:row r="143" spans="1:22" ht="18" customHeight="1">
      <x:c r="A143" s="22" t="n">
        <x:v>7651101</x:v>
      </x:c>
      <x:c r="B143" s="8" t="s">
        <x:v>385</x:v>
      </x:c>
      <x:c r="C143" s="22" t="n">
        <x:v>7651101</x:v>
      </x:c>
      <x:c r="D143" s="22" t="n">
        <x:v>7651101</x:v>
      </x:c>
      <x:c r="E143" s="22" t="s">
        <x:v>58</x:v>
      </x:c>
      <x:c r="F143" s="22" t="s">
        <x:v>583</x:v>
      </x:c>
      <x:c r="G143" s="22" t="n">
        <x:v>903</x:v>
      </x:c>
      <x:c r="H143" s="8" t="s">
        <x:v>387</x:v>
      </x:c>
    </x:row>
    <x:row r="144" spans="1:22" ht="18" customHeight="1">
      <x:c r="A144" s="22" t="n">
        <x:v>7651102</x:v>
      </x:c>
      <x:c r="B144" s="8" t="s">
        <x:v>388</x:v>
      </x:c>
      <x:c r="C144" s="22" t="n">
        <x:v>7651102</x:v>
      </x:c>
      <x:c r="D144" s="22" t="n">
        <x:v>7651102</x:v>
      </x:c>
      <x:c r="E144" s="22" t="s">
        <x:v>58</x:v>
      </x:c>
      <x:c r="F144" s="22" t="s">
        <x:v>584</x:v>
      </x:c>
      <x:c r="G144" s="22" t="n">
        <x:v>903</x:v>
      </x:c>
      <x:c r="H144" s="8" t="s">
        <x:v>390</x:v>
      </x:c>
    </x:row>
    <x:row r="145" spans="1:22" ht="18" customHeight="1">
      <x:c r="A145" s="22" t="n">
        <x:v>7651103</x:v>
      </x:c>
      <x:c r="B145" s="8" t="s">
        <x:v>391</x:v>
      </x:c>
      <x:c r="C145" s="22" t="n">
        <x:v>7651103</x:v>
      </x:c>
      <x:c r="D145" s="22" t="n">
        <x:v>7651103</x:v>
      </x:c>
      <x:c r="E145" s="22" t="s">
        <x:v>58</x:v>
      </x:c>
      <x:c r="F145" s="22" t="s">
        <x:v>585</x:v>
      </x:c>
      <x:c r="G145" s="22" t="n">
        <x:v>903</x:v>
      </x:c>
      <x:c r="H145" s="8" t="s">
        <x:v>393</x:v>
      </x:c>
    </x:row>
    <x:row r="146" spans="1:22" ht="18" customHeight="1">
      <x:c r="A146" s="22" t="n">
        <x:v>7661101</x:v>
      </x:c>
      <x:c r="B146" s="8" t="s">
        <x:v>394</x:v>
      </x:c>
      <x:c r="C146" s="22" t="n">
        <x:v>7661101</x:v>
      </x:c>
      <x:c r="D146" s="22" t="n">
        <x:v>7661101</x:v>
      </x:c>
      <x:c r="E146" s="22" t="s">
        <x:v>58</x:v>
      </x:c>
      <x:c r="F146" s="22" t="s">
        <x:v>586</x:v>
      </x:c>
      <x:c r="G146" s="22" t="n">
        <x:v>999</x:v>
      </x:c>
      <x:c r="H146" s="8" t="s">
        <x:v>397</x:v>
      </x:c>
    </x:row>
    <x:row r="147" spans="1:22" ht="18" customHeight="1">
      <x:c r="A147" s="22" t="n">
        <x:v>7671102</x:v>
      </x:c>
      <x:c r="B147" s="8" t="s">
        <x:v>398</x:v>
      </x:c>
      <x:c r="C147" s="22" t="n">
        <x:v>7671102</x:v>
      </x:c>
      <x:c r="D147" s="22" t="n">
        <x:v>7671102</x:v>
      </x:c>
      <x:c r="E147" s="22" t="s">
        <x:v>58</x:v>
      </x:c>
      <x:c r="F147" s="22" t="s">
        <x:v>587</x:v>
      </x:c>
      <x:c r="G147" s="22" t="n">
        <x:v>999</x:v>
      </x:c>
      <x:c r="H147" s="8" t="s">
        <x:v>400</x:v>
      </x:c>
    </x:row>
    <x:row r="148" spans="1:22" ht="18" customHeight="1">
      <x:c r="A148" s="22" t="n">
        <x:v>7671103</x:v>
      </x:c>
      <x:c r="B148" s="8" t="s">
        <x:v>55</x:v>
      </x:c>
      <x:c r="C148" s="22" t="n">
        <x:v>7671103</x:v>
      </x:c>
      <x:c r="D148" s="22" t="n">
        <x:v>7671103</x:v>
      </x:c>
      <x:c r="E148" s="22" t="s">
        <x:v>58</x:v>
      </x:c>
      <x:c r="F148" s="22" t="s">
        <x:v>588</x:v>
      </x:c>
      <x:c r="G148" s="22" t="n">
        <x:v>999</x:v>
      </x:c>
      <x:c r="H148" s="8" t="s">
        <x:v>402</x:v>
      </x:c>
    </x:row>
    <x:row r="149" spans="1:22" ht="18" customHeight="1">
      <x:c r="A149" s="22" t="n">
        <x:v>7681101</x:v>
      </x:c>
      <x:c r="B149" s="8" t="s">
        <x:v>403</x:v>
      </x:c>
      <x:c r="C149" s="22" t="n">
        <x:v>7681101</x:v>
      </x:c>
      <x:c r="D149" s="22" t="n">
        <x:v>7681101</x:v>
      </x:c>
      <x:c r="E149" s="22" t="s">
        <x:v>58</x:v>
      </x:c>
      <x:c r="F149" s="22" t="s">
        <x:v>589</x:v>
      </x:c>
      <x:c r="G149" s="22" t="n">
        <x:v>999</x:v>
      </x:c>
      <x:c r="H149" s="8" t="s">
        <x:v>405</x:v>
      </x:c>
    </x:row>
    <x:row r="150" spans="1:22" ht="18" customHeight="1">
      <x:c r="A150" s="22" t="n">
        <x:v>7691000</x:v>
      </x:c>
      <x:c r="B150" s="8" t="s">
        <x:v>187</x:v>
      </x:c>
      <x:c r="C150" s="22" t="n">
        <x:v>7691000</x:v>
      </x:c>
      <x:c r="D150" s="22" t="n">
        <x:v>7691000</x:v>
      </x:c>
      <x:c r="E150" s="22" t="s">
        <x:v>58</x:v>
      </x:c>
      <x:c r="F150" s="22" t="s">
        <x:v>590</x:v>
      </x:c>
      <x:c r="G150" s="22" t="n">
        <x:v>999</x:v>
      </x:c>
      <x:c r="H150" s="8" t="s">
        <x:v>407</x:v>
      </x:c>
    </x:row>
    <x:row r="151" spans="1:22" ht="18" customHeight="1">
      <x:c r="A151" s="22" t="n">
        <x:v>7711101</x:v>
      </x:c>
      <x:c r="B151" s="8" t="s">
        <x:v>191</x:v>
      </x:c>
      <x:c r="C151" s="22" t="n">
        <x:v>7711101</x:v>
      </x:c>
      <x:c r="D151" s="22" t="n">
        <x:v>7711101</x:v>
      </x:c>
      <x:c r="E151" s="22" t="s">
        <x:v>58</x:v>
      </x:c>
      <x:c r="F151" s="22" t="s">
        <x:v>591</x:v>
      </x:c>
      <x:c r="G151" s="22" t="n">
        <x:v>999</x:v>
      </x:c>
      <x:c r="H151" s="8" t="s">
        <x:v>409</x:v>
      </x:c>
    </x:row>
    <x:row r="152" spans="1:22" ht="18" customHeight="1">
      <x:c r="A152" s="22" t="n">
        <x:v>7711102</x:v>
      </x:c>
      <x:c r="B152" s="8" t="s">
        <x:v>195</x:v>
      </x:c>
      <x:c r="C152" s="22" t="n">
        <x:v>7711102</x:v>
      </x:c>
      <x:c r="D152" s="22" t="n">
        <x:v>7711102</x:v>
      </x:c>
      <x:c r="E152" s="22" t="s">
        <x:v>58</x:v>
      </x:c>
      <x:c r="F152" s="22" t="s">
        <x:v>592</x:v>
      </x:c>
      <x:c r="G152" s="22" t="n">
        <x:v>904</x:v>
      </x:c>
      <x:c r="H152" s="8" t="s">
        <x:v>412</x:v>
      </x:c>
    </x:row>
    <x:row r="153" spans="1:22" ht="18" customHeight="1">
      <x:c r="A153" s="22" t="n">
        <x:v>7711103</x:v>
      </x:c>
      <x:c r="B153" s="8" t="s">
        <x:v>413</x:v>
      </x:c>
      <x:c r="C153" s="22" t="n">
        <x:v>7711103</x:v>
      </x:c>
      <x:c r="D153" s="22" t="n">
        <x:v>7711103</x:v>
      </x:c>
      <x:c r="E153" s="22" t="s">
        <x:v>58</x:v>
      </x:c>
      <x:c r="F153" s="22" t="s">
        <x:v>593</x:v>
      </x:c>
      <x:c r="G153" s="22" t="n">
        <x:v>999</x:v>
      </x:c>
      <x:c r="H153" s="8" t="s">
        <x:v>415</x:v>
      </x:c>
    </x:row>
    <x:row r="154" spans="1:22" ht="18" customHeight="1">
      <x:c r="A154" s="22" t="n">
        <x:v>7721101</x:v>
      </x:c>
      <x:c r="B154" s="8" t="s">
        <x:v>416</x:v>
      </x:c>
      <x:c r="C154" s="22" t="n">
        <x:v>7721101</x:v>
      </x:c>
      <x:c r="D154" s="22" t="n">
        <x:v>7721101</x:v>
      </x:c>
      <x:c r="E154" s="22" t="s">
        <x:v>58</x:v>
      </x:c>
      <x:c r="F154" s="22" t="s">
        <x:v>594</x:v>
      </x:c>
      <x:c r="G154" s="22" t="n">
        <x:v>999</x:v>
      </x:c>
      <x:c r="H154" s="8" t="s">
        <x:v>418</x:v>
      </x:c>
    </x:row>
    <x:row r="155" spans="1:22" ht="18" customHeight="1">
      <x:c r="A155" s="22" t="n">
        <x:v>7729101</x:v>
      </x:c>
      <x:c r="B155" s="8" t="s">
        <x:v>199</x:v>
      </x:c>
      <x:c r="C155" s="22" t="n">
        <x:v>7729101</x:v>
      </x:c>
      <x:c r="D155" s="22" t="n">
        <x:v>7729101</x:v>
      </x:c>
      <x:c r="E155" s="22" t="s">
        <x:v>58</x:v>
      </x:c>
      <x:c r="F155" s="22" t="s">
        <x:v>595</x:v>
      </x:c>
      <x:c r="G155" s="22" t="n">
        <x:v>905</x:v>
      </x:c>
      <x:c r="H155" s="8" t="s">
        <x:v>421</x:v>
      </x:c>
    </x:row>
    <x:row r="156" spans="1:22" ht="18" customHeight="1">
      <x:c r="A156" s="22" t="n">
        <x:v>7729103</x:v>
      </x:c>
      <x:c r="B156" s="8" t="s">
        <x:v>422</x:v>
      </x:c>
      <x:c r="C156" s="22" t="n">
        <x:v>7729103</x:v>
      </x:c>
      <x:c r="D156" s="22" t="n">
        <x:v>7729103</x:v>
      </x:c>
      <x:c r="E156" s="22" t="s">
        <x:v>58</x:v>
      </x:c>
      <x:c r="F156" s="22" t="s">
        <x:v>596</x:v>
      </x:c>
      <x:c r="G156" s="22" t="n">
        <x:v>907</x:v>
      </x:c>
      <x:c r="H156" s="8" t="s">
        <x:v>425</x:v>
      </x:c>
    </x:row>
    <x:row r="157" spans="1:22" ht="18" customHeight="1">
      <x:c r="A157" s="22" t="n">
        <x:v>7729105</x:v>
      </x:c>
      <x:c r="B157" s="8" t="s">
        <x:v>426</x:v>
      </x:c>
      <x:c r="C157" s="22" t="n">
        <x:v>7729105</x:v>
      </x:c>
      <x:c r="D157" s="22" t="n">
        <x:v>7729105</x:v>
      </x:c>
      <x:c r="E157" s="22" t="s">
        <x:v>58</x:v>
      </x:c>
      <x:c r="F157" s="22" t="s">
        <x:v>597</x:v>
      </x:c>
      <x:c r="G157" s="22" t="n">
        <x:v>999</x:v>
      </x:c>
      <x:c r="H157" s="8" t="s">
        <x:v>428</x:v>
      </x:c>
    </x:row>
    <x:row r="158" spans="1:22" ht="18" customHeight="1">
      <x:c r="A158" s="22" t="n">
        <x:v>7781101</x:v>
      </x:c>
      <x:c r="B158" s="8" t="s">
        <x:v>429</x:v>
      </x:c>
      <x:c r="C158" s="22" t="n">
        <x:v>7781101</x:v>
      </x:c>
      <x:c r="D158" s="22" t="n">
        <x:v>7781101</x:v>
      </x:c>
      <x:c r="E158" s="22" t="s">
        <x:v>58</x:v>
      </x:c>
      <x:c r="F158" s="22" t="s">
        <x:v>598</x:v>
      </x:c>
      <x:c r="G158" s="22" t="n">
        <x:v>999</x:v>
      </x:c>
      <x:c r="H158" s="8" t="s">
        <x:v>431</x:v>
      </x:c>
    </x:row>
    <x:row r="159" spans="1:22" ht="18" customHeight="1">
      <x:c r="A159" s="22" t="n">
        <x:v>7781103</x:v>
      </x:c>
      <x:c r="B159" s="8" t="s">
        <x:v>432</x:v>
      </x:c>
      <x:c r="C159" s="22" t="n">
        <x:v>7781103</x:v>
      </x:c>
      <x:c r="D159" s="22" t="n">
        <x:v>7781103</x:v>
      </x:c>
      <x:c r="E159" s="22" t="s">
        <x:v>58</x:v>
      </x:c>
      <x:c r="F159" s="22" t="s">
        <x:v>599</x:v>
      </x:c>
      <x:c r="G159" s="22" t="n">
        <x:v>999</x:v>
      </x:c>
      <x:c r="H159" s="8" t="s">
        <x:v>434</x:v>
      </x:c>
    </x:row>
    <x:row r="160" spans="1:22" ht="18" customHeight="1">
      <x:c r="A160" s="22" t="n">
        <x:v>7781104</x:v>
      </x:c>
      <x:c r="B160" s="8" t="s">
        <x:v>435</x:v>
      </x:c>
      <x:c r="C160" s="22" t="n">
        <x:v>7781104</x:v>
      </x:c>
      <x:c r="D160" s="22" t="n">
        <x:v>7781104</x:v>
      </x:c>
      <x:c r="E160" s="22" t="s">
        <x:v>58</x:v>
      </x:c>
      <x:c r="F160" s="22" t="s">
        <x:v>600</x:v>
      </x:c>
      <x:c r="G160" s="22" t="n">
        <x:v>999</x:v>
      </x:c>
      <x:c r="H160" s="8" t="s">
        <x:v>437</x:v>
      </x:c>
    </x:row>
    <x:row r="161" spans="1:22" ht="18" customHeight="1">
      <x:c r="A161" s="22" t="n">
        <x:v>7781105</x:v>
      </x:c>
      <x:c r="B161" s="8" t="s">
        <x:v>438</x:v>
      </x:c>
      <x:c r="C161" s="22" t="n">
        <x:v>7781105</x:v>
      </x:c>
      <x:c r="D161" s="22" t="n">
        <x:v>7781105</x:v>
      </x:c>
      <x:c r="E161" s="22" t="s">
        <x:v>58</x:v>
      </x:c>
      <x:c r="F161" s="22" t="s">
        <x:v>601</x:v>
      </x:c>
      <x:c r="G161" s="22" t="n">
        <x:v>999</x:v>
      </x:c>
      <x:c r="H161" s="8" t="s">
        <x:v>440</x:v>
      </x:c>
    </x:row>
    <x:row r="162" spans="1:22" ht="18" customHeight="1">
      <x:c r="A162" s="22" t="n">
        <x:v>7781106</x:v>
      </x:c>
      <x:c r="B162" s="8" t="s">
        <x:v>441</x:v>
      </x:c>
      <x:c r="C162" s="22" t="n">
        <x:v>7781106</x:v>
      </x:c>
      <x:c r="D162" s="22" t="n">
        <x:v>7781106</x:v>
      </x:c>
      <x:c r="E162" s="22" t="s">
        <x:v>58</x:v>
      </x:c>
      <x:c r="F162" s="22" t="s">
        <x:v>602</x:v>
      </x:c>
      <x:c r="G162" s="22" t="n">
        <x:v>999</x:v>
      </x:c>
      <x:c r="H162" s="8" t="s">
        <x:v>443</x:v>
      </x:c>
    </x:row>
    <x:row r="163" spans="1:22" ht="18" customHeight="1">
      <x:c r="A163" s="22" t="n">
        <x:v>7781107</x:v>
      </x:c>
      <x:c r="B163" s="8" t="s">
        <x:v>444</x:v>
      </x:c>
      <x:c r="C163" s="22" t="n">
        <x:v>7781107</x:v>
      </x:c>
      <x:c r="D163" s="22" t="n">
        <x:v>7781107</x:v>
      </x:c>
      <x:c r="E163" s="22" t="s">
        <x:v>58</x:v>
      </x:c>
      <x:c r="F163" s="22" t="s">
        <x:v>603</x:v>
      </x:c>
      <x:c r="G163" s="22" t="n">
        <x:v>906</x:v>
      </x:c>
      <x:c r="H163" s="8" t="s">
        <x:v>447</x:v>
      </x:c>
    </x:row>
    <x:row r="164" spans="1:22" ht="18" customHeight="1">
      <x:c r="A164" s="22" t="n">
        <x:v>7781111</x:v>
      </x:c>
      <x:c r="B164" s="8" t="s">
        <x:v>448</x:v>
      </x:c>
      <x:c r="C164" s="22" t="n">
        <x:v>7781111</x:v>
      </x:c>
      <x:c r="D164" s="22" t="n">
        <x:v>7781111</x:v>
      </x:c>
      <x:c r="E164" s="22" t="s">
        <x:v>58</x:v>
      </x:c>
      <x:c r="F164" s="22" t="s">
        <x:v>604</x:v>
      </x:c>
      <x:c r="G164" s="22" t="n">
        <x:v>999</x:v>
      </x:c>
      <x:c r="H164" s="8" t="s">
        <x:v>450</x:v>
      </x:c>
    </x:row>
    <x:row r="165" spans="1:22" ht="18" customHeight="1">
      <x:c r="A165" s="22" t="n">
        <x:v>7781112</x:v>
      </x:c>
      <x:c r="B165" s="8" t="s">
        <x:v>451</x:v>
      </x:c>
      <x:c r="C165" s="22" t="n">
        <x:v>7781112</x:v>
      </x:c>
      <x:c r="D165" s="22" t="n">
        <x:v>7781112</x:v>
      </x:c>
      <x:c r="E165" s="22" t="s">
        <x:v>58</x:v>
      </x:c>
      <x:c r="F165" s="22" t="s">
        <x:v>605</x:v>
      </x:c>
      <x:c r="G165" s="22" t="n">
        <x:v>999</x:v>
      </x:c>
      <x:c r="H165" s="8" t="s">
        <x:v>453</x:v>
      </x:c>
    </x:row>
    <x:row r="166" spans="1:22" ht="18" customHeight="1">
      <x:c r="A166" s="22" t="n">
        <x:v>7781113</x:v>
      </x:c>
      <x:c r="B166" s="8" t="s">
        <x:v>454</x:v>
      </x:c>
      <x:c r="C166" s="22" t="n">
        <x:v>7781113</x:v>
      </x:c>
      <x:c r="D166" s="22" t="n">
        <x:v>7781113</x:v>
      </x:c>
      <x:c r="E166" s="22" t="s">
        <x:v>58</x:v>
      </x:c>
      <x:c r="F166" s="22" t="s">
        <x:v>606</x:v>
      </x:c>
      <x:c r="G166" s="22" t="n">
        <x:v>999</x:v>
      </x:c>
      <x:c r="H166" s="8" t="s">
        <x:v>456</x:v>
      </x:c>
    </x:row>
    <x:row r="167" spans="1:22" ht="18" customHeight="1">
      <x:c r="A167" s="9" t="n">
        <x:v>8291101</x:v>
      </x:c>
      <x:c r="B167" s="8" t="s">
        <x:v>607</x:v>
      </x:c>
      <x:c r="C167" s="9" t="n">
        <x:v>8291101</x:v>
      </x:c>
      <x:c r="D167" s="9" t="n">
        <x:v>8291101</x:v>
      </x:c>
      <x:c r="E167" s="10" t="s">
        <x:v>608</x:v>
      </x:c>
      <x:c r="F167" s="10" t="s">
        <x:v>609</x:v>
      </x:c>
    </x:row>
    <x:row r="168" spans="1:22" ht="18" customHeight="1">
      <x:c r="A168" s="9" t="n">
        <x:v>8291102</x:v>
      </x:c>
      <x:c r="B168" s="8" t="s">
        <x:v>610</x:v>
      </x:c>
      <x:c r="C168" s="9" t="n">
        <x:v>8291102</x:v>
      </x:c>
      <x:c r="D168" s="9" t="n">
        <x:v>8291102</x:v>
      </x:c>
      <x:c r="E168" s="10" t="s">
        <x:v>608</x:v>
      </x:c>
      <x:c r="F168" s="10" t="s">
        <x:v>611</x:v>
      </x:c>
    </x:row>
    <x:row r="169" spans="1:22" ht="18" customHeight="1">
      <x:c r="A169" s="9" t="n">
        <x:v>8291201</x:v>
      </x:c>
      <x:c r="B169" s="8" t="s">
        <x:v>612</x:v>
      </x:c>
      <x:c r="C169" s="9" t="n">
        <x:v>8291201</x:v>
      </x:c>
      <x:c r="D169" s="9" t="n">
        <x:v>8291201</x:v>
      </x:c>
      <x:c r="E169" s="10" t="s">
        <x:v>608</x:v>
      </x:c>
      <x:c r="F169" s="10" t="s">
        <x:v>613</x:v>
      </x:c>
    </x:row>
    <x:row r="170" spans="1:22" ht="18" customHeight="1">
      <x:c r="A170" s="9" t="n">
        <x:v>8291202</x:v>
      </x:c>
      <x:c r="B170" s="8" t="s">
        <x:v>614</x:v>
      </x:c>
      <x:c r="C170" s="9" t="n">
        <x:v>8291202</x:v>
      </x:c>
      <x:c r="D170" s="9" t="n">
        <x:v>8291202</x:v>
      </x:c>
      <x:c r="E170" s="10" t="s">
        <x:v>608</x:v>
      </x:c>
      <x:c r="F170" s="10" t="s">
        <x:v>615</x:v>
      </x:c>
    </x:row>
    <x:row r="171" spans="1:22" ht="18" customHeight="1">
      <x:c r="A171" s="9" t="n">
        <x:v>8291203</x:v>
      </x:c>
      <x:c r="B171" s="8" t="s">
        <x:v>616</x:v>
      </x:c>
      <x:c r="C171" s="9" t="n">
        <x:v>8291203</x:v>
      </x:c>
      <x:c r="D171" s="9" t="n">
        <x:v>8291203</x:v>
      </x:c>
      <x:c r="E171" s="10" t="s">
        <x:v>608</x:v>
      </x:c>
      <x:c r="F171" s="10" t="s">
        <x:v>617</x:v>
      </x:c>
    </x:row>
    <x:row r="172" spans="1:22" ht="18" customHeight="1">
      <x:c r="A172" s="9" t="n">
        <x:v>8191101</x:v>
      </x:c>
      <x:c r="B172" s="8" t="s">
        <x:v>618</x:v>
      </x:c>
      <x:c r="C172" s="9" t="n">
        <x:v>8191101</x:v>
      </x:c>
      <x:c r="D172" s="9" t="n">
        <x:v>8191101</x:v>
      </x:c>
      <x:c r="E172" s="10" t="s">
        <x:v>608</x:v>
      </x:c>
      <x:c r="F172" s="10" t="s">
        <x:v>619</x:v>
      </x:c>
    </x:row>
    <x:row r="173" spans="1:22" ht="18" customHeight="1">
      <x:c r="A173" s="9" t="n">
        <x:v>8311101</x:v>
      </x:c>
      <x:c r="B173" s="8" t="s">
        <x:v>620</x:v>
      </x:c>
      <x:c r="C173" s="9" t="n">
        <x:v>8311101</x:v>
      </x:c>
      <x:c r="E173" s="10" t="s">
        <x:v>608</x:v>
      </x:c>
      <x:c r="F173" s="10" t="s">
        <x:v>621</x:v>
      </x:c>
      <x:c r="G173" s="3" t="s"/>
    </x:row>
    <x:row r="174" spans="1:22" ht="18" customHeight="1">
      <x:c r="A174" s="9" t="n">
        <x:v>8413101</x:v>
      </x:c>
      <x:c r="B174" s="8" t="s">
        <x:v>622</x:v>
      </x:c>
      <x:c r="C174" s="9" t="n">
        <x:v>8413101</x:v>
      </x:c>
      <x:c r="E174" s="10" t="s">
        <x:v>608</x:v>
      </x:c>
      <x:c r="F174" s="10" t="s">
        <x:v>623</x:v>
      </x:c>
    </x:row>
  </x:sheetData>
  <x:printOptions horizontalCentered="0" verticalCentered="0" headings="0" gridLines="0"/>
  <x:pageMargins left="0.25" right="0.25" top="0.75" bottom="0.75" header="0.3" footer="0.3"/>
  <x:pageSetup paperSize="9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DBAEA9-42B9-4502-A70E-3E4296AF1E93}" mc:Ignorable="x14ac xr xr2 xr3">
  <x:sheetPr>
    <x:outlinePr summaryBelow="1" summaryRight="1"/>
  </x:sheetPr>
  <x:dimension ref="A1:C4"/>
  <x:sheetViews>
    <x:sheetView showGridLines="0" workbookViewId="0">
      <x:selection activeCell="C21" sqref="C21"/>
    </x:sheetView>
  </x:sheetViews>
  <x:sheetFormatPr defaultRowHeight="15"/>
  <x:cols>
    <x:col min="1" max="1" width="13.425781" style="0" bestFit="1" customWidth="1"/>
    <x:col min="2" max="2" width="14.140625" style="0" bestFit="1" customWidth="1"/>
    <x:col min="3" max="3" width="72.710938" style="0" bestFit="1" customWidth="1"/>
  </x:cols>
  <x:sheetData>
    <x:row r="1" spans="1:3">
      <x:c r="A1" s="72" t="s">
        <x:v>214</x:v>
      </x:c>
      <x:c r="B1" s="72" t="s">
        <x:v>215</x:v>
      </x:c>
      <x:c r="C1" s="72" t="s">
        <x:v>208</x:v>
      </x:c>
    </x:row>
    <x:row r="2" spans="1:3">
      <x:c r="A2" s="79" t="s">
        <x:v>42</x:v>
      </x:c>
      <x:c r="B2" s="17" t="s">
        <x:v>220</x:v>
      </x:c>
      <x:c r="C2" s="17" t="s">
        <x:v>221</x:v>
      </x:c>
    </x:row>
    <x:row r="3" spans="1:3">
      <x:c r="A3" s="79" t="s">
        <x:v>154</x:v>
      </x:c>
      <x:c r="B3" s="17" t="s">
        <x:v>227</x:v>
      </x:c>
      <x:c r="C3" s="17" t="s">
        <x:v>228</x:v>
      </x:c>
    </x:row>
    <x:row r="4" spans="1:3">
      <x:c r="A4" s="79" t="s">
        <x:v>147</x:v>
      </x:c>
      <x:c r="B4" s="17" t="s">
        <x:v>235</x:v>
      </x:c>
      <x:c r="C4" s="17" t="s">
        <x:v>236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564225-FA68-499F-B6EE-9E0C1CDAF318}" mc:Ignorable="x14ac xr xr2 xr3">
  <x:sheetPr>
    <x:outlinePr summaryBelow="1" summaryRight="1"/>
  </x:sheetPr>
  <x:dimension ref="A1"/>
  <x:sheetViews>
    <x:sheetView workbookViewId="0">
      <x:selection activeCell="B16" sqref="B16"/>
    </x:sheetView>
  </x:sheetViews>
  <x:sheetFormatPr defaultRowHeight="15"/>
  <x:sheetData>
    <x:row r="1" spans="1:2">
      <x:c r="A1" s="0" t="s">
        <x:v>624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250</vt:i4>
      </vt:variant>
    </vt:vector>
  </ap:HeadingPairs>
  <ap:TitlesOfParts>
    <vt:vector baseType="lpstr" size="255">
      <vt:lpstr>Data</vt:lpstr>
      <vt:lpstr>V1</vt:lpstr>
      <vt:lpstr>Master</vt:lpstr>
      <vt:lpstr>Priority</vt:lpstr>
      <vt:lpstr>Password</vt:lpstr>
      <vt:lpstr>Data!Print_Area</vt:lpstr>
      <vt:lpstr>Data!Print_Titles</vt:lpstr>
      <vt:lpstr>V1!Print_Area</vt:lpstr>
      <vt:lpstr>V1!Print_Titles</vt:lpstr>
      <vt:lpstr>Master!__j102</vt:lpstr>
      <vt:lpstr>Master!_Fill</vt:lpstr>
      <vt:lpstr>Master!_j102</vt:lpstr>
      <vt:lpstr>Master!_Key1</vt:lpstr>
      <vt:lpstr>Master!_Sort</vt:lpstr>
      <vt:lpstr>Master!HTML_Control</vt:lpstr>
      <vt:lpstr>Master!PRINT_AREA_MI</vt:lpstr>
      <vt:lpstr>Master!Tgl</vt:lpstr>
      <vt:lpstr>Master!tgll</vt:lpstr>
      <vt:lpstr>Master!tr</vt:lpstr>
      <vt:lpstr>Master!uj</vt:lpstr>
      <vt:lpstr>Master!uji</vt:lpstr>
      <vt:lpstr>Master!ﾃﾞｰﾀ海市</vt:lpstr>
      <vt:lpstr>Master!ルピア</vt:lpstr>
      <vt:lpstr>Master!予算ﾚｰﾄ</vt:lpstr>
      <vt:lpstr>Master!今</vt:lpstr>
      <vt:lpstr>Master!印刷領域</vt:lpstr>
      <vt:lpstr>Master!品種別実績</vt:lpstr>
      <vt:lpstr>Master!実績レート</vt:lpstr>
      <vt:lpstr>Master!対象日数</vt:lpstr>
      <vt:lpstr>Master!技術開発経費181</vt:lpstr>
      <vt:lpstr>Master!日数</vt:lpstr>
      <vt:lpstr>Master!期</vt:lpstr>
      <vt:lpstr>Master!決算期区分</vt:lpstr>
      <vt:lpstr>Master!為替</vt:lpstr>
      <vt:lpstr>Master!為替レートEU</vt:lpstr>
      <vt:lpstr>Master!補助部門比率</vt:lpstr>
      <vt:lpstr>Master!補助部門費_設計以外181</vt:lpstr>
      <vt:lpstr>Master!補助部門費_設計以外182</vt:lpstr>
      <vt:lpstr>Master!Print_Area</vt:lpstr>
      <vt:lpstr>Master!Print_Titles</vt:lpstr>
      <vt:lpstr>Priority!Print_Area</vt:lpstr>
      <vt:lpstr>Priority!Print_Titles</vt:lpstr>
      <vt:lpstr>Password!__j102</vt:lpstr>
      <vt:lpstr>Password!_Fill</vt:lpstr>
      <vt:lpstr>Password!_xlnm._FilterDatabase</vt:lpstr>
      <vt:lpstr>Password!_j102</vt:lpstr>
      <vt:lpstr>Password!_Key1</vt:lpstr>
      <vt:lpstr>Password!_Sort</vt:lpstr>
      <vt:lpstr>Password!aa</vt:lpstr>
      <vt:lpstr>Password!AB</vt:lpstr>
      <vt:lpstr>Password!HTML_Control</vt:lpstr>
      <vt:lpstr>Password!kissa</vt:lpstr>
      <vt:lpstr>Password!kissakei</vt:lpstr>
      <vt:lpstr>Password!kk</vt:lpstr>
      <vt:lpstr>Password!Print_Area_MI</vt:lpstr>
      <vt:lpstr>Password!PRINT_TITLES_MI</vt:lpstr>
      <vt:lpstr>Password!ry</vt:lpstr>
      <vt:lpstr>Password!Tgl</vt:lpstr>
      <vt:lpstr>Password!tgll</vt:lpstr>
      <vt:lpstr>Password!tr</vt:lpstr>
      <vt:lpstr>Password!uj</vt:lpstr>
      <vt:lpstr>Password!uji</vt:lpstr>
      <vt:lpstr>Password!ﾃﾞｰﾀ海市</vt:lpstr>
      <vt:lpstr>Password!ルピア</vt:lpstr>
      <vt:lpstr>Password!予算ﾚｰﾄ</vt:lpstr>
      <vt:lpstr>Password!今</vt:lpstr>
      <vt:lpstr>Password!出発</vt:lpstr>
      <vt:lpstr>Password!到着</vt:lpstr>
      <vt:lpstr>Password!印刷領域</vt:lpstr>
      <vt:lpstr>Password!品種別実績</vt:lpstr>
      <vt:lpstr>Password!商品群</vt:lpstr>
      <vt:lpstr>Password!実績レート</vt:lpstr>
      <vt:lpstr>Password!対象日数</vt:lpstr>
      <vt:lpstr>Password!技術開発経費181</vt:lpstr>
      <vt:lpstr>Password!担当者</vt:lpstr>
      <vt:lpstr>Password!日付</vt:lpstr>
      <vt:lpstr>Password!日数</vt:lpstr>
      <vt:lpstr>Password!期</vt:lpstr>
      <vt:lpstr>Password!機能分類リスト</vt:lpstr>
      <vt:lpstr>Password!比率</vt:lpstr>
      <vt:lpstr>Password!決算期区分</vt:lpstr>
      <vt:lpstr>Password!為替</vt:lpstr>
      <vt:lpstr>Password!為替レートEU</vt:lpstr>
      <vt:lpstr>Password!生産拠点</vt:lpstr>
      <vt:lpstr>Password!立上年</vt:lpstr>
      <vt:lpstr>Password!立上月</vt:lpstr>
      <vt:lpstr>Password!補助部門比率</vt:lpstr>
      <vt:lpstr>Password!補助部門費_設計以外181</vt:lpstr>
      <vt:lpstr>Password!補助部門費_設計以外182</vt:lpstr>
      <vt:lpstr>Password!Print_Area</vt:lpstr>
      <vt:lpstr>Password!Print_Titles</vt:lpstr>
      <vt:lpstr>__j102</vt:lpstr>
      <vt:lpstr>_1</vt:lpstr>
      <vt:lpstr>_Fill</vt:lpstr>
      <vt:lpstr>_xlnm._FilterDatabase</vt:lpstr>
      <vt:lpstr>_j102</vt:lpstr>
      <vt:lpstr>_Key1</vt:lpstr>
      <vt:lpstr>_Order1</vt:lpstr>
      <vt:lpstr>_Sort</vt:lpstr>
      <vt:lpstr>aa</vt:lpstr>
      <vt:lpstr>AB</vt:lpstr>
      <vt:lpstr>ai</vt:lpstr>
      <vt:lpstr>as</vt:lpstr>
      <vt:lpstr>assit</vt:lpstr>
      <vt:lpstr>b</vt:lpstr>
      <vt:lpstr>BC</vt:lpstr>
      <vt:lpstr>BI</vt:lpstr>
      <vt:lpstr>BO</vt:lpstr>
      <vt:lpstr>cc</vt:lpstr>
      <vt:lpstr>ccc</vt:lpstr>
      <vt:lpstr>CH</vt:lpstr>
      <vt:lpstr>CI</vt:lpstr>
      <vt:lpstr>Ck_for</vt:lpstr>
      <vt:lpstr>Ck_in</vt:lpstr>
      <vt:lpstr>Ck_out</vt:lpstr>
      <vt:lpstr>d</vt:lpstr>
      <vt:lpstr>_xlnm.Database</vt:lpstr>
      <vt:lpstr>dd</vt:lpstr>
      <vt:lpstr>ddd</vt:lpstr>
      <vt:lpstr>DF</vt:lpstr>
      <vt:lpstr>e</vt:lpstr>
      <vt:lpstr>edy</vt:lpstr>
      <vt:lpstr>ee</vt:lpstr>
      <vt:lpstr>eXCRATE</vt:lpstr>
      <vt:lpstr>exrate</vt:lpstr>
      <vt:lpstr>F</vt:lpstr>
      <vt:lpstr>fcb</vt:lpstr>
      <vt:lpstr>FG</vt:lpstr>
      <vt:lpstr>g</vt:lpstr>
      <vt:lpstr>gg</vt:lpstr>
      <vt:lpstr>HF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kissa</vt:lpstr>
      <vt:lpstr>kissakei</vt:lpstr>
      <vt:lpstr>kk</vt:lpstr>
      <vt:lpstr>kkk</vt:lpstr>
      <vt:lpstr>kkkk</vt:lpstr>
      <vt:lpstr>l</vt:lpstr>
      <vt:lpstr>L_01</vt:lpstr>
      <vt:lpstr>LIA</vt:lpstr>
      <vt:lpstr>LILI</vt:lpstr>
      <vt:lpstr>LINA</vt:lpstr>
      <vt:lpstr>m</vt:lpstr>
      <vt:lpstr>Manufacturing</vt:lpstr>
      <vt:lpstr>MR</vt:lpstr>
      <vt:lpstr>nittk</vt:lpstr>
      <vt:lpstr>nittk_ok</vt:lpstr>
      <vt:lpstr>nittoukei</vt:lpstr>
      <vt:lpstr>Plan</vt:lpstr>
      <vt:lpstr>PRINT_AREA_MI</vt:lpstr>
      <vt:lpstr>PRINT_TITLES_MI</vt:lpstr>
      <vt:lpstr>ry</vt:lpstr>
      <vt:lpstr>ryohikei</vt:lpstr>
      <vt:lpstr>S</vt:lpstr>
      <vt:lpstr>sais</vt:lpstr>
      <vt:lpstr>saisyuu</vt:lpstr>
      <vt:lpstr>se</vt:lpstr>
      <vt:lpstr>sett</vt:lpstr>
      <vt:lpstr>setta</vt:lpstr>
      <vt:lpstr>settaihikei</vt:lpstr>
      <vt:lpstr>settaikousai</vt:lpstr>
      <vt:lpstr>SEX</vt:lpstr>
      <vt:lpstr>shu</vt:lpstr>
      <vt:lpstr>shukuhakukei</vt:lpstr>
      <vt:lpstr>so</vt:lpstr>
      <vt:lpstr>son</vt:lpstr>
      <vt:lpstr>sonot</vt:lpstr>
      <vt:lpstr>sonotakei</vt:lpstr>
      <vt:lpstr>ST</vt:lpstr>
      <vt:lpstr>stt</vt:lpstr>
      <vt:lpstr>SX</vt:lpstr>
      <vt:lpstr>sxx</vt:lpstr>
      <vt:lpstr>test</vt:lpstr>
      <vt:lpstr>test2</vt:lpstr>
      <vt:lpstr>test3</vt:lpstr>
      <vt:lpstr>test4</vt:lpstr>
      <vt:lpstr>Tgl</vt:lpstr>
      <vt:lpstr>tgll</vt:lpstr>
      <vt:lpstr>tr</vt:lpstr>
      <vt:lpstr>train</vt:lpstr>
      <vt:lpstr>TRIAL</vt:lpstr>
      <vt:lpstr>tttttttttttt</vt:lpstr>
      <vt:lpstr>tu</vt:lpstr>
      <vt:lpstr>tuusinhikei</vt:lpstr>
      <vt:lpstr>u</vt:lpstr>
      <vt:lpstr>uj</vt:lpstr>
      <vt:lpstr>uji</vt:lpstr>
      <vt:lpstr>UT</vt:lpstr>
      <vt:lpstr>uu</vt:lpstr>
      <vt:lpstr>ww</vt:lpstr>
      <vt:lpstr>ﾃﾞｰﾀセ直販</vt:lpstr>
      <vt:lpstr>ﾃﾞｰﾀプラント</vt:lpstr>
      <vt:lpstr>ﾃﾞｰﾀ海プ</vt:lpstr>
      <vt:lpstr>ﾃﾞｰﾀ海市</vt:lpstr>
      <vt:lpstr>ﾃﾞｰﾀ直販ｾﾝｻｰ</vt:lpstr>
      <vt:lpstr>プラントｺｰﾄﾞ</vt:lpstr>
      <vt:lpstr>リスト</vt:lpstr>
      <vt:lpstr>ルピア</vt:lpstr>
      <vt:lpstr>予算ﾚｰﾄ</vt:lpstr>
      <vt:lpstr>今</vt:lpstr>
      <vt:lpstr>仲介</vt:lpstr>
      <vt:lpstr>元</vt:lpstr>
      <vt:lpstr>円</vt:lpstr>
      <vt:lpstr>円vsドル_レート</vt:lpstr>
      <vt:lpstr>出発</vt:lpstr>
      <vt:lpstr>到着</vt:lpstr>
      <vt:lpstr>印刷領域</vt:lpstr>
      <vt:lpstr>品種別ｺｰﾄﾞ</vt:lpstr>
      <vt:lpstr>品種別出荷ﾃﾞｰﾀ</vt:lpstr>
      <vt:lpstr>品種別出荷ﾃﾞｰﾀ全社</vt:lpstr>
      <vt:lpstr>品種別実績</vt:lpstr>
      <vt:lpstr>商品群</vt:lpstr>
      <vt:lpstr>実績レート</vt:lpstr>
      <vt:lpstr>対象日数</vt:lpstr>
      <vt:lpstr>技術開発経費181</vt:lpstr>
      <vt:lpstr>技術開発経費182</vt:lpstr>
      <vt:lpstr>担当者</vt:lpstr>
      <vt:lpstr>支援まとめ</vt:lpstr>
      <vt:lpstr>日付</vt:lpstr>
      <vt:lpstr>日数</vt:lpstr>
      <vt:lpstr>期</vt:lpstr>
      <vt:lpstr>梱包_Ｍ３</vt:lpstr>
      <vt:lpstr>機能分類リスト</vt:lpstr>
      <vt:lpstr>比率</vt:lpstr>
      <vt:lpstr>決算期区分</vt:lpstr>
      <vt:lpstr>為替</vt:lpstr>
      <vt:lpstr>為替レートEU</vt:lpstr>
      <vt:lpstr>為替レートUS</vt:lpstr>
      <vt:lpstr>生産拠点</vt:lpstr>
      <vt:lpstr>直販ｺｰﾄﾞ</vt:lpstr>
      <vt:lpstr>立上年</vt:lpstr>
      <vt:lpstr>立上月</vt:lpstr>
      <vt:lpstr>補助部門比率</vt:lpstr>
      <vt:lpstr>補助部門費_設計以外181</vt:lpstr>
      <vt:lpstr>補助部門費_設計以外182</vt:lpstr>
      <vt:lpstr>販管費率</vt:lpstr>
      <vt:lpstr>輸入</vt:lpstr>
      <vt:lpstr>配布先</vt:lpstr>
      <vt:lpstr>開発経費合計181</vt:lpstr>
      <vt:lpstr>開発経費合計182</vt:lpstr>
      <vt:lpstr>雇用</vt:lpstr>
      <vt:lpstr>電話代補助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Wiyani Utari</dc:creator>
  <lastModifiedBy>User 40 NGKBUSI</lastModifiedBy>
  <dcterms:created xsi:type="dcterms:W3CDTF">2020-12-08T03:20:39.0000000Z</dcterms:created>
  <dcterms:modified xsi:type="dcterms:W3CDTF">2024-09-25T04:48:22.0000000Z</dcterms:modified>
</coreProperties>
</file>
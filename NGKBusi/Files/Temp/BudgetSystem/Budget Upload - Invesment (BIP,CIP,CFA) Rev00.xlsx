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Office Data\Budget\FY123\Form Upload\"/>
    </mc:Choice>
  </mc:AlternateContent>
  <xr:revisionPtr revIDLastSave="0" documentId="13_ncr:1_{DE705076-0F51-4387-BB74-433E295B0FB0}" xr6:coauthVersionLast="47" xr6:coauthVersionMax="47" xr10:uidLastSave="{00000000-0000-0000-0000-000000000000}"/>
  <bookViews>
    <workbookView xWindow="-120" yWindow="-120" windowWidth="29040" windowHeight="15990" xr2:uid="{DBC91B5C-E501-473C-9992-DED489074C07}"/>
  </bookViews>
  <sheets>
    <sheet name="Upload" sheetId="3" r:id="rId1"/>
    <sheet name="Master" sheetId="2" state="hidden" r:id="rId2"/>
    <sheet name="Master_Section" sheetId="6" state="hidden" r:id="rId3"/>
    <sheet name="COA" sheetId="1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j102" localSheetId="3">#REF!</definedName>
    <definedName name="__j102">#REF!</definedName>
    <definedName name="_1">#N/A</definedName>
    <definedName name="_Fill" localSheetId="3" hidden="1">#REF!</definedName>
    <definedName name="_Fill" localSheetId="1" hidden="1">#REF!</definedName>
    <definedName name="_Fill" hidden="1">#REF!</definedName>
    <definedName name="_xlnm._FilterDatabase" localSheetId="3" hidden="1">[1]金具工程見出し!$A$9:$K$9</definedName>
    <definedName name="_xlnm._FilterDatabase" localSheetId="1" hidden="1">Master!$A$1:$A$43</definedName>
    <definedName name="_xlnm._FilterDatabase" localSheetId="0" hidden="1">Upload!$H$1:$O$1</definedName>
    <definedName name="_xlnm._FilterDatabase" hidden="1">[2]金具工程見出し!$A$9:$K$9</definedName>
    <definedName name="_j102" localSheetId="3">#REF!</definedName>
    <definedName name="_j102" localSheetId="1">#REF!</definedName>
    <definedName name="_j102" localSheetId="0">#REF!</definedName>
    <definedName name="_j102">#REF!</definedName>
    <definedName name="_Key1" localSheetId="3" hidden="1">#REF!</definedName>
    <definedName name="_Key1" localSheetId="0" hidden="1">#REF!</definedName>
    <definedName name="_Key1" hidden="1">#REF!</definedName>
    <definedName name="_Order1" hidden="1">255</definedName>
    <definedName name="_Sort" localSheetId="3" hidden="1">#REF!</definedName>
    <definedName name="_Sort" localSheetId="1" hidden="1">#REF!</definedName>
    <definedName name="_Sort" localSheetId="0" hidden="1">#REF!</definedName>
    <definedName name="_Sort" hidden="1">#REF!</definedName>
    <definedName name="aa" localSheetId="3">#REF!</definedName>
    <definedName name="aa" localSheetId="0">#REF!</definedName>
    <definedName name="aa">#REF!</definedName>
    <definedName name="AB" localSheetId="3">#REF!</definedName>
    <definedName name="AB" localSheetId="0">#REF!</definedName>
    <definedName name="AB">#REF!</definedName>
    <definedName name="ai" localSheetId="3">#REF!</definedName>
    <definedName name="ai" localSheetId="0">#REF!</definedName>
    <definedName name="ai">#REF!</definedName>
    <definedName name="as" localSheetId="3">#REF!</definedName>
    <definedName name="as" localSheetId="0">#REF!</definedName>
    <definedName name="as">#REF!</definedName>
    <definedName name="assit" localSheetId="3">#REF!</definedName>
    <definedName name="assit" localSheetId="0">#REF!</definedName>
    <definedName name="assit">#REF!</definedName>
    <definedName name="b" localSheetId="3">#REF!</definedName>
    <definedName name="b" localSheetId="0">#REF!</definedName>
    <definedName name="b">#REF!</definedName>
    <definedName name="BC" localSheetId="3">#REF!</definedName>
    <definedName name="BC" localSheetId="0">#REF!</definedName>
    <definedName name="BC">#REF!</definedName>
    <definedName name="BI" localSheetId="3">#REF!</definedName>
    <definedName name="BI" localSheetId="0">#REF!</definedName>
    <definedName name="BI">#REF!</definedName>
    <definedName name="BO" localSheetId="3">#REF!</definedName>
    <definedName name="BO" localSheetId="0">#REF!</definedName>
    <definedName name="BO">#REF!</definedName>
    <definedName name="cc" localSheetId="3">#REF!</definedName>
    <definedName name="cc" localSheetId="0">#REF!</definedName>
    <definedName name="cc">#REF!</definedName>
    <definedName name="ccc" localSheetId="3" hidden="1">#REF!</definedName>
    <definedName name="ccc" localSheetId="0" hidden="1">#REF!</definedName>
    <definedName name="ccc" hidden="1">#REF!</definedName>
    <definedName name="CH" localSheetId="3">#REF!</definedName>
    <definedName name="CH" localSheetId="0">#REF!</definedName>
    <definedName name="CH">#REF!</definedName>
    <definedName name="CI" localSheetId="3">#REF!</definedName>
    <definedName name="CI" localSheetId="0">#REF!</definedName>
    <definedName name="CI">#REF!</definedName>
    <definedName name="Ck_for" localSheetId="3">#REF!</definedName>
    <definedName name="Ck_for" localSheetId="0">#REF!</definedName>
    <definedName name="Ck_for">#REF!</definedName>
    <definedName name="Ck_in" localSheetId="3">#REF!</definedName>
    <definedName name="Ck_in" localSheetId="0">#REF!</definedName>
    <definedName name="Ck_in">#REF!</definedName>
    <definedName name="Ck_out" localSheetId="3">#REF!</definedName>
    <definedName name="Ck_out" localSheetId="0">#REF!</definedName>
    <definedName name="Ck_out">#REF!</definedName>
    <definedName name="d" localSheetId="3">#REF!</definedName>
    <definedName name="d" localSheetId="0">#REF!</definedName>
    <definedName name="d">#REF!</definedName>
    <definedName name="_xlnm.Database" localSheetId="3">#REF!</definedName>
    <definedName name="_xlnm.Database" localSheetId="0">#REF!</definedName>
    <definedName name="_xlnm.Database">#REF!</definedName>
    <definedName name="dd" localSheetId="3">#REF!</definedName>
    <definedName name="dd" localSheetId="0">#REF!</definedName>
    <definedName name="dd">#REF!</definedName>
    <definedName name="ddd" localSheetId="3" hidden="1">#REF!</definedName>
    <definedName name="ddd" localSheetId="0" hidden="1">#REF!</definedName>
    <definedName name="ddd" hidden="1">#REF!</definedName>
    <definedName name="DF" localSheetId="3">#REF!</definedName>
    <definedName name="DF" localSheetId="0">#REF!</definedName>
    <definedName name="DF">#REF!</definedName>
    <definedName name="e" localSheetId="3">#REF!</definedName>
    <definedName name="e" localSheetId="0">#REF!</definedName>
    <definedName name="e">#REF!</definedName>
    <definedName name="edy">#REF!</definedName>
    <definedName name="ee" localSheetId="3">#REF!</definedName>
    <definedName name="ee" localSheetId="0">#REF!</definedName>
    <definedName name="ee">#REF!</definedName>
    <definedName name="eXCRATE" localSheetId="3">#REF!</definedName>
    <definedName name="eXCRATE" localSheetId="0">#REF!</definedName>
    <definedName name="eXCRATE">#REF!</definedName>
    <definedName name="exrate" localSheetId="3">#REF!</definedName>
    <definedName name="exrate" localSheetId="0">#REF!</definedName>
    <definedName name="exrate">#REF!</definedName>
    <definedName name="F" localSheetId="3">#REF!</definedName>
    <definedName name="F" localSheetId="0">#REF!</definedName>
    <definedName name="F">#REF!</definedName>
    <definedName name="fcb" localSheetId="3">#REF!</definedName>
    <definedName name="fcb" localSheetId="0">#REF!</definedName>
    <definedName name="fcb">#REF!</definedName>
    <definedName name="FG" localSheetId="3">#REF!</definedName>
    <definedName name="FG" localSheetId="0">#REF!</definedName>
    <definedName name="FG">#REF!</definedName>
    <definedName name="g" localSheetId="3">#REF!</definedName>
    <definedName name="g" localSheetId="0">#REF!</definedName>
    <definedName name="g">#REF!</definedName>
    <definedName name="gg" localSheetId="3">#REF!</definedName>
    <definedName name="gg" localSheetId="0">#REF!</definedName>
    <definedName name="gg">#REF!</definedName>
    <definedName name="HF" localSheetId="3">#REF!</definedName>
    <definedName name="HF" localSheetId="0">#REF!</definedName>
    <definedName name="HF">#REF!</definedName>
    <definedName name="HTML_CodePage" hidden="1">1252</definedName>
    <definedName name="HTML_Control" localSheetId="3" hidden="1">{"'Stock November   ' 99'!$A$1:$AF$46"}</definedName>
    <definedName name="HTML_Control" localSheetId="1" hidden="1">{"'Stock November   ' 99'!$A$1:$AF$46"}</definedName>
    <definedName name="HTML_Control" localSheetId="0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3">#REF!</definedName>
    <definedName name="kissa" localSheetId="1">#REF!</definedName>
    <definedName name="kissa" localSheetId="0">#REF!</definedName>
    <definedName name="kissa">#REF!</definedName>
    <definedName name="kissakei" localSheetId="3">#REF!</definedName>
    <definedName name="kissakei" localSheetId="0">#REF!</definedName>
    <definedName name="kissakei">#REF!</definedName>
    <definedName name="kk" localSheetId="3">#REF!</definedName>
    <definedName name="kk" localSheetId="0">#REF!</definedName>
    <definedName name="kk">#REF!</definedName>
    <definedName name="kkk" localSheetId="3">#REF!</definedName>
    <definedName name="kkk" localSheetId="0">#REF!</definedName>
    <definedName name="kkk">#REF!</definedName>
    <definedName name="kkkk" localSheetId="3">#REF!</definedName>
    <definedName name="kkkk" localSheetId="0">#REF!</definedName>
    <definedName name="kkkk">#REF!</definedName>
    <definedName name="l" localSheetId="3">#REF!</definedName>
    <definedName name="l" localSheetId="0">#REF!</definedName>
    <definedName name="l">#REF!</definedName>
    <definedName name="L_01" localSheetId="3">#REF!</definedName>
    <definedName name="L_01" localSheetId="0">#REF!</definedName>
    <definedName name="L_01">#REF!</definedName>
    <definedName name="LIA" localSheetId="3">#REF!</definedName>
    <definedName name="LIA" localSheetId="0">#REF!</definedName>
    <definedName name="LIA">#REF!</definedName>
    <definedName name="LILI" localSheetId="3">#REF!</definedName>
    <definedName name="LILI" localSheetId="0">#REF!</definedName>
    <definedName name="LILI">#REF!</definedName>
    <definedName name="LINA" localSheetId="3">#REF!</definedName>
    <definedName name="LINA" localSheetId="0">#REF!</definedName>
    <definedName name="LINA">#REF!</definedName>
    <definedName name="m" localSheetId="3">#REF!</definedName>
    <definedName name="m" localSheetId="0">#REF!</definedName>
    <definedName name="m">#REF!</definedName>
    <definedName name="Manufacturing" localSheetId="3">#REF!</definedName>
    <definedName name="Manufacturing" localSheetId="0">#REF!</definedName>
    <definedName name="Manufacturing">#REF!</definedName>
    <definedName name="MR" localSheetId="3">#REF!</definedName>
    <definedName name="MR" localSheetId="0">#REF!</definedName>
    <definedName name="MR">#REF!</definedName>
    <definedName name="nittk" localSheetId="3">#REF!</definedName>
    <definedName name="nittk" localSheetId="0">#REF!</definedName>
    <definedName name="nittk">#REF!</definedName>
    <definedName name="nittk_ok" localSheetId="3">#REF!</definedName>
    <definedName name="nittk_ok" localSheetId="0">#REF!</definedName>
    <definedName name="nittk_ok">#REF!</definedName>
    <definedName name="nittoukei" localSheetId="3">#REF!</definedName>
    <definedName name="nittoukei" localSheetId="0">#REF!</definedName>
    <definedName name="nittoukei">#REF!</definedName>
    <definedName name="Plan" hidden="1">[2]金具工程見出し!$A$9:$K$9</definedName>
    <definedName name="_xlnm.Print_Area" localSheetId="3">#REF!</definedName>
    <definedName name="_xlnm.Print_Area" localSheetId="1">#REF!</definedName>
    <definedName name="_xlnm.Print_Area">[2]金具工程見出し!$B$1:$K$65536</definedName>
    <definedName name="PRINT_AREA_MI" localSheetId="3">#REF!</definedName>
    <definedName name="PRINT_AREA_MI" localSheetId="1">#REF!</definedName>
    <definedName name="Print_Area_MI" localSheetId="0">#REF!</definedName>
    <definedName name="Print_Area_MI">#REF!</definedName>
    <definedName name="_xlnm.Print_Titles" localSheetId="3">#REF!</definedName>
    <definedName name="_xlnm.Print_Titles" localSheetId="1">#REF!</definedName>
    <definedName name="_xlnm.Print_Titles">#N/A</definedName>
    <definedName name="PRINT_TITLES_MI" localSheetId="3">#REF!</definedName>
    <definedName name="PRINT_TITLES_MI" localSheetId="1">#REF!</definedName>
    <definedName name="PRINT_TITLES_MI">#REF!</definedName>
    <definedName name="ry" localSheetId="3">#REF!</definedName>
    <definedName name="ry" localSheetId="0">#REF!</definedName>
    <definedName name="ry">#REF!</definedName>
    <definedName name="ryohikei" localSheetId="3">#REF!</definedName>
    <definedName name="ryohikei" localSheetId="0">#REF!</definedName>
    <definedName name="ryohikei">#REF!</definedName>
    <definedName name="S" localSheetId="3">#REF!</definedName>
    <definedName name="S" localSheetId="0">#REF!</definedName>
    <definedName name="S">#REF!</definedName>
    <definedName name="sais" localSheetId="3">#REF!</definedName>
    <definedName name="sais" localSheetId="0">#REF!</definedName>
    <definedName name="sais">#REF!</definedName>
    <definedName name="saisyuu" localSheetId="3">#REF!</definedName>
    <definedName name="saisyuu" localSheetId="0">#REF!</definedName>
    <definedName name="saisyuu">#REF!</definedName>
    <definedName name="se" localSheetId="3">#REF!</definedName>
    <definedName name="se" localSheetId="0">#REF!</definedName>
    <definedName name="se">#REF!</definedName>
    <definedName name="sett" localSheetId="3">#REF!</definedName>
    <definedName name="sett" localSheetId="0">#REF!</definedName>
    <definedName name="sett">#REF!</definedName>
    <definedName name="setta" localSheetId="3">#REF!</definedName>
    <definedName name="setta" localSheetId="0">#REF!</definedName>
    <definedName name="setta">#REF!</definedName>
    <definedName name="settaihikei" localSheetId="3">#REF!</definedName>
    <definedName name="settaihikei" localSheetId="0">#REF!</definedName>
    <definedName name="settaihikei">#REF!</definedName>
    <definedName name="settaikousai" localSheetId="3">#REF!</definedName>
    <definedName name="settaikousai" localSheetId="0">#REF!</definedName>
    <definedName name="settaikousai">#REF!</definedName>
    <definedName name="SEX" localSheetId="3">#REF!</definedName>
    <definedName name="SEX" localSheetId="0">#REF!</definedName>
    <definedName name="SEX">#REF!</definedName>
    <definedName name="shu" localSheetId="3">#REF!</definedName>
    <definedName name="shu" localSheetId="0">#REF!</definedName>
    <definedName name="shu">#REF!</definedName>
    <definedName name="shukuhakukei" localSheetId="3">#REF!</definedName>
    <definedName name="shukuhakukei" localSheetId="0">#REF!</definedName>
    <definedName name="shukuhakukei">#REF!</definedName>
    <definedName name="so" localSheetId="3">#REF!</definedName>
    <definedName name="so" localSheetId="0">#REF!</definedName>
    <definedName name="so">#REF!</definedName>
    <definedName name="son" localSheetId="3">#REF!</definedName>
    <definedName name="son" localSheetId="0">#REF!</definedName>
    <definedName name="son">#REF!</definedName>
    <definedName name="sonot" localSheetId="3">#REF!</definedName>
    <definedName name="sonot" localSheetId="0">#REF!</definedName>
    <definedName name="sonot">#REF!</definedName>
    <definedName name="sonotakei" localSheetId="3">#REF!</definedName>
    <definedName name="sonotakei" localSheetId="0">#REF!</definedName>
    <definedName name="sonotakei">#REF!</definedName>
    <definedName name="ST" localSheetId="3">#REF!</definedName>
    <definedName name="ST" localSheetId="0">#REF!</definedName>
    <definedName name="ST">#REF!</definedName>
    <definedName name="stt" localSheetId="3">#REF!</definedName>
    <definedName name="stt" localSheetId="0">#REF!</definedName>
    <definedName name="stt">#REF!</definedName>
    <definedName name="SX" localSheetId="3">#REF!</definedName>
    <definedName name="SX" localSheetId="0">#REF!</definedName>
    <definedName name="SX">#REF!</definedName>
    <definedName name="sxx" localSheetId="3">#REF!</definedName>
    <definedName name="sxx" localSheetId="0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3">#REF!</definedName>
    <definedName name="Tgl" localSheetId="1">#REF!</definedName>
    <definedName name="Tgl" localSheetId="0">#REF!</definedName>
    <definedName name="Tgl">#REF!</definedName>
    <definedName name="tgll" localSheetId="3">#REF!</definedName>
    <definedName name="tgll" localSheetId="0">#REF!</definedName>
    <definedName name="tgll">#REF!</definedName>
    <definedName name="tr" localSheetId="3">#REF!</definedName>
    <definedName name="tr" localSheetId="0">#REF!</definedName>
    <definedName name="tr">#REF!</definedName>
    <definedName name="train" localSheetId="3">#REF!</definedName>
    <definedName name="train" localSheetId="0">#REF!</definedName>
    <definedName name="train">#REF!</definedName>
    <definedName name="TRIAL" localSheetId="3">#REF!</definedName>
    <definedName name="TRIAL" localSheetId="0">#REF!</definedName>
    <definedName name="TRIAL">#REF!</definedName>
    <definedName name="tttttttttttt" localSheetId="3">#REF!</definedName>
    <definedName name="tttttttttttt" localSheetId="0">#REF!</definedName>
    <definedName name="tttttttttttt">#REF!</definedName>
    <definedName name="tu" localSheetId="3">#REF!</definedName>
    <definedName name="tu" localSheetId="0">#REF!</definedName>
    <definedName name="tu">#REF!</definedName>
    <definedName name="tuusinhikei" localSheetId="3">#REF!</definedName>
    <definedName name="tuusinhikei" localSheetId="0">#REF!</definedName>
    <definedName name="tuusinhikei">#REF!</definedName>
    <definedName name="u" localSheetId="3">#REF!</definedName>
    <definedName name="u" localSheetId="0">#REF!</definedName>
    <definedName name="u">#REF!</definedName>
    <definedName name="uj" localSheetId="3" hidden="1">{"'Stock November   ' 99'!$A$1:$AF$46"}</definedName>
    <definedName name="uj" localSheetId="1" hidden="1">{"'Stock November   ' 99'!$A$1:$AF$46"}</definedName>
    <definedName name="uj" localSheetId="0" hidden="1">{"'Stock November   ' 99'!$A$1:$AF$46"}</definedName>
    <definedName name="uj" hidden="1">{"'Stock November   ' 99'!$A$1:$AF$46"}</definedName>
    <definedName name="uji" localSheetId="3" hidden="1">{"'Stock November   ' 99'!$A$1:$AF$46"}</definedName>
    <definedName name="uji" localSheetId="1" hidden="1">{"'Stock November   ' 99'!$A$1:$AF$46"}</definedName>
    <definedName name="uji" localSheetId="0" hidden="1">{"'Stock November   ' 99'!$A$1:$AF$46"}</definedName>
    <definedName name="uji" hidden="1">{"'Stock November   ' 99'!$A$1:$AF$46"}</definedName>
    <definedName name="UT" localSheetId="3">#REF!</definedName>
    <definedName name="UT" localSheetId="0">#REF!</definedName>
    <definedName name="UT">#REF!</definedName>
    <definedName name="uu" localSheetId="3">#REF!</definedName>
    <definedName name="uu" localSheetId="0">#REF!</definedName>
    <definedName name="uu">#REF!</definedName>
    <definedName name="ww" localSheetId="3">#REF!</definedName>
    <definedName name="ww" localSheetId="0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3">#REF!</definedName>
    <definedName name="ﾃﾞｰﾀ海市" localSheetId="1">#REF!</definedName>
    <definedName name="ﾃﾞｰﾀ海市" localSheetId="0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3">#REF!</definedName>
    <definedName name="ルピア" localSheetId="1">#REF!</definedName>
    <definedName name="ルピア" localSheetId="0">#REF!</definedName>
    <definedName name="ルピア">#REF!</definedName>
    <definedName name="予算ﾚｰﾄ" localSheetId="3">#REF!</definedName>
    <definedName name="予算ﾚｰﾄ" localSheetId="0">#REF!</definedName>
    <definedName name="予算ﾚｰﾄ">#REF!</definedName>
    <definedName name="今" localSheetId="3">#REF!</definedName>
    <definedName name="今" localSheetId="0">#REF!</definedName>
    <definedName name="今">#REF!</definedName>
    <definedName name="仲介" localSheetId="3">#REF!</definedName>
    <definedName name="仲介" localSheetId="0">#REF!</definedName>
    <definedName name="仲介">#REF!</definedName>
    <definedName name="元" localSheetId="3">#REF!</definedName>
    <definedName name="元" localSheetId="0">#REF!</definedName>
    <definedName name="元">#REF!</definedName>
    <definedName name="円" localSheetId="3">#REF!</definedName>
    <definedName name="円" localSheetId="0">#REF!</definedName>
    <definedName name="円">#REF!</definedName>
    <definedName name="円vsドル_レート" localSheetId="3">#REF!</definedName>
    <definedName name="円vsドル_レート" localSheetId="0">#REF!</definedName>
    <definedName name="円vsドル_レート">#REF!</definedName>
    <definedName name="出発" localSheetId="3">[6]支援計画・０４!$G$4:$G$171</definedName>
    <definedName name="出発" localSheetId="1">[6]支援計画・０４!$G$4:$G$171</definedName>
    <definedName name="出発">[7]支援計画・０４!$G$4:$G$171</definedName>
    <definedName name="到着" localSheetId="3">[6]支援計画・０４!$F$4:$F$171</definedName>
    <definedName name="到着" localSheetId="1">[6]支援計画・０４!$F$4:$F$171</definedName>
    <definedName name="到着">[7]支援計画・０４!$F$4:$F$171</definedName>
    <definedName name="印刷領域" localSheetId="3">#REF!</definedName>
    <definedName name="印刷領域" localSheetId="1">#REF!</definedName>
    <definedName name="印刷領域" localSheetId="0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3">#REF!</definedName>
    <definedName name="品種別実績" localSheetId="1">#REF!</definedName>
    <definedName name="品種別実績" localSheetId="0">#REF!</definedName>
    <definedName name="品種別実績">#REF!</definedName>
    <definedName name="商品群" localSheetId="3">[8]テーブル!$B$2:$B$7</definedName>
    <definedName name="商品群" localSheetId="1">[8]テーブル!$B$2:$B$7</definedName>
    <definedName name="商品群">[9]テーブル!$B$2:$B$7</definedName>
    <definedName name="実績レート" localSheetId="3">#REF!</definedName>
    <definedName name="実績レート" localSheetId="1">#REF!</definedName>
    <definedName name="実績レート" localSheetId="0">#REF!</definedName>
    <definedName name="実績レート">#REF!</definedName>
    <definedName name="対象日数" localSheetId="3">#REF!</definedName>
    <definedName name="対象日数" localSheetId="0">#REF!</definedName>
    <definedName name="対象日数">#REF!</definedName>
    <definedName name="技術開発経費181" localSheetId="3">#REF!</definedName>
    <definedName name="技術開発経費181" localSheetId="0">#REF!</definedName>
    <definedName name="技術開発経費181">#REF!</definedName>
    <definedName name="技術開発経費182" localSheetId="3">#REF!</definedName>
    <definedName name="技術開発経費182" localSheetId="0">#REF!</definedName>
    <definedName name="技術開発経費182">#REF!</definedName>
    <definedName name="担当者" localSheetId="3">[8]テーブル!$F$2:$F$24</definedName>
    <definedName name="担当者" localSheetId="1">[8]テーブル!$F$2:$F$24</definedName>
    <definedName name="担当者">[9]テーブル!$F$2:$F$24</definedName>
    <definedName name="支援まとめ">'[10]予定日別1-6'!$U$4:$GV$4</definedName>
    <definedName name="日付" localSheetId="3">[6]支援計画・０４!$J$4:$CW$4</definedName>
    <definedName name="日付" localSheetId="1">[6]支援計画・０４!$J$4:$CW$4</definedName>
    <definedName name="日付">[7]支援計画・０４!$J$4:$CW$4</definedName>
    <definedName name="日数" localSheetId="3">#REF!</definedName>
    <definedName name="日数" localSheetId="1">#REF!</definedName>
    <definedName name="日数" localSheetId="0">#REF!</definedName>
    <definedName name="日数">#REF!</definedName>
    <definedName name="期" localSheetId="3">#REF!</definedName>
    <definedName name="期" localSheetId="0">#REF!</definedName>
    <definedName name="期">#REF!</definedName>
    <definedName name="梱包_Ｍ３">'[11]KB,MOLD ESTIMATE.00'!$F$13:$X$13</definedName>
    <definedName name="機能分類リスト" localSheetId="0">[12]開発計画品番リスト!#REF!</definedName>
    <definedName name="機能分類リスト">[12]開発計画品番リスト!#REF!</definedName>
    <definedName name="比率" localSheetId="0">[13]調達計画!#REF!</definedName>
    <definedName name="比率">[13]調達計画!#REF!</definedName>
    <definedName name="決算期区分" localSheetId="3">#REF!</definedName>
    <definedName name="決算期区分" localSheetId="1">#REF!</definedName>
    <definedName name="決算期区分" localSheetId="0">#REF!</definedName>
    <definedName name="決算期区分">#REF!</definedName>
    <definedName name="為替" localSheetId="3">#REF!</definedName>
    <definedName name="為替" localSheetId="0">#REF!</definedName>
    <definedName name="為替">#REF!</definedName>
    <definedName name="為替レートEU" localSheetId="3">#REF!</definedName>
    <definedName name="為替レートEU" localSheetId="0">#REF!</definedName>
    <definedName name="為替レートEU">#REF!</definedName>
    <definedName name="為替レートUS" localSheetId="3">#REF!</definedName>
    <definedName name="為替レートUS" localSheetId="0">#REF!</definedName>
    <definedName name="為替レートUS">#REF!</definedName>
    <definedName name="生産拠点" localSheetId="3">[8]テーブル!$C$2:$C$6</definedName>
    <definedName name="生産拠点" localSheetId="1">[8]テーブル!$C$2:$C$6</definedName>
    <definedName name="生産拠点">[9]テーブル!$C$2:$C$6</definedName>
    <definedName name="直販ｺｰﾄﾞ">'[4]ｺﾋﾟｰ用（直セ）'!$F$1:$AN$263</definedName>
    <definedName name="立上年" localSheetId="3">[8]テーブル!$A$2:$A$11</definedName>
    <definedName name="立上年" localSheetId="1">[8]テーブル!$A$2:$A$11</definedName>
    <definedName name="立上年">[9]テーブル!$A$2:$A$11</definedName>
    <definedName name="立上月" localSheetId="3">[8]テーブル!$D$2:$D$13</definedName>
    <definedName name="立上月" localSheetId="1">[8]テーブル!$D$2:$D$13</definedName>
    <definedName name="立上月">[9]テーブル!$D$2:$D$13</definedName>
    <definedName name="補助部門比率" localSheetId="3">#REF!</definedName>
    <definedName name="補助部門比率" localSheetId="1">#REF!</definedName>
    <definedName name="補助部門比率" localSheetId="0">#REF!</definedName>
    <definedName name="補助部門比率">#REF!</definedName>
    <definedName name="補助部門費_設計以外181" localSheetId="3">#REF!</definedName>
    <definedName name="補助部門費_設計以外181" localSheetId="0">#REF!</definedName>
    <definedName name="補助部門費_設計以外181">#REF!</definedName>
    <definedName name="補助部門費_設計以外182" localSheetId="3">#REF!</definedName>
    <definedName name="補助部門費_設計以外182" localSheetId="0">#REF!</definedName>
    <definedName name="補助部門費_設計以外182">#REF!</definedName>
    <definedName name="販管費率" localSheetId="3">#REF!</definedName>
    <definedName name="販管費率" localSheetId="0">#REF!</definedName>
    <definedName name="販管費率">#REF!</definedName>
    <definedName name="輸入" localSheetId="3">#REF!</definedName>
    <definedName name="輸入" localSheetId="0">#REF!</definedName>
    <definedName name="輸入">#REF!</definedName>
    <definedName name="配布先" localSheetId="3">#REF!</definedName>
    <definedName name="配布先" localSheetId="0">#REF!</definedName>
    <definedName name="配布先">#REF!</definedName>
    <definedName name="開発経費合計181" localSheetId="3">#REF!</definedName>
    <definedName name="開発経費合計181" localSheetId="0">#REF!</definedName>
    <definedName name="開発経費合計181">#REF!</definedName>
    <definedName name="開発経費合計182" localSheetId="3">#REF!</definedName>
    <definedName name="開発経費合計182" localSheetId="0">#REF!</definedName>
    <definedName name="開発経費合計182">#REF!</definedName>
    <definedName name="雇用" localSheetId="3">#REF!</definedName>
    <definedName name="雇用" localSheetId="0">#REF!</definedName>
    <definedName name="雇用">#REF!</definedName>
    <definedName name="電話代補助" localSheetId="3">#REF!</definedName>
    <definedName name="電話代補助" localSheetId="0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3" l="1"/>
  <c r="P7" i="3"/>
  <c r="F7" i="3"/>
  <c r="D7" i="3"/>
  <c r="J7" i="3" s="1"/>
  <c r="B7" i="3"/>
  <c r="Q6" i="3"/>
  <c r="P6" i="3"/>
  <c r="F6" i="3"/>
  <c r="D6" i="3"/>
  <c r="J6" i="3" s="1"/>
  <c r="B6" i="3"/>
  <c r="Q5" i="3"/>
  <c r="P5" i="3"/>
  <c r="I5" i="3"/>
  <c r="F5" i="3"/>
  <c r="D5" i="3"/>
  <c r="J5" i="3" s="1"/>
  <c r="B5" i="3"/>
  <c r="Q4" i="3"/>
  <c r="P4" i="3"/>
  <c r="F4" i="3"/>
  <c r="D4" i="3"/>
  <c r="J4" i="3" s="1"/>
  <c r="B4" i="3"/>
  <c r="Q3" i="3"/>
  <c r="P3" i="3"/>
  <c r="F3" i="3"/>
  <c r="D3" i="3"/>
  <c r="J3" i="3" s="1"/>
  <c r="B3" i="3"/>
  <c r="Q2" i="3"/>
  <c r="P2" i="3"/>
  <c r="F2" i="3"/>
  <c r="D2" i="3"/>
  <c r="J2" i="3" s="1"/>
  <c r="B2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103" i="3"/>
  <c r="J103" i="3"/>
  <c r="I104" i="3"/>
  <c r="J104" i="3"/>
  <c r="I105" i="3"/>
  <c r="J105" i="3"/>
  <c r="I106" i="3"/>
  <c r="J106" i="3"/>
  <c r="I107" i="3"/>
  <c r="J107" i="3"/>
  <c r="I108" i="3"/>
  <c r="J108" i="3"/>
  <c r="I109" i="3"/>
  <c r="J109" i="3"/>
  <c r="I110" i="3"/>
  <c r="J110" i="3"/>
  <c r="I111" i="3"/>
  <c r="J111" i="3"/>
  <c r="I112" i="3"/>
  <c r="J112" i="3"/>
  <c r="I113" i="3"/>
  <c r="J113" i="3"/>
  <c r="I114" i="3"/>
  <c r="J114" i="3"/>
  <c r="I115" i="3"/>
  <c r="J115" i="3"/>
  <c r="I116" i="3"/>
  <c r="J116" i="3"/>
  <c r="I117" i="3"/>
  <c r="J117" i="3"/>
  <c r="I118" i="3"/>
  <c r="J118" i="3"/>
  <c r="I119" i="3"/>
  <c r="J119" i="3"/>
  <c r="I120" i="3"/>
  <c r="J120" i="3"/>
  <c r="I121" i="3"/>
  <c r="J121" i="3"/>
  <c r="I122" i="3"/>
  <c r="J122" i="3"/>
  <c r="I123" i="3"/>
  <c r="J123" i="3"/>
  <c r="I124" i="3"/>
  <c r="J124" i="3"/>
  <c r="I125" i="3"/>
  <c r="J125" i="3"/>
  <c r="I126" i="3"/>
  <c r="J126" i="3"/>
  <c r="I127" i="3"/>
  <c r="J127" i="3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I135" i="3"/>
  <c r="J135" i="3"/>
  <c r="I136" i="3"/>
  <c r="J136" i="3"/>
  <c r="I137" i="3"/>
  <c r="J137" i="3"/>
  <c r="I138" i="3"/>
  <c r="J138" i="3"/>
  <c r="I139" i="3"/>
  <c r="J139" i="3"/>
  <c r="I140" i="3"/>
  <c r="J140" i="3"/>
  <c r="I141" i="3"/>
  <c r="J141" i="3"/>
  <c r="I142" i="3"/>
  <c r="J142" i="3"/>
  <c r="I143" i="3"/>
  <c r="J143" i="3"/>
  <c r="I144" i="3"/>
  <c r="J144" i="3"/>
  <c r="I145" i="3"/>
  <c r="J145" i="3"/>
  <c r="I146" i="3"/>
  <c r="J146" i="3"/>
  <c r="I147" i="3"/>
  <c r="J147" i="3"/>
  <c r="I148" i="3"/>
  <c r="J148" i="3"/>
  <c r="I149" i="3"/>
  <c r="J149" i="3"/>
  <c r="I150" i="3"/>
  <c r="J150" i="3"/>
  <c r="I151" i="3"/>
  <c r="J151" i="3"/>
  <c r="I152" i="3"/>
  <c r="J152" i="3"/>
  <c r="I153" i="3"/>
  <c r="J153" i="3"/>
  <c r="I154" i="3"/>
  <c r="J154" i="3"/>
  <c r="I155" i="3"/>
  <c r="J155" i="3"/>
  <c r="I156" i="3"/>
  <c r="J156" i="3"/>
  <c r="I157" i="3"/>
  <c r="J157" i="3"/>
  <c r="I158" i="3"/>
  <c r="J158" i="3"/>
  <c r="I159" i="3"/>
  <c r="J159" i="3"/>
  <c r="I160" i="3"/>
  <c r="J160" i="3"/>
  <c r="I161" i="3"/>
  <c r="J161" i="3"/>
  <c r="I162" i="3"/>
  <c r="J162" i="3"/>
  <c r="I163" i="3"/>
  <c r="J163" i="3"/>
  <c r="I164" i="3"/>
  <c r="J164" i="3"/>
  <c r="I165" i="3"/>
  <c r="J165" i="3"/>
  <c r="I166" i="3"/>
  <c r="J166" i="3"/>
  <c r="I167" i="3"/>
  <c r="J167" i="3"/>
  <c r="I168" i="3"/>
  <c r="J168" i="3"/>
  <c r="I169" i="3"/>
  <c r="J169" i="3"/>
  <c r="I170" i="3"/>
  <c r="J170" i="3"/>
  <c r="I171" i="3"/>
  <c r="J171" i="3"/>
  <c r="I172" i="3"/>
  <c r="J172" i="3"/>
  <c r="I173" i="3"/>
  <c r="J173" i="3"/>
  <c r="I174" i="3"/>
  <c r="J174" i="3"/>
  <c r="I175" i="3"/>
  <c r="J175" i="3"/>
  <c r="I176" i="3"/>
  <c r="J176" i="3"/>
  <c r="I177" i="3"/>
  <c r="J177" i="3"/>
  <c r="I178" i="3"/>
  <c r="J178" i="3"/>
  <c r="I179" i="3"/>
  <c r="J179" i="3"/>
  <c r="I180" i="3"/>
  <c r="J180" i="3"/>
  <c r="I181" i="3"/>
  <c r="J181" i="3"/>
  <c r="I182" i="3"/>
  <c r="J182" i="3"/>
  <c r="I183" i="3"/>
  <c r="J183" i="3"/>
  <c r="I184" i="3"/>
  <c r="J184" i="3"/>
  <c r="I185" i="3"/>
  <c r="J185" i="3"/>
  <c r="I186" i="3"/>
  <c r="J186" i="3"/>
  <c r="I187" i="3"/>
  <c r="J187" i="3"/>
  <c r="I188" i="3"/>
  <c r="J188" i="3"/>
  <c r="I189" i="3"/>
  <c r="J189" i="3"/>
  <c r="I190" i="3"/>
  <c r="J190" i="3"/>
  <c r="I191" i="3"/>
  <c r="J191" i="3"/>
  <c r="I192" i="3"/>
  <c r="J192" i="3"/>
  <c r="I193" i="3"/>
  <c r="J193" i="3"/>
  <c r="I194" i="3"/>
  <c r="J194" i="3"/>
  <c r="I195" i="3"/>
  <c r="J195" i="3"/>
  <c r="I196" i="3"/>
  <c r="J196" i="3"/>
  <c r="I197" i="3"/>
  <c r="J197" i="3"/>
  <c r="I198" i="3"/>
  <c r="J198" i="3"/>
  <c r="I199" i="3"/>
  <c r="J199" i="3"/>
  <c r="I200" i="3"/>
  <c r="J200" i="3"/>
  <c r="I201" i="3"/>
  <c r="J201" i="3"/>
  <c r="I202" i="3"/>
  <c r="J202" i="3"/>
  <c r="I203" i="3"/>
  <c r="J203" i="3"/>
  <c r="I204" i="3"/>
  <c r="J204" i="3"/>
  <c r="I205" i="3"/>
  <c r="J205" i="3"/>
  <c r="I206" i="3"/>
  <c r="J206" i="3"/>
  <c r="I207" i="3"/>
  <c r="J207" i="3"/>
  <c r="I208" i="3"/>
  <c r="J208" i="3"/>
  <c r="I209" i="3"/>
  <c r="J209" i="3"/>
  <c r="I210" i="3"/>
  <c r="J210" i="3"/>
  <c r="I211" i="3"/>
  <c r="J211" i="3"/>
  <c r="I212" i="3"/>
  <c r="J212" i="3"/>
  <c r="I213" i="3"/>
  <c r="J213" i="3"/>
  <c r="I214" i="3"/>
  <c r="J214" i="3"/>
  <c r="I215" i="3"/>
  <c r="J215" i="3"/>
  <c r="I216" i="3"/>
  <c r="J216" i="3"/>
  <c r="I217" i="3"/>
  <c r="J217" i="3"/>
  <c r="I218" i="3"/>
  <c r="J218" i="3"/>
  <c r="I219" i="3"/>
  <c r="J219" i="3"/>
  <c r="I220" i="3"/>
  <c r="J220" i="3"/>
  <c r="I221" i="3"/>
  <c r="J221" i="3"/>
  <c r="I222" i="3"/>
  <c r="J222" i="3"/>
  <c r="I223" i="3"/>
  <c r="J223" i="3"/>
  <c r="I224" i="3"/>
  <c r="J224" i="3"/>
  <c r="I225" i="3"/>
  <c r="J225" i="3"/>
  <c r="I226" i="3"/>
  <c r="J226" i="3"/>
  <c r="I227" i="3"/>
  <c r="J227" i="3"/>
  <c r="I228" i="3"/>
  <c r="J228" i="3"/>
  <c r="I229" i="3"/>
  <c r="J229" i="3"/>
  <c r="I230" i="3"/>
  <c r="J230" i="3"/>
  <c r="I231" i="3"/>
  <c r="J231" i="3"/>
  <c r="I232" i="3"/>
  <c r="J232" i="3"/>
  <c r="I233" i="3"/>
  <c r="J233" i="3"/>
  <c r="I234" i="3"/>
  <c r="J234" i="3"/>
  <c r="I235" i="3"/>
  <c r="J235" i="3"/>
  <c r="I236" i="3"/>
  <c r="J236" i="3"/>
  <c r="I237" i="3"/>
  <c r="J237" i="3"/>
  <c r="I238" i="3"/>
  <c r="J238" i="3"/>
  <c r="I239" i="3"/>
  <c r="J239" i="3"/>
  <c r="I240" i="3"/>
  <c r="J240" i="3"/>
  <c r="I241" i="3"/>
  <c r="J241" i="3"/>
  <c r="I242" i="3"/>
  <c r="J242" i="3"/>
  <c r="I243" i="3"/>
  <c r="J243" i="3"/>
  <c r="I244" i="3"/>
  <c r="J244" i="3"/>
  <c r="I245" i="3"/>
  <c r="J245" i="3"/>
  <c r="I246" i="3"/>
  <c r="J246" i="3"/>
  <c r="I247" i="3"/>
  <c r="J247" i="3"/>
  <c r="I248" i="3"/>
  <c r="J248" i="3"/>
  <c r="I249" i="3"/>
  <c r="J249" i="3"/>
  <c r="I250" i="3"/>
  <c r="J250" i="3"/>
  <c r="I251" i="3"/>
  <c r="J251" i="3"/>
  <c r="I252" i="3"/>
  <c r="J252" i="3"/>
  <c r="I253" i="3"/>
  <c r="J253" i="3"/>
  <c r="I254" i="3"/>
  <c r="J254" i="3"/>
  <c r="I255" i="3"/>
  <c r="J255" i="3"/>
  <c r="I256" i="3"/>
  <c r="J256" i="3"/>
  <c r="I257" i="3"/>
  <c r="J257" i="3"/>
  <c r="I258" i="3"/>
  <c r="J258" i="3"/>
  <c r="I259" i="3"/>
  <c r="J259" i="3"/>
  <c r="I260" i="3"/>
  <c r="J260" i="3"/>
  <c r="I261" i="3"/>
  <c r="J261" i="3"/>
  <c r="I262" i="3"/>
  <c r="J262" i="3"/>
  <c r="I263" i="3"/>
  <c r="J263" i="3"/>
  <c r="I264" i="3"/>
  <c r="J264" i="3"/>
  <c r="I265" i="3"/>
  <c r="J265" i="3"/>
  <c r="I266" i="3"/>
  <c r="J266" i="3"/>
  <c r="I267" i="3"/>
  <c r="J267" i="3"/>
  <c r="I268" i="3"/>
  <c r="J268" i="3"/>
  <c r="I269" i="3"/>
  <c r="J269" i="3"/>
  <c r="I270" i="3"/>
  <c r="J270" i="3"/>
  <c r="I271" i="3"/>
  <c r="J271" i="3"/>
  <c r="I272" i="3"/>
  <c r="J272" i="3"/>
  <c r="I273" i="3"/>
  <c r="J273" i="3"/>
  <c r="I274" i="3"/>
  <c r="J274" i="3"/>
  <c r="I275" i="3"/>
  <c r="J275" i="3"/>
  <c r="I276" i="3"/>
  <c r="J276" i="3"/>
  <c r="I277" i="3"/>
  <c r="J277" i="3"/>
  <c r="I278" i="3"/>
  <c r="J278" i="3"/>
  <c r="I279" i="3"/>
  <c r="J279" i="3"/>
  <c r="I280" i="3"/>
  <c r="J280" i="3"/>
  <c r="I281" i="3"/>
  <c r="J281" i="3"/>
  <c r="I282" i="3"/>
  <c r="J282" i="3"/>
  <c r="I283" i="3"/>
  <c r="J283" i="3"/>
  <c r="I284" i="3"/>
  <c r="J284" i="3"/>
  <c r="I285" i="3"/>
  <c r="J285" i="3"/>
  <c r="I286" i="3"/>
  <c r="J286" i="3"/>
  <c r="I287" i="3"/>
  <c r="J287" i="3"/>
  <c r="I288" i="3"/>
  <c r="J288" i="3"/>
  <c r="I289" i="3"/>
  <c r="J289" i="3"/>
  <c r="I290" i="3"/>
  <c r="J290" i="3"/>
  <c r="I291" i="3"/>
  <c r="J291" i="3"/>
  <c r="I292" i="3"/>
  <c r="J292" i="3"/>
  <c r="I293" i="3"/>
  <c r="J293" i="3"/>
  <c r="I294" i="3"/>
  <c r="J294" i="3"/>
  <c r="I295" i="3"/>
  <c r="J295" i="3"/>
  <c r="I296" i="3"/>
  <c r="J296" i="3"/>
  <c r="I297" i="3"/>
  <c r="J297" i="3"/>
  <c r="I298" i="3"/>
  <c r="J298" i="3"/>
  <c r="I299" i="3"/>
  <c r="J299" i="3"/>
  <c r="I300" i="3"/>
  <c r="J300" i="3"/>
  <c r="I301" i="3"/>
  <c r="J301" i="3"/>
  <c r="I302" i="3"/>
  <c r="J302" i="3"/>
  <c r="I303" i="3"/>
  <c r="J303" i="3"/>
  <c r="I304" i="3"/>
  <c r="J304" i="3"/>
  <c r="I305" i="3"/>
  <c r="J305" i="3"/>
  <c r="I306" i="3"/>
  <c r="J306" i="3"/>
  <c r="I307" i="3"/>
  <c r="J307" i="3"/>
  <c r="I308" i="3"/>
  <c r="J308" i="3"/>
  <c r="I309" i="3"/>
  <c r="J309" i="3"/>
  <c r="I310" i="3"/>
  <c r="J310" i="3"/>
  <c r="I311" i="3"/>
  <c r="J311" i="3"/>
  <c r="I312" i="3"/>
  <c r="J312" i="3"/>
  <c r="I313" i="3"/>
  <c r="J313" i="3"/>
  <c r="I314" i="3"/>
  <c r="J314" i="3"/>
  <c r="I315" i="3"/>
  <c r="J315" i="3"/>
  <c r="I316" i="3"/>
  <c r="J316" i="3"/>
  <c r="I317" i="3"/>
  <c r="J317" i="3"/>
  <c r="I318" i="3"/>
  <c r="J318" i="3"/>
  <c r="I319" i="3"/>
  <c r="J319" i="3"/>
  <c r="I320" i="3"/>
  <c r="J320" i="3"/>
  <c r="I321" i="3"/>
  <c r="J321" i="3"/>
  <c r="I322" i="3"/>
  <c r="J322" i="3"/>
  <c r="I323" i="3"/>
  <c r="J323" i="3"/>
  <c r="I324" i="3"/>
  <c r="J324" i="3"/>
  <c r="I325" i="3"/>
  <c r="J325" i="3"/>
  <c r="I326" i="3"/>
  <c r="J326" i="3"/>
  <c r="I327" i="3"/>
  <c r="J327" i="3"/>
  <c r="I328" i="3"/>
  <c r="J328" i="3"/>
  <c r="I329" i="3"/>
  <c r="J329" i="3"/>
  <c r="I330" i="3"/>
  <c r="J330" i="3"/>
  <c r="I331" i="3"/>
  <c r="J331" i="3"/>
  <c r="I332" i="3"/>
  <c r="J332" i="3"/>
  <c r="I333" i="3"/>
  <c r="J333" i="3"/>
  <c r="I334" i="3"/>
  <c r="J334" i="3"/>
  <c r="I335" i="3"/>
  <c r="J335" i="3"/>
  <c r="I336" i="3"/>
  <c r="J336" i="3"/>
  <c r="I337" i="3"/>
  <c r="J337" i="3"/>
  <c r="I338" i="3"/>
  <c r="J338" i="3"/>
  <c r="I339" i="3"/>
  <c r="J339" i="3"/>
  <c r="I340" i="3"/>
  <c r="J340" i="3"/>
  <c r="I341" i="3"/>
  <c r="J341" i="3"/>
  <c r="I342" i="3"/>
  <c r="J342" i="3"/>
  <c r="I343" i="3"/>
  <c r="J343" i="3"/>
  <c r="I344" i="3"/>
  <c r="J344" i="3"/>
  <c r="I345" i="3"/>
  <c r="J345" i="3"/>
  <c r="I346" i="3"/>
  <c r="J346" i="3"/>
  <c r="I347" i="3"/>
  <c r="J347" i="3"/>
  <c r="I348" i="3"/>
  <c r="J348" i="3"/>
  <c r="I349" i="3"/>
  <c r="J349" i="3"/>
  <c r="I350" i="3"/>
  <c r="J350" i="3"/>
  <c r="I351" i="3"/>
  <c r="J351" i="3"/>
  <c r="I352" i="3"/>
  <c r="J352" i="3"/>
  <c r="I353" i="3"/>
  <c r="J353" i="3"/>
  <c r="I354" i="3"/>
  <c r="J354" i="3"/>
  <c r="I355" i="3"/>
  <c r="J355" i="3"/>
  <c r="I356" i="3"/>
  <c r="J356" i="3"/>
  <c r="I357" i="3"/>
  <c r="J357" i="3"/>
  <c r="I358" i="3"/>
  <c r="J358" i="3"/>
  <c r="I359" i="3"/>
  <c r="J359" i="3"/>
  <c r="I360" i="3"/>
  <c r="J360" i="3"/>
  <c r="I361" i="3"/>
  <c r="J361" i="3"/>
  <c r="I362" i="3"/>
  <c r="J362" i="3"/>
  <c r="I363" i="3"/>
  <c r="J363" i="3"/>
  <c r="I364" i="3"/>
  <c r="J364" i="3"/>
  <c r="I365" i="3"/>
  <c r="J365" i="3"/>
  <c r="I366" i="3"/>
  <c r="J366" i="3"/>
  <c r="I367" i="3"/>
  <c r="J367" i="3"/>
  <c r="I368" i="3"/>
  <c r="J368" i="3"/>
  <c r="I369" i="3"/>
  <c r="J369" i="3"/>
  <c r="I370" i="3"/>
  <c r="J370" i="3"/>
  <c r="I371" i="3"/>
  <c r="J371" i="3"/>
  <c r="I372" i="3"/>
  <c r="J372" i="3"/>
  <c r="I373" i="3"/>
  <c r="J373" i="3"/>
  <c r="I374" i="3"/>
  <c r="J374" i="3"/>
  <c r="I375" i="3"/>
  <c r="J375" i="3"/>
  <c r="I376" i="3"/>
  <c r="J376" i="3"/>
  <c r="I377" i="3"/>
  <c r="J377" i="3"/>
  <c r="I378" i="3"/>
  <c r="J378" i="3"/>
  <c r="I379" i="3"/>
  <c r="J379" i="3"/>
  <c r="I380" i="3"/>
  <c r="J380" i="3"/>
  <c r="I381" i="3"/>
  <c r="J381" i="3"/>
  <c r="I382" i="3"/>
  <c r="J382" i="3"/>
  <c r="I383" i="3"/>
  <c r="J383" i="3"/>
  <c r="I384" i="3"/>
  <c r="J384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I4" i="3" l="1"/>
  <c r="I3" i="3"/>
  <c r="I6" i="3"/>
  <c r="I2" i="3"/>
  <c r="I7" i="3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U43" i="2"/>
  <c r="M43" i="2"/>
  <c r="U42" i="2"/>
  <c r="M42" i="2"/>
  <c r="U41" i="2"/>
  <c r="M41" i="2"/>
  <c r="U40" i="2"/>
  <c r="M40" i="2"/>
  <c r="U39" i="2"/>
  <c r="M39" i="2"/>
  <c r="U38" i="2"/>
  <c r="M38" i="2"/>
  <c r="U37" i="2"/>
  <c r="M37" i="2"/>
  <c r="U36" i="2"/>
  <c r="M36" i="2"/>
  <c r="U35" i="2"/>
  <c r="M35" i="2"/>
  <c r="U34" i="2"/>
  <c r="M34" i="2"/>
  <c r="U33" i="2"/>
  <c r="M33" i="2"/>
  <c r="U32" i="2"/>
  <c r="M32" i="2"/>
  <c r="U31" i="2"/>
  <c r="M31" i="2"/>
  <c r="U30" i="2"/>
  <c r="M30" i="2"/>
  <c r="U29" i="2"/>
  <c r="M29" i="2"/>
  <c r="U28" i="2"/>
  <c r="M28" i="2"/>
  <c r="U27" i="2"/>
  <c r="M27" i="2"/>
  <c r="U26" i="2"/>
  <c r="M26" i="2"/>
  <c r="U25" i="2"/>
  <c r="M25" i="2"/>
  <c r="U24" i="2"/>
  <c r="M24" i="2"/>
  <c r="U23" i="2"/>
  <c r="M23" i="2"/>
  <c r="U22" i="2"/>
  <c r="M22" i="2"/>
  <c r="U21" i="2"/>
  <c r="M21" i="2"/>
  <c r="M20" i="2"/>
  <c r="U19" i="2"/>
  <c r="M19" i="2"/>
  <c r="U18" i="2"/>
  <c r="M18" i="2"/>
  <c r="U17" i="2"/>
  <c r="M17" i="2"/>
  <c r="U16" i="2"/>
  <c r="M16" i="2"/>
  <c r="U15" i="2"/>
  <c r="M15" i="2"/>
  <c r="U14" i="2"/>
  <c r="M14" i="2"/>
  <c r="U13" i="2"/>
  <c r="M13" i="2"/>
  <c r="U12" i="2"/>
  <c r="M12" i="2"/>
  <c r="U11" i="2"/>
  <c r="M11" i="2"/>
  <c r="U10" i="2"/>
  <c r="M10" i="2"/>
  <c r="U9" i="2"/>
  <c r="M9" i="2"/>
  <c r="U8" i="2"/>
  <c r="M8" i="2"/>
  <c r="U7" i="2"/>
  <c r="M7" i="2"/>
  <c r="U6" i="2"/>
  <c r="M6" i="2"/>
  <c r="U5" i="2"/>
  <c r="M5" i="2"/>
  <c r="U4" i="2"/>
  <c r="M4" i="2"/>
  <c r="U3" i="2"/>
  <c r="M3" i="2"/>
  <c r="U2" i="2"/>
  <c r="M2" i="2"/>
  <c r="D172" i="6" l="1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L42" i="6"/>
  <c r="D43" i="6"/>
  <c r="L41" i="6"/>
  <c r="D42" i="6"/>
  <c r="L40" i="6"/>
  <c r="D41" i="6"/>
  <c r="L39" i="6"/>
  <c r="D40" i="6"/>
  <c r="L38" i="6"/>
  <c r="D39" i="6"/>
  <c r="L37" i="6"/>
  <c r="D38" i="6"/>
  <c r="L36" i="6"/>
  <c r="D37" i="6"/>
  <c r="L35" i="6"/>
  <c r="D36" i="6"/>
  <c r="L34" i="6"/>
  <c r="D35" i="6"/>
  <c r="L33" i="6"/>
  <c r="D34" i="6"/>
  <c r="L32" i="6"/>
  <c r="D33" i="6"/>
  <c r="L31" i="6"/>
  <c r="D32" i="6"/>
  <c r="L30" i="6"/>
  <c r="D31" i="6"/>
  <c r="L29" i="6"/>
  <c r="D30" i="6"/>
  <c r="L28" i="6"/>
  <c r="D29" i="6"/>
  <c r="L27" i="6"/>
  <c r="D28" i="6"/>
  <c r="L26" i="6"/>
  <c r="D27" i="6"/>
  <c r="L25" i="6"/>
  <c r="D26" i="6"/>
  <c r="L24" i="6"/>
  <c r="D25" i="6"/>
  <c r="L23" i="6"/>
  <c r="D24" i="6"/>
  <c r="L22" i="6"/>
  <c r="D23" i="6"/>
  <c r="L21" i="6"/>
  <c r="D22" i="6"/>
  <c r="L20" i="6"/>
  <c r="D21" i="6"/>
  <c r="D20" i="6"/>
  <c r="L19" i="6"/>
  <c r="D19" i="6"/>
  <c r="L18" i="6"/>
  <c r="D18" i="6"/>
  <c r="L17" i="6"/>
  <c r="D17" i="6"/>
  <c r="L16" i="6"/>
  <c r="D16" i="6"/>
  <c r="L15" i="6"/>
  <c r="D15" i="6"/>
  <c r="L14" i="6"/>
  <c r="D14" i="6"/>
  <c r="L13" i="6"/>
  <c r="D13" i="6"/>
  <c r="L12" i="6"/>
  <c r="D12" i="6"/>
  <c r="L11" i="6"/>
  <c r="D11" i="6"/>
  <c r="L10" i="6"/>
  <c r="D10" i="6"/>
  <c r="L9" i="6"/>
  <c r="D9" i="6"/>
  <c r="L8" i="6"/>
  <c r="D8" i="6"/>
  <c r="L7" i="6"/>
  <c r="D7" i="6"/>
  <c r="L6" i="6"/>
  <c r="D6" i="6"/>
  <c r="L5" i="6"/>
  <c r="D5" i="6"/>
  <c r="L4" i="6"/>
  <c r="D4" i="6"/>
  <c r="L3" i="6"/>
  <c r="D3" i="6"/>
  <c r="L2" i="6"/>
  <c r="D2" i="6"/>
  <c r="E43" i="2" l="1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</authors>
  <commentList>
    <comment ref="A1" authorId="0" shapeId="0" xr:uid="{E409E520-7F27-4AAE-ABCE-C4154D77FA89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Pilihlah kategori asal asset tersebut.
-  BIP untuk new investment
-  CIP untuk asset yang sudah ada di list CIP (Construction In Progress) yang akan didistribusikan oleh FA department
-  CFA untuk Current Fixed Assets (Existing Assets)</t>
        </r>
      </text>
    </comment>
    <comment ref="E1" authorId="0" shapeId="0" xr:uid="{70E0F8BD-9A1D-451E-AB7B-65E322C502E4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departemen yang akan menggunakan asset</t>
        </r>
      </text>
    </comment>
    <comment ref="K1" authorId="0" shapeId="0" xr:uid="{22A4F3B0-E307-45E0-8B5A-9D1E5F1535C2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kolom ini dengan nilai asset secara keseluruhan, contoh; nilai mesin + jasa instalasi + biaya trial + dll
Untuk asset yang akan dialokasikan kebeberapa departemen, harap cantumkan nilai total asset (tidak perlu dibagi secara manual)</t>
        </r>
      </text>
    </comment>
    <comment ref="M1" authorId="0" shapeId="0" xr:uid="{D897555E-DAB9-462E-8345-D1D1E5CCB8D5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persentase (tanpa dirubah ke format %) pembagian untuk asset yang dialokasikan kebeberapa departemen</t>
        </r>
      </text>
    </comment>
    <comment ref="N1" authorId="0" shapeId="0" xr:uid="{81CBBDAE-34B1-4CB7-856D-CC9DFD57C8DC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dengan tanggal, kapan asset tersebut akan mulai digunakan</t>
        </r>
      </text>
    </comment>
  </commentList>
</comments>
</file>

<file path=xl/sharedStrings.xml><?xml version="1.0" encoding="utf-8"?>
<sst xmlns="http://schemas.openxmlformats.org/spreadsheetml/2006/main" count="2275" uniqueCount="353">
  <si>
    <t>Name</t>
    <phoneticPr fontId="0"/>
  </si>
  <si>
    <t>COA AX</t>
  </si>
  <si>
    <t>Group Cost</t>
  </si>
  <si>
    <t>UNIQ</t>
  </si>
  <si>
    <t>COA Budget</t>
  </si>
  <si>
    <t>Description</t>
  </si>
  <si>
    <t>Salary for Commissioner</t>
  </si>
  <si>
    <t>SGA</t>
  </si>
  <si>
    <t>A502</t>
  </si>
  <si>
    <t>Salary for Director</t>
  </si>
  <si>
    <t>Salary for Director &amp; Expat</t>
  </si>
  <si>
    <t>Staff Labor - Baslc Salary</t>
  </si>
  <si>
    <t>A501</t>
  </si>
  <si>
    <t>Basic Salary of permanent employee</t>
  </si>
  <si>
    <t>Staff Labor - Allowance</t>
  </si>
  <si>
    <t>Employee allowance</t>
  </si>
  <si>
    <t>Staff Labor - Tax allowance (art.21)</t>
  </si>
  <si>
    <t>Empployee Tax allowance</t>
  </si>
  <si>
    <t>Staff Labor - BPJS JK &amp; JKK (1.19%)</t>
  </si>
  <si>
    <t>BPJS JK &amp; JKK (death warrant, Accident Insurance)</t>
  </si>
  <si>
    <t>Staff Labor - BPJS Kesehatan (4%)</t>
  </si>
  <si>
    <t>BPJS health insurance</t>
  </si>
  <si>
    <t>Staff Overtime</t>
  </si>
  <si>
    <t>A503</t>
  </si>
  <si>
    <t>Overtime permanent employee</t>
  </si>
  <si>
    <t>Staff Welfare - BPJS Dana pensiun (2%)</t>
  </si>
  <si>
    <t>A504</t>
  </si>
  <si>
    <t>BPJS pension fund</t>
  </si>
  <si>
    <t>Staff Welfare - BPJS JHT (3.7%)</t>
  </si>
  <si>
    <t>BPJS Pension plan</t>
  </si>
  <si>
    <t>Staff Bonus / TAT</t>
  </si>
  <si>
    <t>Year-end allowance &amp; Alpha</t>
  </si>
  <si>
    <t>Staff Ramadhan / THR</t>
  </si>
  <si>
    <t>Lebaran bonus</t>
  </si>
  <si>
    <t>Staff Welfare - Outpatient (Medical)</t>
  </si>
  <si>
    <t>outpatient treatment costs</t>
  </si>
  <si>
    <t>Staff Welfare - Hospitalization</t>
  </si>
  <si>
    <t>hospitalization costs</t>
  </si>
  <si>
    <t>Staff Welfare - Glasses</t>
  </si>
  <si>
    <t>glasses costs</t>
  </si>
  <si>
    <t>Staff Welfare - Dental</t>
  </si>
  <si>
    <t>dental costs</t>
  </si>
  <si>
    <t>Staff Welfare - Medical Check Up</t>
  </si>
  <si>
    <t>Medical Check Up cost</t>
  </si>
  <si>
    <t>Staff Welfare - Uniform</t>
  </si>
  <si>
    <t>uniform costs</t>
  </si>
  <si>
    <t>Staff Welfare - Family Gathering / Anniversary</t>
  </si>
  <si>
    <t>Family Gathering / Anniversary</t>
  </si>
  <si>
    <t>Staff Welfare - Meals of canteen &amp; other meals</t>
  </si>
  <si>
    <t>Meals of canteen &amp; other meals cost</t>
  </si>
  <si>
    <t>Staff Welfare - Kaizen &amp; QCC reward</t>
  </si>
  <si>
    <t>an expense, arising from Kaizen and QCC acitivity</t>
  </si>
  <si>
    <t>Staff Welfare - Welfare Others</t>
  </si>
  <si>
    <t>an other welfare expense, arising besides the above welfare expense</t>
  </si>
  <si>
    <t>Retirement Allowance</t>
  </si>
  <si>
    <t>A505</t>
    <phoneticPr fontId="0"/>
  </si>
  <si>
    <t>employee retirement provission costs</t>
  </si>
  <si>
    <t>House Rent Allowance</t>
  </si>
  <si>
    <t>House Rent Allowance for expat</t>
  </si>
  <si>
    <t>Casual Staff Labor - Basic Salary</t>
  </si>
  <si>
    <t>All benefit for temporary worker</t>
  </si>
  <si>
    <t>Casual Staff Labor - Overtime</t>
  </si>
  <si>
    <t>Overtime temporary worker</t>
  </si>
  <si>
    <t>Personnel expense transferred</t>
  </si>
  <si>
    <t>A506</t>
    <phoneticPr fontId="0"/>
  </si>
  <si>
    <t>Transfer Labor cost from one section into another section</t>
  </si>
  <si>
    <t>Depreciation-Building</t>
  </si>
  <si>
    <t>A601</t>
  </si>
  <si>
    <t>the amount of depreciation of tangible assets for building</t>
  </si>
  <si>
    <t>Depreciation-Machiney &amp; equipment</t>
  </si>
  <si>
    <t>the amount of depreciation of tangible assets for machinery &amp; factory equipment</t>
  </si>
  <si>
    <t>Depreciation-Vehicles</t>
  </si>
  <si>
    <t>the amount of depreciation of tangible assets for vehicles</t>
  </si>
  <si>
    <t>Depreciation-Tools, furniture &amp; office equipment</t>
  </si>
  <si>
    <t>the amount of depreciation of tangible assets for office tools, furniture &amp; office equipment</t>
  </si>
  <si>
    <t>Depreciation-Software</t>
  </si>
  <si>
    <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</si>
  <si>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Rental car</t>
  </si>
  <si>
    <t>A801</t>
  </si>
  <si>
    <t>The expenses of car rent</t>
  </si>
  <si>
    <t>Other rental fee</t>
  </si>
  <si>
    <t>A701</t>
  </si>
  <si>
    <t>The expenses of rent beside car rent, such as copy machine, dispenser, etc.</t>
  </si>
  <si>
    <t>Electricity Charge</t>
  </si>
  <si>
    <t>A1003</t>
  </si>
  <si>
    <t xml:space="preserve">Electricity consumption </t>
  </si>
  <si>
    <t>Water Supply Charge</t>
  </si>
  <si>
    <t>A1004</t>
  </si>
  <si>
    <t xml:space="preserve">Water consumption </t>
  </si>
  <si>
    <t>Repair Building</t>
  </si>
  <si>
    <t>A1002</t>
  </si>
  <si>
    <t>expenses for repair and maintenance asset building</t>
  </si>
  <si>
    <t>Repair of Equipment</t>
  </si>
  <si>
    <t>expenses for repair and maintenance tangible assets, intangible assets and other assets beside building</t>
  </si>
  <si>
    <t>Factory Supply Expense</t>
  </si>
  <si>
    <t>A1099</t>
  </si>
  <si>
    <t xml:space="preserve">All cost that arrising to support factory acitivity </t>
  </si>
  <si>
    <t>Calibration Cost</t>
  </si>
  <si>
    <t>Cost of calibration for tools and equipment of factory and others</t>
  </si>
  <si>
    <t>Transportation Fee for employee</t>
  </si>
  <si>
    <t>Gasoline of company cars &amp; expense for Local transportation</t>
  </si>
  <si>
    <t>Travel Expense-Domestic</t>
  </si>
  <si>
    <t>expenses for business trip, including allowance for business trip to an employee only for domestic travel</t>
  </si>
  <si>
    <t>Travel Expense-Oversea</t>
  </si>
  <si>
    <t>expenses for business trip, including allowance for business trip to an employee only for overseas travel</t>
  </si>
  <si>
    <t>Entertainment</t>
  </si>
  <si>
    <t>A1001</t>
  </si>
  <si>
    <t>the amount of expenses for the act of entertaining the business partner</t>
  </si>
  <si>
    <t>Amortization of Land &amp; Building tax (PBB)</t>
  </si>
  <si>
    <t>the amount of depreciation of intangible of Land &amp; Building Tax (PBB)</t>
  </si>
  <si>
    <t>License fee</t>
  </si>
  <si>
    <t>The expense related with the documentation process, such as : KIR, Car lisence, company lisence, etc.</t>
  </si>
  <si>
    <t>Insurance Premium</t>
  </si>
  <si>
    <t>expenses for risk management with no premium at the end of the term, such as fire insurance for plants and inventories</t>
  </si>
  <si>
    <t>Office supply &amp; Stationary Expense</t>
  </si>
  <si>
    <t>the amount of supplies for office, such as stationery. Small office equipment included</t>
  </si>
  <si>
    <t>Communication expenses</t>
  </si>
  <si>
    <t>expenses for communication with a people in remote place, such as expense for telephone and postage</t>
  </si>
  <si>
    <t>IT Expense</t>
  </si>
  <si>
    <t>A1005</t>
  </si>
  <si>
    <t>the amount of supplies for IT tools</t>
  </si>
  <si>
    <t>Stamp/Post Fee</t>
  </si>
  <si>
    <t>The expenses related with stamp duty</t>
  </si>
  <si>
    <t>Consultancy/Professional Fee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</si>
  <si>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</si>
  <si>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</si>
  <si>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</si>
  <si>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A1007</t>
  </si>
  <si>
    <t>All fees that paid to NGK group</t>
  </si>
  <si>
    <t>Ticket &amp; accomodation of trainer (from NGK Group)</t>
  </si>
  <si>
    <t>The expenses related with the person who come from NGK Group that will provide training to NGK Busi</t>
  </si>
  <si>
    <t>Miscellaneous Expense</t>
  </si>
  <si>
    <t>others operational expense</t>
  </si>
  <si>
    <t>Publishing Expense</t>
  </si>
  <si>
    <t>News paper, magazine, and other publishing cost</t>
  </si>
  <si>
    <t>Cleaning Expense</t>
  </si>
  <si>
    <t>The expenses related with the tools or other for cleaning activity</t>
  </si>
  <si>
    <t>Training Expense</t>
  </si>
  <si>
    <t>A1006</t>
  </si>
  <si>
    <t>Training cost</t>
  </si>
  <si>
    <t>Recruitment Fee</t>
  </si>
  <si>
    <t>Cost for recruitment process</t>
  </si>
  <si>
    <t>Expatriate expenses exclude labor cost</t>
  </si>
  <si>
    <t>Incidental costs related to expatriete</t>
  </si>
  <si>
    <t>Expatriate fee Tax (BADORA)</t>
  </si>
  <si>
    <t>Tax income from expatriete</t>
  </si>
  <si>
    <t>Freights and Export expense</t>
  </si>
  <si>
    <t>A201</t>
  </si>
  <si>
    <t>an expense, arising from export transaction such as; insurance, pallet, freight cost</t>
  </si>
  <si>
    <t>Transportation for Goods</t>
  </si>
  <si>
    <t>A202</t>
  </si>
  <si>
    <t>Transportion expense of local goods sales</t>
  </si>
  <si>
    <t>Packing for Sale</t>
  </si>
  <si>
    <t>A203</t>
  </si>
  <si>
    <t>Packing expense for local good sales</t>
  </si>
  <si>
    <t>Advertising expenses</t>
  </si>
  <si>
    <t>A401</t>
  </si>
  <si>
    <t>an expense for advertise or publication of goods</t>
  </si>
  <si>
    <t>Sales Promotion - Coupon</t>
  </si>
  <si>
    <t>A402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</si>
  <si>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</si>
  <si>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Activity</t>
  </si>
  <si>
    <t>A404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</si>
  <si>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</si>
  <si>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Supply</t>
  </si>
  <si>
    <t>A403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</si>
  <si>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</si>
  <si>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Cost of Samples</t>
  </si>
  <si>
    <t>A499</t>
  </si>
  <si>
    <t>Sample expense</t>
  </si>
  <si>
    <t>Sales - Insurance of Delivery or Shipment</t>
  </si>
  <si>
    <t>A299</t>
    <phoneticPr fontId="14"/>
  </si>
  <si>
    <t>Sales - Insurance of AR (Credit Insurance)</t>
  </si>
  <si>
    <t>Sales - Royalty to NGK Group</t>
  </si>
  <si>
    <t>Sales - Royalty to Independence Party</t>
  </si>
  <si>
    <t>Import Duty-purchased FG from NGK group</t>
  </si>
  <si>
    <t>MFG</t>
  </si>
  <si>
    <t>Import Duty-purchased KD&amp;RM from NGK Japan</t>
  </si>
  <si>
    <t>Import Duty-purchased KD&amp;RM from NGK Group(Not fromJP)</t>
  </si>
  <si>
    <t>Import Duty-purchased Comp Parts&amp;RM from outside supplier</t>
  </si>
  <si>
    <t>Import Expense-purchased FG from NGK group</t>
  </si>
  <si>
    <t>Import Expense-purchased KD&amp;RM from NGK Japan</t>
  </si>
  <si>
    <t>Import Expense-purchased KD&amp;RM from NGK Group(Not fromJP)</t>
  </si>
  <si>
    <t>Import Expense-purchased Comp Parts&amp;RM from outside supplier</t>
  </si>
  <si>
    <t>Cost of Factory Supply</t>
  </si>
  <si>
    <t>Cost of Chemical</t>
    <phoneticPr fontId="0"/>
  </si>
  <si>
    <t>The expenses of Chemicals consumption</t>
  </si>
  <si>
    <t>Cost of Packaging</t>
  </si>
  <si>
    <t>Cost of Tooling</t>
  </si>
  <si>
    <t>The expenses of Tooling consumption</t>
  </si>
  <si>
    <t>Cost of Machinery parts</t>
  </si>
  <si>
    <t>The expenses of Spare Parts consumption</t>
  </si>
  <si>
    <t>Casual Staff Labor</t>
  </si>
  <si>
    <t>Others - Miscellaneous Waste</t>
  </si>
  <si>
    <t>OTH</t>
  </si>
  <si>
    <t>Others - Miscellaneous Tax</t>
  </si>
  <si>
    <t>Others - Sport Activity</t>
  </si>
  <si>
    <t>Others - Retribution / Garbage Cost</t>
  </si>
  <si>
    <t>Others - Miscellaneous Non Operational Expense</t>
  </si>
  <si>
    <t>Other Income</t>
  </si>
  <si>
    <t>BNGK</t>
  </si>
  <si>
    <t>GROUP COST</t>
  </si>
  <si>
    <t>GROUP SECTION</t>
  </si>
  <si>
    <t>Code</t>
    <phoneticPr fontId="0"/>
  </si>
  <si>
    <t>COA Assets</t>
  </si>
  <si>
    <t>Name of Asset</t>
  </si>
  <si>
    <t>COA Depre</t>
  </si>
  <si>
    <t>Name of Depre</t>
  </si>
  <si>
    <t>Top Management</t>
  </si>
  <si>
    <t>B1000</t>
  </si>
  <si>
    <t>ADM</t>
  </si>
  <si>
    <t>NGK BUSI INDONESIA</t>
  </si>
  <si>
    <t>Building</t>
  </si>
  <si>
    <t>Commissioner</t>
  </si>
  <si>
    <t>B1001</t>
  </si>
  <si>
    <t>Machinery &amp; Equipment</t>
  </si>
  <si>
    <t>Admin &amp; HR</t>
  </si>
  <si>
    <t>B2200</t>
  </si>
  <si>
    <t>Vehicles</t>
  </si>
  <si>
    <t>General Affair</t>
  </si>
  <si>
    <t>B2210</t>
  </si>
  <si>
    <t>Tools, furniture &amp; office equipment</t>
  </si>
  <si>
    <t>Human Resource</t>
  </si>
  <si>
    <t>B2220</t>
  </si>
  <si>
    <t>Software</t>
  </si>
  <si>
    <t>Health, Safety &amp; Environment</t>
  </si>
  <si>
    <t>B2230</t>
  </si>
  <si>
    <t>Accounting &amp; Finance</t>
  </si>
  <si>
    <t>B2300</t>
  </si>
  <si>
    <t>Information Technology</t>
  </si>
  <si>
    <t>B2400</t>
  </si>
  <si>
    <t>Sales &amp; MKTG Dept.- Automotive</t>
  </si>
  <si>
    <t>B3100</t>
  </si>
  <si>
    <t>Marketing</t>
  </si>
  <si>
    <t>B3160</t>
  </si>
  <si>
    <t>Sales - OEM</t>
  </si>
  <si>
    <t>B3110</t>
  </si>
  <si>
    <t>Sales - OES</t>
  </si>
  <si>
    <t>B3120</t>
  </si>
  <si>
    <t>Sales - IAM</t>
  </si>
  <si>
    <t>B3130</t>
  </si>
  <si>
    <t>SP PD- CF</t>
  </si>
  <si>
    <t>B4101</t>
  </si>
  <si>
    <t>DIR</t>
  </si>
  <si>
    <t>SP PD- CM</t>
  </si>
  <si>
    <t>B4102</t>
  </si>
  <si>
    <t>SP PD- WT</t>
  </si>
  <si>
    <t>B4103</t>
  </si>
  <si>
    <t>SP PD- Plating</t>
  </si>
  <si>
    <t>B4105</t>
  </si>
  <si>
    <t>SP PD- MS Insp.</t>
  </si>
  <si>
    <t>B4109</t>
  </si>
  <si>
    <t>SP PD- Insulator Sealing</t>
  </si>
  <si>
    <t>B4106</t>
  </si>
  <si>
    <t>SP PD- Assy</t>
  </si>
  <si>
    <t>B4110</t>
  </si>
  <si>
    <t>SP-PD-Assy-Auto Assembly</t>
  </si>
  <si>
    <t>B4115</t>
  </si>
  <si>
    <t>SP PD- Bending</t>
  </si>
  <si>
    <t>B4114</t>
  </si>
  <si>
    <t>SP PD- Final Inspection</t>
  </si>
  <si>
    <t>B4120</t>
  </si>
  <si>
    <t>SP PD- QC - OEM</t>
  </si>
  <si>
    <t>B4121</t>
  </si>
  <si>
    <t>PC PD- Injection</t>
  </si>
  <si>
    <t>B4410</t>
  </si>
  <si>
    <t>PC PD- Assy</t>
  </si>
  <si>
    <t>B4430</t>
  </si>
  <si>
    <t>PC PD- QC</t>
  </si>
  <si>
    <t>B4440</t>
  </si>
  <si>
    <t>Plant Operation (Indirect Mfg)</t>
  </si>
  <si>
    <t>B5000</t>
  </si>
  <si>
    <t>IND</t>
  </si>
  <si>
    <t>Production Office</t>
  </si>
  <si>
    <t>B5100</t>
  </si>
  <si>
    <t>Production Office (SP)</t>
  </si>
  <si>
    <t>B5101</t>
  </si>
  <si>
    <t>Production Office (PC)</t>
  </si>
  <si>
    <t>B5104</t>
  </si>
  <si>
    <t>Quality Assurance</t>
  </si>
  <si>
    <t>B5800</t>
  </si>
  <si>
    <t>Quality Control</t>
  </si>
  <si>
    <t>B5900</t>
  </si>
  <si>
    <t>Maintenance</t>
  </si>
  <si>
    <t>B5500</t>
  </si>
  <si>
    <t>Production Engineering</t>
  </si>
  <si>
    <t>B5600</t>
  </si>
  <si>
    <t>Supply Procurement</t>
  </si>
  <si>
    <t>B5130</t>
  </si>
  <si>
    <t>Inventory Control</t>
  </si>
  <si>
    <t>B5200</t>
  </si>
  <si>
    <t>WH Dept.- KD &amp; RM</t>
  </si>
  <si>
    <t>B5710</t>
  </si>
  <si>
    <t>SCM - FG WH</t>
  </si>
  <si>
    <t>B3150</t>
  </si>
  <si>
    <t>Continuous Improvement</t>
  </si>
  <si>
    <t>B5007</t>
  </si>
  <si>
    <t>Asset Name</t>
  </si>
  <si>
    <t>Coa Name</t>
  </si>
  <si>
    <t>Coa ID</t>
  </si>
  <si>
    <t>Acquisition Value</t>
  </si>
  <si>
    <t>Useful Life</t>
  </si>
  <si>
    <t>Allocation %</t>
  </si>
  <si>
    <t>Depre Start</t>
  </si>
  <si>
    <t>BIP</t>
  </si>
  <si>
    <t>CIP</t>
  </si>
  <si>
    <t>A</t>
  </si>
  <si>
    <t>Must</t>
  </si>
  <si>
    <t>If this is not done, the company or our team cannot continue its business.</t>
  </si>
  <si>
    <t>B</t>
  </si>
  <si>
    <t>Want to</t>
  </si>
  <si>
    <t>We want to do it as a team this term. we need it.</t>
  </si>
  <si>
    <t>C</t>
  </si>
  <si>
    <t>Challenge</t>
  </si>
  <si>
    <t>We want to do it for this term or the future. But it doesn't matter if it's not this term.</t>
  </si>
  <si>
    <t>Priority Code</t>
  </si>
  <si>
    <t>Priority Name</t>
  </si>
  <si>
    <t>Budget Allocation</t>
  </si>
  <si>
    <t>Name COA AX</t>
  </si>
  <si>
    <t>Staff Welfare - Safety Shoes</t>
  </si>
  <si>
    <t>Depreciation-Lease Machinery &amp; equipment</t>
  </si>
  <si>
    <t>the amount of depreciation of tangible assets for machinery &amp; factory equipment (Leases)</t>
  </si>
  <si>
    <t>Depreciation - Right of use Assets</t>
  </si>
  <si>
    <t>the amount of depreciation of right of use assets</t>
  </si>
  <si>
    <t>All</t>
  </si>
  <si>
    <t>B0000</t>
  </si>
  <si>
    <t>Audit Fee</t>
  </si>
  <si>
    <t>a fee for external auditor of accounting assessment</t>
  </si>
  <si>
    <t>Security Guard</t>
  </si>
  <si>
    <t>Fee for security from outsourcing company</t>
  </si>
  <si>
    <t>Service Fee (Canteen Meal &amp; other service for staff)</t>
  </si>
  <si>
    <t>Expense for canteen</t>
  </si>
  <si>
    <t>A299</t>
    <phoneticPr fontId="12"/>
  </si>
  <si>
    <t>Import Duty-purchased FG from outside supplier</t>
  </si>
  <si>
    <t>Import Expense-purchased FG from outside supplier</t>
  </si>
  <si>
    <t>Expense-purchased Packaging material from outside supplier</t>
  </si>
  <si>
    <t>Subcontracting Cost</t>
  </si>
  <si>
    <t>Indirect material costs</t>
  </si>
  <si>
    <t>Cost of Oil</t>
  </si>
  <si>
    <t>To Section (Code)</t>
  </si>
  <si>
    <t>To Section (Name)</t>
  </si>
  <si>
    <t>Section From (Code)</t>
  </si>
  <si>
    <t>Section From (Name)</t>
  </si>
  <si>
    <t>Budget_Period</t>
  </si>
  <si>
    <t>Budget Type</t>
  </si>
  <si>
    <t>Group Section</t>
  </si>
  <si>
    <t>CFA</t>
  </si>
  <si>
    <t>Server Fujitsu RX100 S7 - Application Server 248 - Additional Storage Capacity 4 TB</t>
  </si>
  <si>
    <t>Server Fujitsu RX100 S7 - Application Server 248 - Additional Memory 16 GB</t>
  </si>
  <si>
    <t>Storage Eternus DX100 S4 - Additional Storage 10.8 TB (Storage For Global Project &amp; Backup)</t>
  </si>
  <si>
    <t>Server Primergy RX 2520 M5 - Additional Storage Capacity 6 TB (2TB x 3)</t>
  </si>
  <si>
    <t>Server Primergy RX 2520 M5 - Additional Memory Capacity 16 GB</t>
  </si>
  <si>
    <t>Laptop Replacement for IT Assistant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</si>
</sst>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0"/>
      <name val="Calibri"/>
      <family val="2"/>
      <scheme val="minor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Tahoma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6"/>
      <name val="Calibri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13" fillId="7" borderId="0"/>
    <xf numFmtId="0" fontId="23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</cellStyleXfs>
  <cellXfs count="84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0" xfId="3" applyFont="1" applyFill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0" fontId="6" fillId="0" borderId="0" xfId="3" applyFont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6" fillId="4" borderId="0" xfId="3" applyFont="1" applyFill="1">
      <alignment vertical="center"/>
    </xf>
    <xf numFmtId="0" fontId="7" fillId="5" borderId="0" xfId="3" applyFont="1" applyFill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1" fillId="6" borderId="1" xfId="3" applyFont="1" applyFill="1" applyBorder="1" applyAlignment="1">
      <alignment horizontal="center" vertical="center"/>
    </xf>
    <xf numFmtId="0" fontId="11" fillId="2" borderId="0" xfId="3" applyFont="1" applyFill="1">
      <alignment vertical="center"/>
    </xf>
    <xf numFmtId="0" fontId="12" fillId="6" borderId="1" xfId="3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>
      <alignment vertical="center"/>
    </xf>
    <xf numFmtId="0" fontId="14" fillId="0" borderId="1" xfId="5" applyFont="1" applyFill="1" applyBorder="1" applyAlignment="1">
      <alignment vertical="center"/>
    </xf>
    <xf numFmtId="0" fontId="14" fillId="0" borderId="1" xfId="5" applyFont="1" applyFill="1" applyBorder="1" applyAlignment="1">
      <alignment horizontal="center" vertical="center"/>
    </xf>
    <xf numFmtId="0" fontId="15" fillId="0" borderId="1" xfId="3" applyFont="1" applyBorder="1">
      <alignment vertical="center"/>
    </xf>
    <xf numFmtId="0" fontId="6" fillId="0" borderId="1" xfId="3" applyFont="1" applyBorder="1">
      <alignment vertical="center"/>
    </xf>
    <xf numFmtId="0" fontId="6" fillId="0" borderId="1" xfId="3" applyFont="1" applyBorder="1" applyAlignment="1">
      <alignment horizontal="center" vertical="center"/>
    </xf>
    <xf numFmtId="0" fontId="14" fillId="0" borderId="1" xfId="3" applyFont="1" applyBorder="1">
      <alignment vertical="center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4" fontId="16" fillId="0" borderId="0" xfId="1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6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20" fillId="0" borderId="1" xfId="0" applyFont="1" applyFill="1" applyBorder="1" applyAlignment="1">
      <alignment horizontal="center" vertical="top"/>
    </xf>
    <xf numFmtId="0" fontId="14" fillId="0" borderId="1" xfId="0" applyFont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center" vertical="top"/>
    </xf>
    <xf numFmtId="0" fontId="14" fillId="0" borderId="1" xfId="0" applyFont="1" applyFill="1" applyBorder="1" applyAlignment="1">
      <alignment horizontal="left" vertical="top"/>
    </xf>
    <xf numFmtId="0" fontId="20" fillId="0" borderId="1" xfId="0" applyFont="1" applyFill="1" applyBorder="1" applyAlignment="1">
      <alignment horizontal="left" vertical="top" wrapText="1"/>
    </xf>
    <xf numFmtId="0" fontId="21" fillId="2" borderId="0" xfId="0" applyFont="1" applyFill="1" applyAlignment="1">
      <alignment horizontal="center" vertical="center" wrapText="1"/>
    </xf>
    <xf numFmtId="164" fontId="21" fillId="2" borderId="0" xfId="1" applyNumberFormat="1" applyFont="1" applyFill="1" applyBorder="1" applyAlignment="1">
      <alignment horizontal="center" vertical="center" wrapText="1"/>
    </xf>
    <xf numFmtId="165" fontId="21" fillId="2" borderId="0" xfId="0" applyNumberFormat="1" applyFont="1" applyFill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164" fontId="16" fillId="0" borderId="0" xfId="1" applyNumberFormat="1" applyFont="1" applyFill="1" applyAlignment="1">
      <alignment vertical="center"/>
    </xf>
    <xf numFmtId="164" fontId="16" fillId="0" borderId="0" xfId="1" applyNumberFormat="1" applyFont="1" applyAlignment="1">
      <alignment vertical="center"/>
    </xf>
    <xf numFmtId="164" fontId="21" fillId="2" borderId="0" xfId="1" applyNumberFormat="1" applyFont="1" applyFill="1" applyAlignment="1">
      <alignment vertical="center" wrapText="1"/>
    </xf>
    <xf numFmtId="0" fontId="3" fillId="2" borderId="0" xfId="8" applyFont="1" applyFill="1" applyAlignment="1">
      <alignment horizontal="center" vertical="center" wrapText="1"/>
    </xf>
    <xf numFmtId="0" fontId="4" fillId="3" borderId="0" xfId="8" applyFont="1" applyFill="1" applyAlignment="1">
      <alignment horizontal="center" vertical="center" wrapText="1"/>
    </xf>
    <xf numFmtId="0" fontId="5" fillId="8" borderId="0" xfId="8" applyFont="1" applyFill="1" applyAlignment="1">
      <alignment vertical="center" wrapText="1"/>
    </xf>
    <xf numFmtId="0" fontId="11" fillId="6" borderId="1" xfId="8" applyFont="1" applyFill="1" applyBorder="1" applyAlignment="1">
      <alignment horizontal="center" vertical="center"/>
    </xf>
    <xf numFmtId="0" fontId="11" fillId="2" borderId="0" xfId="8" applyFont="1" applyFill="1">
      <alignment vertical="center"/>
    </xf>
    <xf numFmtId="0" fontId="11" fillId="8" borderId="1" xfId="8" applyFont="1" applyFill="1" applyBorder="1" applyAlignment="1">
      <alignment horizontal="center" vertical="center"/>
    </xf>
    <xf numFmtId="0" fontId="12" fillId="6" borderId="1" xfId="8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8" applyFont="1" applyAlignment="1">
      <alignment vertical="center" wrapText="1"/>
    </xf>
    <xf numFmtId="0" fontId="6" fillId="0" borderId="0" xfId="8" applyFont="1">
      <alignment vertical="center"/>
    </xf>
    <xf numFmtId="0" fontId="6" fillId="0" borderId="0" xfId="8" applyFont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7" fillId="0" borderId="0" xfId="8" applyFont="1">
      <alignment vertical="center"/>
    </xf>
    <xf numFmtId="0" fontId="6" fillId="8" borderId="0" xfId="8" applyFont="1" applyFill="1">
      <alignment vertical="center"/>
    </xf>
    <xf numFmtId="0" fontId="15" fillId="0" borderId="1" xfId="8" applyFont="1" applyBorder="1">
      <alignment vertical="center"/>
    </xf>
    <xf numFmtId="0" fontId="6" fillId="0" borderId="1" xfId="8" applyFont="1" applyBorder="1">
      <alignment vertical="center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8" applyFont="1" applyBorder="1">
      <alignment vertical="center"/>
    </xf>
    <xf numFmtId="0" fontId="15" fillId="9" borderId="1" xfId="5" applyFont="1" applyFill="1" applyBorder="1" applyAlignment="1">
      <alignment vertical="center"/>
    </xf>
    <xf numFmtId="0" fontId="15" fillId="9" borderId="1" xfId="5" applyFont="1" applyFill="1" applyBorder="1" applyAlignment="1">
      <alignment horizontal="center" vertical="center"/>
    </xf>
    <xf numFmtId="0" fontId="15" fillId="9" borderId="1" xfId="8" applyFont="1" applyFill="1" applyBorder="1">
      <alignment vertical="center"/>
    </xf>
    <xf numFmtId="0" fontId="6" fillId="4" borderId="0" xfId="8" applyFont="1" applyFill="1">
      <alignment vertical="center"/>
    </xf>
    <xf numFmtId="0" fontId="7" fillId="5" borderId="0" xfId="8" applyFont="1" applyFill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4" borderId="0" xfId="8" applyFont="1" applyFill="1" applyAlignment="1">
      <alignment horizontal="center" vertical="center"/>
    </xf>
    <xf numFmtId="0" fontId="10" fillId="0" borderId="0" xfId="9" applyFont="1" applyAlignment="1">
      <alignment horizontal="center" vertical="center"/>
    </xf>
    <xf numFmtId="0" fontId="16" fillId="0" borderId="0" xfId="0" applyNumberFormat="1" applyFont="1" applyAlignment="1">
      <alignment vertical="center"/>
    </xf>
    <xf numFmtId="0" fontId="16" fillId="0" borderId="0" xfId="0" applyNumberFormat="1" applyFont="1" applyAlignment="1">
      <alignment horizontal="center" vertical="center"/>
    </xf>
    <xf numFmtId="0" fontId="21" fillId="2" borderId="0" xfId="2" applyNumberFormat="1" applyFont="1" applyFill="1" applyBorder="1" applyAlignment="1">
      <alignment horizontal="center" vertical="center" wrapText="1"/>
    </xf>
    <xf numFmtId="0" fontId="16" fillId="0" borderId="0" xfId="2" applyNumberFormat="1" applyFont="1" applyFill="1" applyBorder="1" applyAlignment="1">
      <alignment vertical="center"/>
    </xf>
    <xf numFmtId="0" fontId="21" fillId="2" borderId="0" xfId="0" applyNumberFormat="1" applyFont="1" applyFill="1" applyAlignment="1">
      <alignment horizontal="center" vertical="center" wrapText="1"/>
    </xf>
    <xf numFmtId="0" fontId="16" fillId="0" borderId="0" xfId="0" applyNumberFormat="1" applyFont="1" applyFill="1" applyAlignment="1">
      <alignment horizontal="center" vertical="center"/>
    </xf>
    <xf numFmtId="0" fontId="16" fillId="0" borderId="0" xfId="1" applyNumberFormat="1" applyFont="1" applyFill="1" applyBorder="1" applyAlignment="1">
      <alignment horizontal="center" vertical="center"/>
    </xf>
    <xf numFmtId="9" fontId="16" fillId="0" borderId="0" xfId="2" applyFont="1" applyFill="1" applyBorder="1" applyAlignment="1">
      <alignment vertical="center"/>
    </xf>
    <xf numFmtId="165" fontId="10" fillId="0" borderId="0" xfId="1" applyNumberFormat="1" applyFont="1" applyFill="1" applyBorder="1" applyAlignment="1">
      <alignment vertical="center"/>
    </xf>
  </cellXfs>
  <cellStyles count="10">
    <cellStyle name="Comma" xfId="1" builtinId="3"/>
    <cellStyle name="Comma 3 2" xfId="7" xr:uid="{BDF3CC1A-D45E-486A-AF90-DA506EE3AB88}"/>
    <cellStyle name="Normal" xfId="0" builtinId="0"/>
    <cellStyle name="Normal 2" xfId="3" xr:uid="{D0D1230D-BB5C-46B9-A32E-5621CE411B76}"/>
    <cellStyle name="Normal 2 2" xfId="8" xr:uid="{ADB9C855-0262-4ACB-BA30-02FEFD8893D8}"/>
    <cellStyle name="Normal 20" xfId="6" xr:uid="{125DC8AC-BF0B-497B-AC05-35793C1AF6F9}"/>
    <cellStyle name="Normal 3 3" xfId="4" xr:uid="{0F0BDEAB-4BF8-46D3-9F0B-44F6E0812104}"/>
    <cellStyle name="Normal 3 3 2 2 4" xfId="9" xr:uid="{D1E986E0-2BDF-4861-AFB0-11E61CFDAFF8}"/>
    <cellStyle name="Percent" xfId="2" builtinId="5"/>
    <cellStyle name="標準 2 2" xfId="5" xr:uid="{2993C973-C45A-484E-A994-6D971E3D8809}"/>
  </cellStyles>
  <dxfs count="4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Upload%20-%20Invesment%20(BIP,CIP,CF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PKWT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load"/>
      <sheetName val="Master"/>
      <sheetName val="Master_Section"/>
      <sheetName val="COA"/>
    </sheetNames>
    <sheetDataSet>
      <sheetData sheetId="0"/>
      <sheetData sheetId="1">
        <row r="1">
          <cell r="AE1" t="str">
            <v>Name of Asset</v>
          </cell>
          <cell r="AF1" t="str">
            <v>COA Assets</v>
          </cell>
        </row>
        <row r="2">
          <cell r="AE2" t="str">
            <v>Building</v>
          </cell>
          <cell r="AF2">
            <v>2111100</v>
          </cell>
        </row>
        <row r="3">
          <cell r="AE3" t="str">
            <v>Machinery &amp; Equipment</v>
          </cell>
          <cell r="AF3">
            <v>2121000</v>
          </cell>
        </row>
        <row r="4">
          <cell r="AE4" t="str">
            <v>Vehicles</v>
          </cell>
          <cell r="AF4">
            <v>2131000</v>
          </cell>
        </row>
        <row r="5">
          <cell r="AE5" t="str">
            <v>Tools, furniture &amp; office equipment</v>
          </cell>
          <cell r="AF5">
            <v>2141000</v>
          </cell>
        </row>
        <row r="6">
          <cell r="AE6" t="str">
            <v>Software</v>
          </cell>
          <cell r="AF6">
            <v>2221101</v>
          </cell>
        </row>
      </sheetData>
      <sheetData sheetId="2">
        <row r="1">
          <cell r="H1" t="str">
            <v>Name</v>
          </cell>
          <cell r="I1" t="str">
            <v>BNGK</v>
          </cell>
          <cell r="J1" t="str">
            <v>GROUP COST</v>
          </cell>
          <cell r="K1" t="str">
            <v>GROUP SECTION</v>
          </cell>
        </row>
        <row r="2">
          <cell r="H2" t="str">
            <v>Top Management</v>
          </cell>
          <cell r="I2" t="str">
            <v>B1000</v>
          </cell>
          <cell r="J2" t="str">
            <v>SGA</v>
          </cell>
          <cell r="K2" t="str">
            <v>ADM</v>
          </cell>
        </row>
        <row r="3">
          <cell r="H3" t="str">
            <v>Commissioner</v>
          </cell>
          <cell r="I3" t="str">
            <v>B1001</v>
          </cell>
          <cell r="J3" t="str">
            <v>SGA</v>
          </cell>
          <cell r="K3" t="str">
            <v>ADM</v>
          </cell>
        </row>
        <row r="4">
          <cell r="H4" t="str">
            <v>Admin &amp; HR</v>
          </cell>
          <cell r="I4" t="str">
            <v>B2200</v>
          </cell>
          <cell r="J4" t="str">
            <v>SGA</v>
          </cell>
          <cell r="K4" t="str">
            <v>ADM</v>
          </cell>
        </row>
        <row r="5">
          <cell r="H5" t="str">
            <v>General Affair</v>
          </cell>
          <cell r="I5" t="str">
            <v>B2210</v>
          </cell>
          <cell r="J5" t="str">
            <v>SGA</v>
          </cell>
          <cell r="K5" t="str">
            <v>ADM</v>
          </cell>
        </row>
        <row r="6">
          <cell r="H6" t="str">
            <v>Human Resource</v>
          </cell>
          <cell r="I6" t="str">
            <v>B2220</v>
          </cell>
          <cell r="J6" t="str">
            <v>SGA</v>
          </cell>
          <cell r="K6" t="str">
            <v>ADM</v>
          </cell>
        </row>
        <row r="7">
          <cell r="H7" t="str">
            <v>Health, Safety &amp; Environment</v>
          </cell>
          <cell r="I7" t="str">
            <v>B2230</v>
          </cell>
          <cell r="J7" t="str">
            <v>SGA</v>
          </cell>
          <cell r="K7" t="str">
            <v>ADM</v>
          </cell>
        </row>
        <row r="8">
          <cell r="H8" t="str">
            <v>Accounting &amp; Finance</v>
          </cell>
          <cell r="I8" t="str">
            <v>B2300</v>
          </cell>
          <cell r="J8" t="str">
            <v>SGA</v>
          </cell>
          <cell r="K8" t="str">
            <v>ADM</v>
          </cell>
        </row>
        <row r="9">
          <cell r="H9" t="str">
            <v>Information Technology</v>
          </cell>
          <cell r="I9" t="str">
            <v>B2400</v>
          </cell>
          <cell r="J9" t="str">
            <v>SGA</v>
          </cell>
          <cell r="K9" t="str">
            <v>ADM</v>
          </cell>
        </row>
        <row r="10">
          <cell r="H10" t="str">
            <v>Sales &amp; MKTG Dept.- Automotive</v>
          </cell>
          <cell r="I10" t="str">
            <v>B3100</v>
          </cell>
          <cell r="J10" t="str">
            <v>SGA</v>
          </cell>
          <cell r="K10" t="str">
            <v>ADM</v>
          </cell>
        </row>
        <row r="11">
          <cell r="H11" t="str">
            <v>Marketing</v>
          </cell>
          <cell r="I11" t="str">
            <v>B3160</v>
          </cell>
          <cell r="J11" t="str">
            <v>SGA</v>
          </cell>
          <cell r="K11" t="str">
            <v>ADM</v>
          </cell>
        </row>
        <row r="12">
          <cell r="H12" t="str">
            <v>Sales - OEM</v>
          </cell>
          <cell r="I12" t="str">
            <v>B3110</v>
          </cell>
          <cell r="J12" t="str">
            <v>SGA</v>
          </cell>
          <cell r="K12" t="str">
            <v>ADM</v>
          </cell>
        </row>
        <row r="13">
          <cell r="H13" t="str">
            <v>Sales - OES</v>
          </cell>
          <cell r="I13" t="str">
            <v>B3120</v>
          </cell>
          <cell r="J13" t="str">
            <v>SGA</v>
          </cell>
          <cell r="K13" t="str">
            <v>ADM</v>
          </cell>
        </row>
        <row r="14">
          <cell r="H14" t="str">
            <v>Sales - IAM</v>
          </cell>
          <cell r="I14" t="str">
            <v>B3130</v>
          </cell>
          <cell r="J14" t="str">
            <v>SGA</v>
          </cell>
          <cell r="K14" t="str">
            <v>ADM</v>
          </cell>
        </row>
        <row r="15">
          <cell r="H15" t="str">
            <v>SP PD- CF</v>
          </cell>
          <cell r="I15" t="str">
            <v>B4101</v>
          </cell>
          <cell r="J15" t="str">
            <v>MFG</v>
          </cell>
          <cell r="K15" t="str">
            <v>DIR</v>
          </cell>
        </row>
        <row r="16">
          <cell r="H16" t="str">
            <v>SP PD- CM</v>
          </cell>
          <cell r="I16" t="str">
            <v>B4102</v>
          </cell>
          <cell r="J16" t="str">
            <v>MFG</v>
          </cell>
          <cell r="K16" t="str">
            <v>DIR</v>
          </cell>
        </row>
        <row r="17">
          <cell r="H17" t="str">
            <v>SP PD- WT</v>
          </cell>
          <cell r="I17" t="str">
            <v>B4103</v>
          </cell>
          <cell r="J17" t="str">
            <v>MFG</v>
          </cell>
          <cell r="K17" t="str">
            <v>DIR</v>
          </cell>
        </row>
        <row r="18">
          <cell r="H18" t="str">
            <v>SP PD- Plating</v>
          </cell>
          <cell r="I18" t="str">
            <v>B4105</v>
          </cell>
          <cell r="J18" t="str">
            <v>MFG</v>
          </cell>
          <cell r="K18" t="str">
            <v>DIR</v>
          </cell>
        </row>
        <row r="19">
          <cell r="H19" t="str">
            <v>SP PD- MS Insp.</v>
          </cell>
          <cell r="I19" t="str">
            <v>B4109</v>
          </cell>
          <cell r="J19" t="str">
            <v>MFG</v>
          </cell>
          <cell r="K19" t="str">
            <v>DIR</v>
          </cell>
        </row>
        <row r="20">
          <cell r="H20" t="str">
            <v>SP PD- Insulator Sealing</v>
          </cell>
          <cell r="I20" t="str">
            <v>B4106</v>
          </cell>
          <cell r="J20" t="str">
            <v>MFG</v>
          </cell>
          <cell r="K20" t="str">
            <v>DIR</v>
          </cell>
        </row>
        <row r="21">
          <cell r="H21" t="str">
            <v>SP PD- Assy</v>
          </cell>
          <cell r="I21" t="str">
            <v>B4110</v>
          </cell>
          <cell r="J21" t="str">
            <v>MFG</v>
          </cell>
          <cell r="K21" t="str">
            <v>DIR</v>
          </cell>
        </row>
        <row r="22">
          <cell r="H22" t="str">
            <v>SP-PD-Assy-Auto Assembly</v>
          </cell>
          <cell r="I22" t="str">
            <v>B4115</v>
          </cell>
          <cell r="J22" t="str">
            <v>MFG</v>
          </cell>
          <cell r="K22" t="str">
            <v>DIR</v>
          </cell>
        </row>
        <row r="23">
          <cell r="H23" t="str">
            <v>SP PD- Bending</v>
          </cell>
          <cell r="I23" t="str">
            <v>B4114</v>
          </cell>
          <cell r="J23" t="str">
            <v>MFG</v>
          </cell>
          <cell r="K23" t="str">
            <v>DIR</v>
          </cell>
        </row>
        <row r="24">
          <cell r="H24" t="str">
            <v>SP PD- Final Inspection</v>
          </cell>
          <cell r="I24" t="str">
            <v>B4120</v>
          </cell>
          <cell r="J24" t="str">
            <v>MFG</v>
          </cell>
          <cell r="K24" t="str">
            <v>DIR</v>
          </cell>
        </row>
        <row r="25">
          <cell r="H25" t="str">
            <v>SP PD- QC - OEM</v>
          </cell>
          <cell r="I25" t="str">
            <v>B4121</v>
          </cell>
          <cell r="J25" t="str">
            <v>MFG</v>
          </cell>
          <cell r="K25" t="str">
            <v>DIR</v>
          </cell>
        </row>
        <row r="26">
          <cell r="H26" t="str">
            <v>PC PD- Injection</v>
          </cell>
          <cell r="I26" t="str">
            <v>B4410</v>
          </cell>
          <cell r="J26" t="str">
            <v>MFG</v>
          </cell>
          <cell r="K26" t="str">
            <v>DIR</v>
          </cell>
        </row>
        <row r="27">
          <cell r="H27" t="str">
            <v>PC PD- Assy</v>
          </cell>
          <cell r="I27" t="str">
            <v>B4430</v>
          </cell>
          <cell r="J27" t="str">
            <v>MFG</v>
          </cell>
          <cell r="K27" t="str">
            <v>DIR</v>
          </cell>
        </row>
        <row r="28">
          <cell r="H28" t="str">
            <v>PC PD- QC</v>
          </cell>
          <cell r="I28" t="str">
            <v>B4440</v>
          </cell>
          <cell r="J28" t="str">
            <v>MFG</v>
          </cell>
          <cell r="K28" t="str">
            <v>DIR</v>
          </cell>
        </row>
        <row r="29">
          <cell r="H29" t="str">
            <v>Plant Operation (Indirect Mfg)</v>
          </cell>
          <cell r="I29" t="str">
            <v>B5000</v>
          </cell>
          <cell r="J29" t="str">
            <v>MFG</v>
          </cell>
          <cell r="K29" t="str">
            <v>IND</v>
          </cell>
        </row>
        <row r="30">
          <cell r="H30" t="str">
            <v>Production Office</v>
          </cell>
          <cell r="I30" t="str">
            <v>B5100</v>
          </cell>
          <cell r="J30" t="str">
            <v>MFG</v>
          </cell>
          <cell r="K30" t="str">
            <v>IND</v>
          </cell>
        </row>
        <row r="31">
          <cell r="H31" t="str">
            <v>Production Office (SP)</v>
          </cell>
          <cell r="I31" t="str">
            <v>B5101</v>
          </cell>
          <cell r="J31" t="str">
            <v>MFG</v>
          </cell>
          <cell r="K31" t="str">
            <v>IND</v>
          </cell>
        </row>
        <row r="32">
          <cell r="H32" t="str">
            <v>Production Office (PC)</v>
          </cell>
          <cell r="I32" t="str">
            <v>B5104</v>
          </cell>
          <cell r="J32" t="str">
            <v>MFG</v>
          </cell>
          <cell r="K32" t="str">
            <v>IND</v>
          </cell>
        </row>
        <row r="33">
          <cell r="H33" t="str">
            <v>Quality Assurance</v>
          </cell>
          <cell r="I33" t="str">
            <v>B5800</v>
          </cell>
          <cell r="J33" t="str">
            <v>MFG</v>
          </cell>
          <cell r="K33" t="str">
            <v>IND</v>
          </cell>
        </row>
        <row r="34">
          <cell r="H34" t="str">
            <v>Quality Control</v>
          </cell>
          <cell r="I34" t="str">
            <v>B5900</v>
          </cell>
          <cell r="J34" t="str">
            <v>MFG</v>
          </cell>
          <cell r="K34" t="str">
            <v>IND</v>
          </cell>
        </row>
        <row r="35">
          <cell r="H35" t="str">
            <v>Maintenance</v>
          </cell>
          <cell r="I35" t="str">
            <v>B5500</v>
          </cell>
          <cell r="J35" t="str">
            <v>MFG</v>
          </cell>
          <cell r="K35" t="str">
            <v>IND</v>
          </cell>
        </row>
        <row r="36">
          <cell r="H36" t="str">
            <v>Production Engineering</v>
          </cell>
          <cell r="I36" t="str">
            <v>B5600</v>
          </cell>
          <cell r="J36" t="str">
            <v>MFG</v>
          </cell>
          <cell r="K36" t="str">
            <v>IND</v>
          </cell>
        </row>
        <row r="37">
          <cell r="H37" t="str">
            <v>Supply Procurement</v>
          </cell>
          <cell r="I37" t="str">
            <v>B5130</v>
          </cell>
          <cell r="J37" t="str">
            <v>MFG</v>
          </cell>
          <cell r="K37" t="str">
            <v>IND</v>
          </cell>
        </row>
        <row r="38">
          <cell r="H38" t="str">
            <v>Inventory Control</v>
          </cell>
          <cell r="I38" t="str">
            <v>B5200</v>
          </cell>
          <cell r="J38" t="str">
            <v>MFG</v>
          </cell>
          <cell r="K38" t="str">
            <v>IND</v>
          </cell>
        </row>
        <row r="39">
          <cell r="H39" t="str">
            <v>SCM - FG WH</v>
          </cell>
          <cell r="I39" t="str">
            <v>B3150</v>
          </cell>
          <cell r="J39" t="str">
            <v>SGA</v>
          </cell>
          <cell r="K39" t="str">
            <v>ADM</v>
          </cell>
        </row>
        <row r="40">
          <cell r="H40" t="str">
            <v>WH Dept.- KD &amp; RM</v>
          </cell>
          <cell r="I40" t="str">
            <v>B5710</v>
          </cell>
          <cell r="J40" t="str">
            <v>MFG</v>
          </cell>
          <cell r="K40" t="str">
            <v>IND</v>
          </cell>
        </row>
        <row r="41">
          <cell r="H41" t="str">
            <v>Continuous Improvement</v>
          </cell>
          <cell r="I41" t="str">
            <v>B5007</v>
          </cell>
          <cell r="J41" t="str">
            <v>MFG</v>
          </cell>
          <cell r="K41" t="str">
            <v>IND</v>
          </cell>
        </row>
        <row r="42">
          <cell r="H42" t="str">
            <v>All</v>
          </cell>
          <cell r="I42" t="str">
            <v>B0000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F172-4F7E-4F8C-81F6-B959C5A7DE76}">
  <sheetPr>
    <tabColor rgb="FFFFFF00"/>
  </sheetPr>
  <dimension ref="A1:Q459"/>
  <sheetViews>
    <sheetView tabSelected="1" zoomScaleNormal="100" workbookViewId="0">
      <selection activeCell="A7" sqref="A7"/>
    </sheetView>
  </sheetViews>
  <sheetFormatPr defaultColWidth="8.5703125" defaultRowHeight="15" customHeight="1"/>
  <cols>
    <col min="1" max="1" width="6.85546875" style="25" bestFit="1" customWidth="1"/>
    <col min="2" max="2" width="11.7109375" style="75" bestFit="1" customWidth="1"/>
    <col min="3" max="3" width="25.28515625" style="25" bestFit="1" customWidth="1"/>
    <col min="4" max="4" width="9.85546875" style="26" bestFit="1" customWidth="1"/>
    <col min="5" max="5" width="25.28515625" style="25" bestFit="1" customWidth="1"/>
    <col min="6" max="6" width="8.28515625" style="76" bestFit="1" customWidth="1"/>
    <col min="7" max="7" width="29.5703125" style="25" bestFit="1" customWidth="1"/>
    <col min="8" max="8" width="72.5703125" style="25" bestFit="1" customWidth="1"/>
    <col min="9" max="9" width="17" style="25" bestFit="1" customWidth="1"/>
    <col min="10" max="10" width="14.7109375" style="25" bestFit="1" customWidth="1"/>
    <col min="11" max="11" width="19.5703125" style="26" bestFit="1" customWidth="1"/>
    <col min="12" max="12" width="11.28515625" style="26" bestFit="1" customWidth="1"/>
    <col min="13" max="13" width="15.42578125" style="78" bestFit="1" customWidth="1"/>
    <col min="14" max="14" width="14.7109375" style="28" bestFit="1" customWidth="1"/>
    <col min="15" max="15" width="16.140625" style="27" bestFit="1" customWidth="1"/>
    <col min="16" max="16" width="13" style="27" bestFit="1" customWidth="1"/>
    <col min="17" max="17" width="15.85546875" style="44" bestFit="1" customWidth="1"/>
    <col min="18" max="16384" width="8.5703125" style="25"/>
  </cols>
  <sheetData>
    <row r="1" spans="1:17" s="24" customFormat="1" ht="34.9" customHeight="1">
      <c r="A1" s="39" t="s">
        <v>344</v>
      </c>
      <c r="B1" s="79" t="s">
        <v>341</v>
      </c>
      <c r="C1" s="39" t="s">
        <v>342</v>
      </c>
      <c r="D1" s="40" t="s">
        <v>339</v>
      </c>
      <c r="E1" s="39" t="s">
        <v>340</v>
      </c>
      <c r="F1" s="79" t="s">
        <v>299</v>
      </c>
      <c r="G1" s="39" t="s">
        <v>298</v>
      </c>
      <c r="H1" s="39" t="s">
        <v>297</v>
      </c>
      <c r="I1" s="39" t="s">
        <v>345</v>
      </c>
      <c r="J1" s="39" t="s">
        <v>2</v>
      </c>
      <c r="K1" s="40" t="s">
        <v>300</v>
      </c>
      <c r="L1" s="40" t="s">
        <v>301</v>
      </c>
      <c r="M1" s="77" t="s">
        <v>302</v>
      </c>
      <c r="N1" s="41" t="s">
        <v>303</v>
      </c>
      <c r="O1" s="39" t="s">
        <v>315</v>
      </c>
      <c r="P1" s="39" t="s">
        <v>343</v>
      </c>
      <c r="Q1" s="45" t="s">
        <v>317</v>
      </c>
    </row>
    <row r="2" spans="1:17" ht="15" customHeight="1">
      <c r="A2" s="25" t="s">
        <v>304</v>
      </c>
      <c r="B2" s="26" t="str">
        <f>_xlfn.IFNA(VLOOKUP(C2,[14]Master_Section!$H:$I,2,FALSE),"")</f>
        <v>B2400</v>
      </c>
      <c r="C2" s="25" t="s">
        <v>229</v>
      </c>
      <c r="D2" s="26" t="str">
        <f>_xlfn.IFNA(VLOOKUP(E2,[14]Master_Section!$H:$I,2,FALSE),"")</f>
        <v>B2400</v>
      </c>
      <c r="E2" s="25" t="s">
        <v>229</v>
      </c>
      <c r="F2" s="81">
        <f>_xlfn.IFNA(VLOOKUP(G2,[14]Master!AE:AF,2,FALSE),"")</f>
        <v>2141000</v>
      </c>
      <c r="G2" s="25" t="s">
        <v>221</v>
      </c>
      <c r="H2" s="25" t="s">
        <v>347</v>
      </c>
      <c r="I2" s="25" t="str">
        <f>_xlfn.IFNA(VLOOKUP(D2,[14]Master_Section!$I:$K,2,FALSE),"")</f>
        <v>SGA</v>
      </c>
      <c r="J2" s="25" t="str">
        <f>_xlfn.IFNA(VLOOKUP(D2,[14]Master_Section!$I:$K,3,FALSE),"")</f>
        <v>ADM</v>
      </c>
      <c r="K2" s="26">
        <v>75000000</v>
      </c>
      <c r="L2" s="26">
        <v>60</v>
      </c>
      <c r="M2" s="82">
        <v>1</v>
      </c>
      <c r="N2" s="83">
        <v>44531</v>
      </c>
      <c r="O2" s="27" t="s">
        <v>306</v>
      </c>
      <c r="P2" s="27" t="str">
        <f>IF(N2&lt;&gt;"",IF(MONTH(N2)&gt;=4,"FY1"&amp;RIGHT(YEAR(N2)+1,2),"FY1"&amp;RIGHT(YEAR(N2),2)),"")</f>
        <v>FY122</v>
      </c>
      <c r="Q2" s="43">
        <f>IF(K2&gt;0&amp;M2&gt;0,K2*M2,"")</f>
        <v>75000000</v>
      </c>
    </row>
    <row r="3" spans="1:17" ht="15" customHeight="1">
      <c r="A3" s="25" t="s">
        <v>304</v>
      </c>
      <c r="B3" s="26" t="str">
        <f>_xlfn.IFNA(VLOOKUP(C3,[14]Master_Section!$H:$I,2,FALSE),"")</f>
        <v>B2400</v>
      </c>
      <c r="C3" s="25" t="s">
        <v>229</v>
      </c>
      <c r="D3" s="26" t="str">
        <f>_xlfn.IFNA(VLOOKUP(E3,[14]Master_Section!$H:$I,2,FALSE),"")</f>
        <v>B2400</v>
      </c>
      <c r="E3" s="25" t="s">
        <v>229</v>
      </c>
      <c r="F3" s="81">
        <f>_xlfn.IFNA(VLOOKUP(G3,[14]Master!AE:AF,2,FALSE),"")</f>
        <v>2141000</v>
      </c>
      <c r="G3" s="25" t="s">
        <v>221</v>
      </c>
      <c r="H3" s="25" t="s">
        <v>348</v>
      </c>
      <c r="I3" s="25" t="str">
        <f>_xlfn.IFNA(VLOOKUP(D3,[14]Master_Section!$I:$K,2,FALSE),"")</f>
        <v>SGA</v>
      </c>
      <c r="J3" s="25" t="str">
        <f>_xlfn.IFNA(VLOOKUP(D3,[14]Master_Section!$I:$K,3,FALSE),"")</f>
        <v>ADM</v>
      </c>
      <c r="K3" s="26">
        <v>8500000</v>
      </c>
      <c r="L3" s="26">
        <v>60</v>
      </c>
      <c r="M3" s="82">
        <v>1</v>
      </c>
      <c r="N3" s="83">
        <v>44531</v>
      </c>
      <c r="O3" s="27" t="s">
        <v>306</v>
      </c>
      <c r="P3" s="27" t="str">
        <f t="shared" ref="P3:P7" si="0">IF(N3&lt;&gt;"",IF(MONTH(N3)&gt;=4,"FY1"&amp;RIGHT(YEAR(N3)+1,2),"FY1"&amp;RIGHT(YEAR(N3),2)),"")</f>
        <v>FY122</v>
      </c>
      <c r="Q3" s="43">
        <f t="shared" ref="Q3:Q7" si="1">IF(K3&gt;0&amp;M3&gt;0,K3*M3,"")</f>
        <v>8500000</v>
      </c>
    </row>
    <row r="4" spans="1:17" ht="15" customHeight="1">
      <c r="A4" s="25" t="s">
        <v>304</v>
      </c>
      <c r="B4" s="26" t="str">
        <f>_xlfn.IFNA(VLOOKUP(C4,[14]Master_Section!$H:$I,2,FALSE),"")</f>
        <v>B2400</v>
      </c>
      <c r="C4" s="25" t="s">
        <v>229</v>
      </c>
      <c r="D4" s="26" t="str">
        <f>_xlfn.IFNA(VLOOKUP(E4,[14]Master_Section!$H:$I,2,FALSE),"")</f>
        <v>B2400</v>
      </c>
      <c r="E4" s="25" t="s">
        <v>229</v>
      </c>
      <c r="F4" s="81">
        <f>_xlfn.IFNA(VLOOKUP(G4,[14]Master!AE:AF,2,FALSE),"")</f>
        <v>2141000</v>
      </c>
      <c r="G4" s="25" t="s">
        <v>221</v>
      </c>
      <c r="H4" s="25" t="s">
        <v>349</v>
      </c>
      <c r="I4" s="25" t="str">
        <f>_xlfn.IFNA(VLOOKUP(D4,[14]Master_Section!$I:$K,2,FALSE),"")</f>
        <v>SGA</v>
      </c>
      <c r="J4" s="25" t="str">
        <f>_xlfn.IFNA(VLOOKUP(D4,[14]Master_Section!$I:$K,3,FALSE),"")</f>
        <v>ADM</v>
      </c>
      <c r="K4" s="26">
        <v>305000000</v>
      </c>
      <c r="L4" s="26">
        <v>60</v>
      </c>
      <c r="M4" s="82">
        <v>1</v>
      </c>
      <c r="N4" s="28">
        <v>44652</v>
      </c>
      <c r="O4" s="27" t="s">
        <v>306</v>
      </c>
      <c r="P4" s="27" t="str">
        <f t="shared" si="0"/>
        <v>FY123</v>
      </c>
      <c r="Q4" s="43">
        <f t="shared" si="1"/>
        <v>305000000</v>
      </c>
    </row>
    <row r="5" spans="1:17" ht="15" customHeight="1">
      <c r="A5" s="25" t="s">
        <v>304</v>
      </c>
      <c r="B5" s="26" t="str">
        <f>_xlfn.IFNA(VLOOKUP(C5,[14]Master_Section!$H:$I,2,FALSE),"")</f>
        <v>B2400</v>
      </c>
      <c r="C5" s="25" t="s">
        <v>229</v>
      </c>
      <c r="D5" s="26" t="str">
        <f>_xlfn.IFNA(VLOOKUP(E5,[14]Master_Section!$H:$I,2,FALSE),"")</f>
        <v>B2400</v>
      </c>
      <c r="E5" s="25" t="s">
        <v>229</v>
      </c>
      <c r="F5" s="81">
        <f>_xlfn.IFNA(VLOOKUP(G5,[14]Master!AE:AF,2,FALSE),"")</f>
        <v>2141000</v>
      </c>
      <c r="G5" s="25" t="s">
        <v>221</v>
      </c>
      <c r="H5" s="25" t="s">
        <v>350</v>
      </c>
      <c r="I5" s="25" t="str">
        <f>_xlfn.IFNA(VLOOKUP(D5,[14]Master_Section!$I:$K,2,FALSE),"")</f>
        <v>SGA</v>
      </c>
      <c r="J5" s="25" t="str">
        <f>_xlfn.IFNA(VLOOKUP(D5,[14]Master_Section!$I:$K,3,FALSE),"")</f>
        <v>ADM</v>
      </c>
      <c r="K5" s="26">
        <v>35000000</v>
      </c>
      <c r="L5" s="26">
        <v>60</v>
      </c>
      <c r="M5" s="82">
        <v>1</v>
      </c>
      <c r="N5" s="28">
        <v>44652</v>
      </c>
      <c r="O5" s="27" t="s">
        <v>309</v>
      </c>
      <c r="P5" s="27" t="str">
        <f t="shared" si="0"/>
        <v>FY123</v>
      </c>
      <c r="Q5" s="43">
        <f t="shared" si="1"/>
        <v>35000000</v>
      </c>
    </row>
    <row r="6" spans="1:17" ht="15" customHeight="1">
      <c r="A6" s="25" t="s">
        <v>304</v>
      </c>
      <c r="B6" s="26" t="str">
        <f>_xlfn.IFNA(VLOOKUP(C6,[14]Master_Section!$H:$I,2,FALSE),"")</f>
        <v>B2400</v>
      </c>
      <c r="C6" s="25" t="s">
        <v>229</v>
      </c>
      <c r="D6" s="26" t="str">
        <f>_xlfn.IFNA(VLOOKUP(E6,[14]Master_Section!$H:$I,2,FALSE),"")</f>
        <v>B2400</v>
      </c>
      <c r="E6" s="25" t="s">
        <v>229</v>
      </c>
      <c r="F6" s="81">
        <f>_xlfn.IFNA(VLOOKUP(G6,[14]Master!AE:AF,2,FALSE),"")</f>
        <v>2141000</v>
      </c>
      <c r="G6" s="25" t="s">
        <v>221</v>
      </c>
      <c r="H6" s="25" t="s">
        <v>351</v>
      </c>
      <c r="I6" s="25" t="str">
        <f>_xlfn.IFNA(VLOOKUP(D6,[14]Master_Section!$I:$K,2,FALSE),"")</f>
        <v>SGA</v>
      </c>
      <c r="J6" s="25" t="str">
        <f>_xlfn.IFNA(VLOOKUP(D6,[14]Master_Section!$I:$K,3,FALSE),"")</f>
        <v>ADM</v>
      </c>
      <c r="K6" s="26">
        <v>8500000</v>
      </c>
      <c r="L6" s="26">
        <v>60</v>
      </c>
      <c r="M6" s="82">
        <v>1</v>
      </c>
      <c r="N6" s="28">
        <v>44652</v>
      </c>
      <c r="O6" s="27" t="s">
        <v>309</v>
      </c>
      <c r="P6" s="27" t="str">
        <f t="shared" si="0"/>
        <v>FY123</v>
      </c>
      <c r="Q6" s="43">
        <f t="shared" si="1"/>
        <v>8500000</v>
      </c>
    </row>
    <row r="7" spans="1:17" ht="15" customHeight="1">
      <c r="A7" s="25" t="s">
        <v>304</v>
      </c>
      <c r="B7" s="26" t="str">
        <f>_xlfn.IFNA(VLOOKUP(C7,[14]Master_Section!$H:$I,2,FALSE),"")</f>
        <v>B2400</v>
      </c>
      <c r="C7" s="25" t="s">
        <v>229</v>
      </c>
      <c r="D7" s="26" t="str">
        <f>_xlfn.IFNA(VLOOKUP(E7,[14]Master_Section!$H:$I,2,FALSE),"")</f>
        <v>B2400</v>
      </c>
      <c r="E7" s="25" t="s">
        <v>229</v>
      </c>
      <c r="F7" s="81">
        <f>_xlfn.IFNA(VLOOKUP(G7,[14]Master!AE:AF,2,FALSE),"")</f>
        <v>2141000</v>
      </c>
      <c r="G7" s="25" t="s">
        <v>221</v>
      </c>
      <c r="H7" s="25" t="s">
        <v>352</v>
      </c>
      <c r="I7" s="25" t="str">
        <f>_xlfn.IFNA(VLOOKUP(D7,[14]Master_Section!$I:$K,2,FALSE),"")</f>
        <v>SGA</v>
      </c>
      <c r="J7" s="25" t="str">
        <f>_xlfn.IFNA(VLOOKUP(D7,[14]Master_Section!$I:$K,3,FALSE),"")</f>
        <v>ADM</v>
      </c>
      <c r="K7" s="26">
        <v>15000000</v>
      </c>
      <c r="L7" s="26">
        <v>60</v>
      </c>
      <c r="M7" s="82">
        <v>1</v>
      </c>
      <c r="N7" s="28">
        <v>45078</v>
      </c>
      <c r="O7" s="27" t="s">
        <v>309</v>
      </c>
      <c r="P7" s="27" t="str">
        <f t="shared" si="0"/>
        <v>FY124</v>
      </c>
      <c r="Q7" s="43">
        <f t="shared" si="1"/>
        <v>15000000</v>
      </c>
    </row>
    <row r="8" spans="1:17" ht="15" customHeight="1">
      <c r="B8" s="26" t="str">
        <f>_xlfn.IFNA(VLOOKUP(C8,Master_Section!$H:$I,2,FALSE),"")</f>
        <v/>
      </c>
      <c r="D8" s="26" t="str">
        <f>_xlfn.IFNA(VLOOKUP(E8,Master_Section!$H:$I,2,FALSE),"")</f>
        <v/>
      </c>
      <c r="F8" s="81" t="str">
        <f>_xlfn.IFNA(VLOOKUP(G8,Master!AE:AF,2,FALSE),"")</f>
        <v/>
      </c>
      <c r="I8" s="42" t="str">
        <f>_xlfn.IFNA(VLOOKUP(D8,Master_Section!$I:$K,2,FALSE),"")</f>
        <v/>
      </c>
      <c r="J8" s="42" t="str">
        <f>_xlfn.IFNA(VLOOKUP(D8,Master_Section!$I:$K,3,FALSE),"")</f>
        <v/>
      </c>
      <c r="P8" s="80" t="str">
        <f t="shared" ref="P8:P54" si="2">IF(N8&lt;&gt;"",IF(MONTH(N8)&gt;=4,"FY1"&amp;RIGHT(YEAR(N8)+1,2),"FY1"&amp;RIGHT(YEAR(N8),2)),"")</f>
        <v/>
      </c>
      <c r="Q8" s="43">
        <f t="shared" ref="Q8:Q54" si="3">IF(K8&gt;0&amp;M8&gt;0,K8*M8,"")</f>
        <v>0</v>
      </c>
    </row>
    <row r="9" spans="1:17" ht="15" customHeight="1">
      <c r="B9" s="26" t="str">
        <f>_xlfn.IFNA(VLOOKUP(C9,Master_Section!$H:$I,2,FALSE),"")</f>
        <v/>
      </c>
      <c r="D9" s="26" t="str">
        <f>_xlfn.IFNA(VLOOKUP(E9,Master_Section!$H:$I,2,FALSE),"")</f>
        <v/>
      </c>
      <c r="F9" s="81" t="str">
        <f>_xlfn.IFNA(VLOOKUP(G9,Master!AE:AF,2,FALSE),"")</f>
        <v/>
      </c>
      <c r="I9" s="42" t="str">
        <f>_xlfn.IFNA(VLOOKUP(D9,Master_Section!$I:$K,2,FALSE),"")</f>
        <v/>
      </c>
      <c r="J9" s="42" t="str">
        <f>_xlfn.IFNA(VLOOKUP(D9,Master_Section!$I:$K,3,FALSE),"")</f>
        <v/>
      </c>
      <c r="P9" s="80" t="str">
        <f t="shared" si="2"/>
        <v/>
      </c>
      <c r="Q9" s="43">
        <f t="shared" si="3"/>
        <v>0</v>
      </c>
    </row>
    <row r="10" spans="1:17" ht="15" customHeight="1">
      <c r="B10" s="26" t="str">
        <f>_xlfn.IFNA(VLOOKUP(C10,Master_Section!$H:$I,2,FALSE),"")</f>
        <v/>
      </c>
      <c r="D10" s="26" t="str">
        <f>_xlfn.IFNA(VLOOKUP(E10,Master_Section!$H:$I,2,FALSE),"")</f>
        <v/>
      </c>
      <c r="F10" s="81" t="str">
        <f>_xlfn.IFNA(VLOOKUP(G10,Master!AE:AF,2,FALSE),"")</f>
        <v/>
      </c>
      <c r="I10" s="42" t="str">
        <f>_xlfn.IFNA(VLOOKUP(D10,Master_Section!$I:$K,2,FALSE),"")</f>
        <v/>
      </c>
      <c r="J10" s="42" t="str">
        <f>_xlfn.IFNA(VLOOKUP(D10,Master_Section!$I:$K,3,FALSE),"")</f>
        <v/>
      </c>
      <c r="P10" s="80" t="str">
        <f t="shared" si="2"/>
        <v/>
      </c>
      <c r="Q10" s="43">
        <f t="shared" si="3"/>
        <v>0</v>
      </c>
    </row>
    <row r="11" spans="1:17" ht="15" customHeight="1">
      <c r="B11" s="26" t="str">
        <f>_xlfn.IFNA(VLOOKUP(C11,Master_Section!$H:$I,2,FALSE),"")</f>
        <v/>
      </c>
      <c r="D11" s="26" t="str">
        <f>_xlfn.IFNA(VLOOKUP(E11,Master_Section!$H:$I,2,FALSE),"")</f>
        <v/>
      </c>
      <c r="F11" s="81" t="str">
        <f>_xlfn.IFNA(VLOOKUP(G11,Master!AE:AF,2,FALSE),"")</f>
        <v/>
      </c>
      <c r="I11" s="42" t="str">
        <f>_xlfn.IFNA(VLOOKUP(D11,Master_Section!$I:$K,2,FALSE),"")</f>
        <v/>
      </c>
      <c r="J11" s="42" t="str">
        <f>_xlfn.IFNA(VLOOKUP(D11,Master_Section!$I:$K,3,FALSE),"")</f>
        <v/>
      </c>
      <c r="P11" s="80" t="str">
        <f t="shared" si="2"/>
        <v/>
      </c>
      <c r="Q11" s="43">
        <f t="shared" si="3"/>
        <v>0</v>
      </c>
    </row>
    <row r="12" spans="1:17" ht="15" customHeight="1">
      <c r="B12" s="26" t="str">
        <f>_xlfn.IFNA(VLOOKUP(C12,Master_Section!$H:$I,2,FALSE),"")</f>
        <v/>
      </c>
      <c r="D12" s="26" t="str">
        <f>_xlfn.IFNA(VLOOKUP(E12,Master_Section!$H:$I,2,FALSE),"")</f>
        <v/>
      </c>
      <c r="F12" s="81" t="str">
        <f>_xlfn.IFNA(VLOOKUP(G12,Master!AE:AF,2,FALSE),"")</f>
        <v/>
      </c>
      <c r="I12" s="42" t="str">
        <f>_xlfn.IFNA(VLOOKUP(D12,Master_Section!$I:$K,2,FALSE),"")</f>
        <v/>
      </c>
      <c r="J12" s="42" t="str">
        <f>_xlfn.IFNA(VLOOKUP(D12,Master_Section!$I:$K,3,FALSE),"")</f>
        <v/>
      </c>
      <c r="P12" s="80" t="str">
        <f t="shared" si="2"/>
        <v/>
      </c>
      <c r="Q12" s="43">
        <f t="shared" si="3"/>
        <v>0</v>
      </c>
    </row>
    <row r="13" spans="1:17" ht="15" customHeight="1">
      <c r="B13" s="26" t="str">
        <f>_xlfn.IFNA(VLOOKUP(C13,Master_Section!$H:$I,2,FALSE),"")</f>
        <v/>
      </c>
      <c r="D13" s="26" t="str">
        <f>_xlfn.IFNA(VLOOKUP(E13,Master_Section!$H:$I,2,FALSE),"")</f>
        <v/>
      </c>
      <c r="F13" s="81" t="str">
        <f>_xlfn.IFNA(VLOOKUP(G13,Master!AE:AF,2,FALSE),"")</f>
        <v/>
      </c>
      <c r="I13" s="42" t="str">
        <f>_xlfn.IFNA(VLOOKUP(D13,Master_Section!$I:$K,2,FALSE),"")</f>
        <v/>
      </c>
      <c r="J13" s="42" t="str">
        <f>_xlfn.IFNA(VLOOKUP(D13,Master_Section!$I:$K,3,FALSE),"")</f>
        <v/>
      </c>
      <c r="P13" s="80" t="str">
        <f t="shared" si="2"/>
        <v/>
      </c>
      <c r="Q13" s="43">
        <f t="shared" si="3"/>
        <v>0</v>
      </c>
    </row>
    <row r="14" spans="1:17" ht="15" customHeight="1">
      <c r="B14" s="26" t="str">
        <f>_xlfn.IFNA(VLOOKUP(C14,Master_Section!$H:$I,2,FALSE),"")</f>
        <v/>
      </c>
      <c r="D14" s="26" t="str">
        <f>_xlfn.IFNA(VLOOKUP(E14,Master_Section!$H:$I,2,FALSE),"")</f>
        <v/>
      </c>
      <c r="F14" s="81" t="str">
        <f>_xlfn.IFNA(VLOOKUP(G14,Master!AE:AF,2,FALSE),"")</f>
        <v/>
      </c>
      <c r="I14" s="42" t="str">
        <f>_xlfn.IFNA(VLOOKUP(D14,Master_Section!$I:$K,2,FALSE),"")</f>
        <v/>
      </c>
      <c r="J14" s="42" t="str">
        <f>_xlfn.IFNA(VLOOKUP(D14,Master_Section!$I:$K,3,FALSE),"")</f>
        <v/>
      </c>
      <c r="P14" s="80" t="str">
        <f t="shared" si="2"/>
        <v/>
      </c>
      <c r="Q14" s="43">
        <f t="shared" si="3"/>
        <v>0</v>
      </c>
    </row>
    <row r="15" spans="1:17" ht="15" customHeight="1">
      <c r="B15" s="26" t="str">
        <f>_xlfn.IFNA(VLOOKUP(C15,Master_Section!$H:$I,2,FALSE),"")</f>
        <v/>
      </c>
      <c r="D15" s="26" t="str">
        <f>_xlfn.IFNA(VLOOKUP(E15,Master_Section!$H:$I,2,FALSE),"")</f>
        <v/>
      </c>
      <c r="F15" s="81" t="str">
        <f>_xlfn.IFNA(VLOOKUP(G15,Master!AE:AF,2,FALSE),"")</f>
        <v/>
      </c>
      <c r="I15" s="42" t="str">
        <f>_xlfn.IFNA(VLOOKUP(D15,Master_Section!$I:$K,2,FALSE),"")</f>
        <v/>
      </c>
      <c r="J15" s="42" t="str">
        <f>_xlfn.IFNA(VLOOKUP(D15,Master_Section!$I:$K,3,FALSE),"")</f>
        <v/>
      </c>
      <c r="P15" s="80" t="str">
        <f t="shared" si="2"/>
        <v/>
      </c>
      <c r="Q15" s="43">
        <f t="shared" si="3"/>
        <v>0</v>
      </c>
    </row>
    <row r="16" spans="1:17" ht="15" customHeight="1">
      <c r="B16" s="26" t="str">
        <f>_xlfn.IFNA(VLOOKUP(C16,Master_Section!$H:$I,2,FALSE),"")</f>
        <v/>
      </c>
      <c r="D16" s="26" t="str">
        <f>_xlfn.IFNA(VLOOKUP(E16,Master_Section!$H:$I,2,FALSE),"")</f>
        <v/>
      </c>
      <c r="F16" s="81" t="str">
        <f>_xlfn.IFNA(VLOOKUP(G16,Master!AE:AF,2,FALSE),"")</f>
        <v/>
      </c>
      <c r="I16" s="42" t="str">
        <f>_xlfn.IFNA(VLOOKUP(D16,Master_Section!$I:$K,2,FALSE),"")</f>
        <v/>
      </c>
      <c r="J16" s="42" t="str">
        <f>_xlfn.IFNA(VLOOKUP(D16,Master_Section!$I:$K,3,FALSE),"")</f>
        <v/>
      </c>
      <c r="P16" s="80" t="str">
        <f t="shared" si="2"/>
        <v/>
      </c>
      <c r="Q16" s="43">
        <f t="shared" si="3"/>
        <v>0</v>
      </c>
    </row>
    <row r="17" spans="2:17" ht="15" customHeight="1">
      <c r="B17" s="26" t="str">
        <f>_xlfn.IFNA(VLOOKUP(C17,Master_Section!$H:$I,2,FALSE),"")</f>
        <v/>
      </c>
      <c r="D17" s="26" t="str">
        <f>_xlfn.IFNA(VLOOKUP(E17,Master_Section!$H:$I,2,FALSE),"")</f>
        <v/>
      </c>
      <c r="F17" s="81" t="str">
        <f>_xlfn.IFNA(VLOOKUP(G17,Master!AE:AF,2,FALSE),"")</f>
        <v/>
      </c>
      <c r="I17" s="42" t="str">
        <f>_xlfn.IFNA(VLOOKUP(D17,Master_Section!$I:$K,2,FALSE),"")</f>
        <v/>
      </c>
      <c r="J17" s="42" t="str">
        <f>_xlfn.IFNA(VLOOKUP(D17,Master_Section!$I:$K,3,FALSE),"")</f>
        <v/>
      </c>
      <c r="P17" s="80" t="str">
        <f t="shared" si="2"/>
        <v/>
      </c>
      <c r="Q17" s="43">
        <f t="shared" si="3"/>
        <v>0</v>
      </c>
    </row>
    <row r="18" spans="2:17" ht="15" customHeight="1">
      <c r="B18" s="26" t="str">
        <f>_xlfn.IFNA(VLOOKUP(C18,Master_Section!$H:$I,2,FALSE),"")</f>
        <v/>
      </c>
      <c r="D18" s="26" t="str">
        <f>_xlfn.IFNA(VLOOKUP(E18,Master_Section!$H:$I,2,FALSE),"")</f>
        <v/>
      </c>
      <c r="F18" s="81" t="str">
        <f>_xlfn.IFNA(VLOOKUP(G18,Master!AE:AF,2,FALSE),"")</f>
        <v/>
      </c>
      <c r="I18" s="42" t="str">
        <f>_xlfn.IFNA(VLOOKUP(D18,Master_Section!$I:$K,2,FALSE),"")</f>
        <v/>
      </c>
      <c r="J18" s="42" t="str">
        <f>_xlfn.IFNA(VLOOKUP(D18,Master_Section!$I:$K,3,FALSE),"")</f>
        <v/>
      </c>
      <c r="P18" s="80" t="str">
        <f t="shared" si="2"/>
        <v/>
      </c>
      <c r="Q18" s="43">
        <f t="shared" si="3"/>
        <v>0</v>
      </c>
    </row>
    <row r="19" spans="2:17" ht="15" customHeight="1">
      <c r="B19" s="26" t="str">
        <f>_xlfn.IFNA(VLOOKUP(C19,Master_Section!$H:$I,2,FALSE),"")</f>
        <v/>
      </c>
      <c r="D19" s="26" t="str">
        <f>_xlfn.IFNA(VLOOKUP(E19,Master_Section!$H:$I,2,FALSE),"")</f>
        <v/>
      </c>
      <c r="F19" s="81" t="str">
        <f>_xlfn.IFNA(VLOOKUP(G19,Master!AE:AF,2,FALSE),"")</f>
        <v/>
      </c>
      <c r="I19" s="42" t="str">
        <f>_xlfn.IFNA(VLOOKUP(D19,Master_Section!$I:$K,2,FALSE),"")</f>
        <v/>
      </c>
      <c r="J19" s="42" t="str">
        <f>_xlfn.IFNA(VLOOKUP(D19,Master_Section!$I:$K,3,FALSE),"")</f>
        <v/>
      </c>
      <c r="P19" s="80" t="str">
        <f t="shared" si="2"/>
        <v/>
      </c>
      <c r="Q19" s="43">
        <f t="shared" si="3"/>
        <v>0</v>
      </c>
    </row>
    <row r="20" spans="2:17" ht="15" customHeight="1">
      <c r="B20" s="26" t="str">
        <f>_xlfn.IFNA(VLOOKUP(C20,Master_Section!$H:$I,2,FALSE),"")</f>
        <v/>
      </c>
      <c r="D20" s="26" t="str">
        <f>_xlfn.IFNA(VLOOKUP(E20,Master_Section!$H:$I,2,FALSE),"")</f>
        <v/>
      </c>
      <c r="F20" s="81" t="str">
        <f>_xlfn.IFNA(VLOOKUP(G20,Master!AE:AF,2,FALSE),"")</f>
        <v/>
      </c>
      <c r="I20" s="42" t="str">
        <f>_xlfn.IFNA(VLOOKUP(D20,Master_Section!$I:$K,2,FALSE),"")</f>
        <v/>
      </c>
      <c r="J20" s="42" t="str">
        <f>_xlfn.IFNA(VLOOKUP(D20,Master_Section!$I:$K,3,FALSE),"")</f>
        <v/>
      </c>
      <c r="P20" s="80" t="str">
        <f t="shared" si="2"/>
        <v/>
      </c>
      <c r="Q20" s="43">
        <f t="shared" si="3"/>
        <v>0</v>
      </c>
    </row>
    <row r="21" spans="2:17" ht="15" customHeight="1">
      <c r="B21" s="26" t="str">
        <f>_xlfn.IFNA(VLOOKUP(C21,Master_Section!$H:$I,2,FALSE),"")</f>
        <v/>
      </c>
      <c r="D21" s="26" t="str">
        <f>_xlfn.IFNA(VLOOKUP(E21,Master_Section!$H:$I,2,FALSE),"")</f>
        <v/>
      </c>
      <c r="F21" s="81" t="str">
        <f>_xlfn.IFNA(VLOOKUP(G21,Master!AE:AF,2,FALSE),"")</f>
        <v/>
      </c>
      <c r="I21" s="42" t="str">
        <f>_xlfn.IFNA(VLOOKUP(D21,Master_Section!$I:$K,2,FALSE),"")</f>
        <v/>
      </c>
      <c r="J21" s="42" t="str">
        <f>_xlfn.IFNA(VLOOKUP(D21,Master_Section!$I:$K,3,FALSE),"")</f>
        <v/>
      </c>
      <c r="P21" s="80" t="str">
        <f t="shared" si="2"/>
        <v/>
      </c>
      <c r="Q21" s="43">
        <f t="shared" si="3"/>
        <v>0</v>
      </c>
    </row>
    <row r="22" spans="2:17" ht="15" customHeight="1">
      <c r="B22" s="26" t="str">
        <f>_xlfn.IFNA(VLOOKUP(C22,Master_Section!$H:$I,2,FALSE),"")</f>
        <v/>
      </c>
      <c r="D22" s="26" t="str">
        <f>_xlfn.IFNA(VLOOKUP(E22,Master_Section!$H:$I,2,FALSE),"")</f>
        <v/>
      </c>
      <c r="F22" s="81" t="str">
        <f>_xlfn.IFNA(VLOOKUP(G22,Master!AE:AF,2,FALSE),"")</f>
        <v/>
      </c>
      <c r="I22" s="42" t="str">
        <f>_xlfn.IFNA(VLOOKUP(D22,Master_Section!$I:$K,2,FALSE),"")</f>
        <v/>
      </c>
      <c r="J22" s="42" t="str">
        <f>_xlfn.IFNA(VLOOKUP(D22,Master_Section!$I:$K,3,FALSE),"")</f>
        <v/>
      </c>
      <c r="P22" s="80" t="str">
        <f t="shared" si="2"/>
        <v/>
      </c>
      <c r="Q22" s="43">
        <f t="shared" si="3"/>
        <v>0</v>
      </c>
    </row>
    <row r="23" spans="2:17" ht="15" customHeight="1">
      <c r="B23" s="26" t="str">
        <f>_xlfn.IFNA(VLOOKUP(C23,Master_Section!$H:$I,2,FALSE),"")</f>
        <v/>
      </c>
      <c r="D23" s="26" t="str">
        <f>_xlfn.IFNA(VLOOKUP(E23,Master_Section!$H:$I,2,FALSE),"")</f>
        <v/>
      </c>
      <c r="F23" s="81" t="str">
        <f>_xlfn.IFNA(VLOOKUP(G23,Master!AE:AF,2,FALSE),"")</f>
        <v/>
      </c>
      <c r="I23" s="42" t="str">
        <f>_xlfn.IFNA(VLOOKUP(D23,Master_Section!$I:$K,2,FALSE),"")</f>
        <v/>
      </c>
      <c r="J23" s="42" t="str">
        <f>_xlfn.IFNA(VLOOKUP(D23,Master_Section!$I:$K,3,FALSE),"")</f>
        <v/>
      </c>
      <c r="P23" s="80" t="str">
        <f t="shared" si="2"/>
        <v/>
      </c>
      <c r="Q23" s="43">
        <f t="shared" si="3"/>
        <v>0</v>
      </c>
    </row>
    <row r="24" spans="2:17" ht="15" customHeight="1">
      <c r="B24" s="26" t="str">
        <f>_xlfn.IFNA(VLOOKUP(C24,Master_Section!$H:$I,2,FALSE),"")</f>
        <v/>
      </c>
      <c r="D24" s="26" t="str">
        <f>_xlfn.IFNA(VLOOKUP(E24,Master_Section!$H:$I,2,FALSE),"")</f>
        <v/>
      </c>
      <c r="F24" s="81" t="str">
        <f>_xlfn.IFNA(VLOOKUP(G24,Master!AE:AF,2,FALSE),"")</f>
        <v/>
      </c>
      <c r="I24" s="42" t="str">
        <f>_xlfn.IFNA(VLOOKUP(D24,Master_Section!$I:$K,2,FALSE),"")</f>
        <v/>
      </c>
      <c r="J24" s="42" t="str">
        <f>_xlfn.IFNA(VLOOKUP(D24,Master_Section!$I:$K,3,FALSE),"")</f>
        <v/>
      </c>
      <c r="P24" s="80" t="str">
        <f t="shared" si="2"/>
        <v/>
      </c>
      <c r="Q24" s="43">
        <f t="shared" si="3"/>
        <v>0</v>
      </c>
    </row>
    <row r="25" spans="2:17" ht="15" customHeight="1">
      <c r="B25" s="26" t="str">
        <f>_xlfn.IFNA(VLOOKUP(C25,Master_Section!$H:$I,2,FALSE),"")</f>
        <v/>
      </c>
      <c r="D25" s="26" t="str">
        <f>_xlfn.IFNA(VLOOKUP(E25,Master_Section!$H:$I,2,FALSE),"")</f>
        <v/>
      </c>
      <c r="F25" s="81" t="str">
        <f>_xlfn.IFNA(VLOOKUP(G25,Master!AE:AF,2,FALSE),"")</f>
        <v/>
      </c>
      <c r="I25" s="42" t="str">
        <f>_xlfn.IFNA(VLOOKUP(D25,Master_Section!$I:$K,2,FALSE),"")</f>
        <v/>
      </c>
      <c r="J25" s="42" t="str">
        <f>_xlfn.IFNA(VLOOKUP(D25,Master_Section!$I:$K,3,FALSE),"")</f>
        <v/>
      </c>
      <c r="P25" s="80" t="str">
        <f t="shared" si="2"/>
        <v/>
      </c>
      <c r="Q25" s="43">
        <f t="shared" si="3"/>
        <v>0</v>
      </c>
    </row>
    <row r="26" spans="2:17" ht="15" customHeight="1">
      <c r="B26" s="26" t="str">
        <f>_xlfn.IFNA(VLOOKUP(C26,Master_Section!$H:$I,2,FALSE),"")</f>
        <v/>
      </c>
      <c r="D26" s="26" t="str">
        <f>_xlfn.IFNA(VLOOKUP(E26,Master_Section!$H:$I,2,FALSE),"")</f>
        <v/>
      </c>
      <c r="F26" s="81" t="str">
        <f>_xlfn.IFNA(VLOOKUP(G26,Master!AE:AF,2,FALSE),"")</f>
        <v/>
      </c>
      <c r="I26" s="42" t="str">
        <f>_xlfn.IFNA(VLOOKUP(D26,Master_Section!$I:$K,2,FALSE),"")</f>
        <v/>
      </c>
      <c r="J26" s="42" t="str">
        <f>_xlfn.IFNA(VLOOKUP(D26,Master_Section!$I:$K,3,FALSE),"")</f>
        <v/>
      </c>
      <c r="P26" s="80" t="str">
        <f t="shared" si="2"/>
        <v/>
      </c>
      <c r="Q26" s="43">
        <f t="shared" si="3"/>
        <v>0</v>
      </c>
    </row>
    <row r="27" spans="2:17" ht="15" customHeight="1">
      <c r="B27" s="26" t="str">
        <f>_xlfn.IFNA(VLOOKUP(C27,Master_Section!$H:$I,2,FALSE),"")</f>
        <v/>
      </c>
      <c r="D27" s="26" t="str">
        <f>_xlfn.IFNA(VLOOKUP(E27,Master_Section!$H:$I,2,FALSE),"")</f>
        <v/>
      </c>
      <c r="F27" s="81" t="str">
        <f>_xlfn.IFNA(VLOOKUP(G27,Master!AE:AF,2,FALSE),"")</f>
        <v/>
      </c>
      <c r="I27" s="42" t="str">
        <f>_xlfn.IFNA(VLOOKUP(D27,Master_Section!$I:$K,2,FALSE),"")</f>
        <v/>
      </c>
      <c r="J27" s="42" t="str">
        <f>_xlfn.IFNA(VLOOKUP(D27,Master_Section!$I:$K,3,FALSE),"")</f>
        <v/>
      </c>
      <c r="P27" s="80" t="str">
        <f t="shared" si="2"/>
        <v/>
      </c>
      <c r="Q27" s="43">
        <f t="shared" si="3"/>
        <v>0</v>
      </c>
    </row>
    <row r="28" spans="2:17" ht="15" customHeight="1">
      <c r="B28" s="26" t="str">
        <f>_xlfn.IFNA(VLOOKUP(C28,Master_Section!$H:$I,2,FALSE),"")</f>
        <v/>
      </c>
      <c r="D28" s="26" t="str">
        <f>_xlfn.IFNA(VLOOKUP(E28,Master_Section!$H:$I,2,FALSE),"")</f>
        <v/>
      </c>
      <c r="F28" s="81" t="str">
        <f>_xlfn.IFNA(VLOOKUP(G28,Master!AE:AF,2,FALSE),"")</f>
        <v/>
      </c>
      <c r="I28" s="42" t="str">
        <f>_xlfn.IFNA(VLOOKUP(D28,Master_Section!$I:$K,2,FALSE),"")</f>
        <v/>
      </c>
      <c r="J28" s="42" t="str">
        <f>_xlfn.IFNA(VLOOKUP(D28,Master_Section!$I:$K,3,FALSE),"")</f>
        <v/>
      </c>
      <c r="P28" s="80" t="str">
        <f t="shared" si="2"/>
        <v/>
      </c>
      <c r="Q28" s="43">
        <f t="shared" si="3"/>
        <v>0</v>
      </c>
    </row>
    <row r="29" spans="2:17" ht="15" customHeight="1">
      <c r="B29" s="26" t="str">
        <f>_xlfn.IFNA(VLOOKUP(C29,Master_Section!$H:$I,2,FALSE),"")</f>
        <v/>
      </c>
      <c r="D29" s="26" t="str">
        <f>_xlfn.IFNA(VLOOKUP(E29,Master_Section!$H:$I,2,FALSE),"")</f>
        <v/>
      </c>
      <c r="F29" s="81" t="str">
        <f>_xlfn.IFNA(VLOOKUP(G29,Master!AE:AF,2,FALSE),"")</f>
        <v/>
      </c>
      <c r="I29" s="42" t="str">
        <f>_xlfn.IFNA(VLOOKUP(D29,Master_Section!$I:$K,2,FALSE),"")</f>
        <v/>
      </c>
      <c r="J29" s="42" t="str">
        <f>_xlfn.IFNA(VLOOKUP(D29,Master_Section!$I:$K,3,FALSE),"")</f>
        <v/>
      </c>
      <c r="P29" s="80" t="str">
        <f t="shared" si="2"/>
        <v/>
      </c>
      <c r="Q29" s="43">
        <f t="shared" si="3"/>
        <v>0</v>
      </c>
    </row>
    <row r="30" spans="2:17" ht="15" customHeight="1">
      <c r="B30" s="26" t="str">
        <f>_xlfn.IFNA(VLOOKUP(C30,Master_Section!$H:$I,2,FALSE),"")</f>
        <v/>
      </c>
      <c r="D30" s="26" t="str">
        <f>_xlfn.IFNA(VLOOKUP(E30,Master_Section!$H:$I,2,FALSE),"")</f>
        <v/>
      </c>
      <c r="F30" s="81" t="str">
        <f>_xlfn.IFNA(VLOOKUP(G30,Master!AE:AF,2,FALSE),"")</f>
        <v/>
      </c>
      <c r="I30" s="42" t="str">
        <f>_xlfn.IFNA(VLOOKUP(D30,Master_Section!$I:$K,2,FALSE),"")</f>
        <v/>
      </c>
      <c r="J30" s="42" t="str">
        <f>_xlfn.IFNA(VLOOKUP(D30,Master_Section!$I:$K,3,FALSE),"")</f>
        <v/>
      </c>
      <c r="P30" s="80" t="str">
        <f t="shared" si="2"/>
        <v/>
      </c>
      <c r="Q30" s="43">
        <f t="shared" si="3"/>
        <v>0</v>
      </c>
    </row>
    <row r="31" spans="2:17" ht="15" customHeight="1">
      <c r="B31" s="26" t="str">
        <f>_xlfn.IFNA(VLOOKUP(C31,Master_Section!$H:$I,2,FALSE),"")</f>
        <v/>
      </c>
      <c r="D31" s="26" t="str">
        <f>_xlfn.IFNA(VLOOKUP(E31,Master_Section!$H:$I,2,FALSE),"")</f>
        <v/>
      </c>
      <c r="F31" s="81" t="str">
        <f>_xlfn.IFNA(VLOOKUP(G31,Master!AE:AF,2,FALSE),"")</f>
        <v/>
      </c>
      <c r="I31" s="42" t="str">
        <f>_xlfn.IFNA(VLOOKUP(D31,Master_Section!$I:$K,2,FALSE),"")</f>
        <v/>
      </c>
      <c r="J31" s="42" t="str">
        <f>_xlfn.IFNA(VLOOKUP(D31,Master_Section!$I:$K,3,FALSE),"")</f>
        <v/>
      </c>
      <c r="P31" s="80" t="str">
        <f t="shared" si="2"/>
        <v/>
      </c>
      <c r="Q31" s="43">
        <f t="shared" si="3"/>
        <v>0</v>
      </c>
    </row>
    <row r="32" spans="2:17" ht="15" customHeight="1">
      <c r="B32" s="26" t="str">
        <f>_xlfn.IFNA(VLOOKUP(C32,Master_Section!$H:$I,2,FALSE),"")</f>
        <v/>
      </c>
      <c r="D32" s="26" t="str">
        <f>_xlfn.IFNA(VLOOKUP(E32,Master_Section!$H:$I,2,FALSE),"")</f>
        <v/>
      </c>
      <c r="F32" s="81" t="str">
        <f>_xlfn.IFNA(VLOOKUP(G32,Master!AE:AF,2,FALSE),"")</f>
        <v/>
      </c>
      <c r="I32" s="42" t="str">
        <f>_xlfn.IFNA(VLOOKUP(D32,Master_Section!$I:$K,2,FALSE),"")</f>
        <v/>
      </c>
      <c r="J32" s="42" t="str">
        <f>_xlfn.IFNA(VLOOKUP(D32,Master_Section!$I:$K,3,FALSE),"")</f>
        <v/>
      </c>
      <c r="P32" s="80" t="str">
        <f t="shared" si="2"/>
        <v/>
      </c>
      <c r="Q32" s="43">
        <f t="shared" si="3"/>
        <v>0</v>
      </c>
    </row>
    <row r="33" spans="2:17" ht="15" customHeight="1">
      <c r="B33" s="26" t="str">
        <f>_xlfn.IFNA(VLOOKUP(C33,Master_Section!$H:$I,2,FALSE),"")</f>
        <v/>
      </c>
      <c r="D33" s="26" t="str">
        <f>_xlfn.IFNA(VLOOKUP(E33,Master_Section!$H:$I,2,FALSE),"")</f>
        <v/>
      </c>
      <c r="F33" s="81" t="str">
        <f>_xlfn.IFNA(VLOOKUP(G33,Master!AE:AF,2,FALSE),"")</f>
        <v/>
      </c>
      <c r="I33" s="42" t="str">
        <f>_xlfn.IFNA(VLOOKUP(D33,Master_Section!$I:$K,2,FALSE),"")</f>
        <v/>
      </c>
      <c r="J33" s="42" t="str">
        <f>_xlfn.IFNA(VLOOKUP(D33,Master_Section!$I:$K,3,FALSE),"")</f>
        <v/>
      </c>
      <c r="P33" s="80" t="str">
        <f t="shared" si="2"/>
        <v/>
      </c>
      <c r="Q33" s="43">
        <f t="shared" si="3"/>
        <v>0</v>
      </c>
    </row>
    <row r="34" spans="2:17" ht="15" customHeight="1">
      <c r="B34" s="26" t="str">
        <f>_xlfn.IFNA(VLOOKUP(C34,Master_Section!$H:$I,2,FALSE),"")</f>
        <v/>
      </c>
      <c r="D34" s="26" t="str">
        <f>_xlfn.IFNA(VLOOKUP(E34,Master_Section!$H:$I,2,FALSE),"")</f>
        <v/>
      </c>
      <c r="F34" s="81" t="str">
        <f>_xlfn.IFNA(VLOOKUP(G34,Master!AE:AF,2,FALSE),"")</f>
        <v/>
      </c>
      <c r="I34" s="42" t="str">
        <f>_xlfn.IFNA(VLOOKUP(D34,Master_Section!$I:$K,2,FALSE),"")</f>
        <v/>
      </c>
      <c r="J34" s="42" t="str">
        <f>_xlfn.IFNA(VLOOKUP(D34,Master_Section!$I:$K,3,FALSE),"")</f>
        <v/>
      </c>
      <c r="P34" s="80" t="str">
        <f t="shared" si="2"/>
        <v/>
      </c>
      <c r="Q34" s="43">
        <f t="shared" si="3"/>
        <v>0</v>
      </c>
    </row>
    <row r="35" spans="2:17" ht="15" customHeight="1">
      <c r="B35" s="26" t="str">
        <f>_xlfn.IFNA(VLOOKUP(C35,Master_Section!$H:$I,2,FALSE),"")</f>
        <v/>
      </c>
      <c r="D35" s="26" t="str">
        <f>_xlfn.IFNA(VLOOKUP(E35,Master_Section!$H:$I,2,FALSE),"")</f>
        <v/>
      </c>
      <c r="F35" s="81" t="str">
        <f>_xlfn.IFNA(VLOOKUP(G35,Master!AE:AF,2,FALSE),"")</f>
        <v/>
      </c>
      <c r="I35" s="42" t="str">
        <f>_xlfn.IFNA(VLOOKUP(D35,Master_Section!$I:$K,2,FALSE),"")</f>
        <v/>
      </c>
      <c r="J35" s="42" t="str">
        <f>_xlfn.IFNA(VLOOKUP(D35,Master_Section!$I:$K,3,FALSE),"")</f>
        <v/>
      </c>
      <c r="P35" s="80" t="str">
        <f t="shared" si="2"/>
        <v/>
      </c>
      <c r="Q35" s="43">
        <f t="shared" si="3"/>
        <v>0</v>
      </c>
    </row>
    <row r="36" spans="2:17" ht="15" customHeight="1">
      <c r="B36" s="26" t="str">
        <f>_xlfn.IFNA(VLOOKUP(C36,Master_Section!$H:$I,2,FALSE),"")</f>
        <v/>
      </c>
      <c r="D36" s="26" t="str">
        <f>_xlfn.IFNA(VLOOKUP(E36,Master_Section!$H:$I,2,FALSE),"")</f>
        <v/>
      </c>
      <c r="F36" s="81" t="str">
        <f>_xlfn.IFNA(VLOOKUP(G36,Master!AE:AF,2,FALSE),"")</f>
        <v/>
      </c>
      <c r="I36" s="42" t="str">
        <f>_xlfn.IFNA(VLOOKUP(D36,Master_Section!$I:$K,2,FALSE),"")</f>
        <v/>
      </c>
      <c r="J36" s="42" t="str">
        <f>_xlfn.IFNA(VLOOKUP(D36,Master_Section!$I:$K,3,FALSE),"")</f>
        <v/>
      </c>
      <c r="P36" s="80" t="str">
        <f t="shared" si="2"/>
        <v/>
      </c>
      <c r="Q36" s="43">
        <f t="shared" si="3"/>
        <v>0</v>
      </c>
    </row>
    <row r="37" spans="2:17" ht="15" customHeight="1">
      <c r="B37" s="26" t="str">
        <f>_xlfn.IFNA(VLOOKUP(C37,Master_Section!$H:$I,2,FALSE),"")</f>
        <v/>
      </c>
      <c r="D37" s="26" t="str">
        <f>_xlfn.IFNA(VLOOKUP(E37,Master_Section!$H:$I,2,FALSE),"")</f>
        <v/>
      </c>
      <c r="F37" s="81" t="str">
        <f>_xlfn.IFNA(VLOOKUP(G37,Master!AE:AF,2,FALSE),"")</f>
        <v/>
      </c>
      <c r="I37" s="42" t="str">
        <f>_xlfn.IFNA(VLOOKUP(D37,Master_Section!$I:$K,2,FALSE),"")</f>
        <v/>
      </c>
      <c r="J37" s="42" t="str">
        <f>_xlfn.IFNA(VLOOKUP(D37,Master_Section!$I:$K,3,FALSE),"")</f>
        <v/>
      </c>
      <c r="P37" s="80" t="str">
        <f t="shared" si="2"/>
        <v/>
      </c>
      <c r="Q37" s="43">
        <f t="shared" si="3"/>
        <v>0</v>
      </c>
    </row>
    <row r="38" spans="2:17" ht="15" customHeight="1">
      <c r="B38" s="26" t="str">
        <f>_xlfn.IFNA(VLOOKUP(C38,Master_Section!$H:$I,2,FALSE),"")</f>
        <v/>
      </c>
      <c r="D38" s="26" t="str">
        <f>_xlfn.IFNA(VLOOKUP(E38,Master_Section!$H:$I,2,FALSE),"")</f>
        <v/>
      </c>
      <c r="F38" s="81" t="str">
        <f>_xlfn.IFNA(VLOOKUP(G38,Master!AE:AF,2,FALSE),"")</f>
        <v/>
      </c>
      <c r="I38" s="42" t="str">
        <f>_xlfn.IFNA(VLOOKUP(D38,Master_Section!$I:$K,2,FALSE),"")</f>
        <v/>
      </c>
      <c r="J38" s="42" t="str">
        <f>_xlfn.IFNA(VLOOKUP(D38,Master_Section!$I:$K,3,FALSE),"")</f>
        <v/>
      </c>
      <c r="P38" s="80" t="str">
        <f t="shared" si="2"/>
        <v/>
      </c>
      <c r="Q38" s="43">
        <f t="shared" si="3"/>
        <v>0</v>
      </c>
    </row>
    <row r="39" spans="2:17" ht="15" customHeight="1">
      <c r="B39" s="26" t="str">
        <f>_xlfn.IFNA(VLOOKUP(C39,Master_Section!$H:$I,2,FALSE),"")</f>
        <v/>
      </c>
      <c r="D39" s="26" t="str">
        <f>_xlfn.IFNA(VLOOKUP(E39,Master_Section!$H:$I,2,FALSE),"")</f>
        <v/>
      </c>
      <c r="F39" s="81" t="str">
        <f>_xlfn.IFNA(VLOOKUP(G39,Master!AE:AF,2,FALSE),"")</f>
        <v/>
      </c>
      <c r="I39" s="42" t="str">
        <f>_xlfn.IFNA(VLOOKUP(D39,Master_Section!$I:$K,2,FALSE),"")</f>
        <v/>
      </c>
      <c r="J39" s="42" t="str">
        <f>_xlfn.IFNA(VLOOKUP(D39,Master_Section!$I:$K,3,FALSE),"")</f>
        <v/>
      </c>
      <c r="P39" s="80" t="str">
        <f t="shared" si="2"/>
        <v/>
      </c>
      <c r="Q39" s="43">
        <f t="shared" si="3"/>
        <v>0</v>
      </c>
    </row>
    <row r="40" spans="2:17" ht="15" customHeight="1">
      <c r="B40" s="26" t="str">
        <f>_xlfn.IFNA(VLOOKUP(C40,Master_Section!$H:$I,2,FALSE),"")</f>
        <v/>
      </c>
      <c r="D40" s="26" t="str">
        <f>_xlfn.IFNA(VLOOKUP(E40,Master_Section!$H:$I,2,FALSE),"")</f>
        <v/>
      </c>
      <c r="F40" s="81" t="str">
        <f>_xlfn.IFNA(VLOOKUP(G40,Master!AE:AF,2,FALSE),"")</f>
        <v/>
      </c>
      <c r="I40" s="42" t="str">
        <f>_xlfn.IFNA(VLOOKUP(D40,Master_Section!$I:$K,2,FALSE),"")</f>
        <v/>
      </c>
      <c r="J40" s="42" t="str">
        <f>_xlfn.IFNA(VLOOKUP(D40,Master_Section!$I:$K,3,FALSE),"")</f>
        <v/>
      </c>
      <c r="P40" s="80" t="str">
        <f t="shared" si="2"/>
        <v/>
      </c>
      <c r="Q40" s="43">
        <f t="shared" si="3"/>
        <v>0</v>
      </c>
    </row>
    <row r="41" spans="2:17" ht="15" customHeight="1">
      <c r="B41" s="26" t="str">
        <f>_xlfn.IFNA(VLOOKUP(C41,Master_Section!$H:$I,2,FALSE),"")</f>
        <v/>
      </c>
      <c r="D41" s="26" t="str">
        <f>_xlfn.IFNA(VLOOKUP(E41,Master_Section!$H:$I,2,FALSE),"")</f>
        <v/>
      </c>
      <c r="F41" s="81" t="str">
        <f>_xlfn.IFNA(VLOOKUP(G41,Master!AE:AF,2,FALSE),"")</f>
        <v/>
      </c>
      <c r="I41" s="42" t="str">
        <f>_xlfn.IFNA(VLOOKUP(D41,Master_Section!$I:$K,2,FALSE),"")</f>
        <v/>
      </c>
      <c r="J41" s="42" t="str">
        <f>_xlfn.IFNA(VLOOKUP(D41,Master_Section!$I:$K,3,FALSE),"")</f>
        <v/>
      </c>
      <c r="P41" s="80" t="str">
        <f t="shared" si="2"/>
        <v/>
      </c>
      <c r="Q41" s="43">
        <f t="shared" si="3"/>
        <v>0</v>
      </c>
    </row>
    <row r="42" spans="2:17" ht="15" customHeight="1">
      <c r="B42" s="26" t="str">
        <f>_xlfn.IFNA(VLOOKUP(C42,Master_Section!$H:$I,2,FALSE),"")</f>
        <v/>
      </c>
      <c r="D42" s="26" t="str">
        <f>_xlfn.IFNA(VLOOKUP(E42,Master_Section!$H:$I,2,FALSE),"")</f>
        <v/>
      </c>
      <c r="F42" s="81" t="str">
        <f>_xlfn.IFNA(VLOOKUP(G42,Master!AE:AF,2,FALSE),"")</f>
        <v/>
      </c>
      <c r="I42" s="42" t="str">
        <f>_xlfn.IFNA(VLOOKUP(D42,Master_Section!$I:$K,2,FALSE),"")</f>
        <v/>
      </c>
      <c r="J42" s="42" t="str">
        <f>_xlfn.IFNA(VLOOKUP(D42,Master_Section!$I:$K,3,FALSE),"")</f>
        <v/>
      </c>
      <c r="P42" s="80" t="str">
        <f t="shared" si="2"/>
        <v/>
      </c>
      <c r="Q42" s="43">
        <f t="shared" si="3"/>
        <v>0</v>
      </c>
    </row>
    <row r="43" spans="2:17" ht="15" customHeight="1">
      <c r="B43" s="26" t="str">
        <f>_xlfn.IFNA(VLOOKUP(C43,Master_Section!$H:$I,2,FALSE),"")</f>
        <v/>
      </c>
      <c r="D43" s="26" t="str">
        <f>_xlfn.IFNA(VLOOKUP(E43,Master_Section!$H:$I,2,FALSE),"")</f>
        <v/>
      </c>
      <c r="F43" s="81" t="str">
        <f>_xlfn.IFNA(VLOOKUP(G43,Master!AE:AF,2,FALSE),"")</f>
        <v/>
      </c>
      <c r="I43" s="42" t="str">
        <f>_xlfn.IFNA(VLOOKUP(D43,Master_Section!$I:$K,2,FALSE),"")</f>
        <v/>
      </c>
      <c r="J43" s="42" t="str">
        <f>_xlfn.IFNA(VLOOKUP(D43,Master_Section!$I:$K,3,FALSE),"")</f>
        <v/>
      </c>
      <c r="P43" s="80" t="str">
        <f t="shared" si="2"/>
        <v/>
      </c>
      <c r="Q43" s="43">
        <f t="shared" si="3"/>
        <v>0</v>
      </c>
    </row>
    <row r="44" spans="2:17" ht="15" customHeight="1">
      <c r="B44" s="26" t="str">
        <f>_xlfn.IFNA(VLOOKUP(C44,Master_Section!$H:$I,2,FALSE),"")</f>
        <v/>
      </c>
      <c r="D44" s="26" t="str">
        <f>_xlfn.IFNA(VLOOKUP(E44,Master_Section!$H:$I,2,FALSE),"")</f>
        <v/>
      </c>
      <c r="F44" s="81" t="str">
        <f>_xlfn.IFNA(VLOOKUP(G44,Master!AE:AF,2,FALSE),"")</f>
        <v/>
      </c>
      <c r="I44" s="42" t="str">
        <f>_xlfn.IFNA(VLOOKUP(D44,Master_Section!$I:$K,2,FALSE),"")</f>
        <v/>
      </c>
      <c r="J44" s="42" t="str">
        <f>_xlfn.IFNA(VLOOKUP(D44,Master_Section!$I:$K,3,FALSE),"")</f>
        <v/>
      </c>
      <c r="P44" s="80" t="str">
        <f t="shared" si="2"/>
        <v/>
      </c>
      <c r="Q44" s="43">
        <f t="shared" si="3"/>
        <v>0</v>
      </c>
    </row>
    <row r="45" spans="2:17" ht="15" customHeight="1">
      <c r="B45" s="26" t="str">
        <f>_xlfn.IFNA(VLOOKUP(C45,Master_Section!$H:$I,2,FALSE),"")</f>
        <v/>
      </c>
      <c r="D45" s="26" t="str">
        <f>_xlfn.IFNA(VLOOKUP(E45,Master_Section!$H:$I,2,FALSE),"")</f>
        <v/>
      </c>
      <c r="F45" s="81" t="str">
        <f>_xlfn.IFNA(VLOOKUP(G45,Master!AE:AF,2,FALSE),"")</f>
        <v/>
      </c>
      <c r="I45" s="42" t="str">
        <f>_xlfn.IFNA(VLOOKUP(D45,Master_Section!$I:$K,2,FALSE),"")</f>
        <v/>
      </c>
      <c r="J45" s="42" t="str">
        <f>_xlfn.IFNA(VLOOKUP(D45,Master_Section!$I:$K,3,FALSE),"")</f>
        <v/>
      </c>
      <c r="P45" s="80" t="str">
        <f t="shared" si="2"/>
        <v/>
      </c>
      <c r="Q45" s="43">
        <f t="shared" si="3"/>
        <v>0</v>
      </c>
    </row>
    <row r="46" spans="2:17" ht="15" customHeight="1">
      <c r="B46" s="26" t="str">
        <f>_xlfn.IFNA(VLOOKUP(C46,Master_Section!$H:$I,2,FALSE),"")</f>
        <v/>
      </c>
      <c r="D46" s="26" t="str">
        <f>_xlfn.IFNA(VLOOKUP(E46,Master_Section!$H:$I,2,FALSE),"")</f>
        <v/>
      </c>
      <c r="F46" s="81" t="str">
        <f>_xlfn.IFNA(VLOOKUP(G46,Master!AE:AF,2,FALSE),"")</f>
        <v/>
      </c>
      <c r="I46" s="42" t="str">
        <f>_xlfn.IFNA(VLOOKUP(D46,Master_Section!$I:$K,2,FALSE),"")</f>
        <v/>
      </c>
      <c r="J46" s="42" t="str">
        <f>_xlfn.IFNA(VLOOKUP(D46,Master_Section!$I:$K,3,FALSE),"")</f>
        <v/>
      </c>
      <c r="P46" s="80" t="str">
        <f t="shared" si="2"/>
        <v/>
      </c>
      <c r="Q46" s="43">
        <f t="shared" si="3"/>
        <v>0</v>
      </c>
    </row>
    <row r="47" spans="2:17" ht="15" customHeight="1">
      <c r="B47" s="26" t="str">
        <f>_xlfn.IFNA(VLOOKUP(C47,Master_Section!$H:$I,2,FALSE),"")</f>
        <v/>
      </c>
      <c r="D47" s="26" t="str">
        <f>_xlfn.IFNA(VLOOKUP(E47,Master_Section!$H:$I,2,FALSE),"")</f>
        <v/>
      </c>
      <c r="F47" s="81" t="str">
        <f>_xlfn.IFNA(VLOOKUP(G47,Master!AE:AF,2,FALSE),"")</f>
        <v/>
      </c>
      <c r="I47" s="42" t="str">
        <f>_xlfn.IFNA(VLOOKUP(D47,Master_Section!$I:$K,2,FALSE),"")</f>
        <v/>
      </c>
      <c r="J47" s="42" t="str">
        <f>_xlfn.IFNA(VLOOKUP(D47,Master_Section!$I:$K,3,FALSE),"")</f>
        <v/>
      </c>
      <c r="P47" s="80" t="str">
        <f t="shared" si="2"/>
        <v/>
      </c>
      <c r="Q47" s="43">
        <f t="shared" si="3"/>
        <v>0</v>
      </c>
    </row>
    <row r="48" spans="2:17" ht="15" customHeight="1">
      <c r="B48" s="26" t="str">
        <f>_xlfn.IFNA(VLOOKUP(C48,Master_Section!$H:$I,2,FALSE),"")</f>
        <v/>
      </c>
      <c r="D48" s="26" t="str">
        <f>_xlfn.IFNA(VLOOKUP(E48,Master_Section!$H:$I,2,FALSE),"")</f>
        <v/>
      </c>
      <c r="F48" s="81" t="str">
        <f>_xlfn.IFNA(VLOOKUP(G48,Master!AE:AF,2,FALSE),"")</f>
        <v/>
      </c>
      <c r="I48" s="42" t="str">
        <f>_xlfn.IFNA(VLOOKUP(D48,Master_Section!$I:$K,2,FALSE),"")</f>
        <v/>
      </c>
      <c r="J48" s="42" t="str">
        <f>_xlfn.IFNA(VLOOKUP(D48,Master_Section!$I:$K,3,FALSE),"")</f>
        <v/>
      </c>
      <c r="P48" s="80" t="str">
        <f t="shared" si="2"/>
        <v/>
      </c>
      <c r="Q48" s="43">
        <f t="shared" si="3"/>
        <v>0</v>
      </c>
    </row>
    <row r="49" spans="2:17" ht="15" customHeight="1">
      <c r="B49" s="26" t="str">
        <f>_xlfn.IFNA(VLOOKUP(C49,Master_Section!$H:$I,2,FALSE),"")</f>
        <v/>
      </c>
      <c r="D49" s="26" t="str">
        <f>_xlfn.IFNA(VLOOKUP(E49,Master_Section!$H:$I,2,FALSE),"")</f>
        <v/>
      </c>
      <c r="F49" s="81" t="str">
        <f>_xlfn.IFNA(VLOOKUP(G49,Master!AE:AF,2,FALSE),"")</f>
        <v/>
      </c>
      <c r="I49" s="42" t="str">
        <f>_xlfn.IFNA(VLOOKUP(D49,Master_Section!$I:$K,2,FALSE),"")</f>
        <v/>
      </c>
      <c r="J49" s="42" t="str">
        <f>_xlfn.IFNA(VLOOKUP(D49,Master_Section!$I:$K,3,FALSE),"")</f>
        <v/>
      </c>
      <c r="P49" s="80" t="str">
        <f t="shared" si="2"/>
        <v/>
      </c>
      <c r="Q49" s="43">
        <f t="shared" si="3"/>
        <v>0</v>
      </c>
    </row>
    <row r="50" spans="2:17" ht="15" customHeight="1">
      <c r="B50" s="26" t="str">
        <f>_xlfn.IFNA(VLOOKUP(C50,Master_Section!$H:$I,2,FALSE),"")</f>
        <v/>
      </c>
      <c r="D50" s="26" t="str">
        <f>_xlfn.IFNA(VLOOKUP(E50,Master_Section!$H:$I,2,FALSE),"")</f>
        <v/>
      </c>
      <c r="F50" s="81" t="str">
        <f>_xlfn.IFNA(VLOOKUP(G50,Master!AE:AF,2,FALSE),"")</f>
        <v/>
      </c>
      <c r="I50" s="42" t="str">
        <f>_xlfn.IFNA(VLOOKUP(D50,Master_Section!$I:$K,2,FALSE),"")</f>
        <v/>
      </c>
      <c r="J50" s="42" t="str">
        <f>_xlfn.IFNA(VLOOKUP(D50,Master_Section!$I:$K,3,FALSE),"")</f>
        <v/>
      </c>
      <c r="P50" s="80" t="str">
        <f t="shared" si="2"/>
        <v/>
      </c>
      <c r="Q50" s="43">
        <f t="shared" si="3"/>
        <v>0</v>
      </c>
    </row>
    <row r="51" spans="2:17" ht="15" customHeight="1">
      <c r="B51" s="26" t="str">
        <f>_xlfn.IFNA(VLOOKUP(C51,Master_Section!$H:$I,2,FALSE),"")</f>
        <v/>
      </c>
      <c r="D51" s="26" t="str">
        <f>_xlfn.IFNA(VLOOKUP(E51,Master_Section!$H:$I,2,FALSE),"")</f>
        <v/>
      </c>
      <c r="F51" s="81" t="str">
        <f>_xlfn.IFNA(VLOOKUP(G51,Master!AE:AF,2,FALSE),"")</f>
        <v/>
      </c>
      <c r="I51" s="42" t="str">
        <f>_xlfn.IFNA(VLOOKUP(D51,Master_Section!$I:$K,2,FALSE),"")</f>
        <v/>
      </c>
      <c r="J51" s="42" t="str">
        <f>_xlfn.IFNA(VLOOKUP(D51,Master_Section!$I:$K,3,FALSE),"")</f>
        <v/>
      </c>
      <c r="P51" s="80" t="str">
        <f t="shared" si="2"/>
        <v/>
      </c>
      <c r="Q51" s="43">
        <f t="shared" si="3"/>
        <v>0</v>
      </c>
    </row>
    <row r="52" spans="2:17" ht="15" customHeight="1">
      <c r="B52" s="26" t="str">
        <f>_xlfn.IFNA(VLOOKUP(C52,Master_Section!$H:$I,2,FALSE),"")</f>
        <v/>
      </c>
      <c r="D52" s="26" t="str">
        <f>_xlfn.IFNA(VLOOKUP(E52,Master_Section!$H:$I,2,FALSE),"")</f>
        <v/>
      </c>
      <c r="F52" s="81" t="str">
        <f>_xlfn.IFNA(VLOOKUP(G52,Master!AE:AF,2,FALSE),"")</f>
        <v/>
      </c>
      <c r="I52" s="42" t="str">
        <f>_xlfn.IFNA(VLOOKUP(D52,Master_Section!$I:$K,2,FALSE),"")</f>
        <v/>
      </c>
      <c r="J52" s="42" t="str">
        <f>_xlfn.IFNA(VLOOKUP(D52,Master_Section!$I:$K,3,FALSE),"")</f>
        <v/>
      </c>
      <c r="P52" s="80" t="str">
        <f t="shared" si="2"/>
        <v/>
      </c>
      <c r="Q52" s="43">
        <f t="shared" si="3"/>
        <v>0</v>
      </c>
    </row>
    <row r="53" spans="2:17" ht="15" customHeight="1">
      <c r="B53" s="26" t="str">
        <f>_xlfn.IFNA(VLOOKUP(C53,Master_Section!$H:$I,2,FALSE),"")</f>
        <v/>
      </c>
      <c r="D53" s="26" t="str">
        <f>_xlfn.IFNA(VLOOKUP(E53,Master_Section!$H:$I,2,FALSE),"")</f>
        <v/>
      </c>
      <c r="F53" s="81" t="str">
        <f>_xlfn.IFNA(VLOOKUP(G53,Master!AE:AF,2,FALSE),"")</f>
        <v/>
      </c>
      <c r="I53" s="42" t="str">
        <f>_xlfn.IFNA(VLOOKUP(D53,Master_Section!$I:$K,2,FALSE),"")</f>
        <v/>
      </c>
      <c r="J53" s="42" t="str">
        <f>_xlfn.IFNA(VLOOKUP(D53,Master_Section!$I:$K,3,FALSE),"")</f>
        <v/>
      </c>
      <c r="P53" s="80" t="str">
        <f t="shared" si="2"/>
        <v/>
      </c>
      <c r="Q53" s="43">
        <f t="shared" si="3"/>
        <v>0</v>
      </c>
    </row>
    <row r="54" spans="2:17" ht="15" customHeight="1">
      <c r="B54" s="26" t="str">
        <f>_xlfn.IFNA(VLOOKUP(C54,Master_Section!$H:$I,2,FALSE),"")</f>
        <v/>
      </c>
      <c r="D54" s="26" t="str">
        <f>_xlfn.IFNA(VLOOKUP(E54,Master_Section!$H:$I,2,FALSE),"")</f>
        <v/>
      </c>
      <c r="F54" s="81" t="str">
        <f>_xlfn.IFNA(VLOOKUP(G54,Master!AE:AF,2,FALSE),"")</f>
        <v/>
      </c>
      <c r="I54" s="42" t="str">
        <f>_xlfn.IFNA(VLOOKUP(D54,Master_Section!$I:$K,2,FALSE),"")</f>
        <v/>
      </c>
      <c r="J54" s="42" t="str">
        <f>_xlfn.IFNA(VLOOKUP(D54,Master_Section!$I:$K,3,FALSE),"")</f>
        <v/>
      </c>
      <c r="P54" s="80" t="str">
        <f t="shared" si="2"/>
        <v/>
      </c>
      <c r="Q54" s="43">
        <f t="shared" si="3"/>
        <v>0</v>
      </c>
    </row>
    <row r="55" spans="2:17" ht="15" customHeight="1">
      <c r="B55" s="26" t="str">
        <f>_xlfn.IFNA(VLOOKUP(C55,Master_Section!$H:$I,2,FALSE),"")</f>
        <v/>
      </c>
      <c r="D55" s="26" t="str">
        <f>_xlfn.IFNA(VLOOKUP(E55,Master_Section!$H:$I,2,FALSE),"")</f>
        <v/>
      </c>
      <c r="F55" s="81" t="str">
        <f>_xlfn.IFNA(VLOOKUP(G55,Master!AE:AF,2,FALSE),"")</f>
        <v/>
      </c>
      <c r="I55" s="42" t="str">
        <f>_xlfn.IFNA(VLOOKUP(D55,Master_Section!$I:$K,2,FALSE),"")</f>
        <v/>
      </c>
      <c r="J55" s="42" t="str">
        <f>_xlfn.IFNA(VLOOKUP(D55,Master_Section!$I:$K,3,FALSE),"")</f>
        <v/>
      </c>
      <c r="P55" s="80" t="str">
        <f t="shared" ref="P55:P118" si="4">IF(N55&lt;&gt;"",IF(MONTH(N55)&gt;=4,"FY1"&amp;RIGHT(YEAR(N55)+1,2),"FY1"&amp;RIGHT(YEAR(N55),2)),"")</f>
        <v/>
      </c>
      <c r="Q55" s="43">
        <f t="shared" ref="Q55:Q118" si="5">IF(K55&gt;0&amp;M55&gt;0,K55*M55,"")</f>
        <v>0</v>
      </c>
    </row>
    <row r="56" spans="2:17" ht="15" customHeight="1">
      <c r="B56" s="26" t="str">
        <f>_xlfn.IFNA(VLOOKUP(C56,Master_Section!$H:$I,2,FALSE),"")</f>
        <v/>
      </c>
      <c r="D56" s="26" t="str">
        <f>_xlfn.IFNA(VLOOKUP(E56,Master_Section!$H:$I,2,FALSE),"")</f>
        <v/>
      </c>
      <c r="F56" s="81" t="str">
        <f>_xlfn.IFNA(VLOOKUP(G56,Master!AE:AF,2,FALSE),"")</f>
        <v/>
      </c>
      <c r="I56" s="42" t="str">
        <f>_xlfn.IFNA(VLOOKUP(D56,Master_Section!$I:$K,2,FALSE),"")</f>
        <v/>
      </c>
      <c r="J56" s="42" t="str">
        <f>_xlfn.IFNA(VLOOKUP(D56,Master_Section!$I:$K,3,FALSE),"")</f>
        <v/>
      </c>
      <c r="P56" s="80" t="str">
        <f t="shared" si="4"/>
        <v/>
      </c>
      <c r="Q56" s="43">
        <f t="shared" si="5"/>
        <v>0</v>
      </c>
    </row>
    <row r="57" spans="2:17" ht="15" customHeight="1">
      <c r="B57" s="26" t="str">
        <f>_xlfn.IFNA(VLOOKUP(C57,Master_Section!$H:$I,2,FALSE),"")</f>
        <v/>
      </c>
      <c r="D57" s="26" t="str">
        <f>_xlfn.IFNA(VLOOKUP(E57,Master_Section!$H:$I,2,FALSE),"")</f>
        <v/>
      </c>
      <c r="F57" s="81" t="str">
        <f>_xlfn.IFNA(VLOOKUP(G57,Master!AE:AF,2,FALSE),"")</f>
        <v/>
      </c>
      <c r="I57" s="42" t="str">
        <f>_xlfn.IFNA(VLOOKUP(D57,Master_Section!$I:$K,2,FALSE),"")</f>
        <v/>
      </c>
      <c r="J57" s="42" t="str">
        <f>_xlfn.IFNA(VLOOKUP(D57,Master_Section!$I:$K,3,FALSE),"")</f>
        <v/>
      </c>
      <c r="P57" s="80" t="str">
        <f t="shared" si="4"/>
        <v/>
      </c>
      <c r="Q57" s="43">
        <f t="shared" si="5"/>
        <v>0</v>
      </c>
    </row>
    <row r="58" spans="2:17" ht="15" customHeight="1">
      <c r="B58" s="26" t="str">
        <f>_xlfn.IFNA(VLOOKUP(C58,Master_Section!$H:$I,2,FALSE),"")</f>
        <v/>
      </c>
      <c r="D58" s="26" t="str">
        <f>_xlfn.IFNA(VLOOKUP(E58,Master_Section!$H:$I,2,FALSE),"")</f>
        <v/>
      </c>
      <c r="F58" s="81" t="str">
        <f>_xlfn.IFNA(VLOOKUP(G58,Master!AE:AF,2,FALSE),"")</f>
        <v/>
      </c>
      <c r="I58" s="42" t="str">
        <f>_xlfn.IFNA(VLOOKUP(D58,Master_Section!$I:$K,2,FALSE),"")</f>
        <v/>
      </c>
      <c r="J58" s="42" t="str">
        <f>_xlfn.IFNA(VLOOKUP(D58,Master_Section!$I:$K,3,FALSE),"")</f>
        <v/>
      </c>
      <c r="P58" s="80" t="str">
        <f t="shared" si="4"/>
        <v/>
      </c>
      <c r="Q58" s="43">
        <f t="shared" si="5"/>
        <v>0</v>
      </c>
    </row>
    <row r="59" spans="2:17" ht="15" customHeight="1">
      <c r="B59" s="26" t="str">
        <f>_xlfn.IFNA(VLOOKUP(C59,Master_Section!$H:$I,2,FALSE),"")</f>
        <v/>
      </c>
      <c r="D59" s="26" t="str">
        <f>_xlfn.IFNA(VLOOKUP(E59,Master_Section!$H:$I,2,FALSE),"")</f>
        <v/>
      </c>
      <c r="F59" s="81" t="str">
        <f>_xlfn.IFNA(VLOOKUP(G59,Master!AE:AF,2,FALSE),"")</f>
        <v/>
      </c>
      <c r="I59" s="42" t="str">
        <f>_xlfn.IFNA(VLOOKUP(D59,Master_Section!$I:$K,2,FALSE),"")</f>
        <v/>
      </c>
      <c r="J59" s="42" t="str">
        <f>_xlfn.IFNA(VLOOKUP(D59,Master_Section!$I:$K,3,FALSE),"")</f>
        <v/>
      </c>
      <c r="P59" s="80" t="str">
        <f t="shared" si="4"/>
        <v/>
      </c>
      <c r="Q59" s="43">
        <f t="shared" si="5"/>
        <v>0</v>
      </c>
    </row>
    <row r="60" spans="2:17" ht="15" customHeight="1">
      <c r="B60" s="26" t="str">
        <f>_xlfn.IFNA(VLOOKUP(C60,Master_Section!$H:$I,2,FALSE),"")</f>
        <v/>
      </c>
      <c r="D60" s="26" t="str">
        <f>_xlfn.IFNA(VLOOKUP(E60,Master_Section!$H:$I,2,FALSE),"")</f>
        <v/>
      </c>
      <c r="F60" s="81" t="str">
        <f>_xlfn.IFNA(VLOOKUP(G60,Master!AE:AF,2,FALSE),"")</f>
        <v/>
      </c>
      <c r="I60" s="42" t="str">
        <f>_xlfn.IFNA(VLOOKUP(D60,Master_Section!$I:$K,2,FALSE),"")</f>
        <v/>
      </c>
      <c r="J60" s="42" t="str">
        <f>_xlfn.IFNA(VLOOKUP(D60,Master_Section!$I:$K,3,FALSE),"")</f>
        <v/>
      </c>
      <c r="P60" s="80" t="str">
        <f t="shared" si="4"/>
        <v/>
      </c>
      <c r="Q60" s="43">
        <f t="shared" si="5"/>
        <v>0</v>
      </c>
    </row>
    <row r="61" spans="2:17" ht="15" customHeight="1">
      <c r="B61" s="26" t="str">
        <f>_xlfn.IFNA(VLOOKUP(C61,Master_Section!$H:$I,2,FALSE),"")</f>
        <v/>
      </c>
      <c r="D61" s="26" t="str">
        <f>_xlfn.IFNA(VLOOKUP(E61,Master_Section!$H:$I,2,FALSE),"")</f>
        <v/>
      </c>
      <c r="F61" s="81" t="str">
        <f>_xlfn.IFNA(VLOOKUP(G61,Master!AE:AF,2,FALSE),"")</f>
        <v/>
      </c>
      <c r="I61" s="42" t="str">
        <f>_xlfn.IFNA(VLOOKUP(D61,Master_Section!$I:$K,2,FALSE),"")</f>
        <v/>
      </c>
      <c r="J61" s="42" t="str">
        <f>_xlfn.IFNA(VLOOKUP(D61,Master_Section!$I:$K,3,FALSE),"")</f>
        <v/>
      </c>
      <c r="P61" s="80" t="str">
        <f t="shared" si="4"/>
        <v/>
      </c>
      <c r="Q61" s="43">
        <f t="shared" si="5"/>
        <v>0</v>
      </c>
    </row>
    <row r="62" spans="2:17" ht="15" customHeight="1">
      <c r="B62" s="26" t="str">
        <f>_xlfn.IFNA(VLOOKUP(C62,Master_Section!$H:$I,2,FALSE),"")</f>
        <v/>
      </c>
      <c r="D62" s="26" t="str">
        <f>_xlfn.IFNA(VLOOKUP(E62,Master_Section!$H:$I,2,FALSE),"")</f>
        <v/>
      </c>
      <c r="F62" s="81" t="str">
        <f>_xlfn.IFNA(VLOOKUP(G62,Master!AE:AF,2,FALSE),"")</f>
        <v/>
      </c>
      <c r="I62" s="42" t="str">
        <f>_xlfn.IFNA(VLOOKUP(D62,Master_Section!$I:$K,2,FALSE),"")</f>
        <v/>
      </c>
      <c r="J62" s="42" t="str">
        <f>_xlfn.IFNA(VLOOKUP(D62,Master_Section!$I:$K,3,FALSE),"")</f>
        <v/>
      </c>
      <c r="P62" s="80" t="str">
        <f t="shared" si="4"/>
        <v/>
      </c>
      <c r="Q62" s="43">
        <f t="shared" si="5"/>
        <v>0</v>
      </c>
    </row>
    <row r="63" spans="2:17" ht="15" customHeight="1">
      <c r="B63" s="26" t="str">
        <f>_xlfn.IFNA(VLOOKUP(C63,Master_Section!$H:$I,2,FALSE),"")</f>
        <v/>
      </c>
      <c r="D63" s="26" t="str">
        <f>_xlfn.IFNA(VLOOKUP(E63,Master_Section!$H:$I,2,FALSE),"")</f>
        <v/>
      </c>
      <c r="F63" s="81" t="str">
        <f>_xlfn.IFNA(VLOOKUP(G63,Master!AE:AF,2,FALSE),"")</f>
        <v/>
      </c>
      <c r="I63" s="42" t="str">
        <f>_xlfn.IFNA(VLOOKUP(D63,Master_Section!$I:$K,2,FALSE),"")</f>
        <v/>
      </c>
      <c r="J63" s="42" t="str">
        <f>_xlfn.IFNA(VLOOKUP(D63,Master_Section!$I:$K,3,FALSE),"")</f>
        <v/>
      </c>
      <c r="P63" s="80" t="str">
        <f t="shared" si="4"/>
        <v/>
      </c>
      <c r="Q63" s="43">
        <f t="shared" si="5"/>
        <v>0</v>
      </c>
    </row>
    <row r="64" spans="2:17" ht="15" customHeight="1">
      <c r="B64" s="26" t="str">
        <f>_xlfn.IFNA(VLOOKUP(C64,Master_Section!$H:$I,2,FALSE),"")</f>
        <v/>
      </c>
      <c r="D64" s="26" t="str">
        <f>_xlfn.IFNA(VLOOKUP(E64,Master_Section!$H:$I,2,FALSE),"")</f>
        <v/>
      </c>
      <c r="F64" s="81" t="str">
        <f>_xlfn.IFNA(VLOOKUP(G64,Master!AE:AF,2,FALSE),"")</f>
        <v/>
      </c>
      <c r="I64" s="42" t="str">
        <f>_xlfn.IFNA(VLOOKUP(D64,Master_Section!$I:$K,2,FALSE),"")</f>
        <v/>
      </c>
      <c r="J64" s="42" t="str">
        <f>_xlfn.IFNA(VLOOKUP(D64,Master_Section!$I:$K,3,FALSE),"")</f>
        <v/>
      </c>
      <c r="P64" s="80" t="str">
        <f t="shared" si="4"/>
        <v/>
      </c>
      <c r="Q64" s="43">
        <f t="shared" si="5"/>
        <v>0</v>
      </c>
    </row>
    <row r="65" spans="2:17" ht="15" customHeight="1">
      <c r="B65" s="26" t="str">
        <f>_xlfn.IFNA(VLOOKUP(C65,Master_Section!$H:$I,2,FALSE),"")</f>
        <v/>
      </c>
      <c r="D65" s="26" t="str">
        <f>_xlfn.IFNA(VLOOKUP(E65,Master_Section!$H:$I,2,FALSE),"")</f>
        <v/>
      </c>
      <c r="F65" s="81" t="str">
        <f>_xlfn.IFNA(VLOOKUP(G65,Master!AE:AF,2,FALSE),"")</f>
        <v/>
      </c>
      <c r="I65" s="42" t="str">
        <f>_xlfn.IFNA(VLOOKUP(D65,Master_Section!$I:$K,2,FALSE),"")</f>
        <v/>
      </c>
      <c r="J65" s="42" t="str">
        <f>_xlfn.IFNA(VLOOKUP(D65,Master_Section!$I:$K,3,FALSE),"")</f>
        <v/>
      </c>
      <c r="P65" s="80" t="str">
        <f t="shared" si="4"/>
        <v/>
      </c>
      <c r="Q65" s="43">
        <f t="shared" si="5"/>
        <v>0</v>
      </c>
    </row>
    <row r="66" spans="2:17" ht="15" customHeight="1">
      <c r="B66" s="26" t="str">
        <f>_xlfn.IFNA(VLOOKUP(C66,Master_Section!$H:$I,2,FALSE),"")</f>
        <v/>
      </c>
      <c r="D66" s="26" t="str">
        <f>_xlfn.IFNA(VLOOKUP(E66,Master_Section!$H:$I,2,FALSE),"")</f>
        <v/>
      </c>
      <c r="F66" s="81" t="str">
        <f>_xlfn.IFNA(VLOOKUP(G66,Master!AE:AF,2,FALSE),"")</f>
        <v/>
      </c>
      <c r="I66" s="42" t="str">
        <f>_xlfn.IFNA(VLOOKUP(D66,Master_Section!$I:$K,2,FALSE),"")</f>
        <v/>
      </c>
      <c r="J66" s="42" t="str">
        <f>_xlfn.IFNA(VLOOKUP(D66,Master_Section!$I:$K,3,FALSE),"")</f>
        <v/>
      </c>
      <c r="P66" s="80" t="str">
        <f t="shared" si="4"/>
        <v/>
      </c>
      <c r="Q66" s="43">
        <f t="shared" si="5"/>
        <v>0</v>
      </c>
    </row>
    <row r="67" spans="2:17" ht="15" customHeight="1">
      <c r="B67" s="26" t="str">
        <f>_xlfn.IFNA(VLOOKUP(C67,Master_Section!$H:$I,2,FALSE),"")</f>
        <v/>
      </c>
      <c r="D67" s="26" t="str">
        <f>_xlfn.IFNA(VLOOKUP(E67,Master_Section!$H:$I,2,FALSE),"")</f>
        <v/>
      </c>
      <c r="F67" s="81" t="str">
        <f>_xlfn.IFNA(VLOOKUP(G67,Master!AE:AF,2,FALSE),"")</f>
        <v/>
      </c>
      <c r="I67" s="42" t="str">
        <f>_xlfn.IFNA(VLOOKUP(D67,Master_Section!$I:$K,2,FALSE),"")</f>
        <v/>
      </c>
      <c r="J67" s="42" t="str">
        <f>_xlfn.IFNA(VLOOKUP(D67,Master_Section!$I:$K,3,FALSE),"")</f>
        <v/>
      </c>
      <c r="P67" s="80" t="str">
        <f t="shared" si="4"/>
        <v/>
      </c>
      <c r="Q67" s="43">
        <f t="shared" si="5"/>
        <v>0</v>
      </c>
    </row>
    <row r="68" spans="2:17" ht="15" customHeight="1">
      <c r="B68" s="26" t="str">
        <f>_xlfn.IFNA(VLOOKUP(C68,Master_Section!$H:$I,2,FALSE),"")</f>
        <v/>
      </c>
      <c r="D68" s="26" t="str">
        <f>_xlfn.IFNA(VLOOKUP(E68,Master_Section!$H:$I,2,FALSE),"")</f>
        <v/>
      </c>
      <c r="F68" s="81" t="str">
        <f>_xlfn.IFNA(VLOOKUP(G68,Master!AE:AF,2,FALSE),"")</f>
        <v/>
      </c>
      <c r="I68" s="42" t="str">
        <f>_xlfn.IFNA(VLOOKUP(D68,Master_Section!$I:$K,2,FALSE),"")</f>
        <v/>
      </c>
      <c r="J68" s="42" t="str">
        <f>_xlfn.IFNA(VLOOKUP(D68,Master_Section!$I:$K,3,FALSE),"")</f>
        <v/>
      </c>
      <c r="P68" s="80" t="str">
        <f t="shared" si="4"/>
        <v/>
      </c>
      <c r="Q68" s="43">
        <f t="shared" si="5"/>
        <v>0</v>
      </c>
    </row>
    <row r="69" spans="2:17" ht="15" customHeight="1">
      <c r="B69" s="26" t="str">
        <f>_xlfn.IFNA(VLOOKUP(C69,Master_Section!$H:$I,2,FALSE),"")</f>
        <v/>
      </c>
      <c r="D69" s="26" t="str">
        <f>_xlfn.IFNA(VLOOKUP(E69,Master_Section!$H:$I,2,FALSE),"")</f>
        <v/>
      </c>
      <c r="F69" s="81" t="str">
        <f>_xlfn.IFNA(VLOOKUP(G69,Master!AE:AF,2,FALSE),"")</f>
        <v/>
      </c>
      <c r="I69" s="42" t="str">
        <f>_xlfn.IFNA(VLOOKUP(D69,Master_Section!$I:$K,2,FALSE),"")</f>
        <v/>
      </c>
      <c r="J69" s="42" t="str">
        <f>_xlfn.IFNA(VLOOKUP(D69,Master_Section!$I:$K,3,FALSE),"")</f>
        <v/>
      </c>
      <c r="P69" s="80" t="str">
        <f t="shared" si="4"/>
        <v/>
      </c>
      <c r="Q69" s="43">
        <f t="shared" si="5"/>
        <v>0</v>
      </c>
    </row>
    <row r="70" spans="2:17" ht="15" customHeight="1">
      <c r="B70" s="26" t="str">
        <f>_xlfn.IFNA(VLOOKUP(C70,Master_Section!$H:$I,2,FALSE),"")</f>
        <v/>
      </c>
      <c r="D70" s="26" t="str">
        <f>_xlfn.IFNA(VLOOKUP(E70,Master_Section!$H:$I,2,FALSE),"")</f>
        <v/>
      </c>
      <c r="F70" s="81" t="str">
        <f>_xlfn.IFNA(VLOOKUP(G70,Master!AE:AF,2,FALSE),"")</f>
        <v/>
      </c>
      <c r="I70" s="42" t="str">
        <f>_xlfn.IFNA(VLOOKUP(D70,Master_Section!$I:$K,2,FALSE),"")</f>
        <v/>
      </c>
      <c r="J70" s="42" t="str">
        <f>_xlfn.IFNA(VLOOKUP(D70,Master_Section!$I:$K,3,FALSE),"")</f>
        <v/>
      </c>
      <c r="P70" s="80" t="str">
        <f t="shared" si="4"/>
        <v/>
      </c>
      <c r="Q70" s="43">
        <f t="shared" si="5"/>
        <v>0</v>
      </c>
    </row>
    <row r="71" spans="2:17" ht="15" customHeight="1">
      <c r="B71" s="26" t="str">
        <f>_xlfn.IFNA(VLOOKUP(C71,Master_Section!$H:$I,2,FALSE),"")</f>
        <v/>
      </c>
      <c r="D71" s="26" t="str">
        <f>_xlfn.IFNA(VLOOKUP(E71,Master_Section!$H:$I,2,FALSE),"")</f>
        <v/>
      </c>
      <c r="F71" s="81" t="str">
        <f>_xlfn.IFNA(VLOOKUP(G71,Master!AE:AF,2,FALSE),"")</f>
        <v/>
      </c>
      <c r="I71" s="42" t="str">
        <f>_xlfn.IFNA(VLOOKUP(D71,Master_Section!$I:$K,2,FALSE),"")</f>
        <v/>
      </c>
      <c r="J71" s="42" t="str">
        <f>_xlfn.IFNA(VLOOKUP(D71,Master_Section!$I:$K,3,FALSE),"")</f>
        <v/>
      </c>
      <c r="P71" s="80" t="str">
        <f t="shared" si="4"/>
        <v/>
      </c>
      <c r="Q71" s="43">
        <f t="shared" si="5"/>
        <v>0</v>
      </c>
    </row>
    <row r="72" spans="2:17" ht="15" customHeight="1">
      <c r="B72" s="26" t="str">
        <f>_xlfn.IFNA(VLOOKUP(C72,Master_Section!$H:$I,2,FALSE),"")</f>
        <v/>
      </c>
      <c r="D72" s="26" t="str">
        <f>_xlfn.IFNA(VLOOKUP(E72,Master_Section!$H:$I,2,FALSE),"")</f>
        <v/>
      </c>
      <c r="F72" s="81" t="str">
        <f>_xlfn.IFNA(VLOOKUP(G72,Master!AE:AF,2,FALSE),"")</f>
        <v/>
      </c>
      <c r="I72" s="42" t="str">
        <f>_xlfn.IFNA(VLOOKUP(D72,Master_Section!$I:$K,2,FALSE),"")</f>
        <v/>
      </c>
      <c r="J72" s="42" t="str">
        <f>_xlfn.IFNA(VLOOKUP(D72,Master_Section!$I:$K,3,FALSE),"")</f>
        <v/>
      </c>
      <c r="P72" s="80" t="str">
        <f t="shared" si="4"/>
        <v/>
      </c>
      <c r="Q72" s="43">
        <f t="shared" si="5"/>
        <v>0</v>
      </c>
    </row>
    <row r="73" spans="2:17" ht="15" customHeight="1">
      <c r="B73" s="26" t="str">
        <f>_xlfn.IFNA(VLOOKUP(C73,Master_Section!$H:$I,2,FALSE),"")</f>
        <v/>
      </c>
      <c r="D73" s="26" t="str">
        <f>_xlfn.IFNA(VLOOKUP(E73,Master_Section!$H:$I,2,FALSE),"")</f>
        <v/>
      </c>
      <c r="F73" s="81" t="str">
        <f>_xlfn.IFNA(VLOOKUP(G73,Master!AE:AF,2,FALSE),"")</f>
        <v/>
      </c>
      <c r="I73" s="42" t="str">
        <f>_xlfn.IFNA(VLOOKUP(D73,Master_Section!$I:$K,2,FALSE),"")</f>
        <v/>
      </c>
      <c r="J73" s="42" t="str">
        <f>_xlfn.IFNA(VLOOKUP(D73,Master_Section!$I:$K,3,FALSE),"")</f>
        <v/>
      </c>
      <c r="P73" s="80" t="str">
        <f t="shared" si="4"/>
        <v/>
      </c>
      <c r="Q73" s="43">
        <f t="shared" si="5"/>
        <v>0</v>
      </c>
    </row>
    <row r="74" spans="2:17" ht="15" customHeight="1">
      <c r="B74" s="26" t="str">
        <f>_xlfn.IFNA(VLOOKUP(C74,Master_Section!$H:$I,2,FALSE),"")</f>
        <v/>
      </c>
      <c r="D74" s="26" t="str">
        <f>_xlfn.IFNA(VLOOKUP(E74,Master_Section!$H:$I,2,FALSE),"")</f>
        <v/>
      </c>
      <c r="F74" s="81" t="str">
        <f>_xlfn.IFNA(VLOOKUP(G74,Master!AE:AF,2,FALSE),"")</f>
        <v/>
      </c>
      <c r="I74" s="42" t="str">
        <f>_xlfn.IFNA(VLOOKUP(D74,Master_Section!$I:$K,2,FALSE),"")</f>
        <v/>
      </c>
      <c r="J74" s="42" t="str">
        <f>_xlfn.IFNA(VLOOKUP(D74,Master_Section!$I:$K,3,FALSE),"")</f>
        <v/>
      </c>
      <c r="P74" s="80" t="str">
        <f t="shared" si="4"/>
        <v/>
      </c>
      <c r="Q74" s="43">
        <f t="shared" si="5"/>
        <v>0</v>
      </c>
    </row>
    <row r="75" spans="2:17" ht="15" customHeight="1">
      <c r="B75" s="26" t="str">
        <f>_xlfn.IFNA(VLOOKUP(C75,Master_Section!$H:$I,2,FALSE),"")</f>
        <v/>
      </c>
      <c r="D75" s="26" t="str">
        <f>_xlfn.IFNA(VLOOKUP(E75,Master_Section!$H:$I,2,FALSE),"")</f>
        <v/>
      </c>
      <c r="F75" s="81" t="str">
        <f>_xlfn.IFNA(VLOOKUP(G75,Master!AE:AF,2,FALSE),"")</f>
        <v/>
      </c>
      <c r="I75" s="42" t="str">
        <f>_xlfn.IFNA(VLOOKUP(D75,Master_Section!$I:$K,2,FALSE),"")</f>
        <v/>
      </c>
      <c r="J75" s="42" t="str">
        <f>_xlfn.IFNA(VLOOKUP(D75,Master_Section!$I:$K,3,FALSE),"")</f>
        <v/>
      </c>
      <c r="P75" s="80" t="str">
        <f t="shared" si="4"/>
        <v/>
      </c>
      <c r="Q75" s="43">
        <f t="shared" si="5"/>
        <v>0</v>
      </c>
    </row>
    <row r="76" spans="2:17" ht="15" customHeight="1">
      <c r="B76" s="26" t="str">
        <f>_xlfn.IFNA(VLOOKUP(C76,Master_Section!$H:$I,2,FALSE),"")</f>
        <v/>
      </c>
      <c r="D76" s="26" t="str">
        <f>_xlfn.IFNA(VLOOKUP(E76,Master_Section!$H:$I,2,FALSE),"")</f>
        <v/>
      </c>
      <c r="F76" s="81" t="str">
        <f>_xlfn.IFNA(VLOOKUP(G76,Master!AE:AF,2,FALSE),"")</f>
        <v/>
      </c>
      <c r="I76" s="42" t="str">
        <f>_xlfn.IFNA(VLOOKUP(D76,Master_Section!$I:$K,2,FALSE),"")</f>
        <v/>
      </c>
      <c r="J76" s="42" t="str">
        <f>_xlfn.IFNA(VLOOKUP(D76,Master_Section!$I:$K,3,FALSE),"")</f>
        <v/>
      </c>
      <c r="P76" s="80" t="str">
        <f t="shared" si="4"/>
        <v/>
      </c>
      <c r="Q76" s="43">
        <f t="shared" si="5"/>
        <v>0</v>
      </c>
    </row>
    <row r="77" spans="2:17" ht="15" customHeight="1">
      <c r="B77" s="26" t="str">
        <f>_xlfn.IFNA(VLOOKUP(C77,Master_Section!$H:$I,2,FALSE),"")</f>
        <v/>
      </c>
      <c r="D77" s="26" t="str">
        <f>_xlfn.IFNA(VLOOKUP(E77,Master_Section!$H:$I,2,FALSE),"")</f>
        <v/>
      </c>
      <c r="F77" s="81" t="str">
        <f>_xlfn.IFNA(VLOOKUP(G77,Master!AE:AF,2,FALSE),"")</f>
        <v/>
      </c>
      <c r="I77" s="42" t="str">
        <f>_xlfn.IFNA(VLOOKUP(D77,Master_Section!$I:$K,2,FALSE),"")</f>
        <v/>
      </c>
      <c r="J77" s="42" t="str">
        <f>_xlfn.IFNA(VLOOKUP(D77,Master_Section!$I:$K,3,FALSE),"")</f>
        <v/>
      </c>
      <c r="P77" s="80" t="str">
        <f t="shared" si="4"/>
        <v/>
      </c>
      <c r="Q77" s="43">
        <f t="shared" si="5"/>
        <v>0</v>
      </c>
    </row>
    <row r="78" spans="2:17" ht="15" customHeight="1">
      <c r="B78" s="26" t="str">
        <f>_xlfn.IFNA(VLOOKUP(C78,Master_Section!$H:$I,2,FALSE),"")</f>
        <v/>
      </c>
      <c r="D78" s="26" t="str">
        <f>_xlfn.IFNA(VLOOKUP(E78,Master_Section!$H:$I,2,FALSE),"")</f>
        <v/>
      </c>
      <c r="F78" s="81" t="str">
        <f>_xlfn.IFNA(VLOOKUP(G78,Master!AE:AF,2,FALSE),"")</f>
        <v/>
      </c>
      <c r="I78" s="42" t="str">
        <f>_xlfn.IFNA(VLOOKUP(D78,Master_Section!$I:$K,2,FALSE),"")</f>
        <v/>
      </c>
      <c r="J78" s="42" t="str">
        <f>_xlfn.IFNA(VLOOKUP(D78,Master_Section!$I:$K,3,FALSE),"")</f>
        <v/>
      </c>
      <c r="P78" s="80" t="str">
        <f t="shared" si="4"/>
        <v/>
      </c>
      <c r="Q78" s="43">
        <f t="shared" si="5"/>
        <v>0</v>
      </c>
    </row>
    <row r="79" spans="2:17" ht="15" customHeight="1">
      <c r="B79" s="26" t="str">
        <f>_xlfn.IFNA(VLOOKUP(C79,Master_Section!$H:$I,2,FALSE),"")</f>
        <v/>
      </c>
      <c r="D79" s="26" t="str">
        <f>_xlfn.IFNA(VLOOKUP(E79,Master_Section!$H:$I,2,FALSE),"")</f>
        <v/>
      </c>
      <c r="F79" s="81" t="str">
        <f>_xlfn.IFNA(VLOOKUP(G79,Master!AE:AF,2,FALSE),"")</f>
        <v/>
      </c>
      <c r="I79" s="42" t="str">
        <f>_xlfn.IFNA(VLOOKUP(D79,Master_Section!$I:$K,2,FALSE),"")</f>
        <v/>
      </c>
      <c r="J79" s="42" t="str">
        <f>_xlfn.IFNA(VLOOKUP(D79,Master_Section!$I:$K,3,FALSE),"")</f>
        <v/>
      </c>
      <c r="P79" s="80" t="str">
        <f t="shared" si="4"/>
        <v/>
      </c>
      <c r="Q79" s="43">
        <f t="shared" si="5"/>
        <v>0</v>
      </c>
    </row>
    <row r="80" spans="2:17" ht="15" customHeight="1">
      <c r="B80" s="26" t="str">
        <f>_xlfn.IFNA(VLOOKUP(C80,Master_Section!$H:$I,2,FALSE),"")</f>
        <v/>
      </c>
      <c r="D80" s="26" t="str">
        <f>_xlfn.IFNA(VLOOKUP(E80,Master_Section!$H:$I,2,FALSE),"")</f>
        <v/>
      </c>
      <c r="F80" s="81" t="str">
        <f>_xlfn.IFNA(VLOOKUP(G80,Master!AE:AF,2,FALSE),"")</f>
        <v/>
      </c>
      <c r="I80" s="42" t="str">
        <f>_xlfn.IFNA(VLOOKUP(D80,Master_Section!$I:$K,2,FALSE),"")</f>
        <v/>
      </c>
      <c r="J80" s="42" t="str">
        <f>_xlfn.IFNA(VLOOKUP(D80,Master_Section!$I:$K,3,FALSE),"")</f>
        <v/>
      </c>
      <c r="P80" s="80" t="str">
        <f t="shared" si="4"/>
        <v/>
      </c>
      <c r="Q80" s="43">
        <f t="shared" si="5"/>
        <v>0</v>
      </c>
    </row>
    <row r="81" spans="2:17" ht="15" customHeight="1">
      <c r="B81" s="26" t="str">
        <f>_xlfn.IFNA(VLOOKUP(C81,Master_Section!$H:$I,2,FALSE),"")</f>
        <v/>
      </c>
      <c r="D81" s="26" t="str">
        <f>_xlfn.IFNA(VLOOKUP(E81,Master_Section!$H:$I,2,FALSE),"")</f>
        <v/>
      </c>
      <c r="F81" s="81" t="str">
        <f>_xlfn.IFNA(VLOOKUP(G81,Master!AE:AF,2,FALSE),"")</f>
        <v/>
      </c>
      <c r="I81" s="42" t="str">
        <f>_xlfn.IFNA(VLOOKUP(D81,Master_Section!$I:$K,2,FALSE),"")</f>
        <v/>
      </c>
      <c r="J81" s="42" t="str">
        <f>_xlfn.IFNA(VLOOKUP(D81,Master_Section!$I:$K,3,FALSE),"")</f>
        <v/>
      </c>
      <c r="P81" s="80" t="str">
        <f t="shared" si="4"/>
        <v/>
      </c>
      <c r="Q81" s="43">
        <f t="shared" si="5"/>
        <v>0</v>
      </c>
    </row>
    <row r="82" spans="2:17" ht="15" customHeight="1">
      <c r="B82" s="26" t="str">
        <f>_xlfn.IFNA(VLOOKUP(C82,Master_Section!$H:$I,2,FALSE),"")</f>
        <v/>
      </c>
      <c r="D82" s="26" t="str">
        <f>_xlfn.IFNA(VLOOKUP(E82,Master_Section!$H:$I,2,FALSE),"")</f>
        <v/>
      </c>
      <c r="F82" s="81" t="str">
        <f>_xlfn.IFNA(VLOOKUP(G82,Master!AE:AF,2,FALSE),"")</f>
        <v/>
      </c>
      <c r="I82" s="42" t="str">
        <f>_xlfn.IFNA(VLOOKUP(D82,Master_Section!$I:$K,2,FALSE),"")</f>
        <v/>
      </c>
      <c r="J82" s="42" t="str">
        <f>_xlfn.IFNA(VLOOKUP(D82,Master_Section!$I:$K,3,FALSE),"")</f>
        <v/>
      </c>
      <c r="P82" s="80" t="str">
        <f t="shared" si="4"/>
        <v/>
      </c>
      <c r="Q82" s="43">
        <f t="shared" si="5"/>
        <v>0</v>
      </c>
    </row>
    <row r="83" spans="2:17" ht="15" customHeight="1">
      <c r="B83" s="26" t="str">
        <f>_xlfn.IFNA(VLOOKUP(C83,Master_Section!$H:$I,2,FALSE),"")</f>
        <v/>
      </c>
      <c r="D83" s="26" t="str">
        <f>_xlfn.IFNA(VLOOKUP(E83,Master_Section!$H:$I,2,FALSE),"")</f>
        <v/>
      </c>
      <c r="F83" s="81" t="str">
        <f>_xlfn.IFNA(VLOOKUP(G83,Master!AE:AF,2,FALSE),"")</f>
        <v/>
      </c>
      <c r="I83" s="42" t="str">
        <f>_xlfn.IFNA(VLOOKUP(D83,Master_Section!$I:$K,2,FALSE),"")</f>
        <v/>
      </c>
      <c r="J83" s="42" t="str">
        <f>_xlfn.IFNA(VLOOKUP(D83,Master_Section!$I:$K,3,FALSE),"")</f>
        <v/>
      </c>
      <c r="P83" s="80" t="str">
        <f t="shared" si="4"/>
        <v/>
      </c>
      <c r="Q83" s="43">
        <f t="shared" si="5"/>
        <v>0</v>
      </c>
    </row>
    <row r="84" spans="2:17" ht="15" customHeight="1">
      <c r="B84" s="26" t="str">
        <f>_xlfn.IFNA(VLOOKUP(C84,Master_Section!$H:$I,2,FALSE),"")</f>
        <v/>
      </c>
      <c r="D84" s="26" t="str">
        <f>_xlfn.IFNA(VLOOKUP(E84,Master_Section!$H:$I,2,FALSE),"")</f>
        <v/>
      </c>
      <c r="F84" s="81" t="str">
        <f>_xlfn.IFNA(VLOOKUP(G84,Master!AE:AF,2,FALSE),"")</f>
        <v/>
      </c>
      <c r="I84" s="42" t="str">
        <f>_xlfn.IFNA(VLOOKUP(D84,Master_Section!$I:$K,2,FALSE),"")</f>
        <v/>
      </c>
      <c r="J84" s="42" t="str">
        <f>_xlfn.IFNA(VLOOKUP(D84,Master_Section!$I:$K,3,FALSE),"")</f>
        <v/>
      </c>
      <c r="P84" s="80" t="str">
        <f t="shared" si="4"/>
        <v/>
      </c>
      <c r="Q84" s="43">
        <f t="shared" si="5"/>
        <v>0</v>
      </c>
    </row>
    <row r="85" spans="2:17" ht="15" customHeight="1">
      <c r="B85" s="26" t="str">
        <f>_xlfn.IFNA(VLOOKUP(C85,Master_Section!$H:$I,2,FALSE),"")</f>
        <v/>
      </c>
      <c r="D85" s="26" t="str">
        <f>_xlfn.IFNA(VLOOKUP(E85,Master_Section!$H:$I,2,FALSE),"")</f>
        <v/>
      </c>
      <c r="F85" s="81" t="str">
        <f>_xlfn.IFNA(VLOOKUP(G85,Master!AE:AF,2,FALSE),"")</f>
        <v/>
      </c>
      <c r="I85" s="42" t="str">
        <f>_xlfn.IFNA(VLOOKUP(D85,Master_Section!$I:$K,2,FALSE),"")</f>
        <v/>
      </c>
      <c r="J85" s="42" t="str">
        <f>_xlfn.IFNA(VLOOKUP(D85,Master_Section!$I:$K,3,FALSE),"")</f>
        <v/>
      </c>
      <c r="P85" s="80" t="str">
        <f t="shared" si="4"/>
        <v/>
      </c>
      <c r="Q85" s="43">
        <f t="shared" si="5"/>
        <v>0</v>
      </c>
    </row>
    <row r="86" spans="2:17" ht="15" customHeight="1">
      <c r="B86" s="26" t="str">
        <f>_xlfn.IFNA(VLOOKUP(C86,Master_Section!$H:$I,2,FALSE),"")</f>
        <v/>
      </c>
      <c r="D86" s="26" t="str">
        <f>_xlfn.IFNA(VLOOKUP(E86,Master_Section!$H:$I,2,FALSE),"")</f>
        <v/>
      </c>
      <c r="F86" s="81" t="str">
        <f>_xlfn.IFNA(VLOOKUP(G86,Master!AE:AF,2,FALSE),"")</f>
        <v/>
      </c>
      <c r="I86" s="42" t="str">
        <f>_xlfn.IFNA(VLOOKUP(D86,Master_Section!$I:$K,2,FALSE),"")</f>
        <v/>
      </c>
      <c r="J86" s="42" t="str">
        <f>_xlfn.IFNA(VLOOKUP(D86,Master_Section!$I:$K,3,FALSE),"")</f>
        <v/>
      </c>
      <c r="P86" s="80" t="str">
        <f t="shared" si="4"/>
        <v/>
      </c>
      <c r="Q86" s="43">
        <f t="shared" si="5"/>
        <v>0</v>
      </c>
    </row>
    <row r="87" spans="2:17" ht="15" customHeight="1">
      <c r="B87" s="26" t="str">
        <f>_xlfn.IFNA(VLOOKUP(C87,Master_Section!$H:$I,2,FALSE),"")</f>
        <v/>
      </c>
      <c r="D87" s="26" t="str">
        <f>_xlfn.IFNA(VLOOKUP(E87,Master_Section!$H:$I,2,FALSE),"")</f>
        <v/>
      </c>
      <c r="F87" s="81" t="str">
        <f>_xlfn.IFNA(VLOOKUP(G87,Master!AE:AF,2,FALSE),"")</f>
        <v/>
      </c>
      <c r="I87" s="42" t="str">
        <f>_xlfn.IFNA(VLOOKUP(D87,Master_Section!$I:$K,2,FALSE),"")</f>
        <v/>
      </c>
      <c r="J87" s="42" t="str">
        <f>_xlfn.IFNA(VLOOKUP(D87,Master_Section!$I:$K,3,FALSE),"")</f>
        <v/>
      </c>
      <c r="P87" s="80" t="str">
        <f t="shared" si="4"/>
        <v/>
      </c>
      <c r="Q87" s="43">
        <f t="shared" si="5"/>
        <v>0</v>
      </c>
    </row>
    <row r="88" spans="2:17" ht="15" customHeight="1">
      <c r="B88" s="26" t="str">
        <f>_xlfn.IFNA(VLOOKUP(C88,Master_Section!$H:$I,2,FALSE),"")</f>
        <v/>
      </c>
      <c r="D88" s="26" t="str">
        <f>_xlfn.IFNA(VLOOKUP(E88,Master_Section!$H:$I,2,FALSE),"")</f>
        <v/>
      </c>
      <c r="F88" s="81" t="str">
        <f>_xlfn.IFNA(VLOOKUP(G88,Master!AE:AF,2,FALSE),"")</f>
        <v/>
      </c>
      <c r="I88" s="42" t="str">
        <f>_xlfn.IFNA(VLOOKUP(D88,Master_Section!$I:$K,2,FALSE),"")</f>
        <v/>
      </c>
      <c r="J88" s="42" t="str">
        <f>_xlfn.IFNA(VLOOKUP(D88,Master_Section!$I:$K,3,FALSE),"")</f>
        <v/>
      </c>
      <c r="P88" s="80" t="str">
        <f t="shared" si="4"/>
        <v/>
      </c>
      <c r="Q88" s="43">
        <f t="shared" si="5"/>
        <v>0</v>
      </c>
    </row>
    <row r="89" spans="2:17" ht="15" customHeight="1">
      <c r="B89" s="26" t="str">
        <f>_xlfn.IFNA(VLOOKUP(C89,Master_Section!$H:$I,2,FALSE),"")</f>
        <v/>
      </c>
      <c r="D89" s="26" t="str">
        <f>_xlfn.IFNA(VLOOKUP(E89,Master_Section!$H:$I,2,FALSE),"")</f>
        <v/>
      </c>
      <c r="F89" s="81" t="str">
        <f>_xlfn.IFNA(VLOOKUP(G89,Master!AE:AF,2,FALSE),"")</f>
        <v/>
      </c>
      <c r="I89" s="42" t="str">
        <f>_xlfn.IFNA(VLOOKUP(D89,Master_Section!$I:$K,2,FALSE),"")</f>
        <v/>
      </c>
      <c r="J89" s="42" t="str">
        <f>_xlfn.IFNA(VLOOKUP(D89,Master_Section!$I:$K,3,FALSE),"")</f>
        <v/>
      </c>
      <c r="P89" s="80" t="str">
        <f t="shared" si="4"/>
        <v/>
      </c>
      <c r="Q89" s="43">
        <f t="shared" si="5"/>
        <v>0</v>
      </c>
    </row>
    <row r="90" spans="2:17" ht="15" customHeight="1">
      <c r="B90" s="26" t="str">
        <f>_xlfn.IFNA(VLOOKUP(C90,Master_Section!$H:$I,2,FALSE),"")</f>
        <v/>
      </c>
      <c r="D90" s="26" t="str">
        <f>_xlfn.IFNA(VLOOKUP(E90,Master_Section!$H:$I,2,FALSE),"")</f>
        <v/>
      </c>
      <c r="F90" s="81" t="str">
        <f>_xlfn.IFNA(VLOOKUP(G90,Master!AE:AF,2,FALSE),"")</f>
        <v/>
      </c>
      <c r="I90" s="42" t="str">
        <f>_xlfn.IFNA(VLOOKUP(D90,Master_Section!$I:$K,2,FALSE),"")</f>
        <v/>
      </c>
      <c r="J90" s="42" t="str">
        <f>_xlfn.IFNA(VLOOKUP(D90,Master_Section!$I:$K,3,FALSE),"")</f>
        <v/>
      </c>
      <c r="P90" s="80" t="str">
        <f t="shared" si="4"/>
        <v/>
      </c>
      <c r="Q90" s="43">
        <f t="shared" si="5"/>
        <v>0</v>
      </c>
    </row>
    <row r="91" spans="2:17" ht="15" customHeight="1">
      <c r="B91" s="26" t="str">
        <f>_xlfn.IFNA(VLOOKUP(C91,Master_Section!$H:$I,2,FALSE),"")</f>
        <v/>
      </c>
      <c r="D91" s="26" t="str">
        <f>_xlfn.IFNA(VLOOKUP(E91,Master_Section!$H:$I,2,FALSE),"")</f>
        <v/>
      </c>
      <c r="F91" s="81" t="str">
        <f>_xlfn.IFNA(VLOOKUP(G91,Master!AE:AF,2,FALSE),"")</f>
        <v/>
      </c>
      <c r="I91" s="42" t="str">
        <f>_xlfn.IFNA(VLOOKUP(D91,Master_Section!$I:$K,2,FALSE),"")</f>
        <v/>
      </c>
      <c r="J91" s="42" t="str">
        <f>_xlfn.IFNA(VLOOKUP(D91,Master_Section!$I:$K,3,FALSE),"")</f>
        <v/>
      </c>
      <c r="P91" s="80" t="str">
        <f t="shared" si="4"/>
        <v/>
      </c>
      <c r="Q91" s="43">
        <f t="shared" si="5"/>
        <v>0</v>
      </c>
    </row>
    <row r="92" spans="2:17" ht="15" customHeight="1">
      <c r="B92" s="26" t="str">
        <f>_xlfn.IFNA(VLOOKUP(C92,Master_Section!$H:$I,2,FALSE),"")</f>
        <v/>
      </c>
      <c r="D92" s="26" t="str">
        <f>_xlfn.IFNA(VLOOKUP(E92,Master_Section!$H:$I,2,FALSE),"")</f>
        <v/>
      </c>
      <c r="F92" s="81" t="str">
        <f>_xlfn.IFNA(VLOOKUP(G92,Master!AE:AF,2,FALSE),"")</f>
        <v/>
      </c>
      <c r="I92" s="42" t="str">
        <f>_xlfn.IFNA(VLOOKUP(D92,Master_Section!$I:$K,2,FALSE),"")</f>
        <v/>
      </c>
      <c r="J92" s="42" t="str">
        <f>_xlfn.IFNA(VLOOKUP(D92,Master_Section!$I:$K,3,FALSE),"")</f>
        <v/>
      </c>
      <c r="P92" s="80" t="str">
        <f t="shared" si="4"/>
        <v/>
      </c>
      <c r="Q92" s="43">
        <f t="shared" si="5"/>
        <v>0</v>
      </c>
    </row>
    <row r="93" spans="2:17" ht="15" customHeight="1">
      <c r="B93" s="26" t="str">
        <f>_xlfn.IFNA(VLOOKUP(C93,Master_Section!$H:$I,2,FALSE),"")</f>
        <v/>
      </c>
      <c r="D93" s="26" t="str">
        <f>_xlfn.IFNA(VLOOKUP(E93,Master_Section!$H:$I,2,FALSE),"")</f>
        <v/>
      </c>
      <c r="F93" s="81" t="str">
        <f>_xlfn.IFNA(VLOOKUP(G93,Master!AE:AF,2,FALSE),"")</f>
        <v/>
      </c>
      <c r="I93" s="42" t="str">
        <f>_xlfn.IFNA(VLOOKUP(D93,Master_Section!$I:$K,2,FALSE),"")</f>
        <v/>
      </c>
      <c r="J93" s="42" t="str">
        <f>_xlfn.IFNA(VLOOKUP(D93,Master_Section!$I:$K,3,FALSE),"")</f>
        <v/>
      </c>
      <c r="P93" s="80" t="str">
        <f t="shared" si="4"/>
        <v/>
      </c>
      <c r="Q93" s="43">
        <f t="shared" si="5"/>
        <v>0</v>
      </c>
    </row>
    <row r="94" spans="2:17" ht="15" customHeight="1">
      <c r="B94" s="26" t="str">
        <f>_xlfn.IFNA(VLOOKUP(C94,Master_Section!$H:$I,2,FALSE),"")</f>
        <v/>
      </c>
      <c r="D94" s="26" t="str">
        <f>_xlfn.IFNA(VLOOKUP(E94,Master_Section!$H:$I,2,FALSE),"")</f>
        <v/>
      </c>
      <c r="F94" s="81" t="str">
        <f>_xlfn.IFNA(VLOOKUP(G94,Master!AE:AF,2,FALSE),"")</f>
        <v/>
      </c>
      <c r="I94" s="42" t="str">
        <f>_xlfn.IFNA(VLOOKUP(D94,Master_Section!$I:$K,2,FALSE),"")</f>
        <v/>
      </c>
      <c r="J94" s="42" t="str">
        <f>_xlfn.IFNA(VLOOKUP(D94,Master_Section!$I:$K,3,FALSE),"")</f>
        <v/>
      </c>
      <c r="P94" s="80" t="str">
        <f t="shared" si="4"/>
        <v/>
      </c>
      <c r="Q94" s="43">
        <f t="shared" si="5"/>
        <v>0</v>
      </c>
    </row>
    <row r="95" spans="2:17" ht="15" customHeight="1">
      <c r="B95" s="26" t="str">
        <f>_xlfn.IFNA(VLOOKUP(C95,Master_Section!$H:$I,2,FALSE),"")</f>
        <v/>
      </c>
      <c r="D95" s="26" t="str">
        <f>_xlfn.IFNA(VLOOKUP(E95,Master_Section!$H:$I,2,FALSE),"")</f>
        <v/>
      </c>
      <c r="F95" s="81" t="str">
        <f>_xlfn.IFNA(VLOOKUP(G95,Master!AE:AF,2,FALSE),"")</f>
        <v/>
      </c>
      <c r="I95" s="42" t="str">
        <f>_xlfn.IFNA(VLOOKUP(D95,Master_Section!$I:$K,2,FALSE),"")</f>
        <v/>
      </c>
      <c r="J95" s="42" t="str">
        <f>_xlfn.IFNA(VLOOKUP(D95,Master_Section!$I:$K,3,FALSE),"")</f>
        <v/>
      </c>
      <c r="P95" s="80" t="str">
        <f t="shared" si="4"/>
        <v/>
      </c>
      <c r="Q95" s="43">
        <f t="shared" si="5"/>
        <v>0</v>
      </c>
    </row>
    <row r="96" spans="2:17" ht="15" customHeight="1">
      <c r="B96" s="26" t="str">
        <f>_xlfn.IFNA(VLOOKUP(C96,Master_Section!$H:$I,2,FALSE),"")</f>
        <v/>
      </c>
      <c r="D96" s="26" t="str">
        <f>_xlfn.IFNA(VLOOKUP(E96,Master_Section!$H:$I,2,FALSE),"")</f>
        <v/>
      </c>
      <c r="F96" s="81" t="str">
        <f>_xlfn.IFNA(VLOOKUP(G96,Master!AE:AF,2,FALSE),"")</f>
        <v/>
      </c>
      <c r="I96" s="42" t="str">
        <f>_xlfn.IFNA(VLOOKUP(D96,Master_Section!$I:$K,2,FALSE),"")</f>
        <v/>
      </c>
      <c r="J96" s="42" t="str">
        <f>_xlfn.IFNA(VLOOKUP(D96,Master_Section!$I:$K,3,FALSE),"")</f>
        <v/>
      </c>
      <c r="P96" s="80" t="str">
        <f t="shared" si="4"/>
        <v/>
      </c>
      <c r="Q96" s="43">
        <f t="shared" si="5"/>
        <v>0</v>
      </c>
    </row>
    <row r="97" spans="2:17" ht="15" customHeight="1">
      <c r="B97" s="26" t="str">
        <f>_xlfn.IFNA(VLOOKUP(C97,Master_Section!$H:$I,2,FALSE),"")</f>
        <v/>
      </c>
      <c r="D97" s="26" t="str">
        <f>_xlfn.IFNA(VLOOKUP(E97,Master_Section!$H:$I,2,FALSE),"")</f>
        <v/>
      </c>
      <c r="F97" s="81" t="str">
        <f>_xlfn.IFNA(VLOOKUP(G97,Master!AE:AF,2,FALSE),"")</f>
        <v/>
      </c>
      <c r="I97" s="42" t="str">
        <f>_xlfn.IFNA(VLOOKUP(D97,Master_Section!$I:$K,2,FALSE),"")</f>
        <v/>
      </c>
      <c r="J97" s="42" t="str">
        <f>_xlfn.IFNA(VLOOKUP(D97,Master_Section!$I:$K,3,FALSE),"")</f>
        <v/>
      </c>
      <c r="P97" s="80" t="str">
        <f t="shared" si="4"/>
        <v/>
      </c>
      <c r="Q97" s="43">
        <f t="shared" si="5"/>
        <v>0</v>
      </c>
    </row>
    <row r="98" spans="2:17" ht="15" customHeight="1">
      <c r="B98" s="26" t="str">
        <f>_xlfn.IFNA(VLOOKUP(C98,Master_Section!$H:$I,2,FALSE),"")</f>
        <v/>
      </c>
      <c r="D98" s="26" t="str">
        <f>_xlfn.IFNA(VLOOKUP(E98,Master_Section!$H:$I,2,FALSE),"")</f>
        <v/>
      </c>
      <c r="F98" s="81" t="str">
        <f>_xlfn.IFNA(VLOOKUP(G98,Master!AE:AF,2,FALSE),"")</f>
        <v/>
      </c>
      <c r="I98" s="42" t="str">
        <f>_xlfn.IFNA(VLOOKUP(D98,Master_Section!$I:$K,2,FALSE),"")</f>
        <v/>
      </c>
      <c r="J98" s="42" t="str">
        <f>_xlfn.IFNA(VLOOKUP(D98,Master_Section!$I:$K,3,FALSE),"")</f>
        <v/>
      </c>
      <c r="P98" s="80" t="str">
        <f t="shared" si="4"/>
        <v/>
      </c>
      <c r="Q98" s="43">
        <f t="shared" si="5"/>
        <v>0</v>
      </c>
    </row>
    <row r="99" spans="2:17" ht="15" customHeight="1">
      <c r="B99" s="26" t="str">
        <f>_xlfn.IFNA(VLOOKUP(C99,Master_Section!$H:$I,2,FALSE),"")</f>
        <v/>
      </c>
      <c r="D99" s="26" t="str">
        <f>_xlfn.IFNA(VLOOKUP(E99,Master_Section!$H:$I,2,FALSE),"")</f>
        <v/>
      </c>
      <c r="F99" s="81" t="str">
        <f>_xlfn.IFNA(VLOOKUP(G99,Master!AE:AF,2,FALSE),"")</f>
        <v/>
      </c>
      <c r="I99" s="42" t="str">
        <f>_xlfn.IFNA(VLOOKUP(D99,Master_Section!$I:$K,2,FALSE),"")</f>
        <v/>
      </c>
      <c r="J99" s="42" t="str">
        <f>_xlfn.IFNA(VLOOKUP(D99,Master_Section!$I:$K,3,FALSE),"")</f>
        <v/>
      </c>
      <c r="P99" s="80" t="str">
        <f t="shared" si="4"/>
        <v/>
      </c>
      <c r="Q99" s="43">
        <f t="shared" si="5"/>
        <v>0</v>
      </c>
    </row>
    <row r="100" spans="2:17" ht="15" customHeight="1">
      <c r="B100" s="26" t="str">
        <f>_xlfn.IFNA(VLOOKUP(C100,Master_Section!$H:$I,2,FALSE),"")</f>
        <v/>
      </c>
      <c r="D100" s="26" t="str">
        <f>_xlfn.IFNA(VLOOKUP(E100,Master_Section!$H:$I,2,FALSE),"")</f>
        <v/>
      </c>
      <c r="F100" s="81" t="str">
        <f>_xlfn.IFNA(VLOOKUP(G100,Master!AE:AF,2,FALSE),"")</f>
        <v/>
      </c>
      <c r="I100" s="42" t="str">
        <f>_xlfn.IFNA(VLOOKUP(D100,Master_Section!$I:$K,2,FALSE),"")</f>
        <v/>
      </c>
      <c r="J100" s="42" t="str">
        <f>_xlfn.IFNA(VLOOKUP(D100,Master_Section!$I:$K,3,FALSE),"")</f>
        <v/>
      </c>
      <c r="P100" s="80" t="str">
        <f t="shared" si="4"/>
        <v/>
      </c>
      <c r="Q100" s="43">
        <f t="shared" si="5"/>
        <v>0</v>
      </c>
    </row>
    <row r="101" spans="2:17" ht="15" customHeight="1">
      <c r="B101" s="26" t="str">
        <f>_xlfn.IFNA(VLOOKUP(C101,Master_Section!$H:$I,2,FALSE),"")</f>
        <v/>
      </c>
      <c r="D101" s="26" t="str">
        <f>_xlfn.IFNA(VLOOKUP(E101,Master_Section!$H:$I,2,FALSE),"")</f>
        <v/>
      </c>
      <c r="F101" s="81" t="str">
        <f>_xlfn.IFNA(VLOOKUP(G101,Master!AE:AF,2,FALSE),"")</f>
        <v/>
      </c>
      <c r="I101" s="42" t="str">
        <f>_xlfn.IFNA(VLOOKUP(D101,Master_Section!$I:$K,2,FALSE),"")</f>
        <v/>
      </c>
      <c r="J101" s="42" t="str">
        <f>_xlfn.IFNA(VLOOKUP(D101,Master_Section!$I:$K,3,FALSE),"")</f>
        <v/>
      </c>
      <c r="P101" s="80" t="str">
        <f t="shared" si="4"/>
        <v/>
      </c>
      <c r="Q101" s="43">
        <f t="shared" si="5"/>
        <v>0</v>
      </c>
    </row>
    <row r="102" spans="2:17" ht="15" customHeight="1">
      <c r="B102" s="26" t="str">
        <f>_xlfn.IFNA(VLOOKUP(C102,Master_Section!$H:$I,2,FALSE),"")</f>
        <v/>
      </c>
      <c r="D102" s="26" t="str">
        <f>_xlfn.IFNA(VLOOKUP(E102,Master_Section!$H:$I,2,FALSE),"")</f>
        <v/>
      </c>
      <c r="F102" s="81" t="str">
        <f>_xlfn.IFNA(VLOOKUP(G102,Master!AE:AF,2,FALSE),"")</f>
        <v/>
      </c>
      <c r="I102" s="42" t="str">
        <f>_xlfn.IFNA(VLOOKUP(D102,Master_Section!$I:$K,2,FALSE),"")</f>
        <v/>
      </c>
      <c r="J102" s="42" t="str">
        <f>_xlfn.IFNA(VLOOKUP(D102,Master_Section!$I:$K,3,FALSE),"")</f>
        <v/>
      </c>
      <c r="P102" s="80" t="str">
        <f t="shared" si="4"/>
        <v/>
      </c>
      <c r="Q102" s="43">
        <f t="shared" si="5"/>
        <v>0</v>
      </c>
    </row>
    <row r="103" spans="2:17" ht="15" customHeight="1">
      <c r="B103" s="26" t="str">
        <f>_xlfn.IFNA(VLOOKUP(C103,Master_Section!$H:$I,2,FALSE),"")</f>
        <v/>
      </c>
      <c r="D103" s="26" t="str">
        <f>_xlfn.IFNA(VLOOKUP(E103,Master_Section!$H:$I,2,FALSE),"")</f>
        <v/>
      </c>
      <c r="F103" s="81" t="str">
        <f>_xlfn.IFNA(VLOOKUP(G103,Master!AE:AF,2,FALSE),"")</f>
        <v/>
      </c>
      <c r="I103" s="42" t="str">
        <f>_xlfn.IFNA(VLOOKUP(D103,Master_Section!$I:$K,2,FALSE),"")</f>
        <v/>
      </c>
      <c r="J103" s="42" t="str">
        <f>_xlfn.IFNA(VLOOKUP(D103,Master_Section!$I:$K,3,FALSE),"")</f>
        <v/>
      </c>
      <c r="P103" s="80" t="str">
        <f t="shared" si="4"/>
        <v/>
      </c>
      <c r="Q103" s="43">
        <f t="shared" si="5"/>
        <v>0</v>
      </c>
    </row>
    <row r="104" spans="2:17" ht="15" customHeight="1">
      <c r="B104" s="26" t="str">
        <f>_xlfn.IFNA(VLOOKUP(C104,Master_Section!$H:$I,2,FALSE),"")</f>
        <v/>
      </c>
      <c r="D104" s="26" t="str">
        <f>_xlfn.IFNA(VLOOKUP(E104,Master_Section!$H:$I,2,FALSE),"")</f>
        <v/>
      </c>
      <c r="F104" s="81" t="str">
        <f>_xlfn.IFNA(VLOOKUP(G104,Master!AE:AF,2,FALSE),"")</f>
        <v/>
      </c>
      <c r="I104" s="42" t="str">
        <f>_xlfn.IFNA(VLOOKUP(D104,Master_Section!$I:$K,2,FALSE),"")</f>
        <v/>
      </c>
      <c r="J104" s="42" t="str">
        <f>_xlfn.IFNA(VLOOKUP(D104,Master_Section!$I:$K,3,FALSE),"")</f>
        <v/>
      </c>
      <c r="P104" s="80" t="str">
        <f t="shared" si="4"/>
        <v/>
      </c>
      <c r="Q104" s="43">
        <f t="shared" si="5"/>
        <v>0</v>
      </c>
    </row>
    <row r="105" spans="2:17" ht="15" customHeight="1">
      <c r="B105" s="26" t="str">
        <f>_xlfn.IFNA(VLOOKUP(C105,Master_Section!$H:$I,2,FALSE),"")</f>
        <v/>
      </c>
      <c r="D105" s="26" t="str">
        <f>_xlfn.IFNA(VLOOKUP(E105,Master_Section!$H:$I,2,FALSE),"")</f>
        <v/>
      </c>
      <c r="F105" s="81" t="str">
        <f>_xlfn.IFNA(VLOOKUP(G105,Master!AE:AF,2,FALSE),"")</f>
        <v/>
      </c>
      <c r="I105" s="42" t="str">
        <f>_xlfn.IFNA(VLOOKUP(D105,Master_Section!$I:$K,2,FALSE),"")</f>
        <v/>
      </c>
      <c r="J105" s="42" t="str">
        <f>_xlfn.IFNA(VLOOKUP(D105,Master_Section!$I:$K,3,FALSE),"")</f>
        <v/>
      </c>
      <c r="P105" s="80" t="str">
        <f t="shared" si="4"/>
        <v/>
      </c>
      <c r="Q105" s="43">
        <f t="shared" si="5"/>
        <v>0</v>
      </c>
    </row>
    <row r="106" spans="2:17" ht="15" customHeight="1">
      <c r="B106" s="26" t="str">
        <f>_xlfn.IFNA(VLOOKUP(C106,Master_Section!$H:$I,2,FALSE),"")</f>
        <v/>
      </c>
      <c r="D106" s="26" t="str">
        <f>_xlfn.IFNA(VLOOKUP(E106,Master_Section!$H:$I,2,FALSE),"")</f>
        <v/>
      </c>
      <c r="F106" s="81" t="str">
        <f>_xlfn.IFNA(VLOOKUP(G106,Master!AE:AF,2,FALSE),"")</f>
        <v/>
      </c>
      <c r="I106" s="42" t="str">
        <f>_xlfn.IFNA(VLOOKUP(D106,Master_Section!$I:$K,2,FALSE),"")</f>
        <v/>
      </c>
      <c r="J106" s="42" t="str">
        <f>_xlfn.IFNA(VLOOKUP(D106,Master_Section!$I:$K,3,FALSE),"")</f>
        <v/>
      </c>
      <c r="P106" s="80" t="str">
        <f t="shared" si="4"/>
        <v/>
      </c>
      <c r="Q106" s="43">
        <f t="shared" si="5"/>
        <v>0</v>
      </c>
    </row>
    <row r="107" spans="2:17" ht="15" customHeight="1">
      <c r="B107" s="26" t="str">
        <f>_xlfn.IFNA(VLOOKUP(C107,Master_Section!$H:$I,2,FALSE),"")</f>
        <v/>
      </c>
      <c r="D107" s="26" t="str">
        <f>_xlfn.IFNA(VLOOKUP(E107,Master_Section!$H:$I,2,FALSE),"")</f>
        <v/>
      </c>
      <c r="F107" s="81" t="str">
        <f>_xlfn.IFNA(VLOOKUP(G107,Master!AE:AF,2,FALSE),"")</f>
        <v/>
      </c>
      <c r="I107" s="42" t="str">
        <f>_xlfn.IFNA(VLOOKUP(D107,Master_Section!$I:$K,2,FALSE),"")</f>
        <v/>
      </c>
      <c r="J107" s="42" t="str">
        <f>_xlfn.IFNA(VLOOKUP(D107,Master_Section!$I:$K,3,FALSE),"")</f>
        <v/>
      </c>
      <c r="P107" s="80" t="str">
        <f t="shared" si="4"/>
        <v/>
      </c>
      <c r="Q107" s="43">
        <f t="shared" si="5"/>
        <v>0</v>
      </c>
    </row>
    <row r="108" spans="2:17" ht="15" customHeight="1">
      <c r="B108" s="26" t="str">
        <f>_xlfn.IFNA(VLOOKUP(C108,Master_Section!$H:$I,2,FALSE),"")</f>
        <v/>
      </c>
      <c r="D108" s="26" t="str">
        <f>_xlfn.IFNA(VLOOKUP(E108,Master_Section!$H:$I,2,FALSE),"")</f>
        <v/>
      </c>
      <c r="F108" s="81" t="str">
        <f>_xlfn.IFNA(VLOOKUP(G108,Master!AE:AF,2,FALSE),"")</f>
        <v/>
      </c>
      <c r="I108" s="42" t="str">
        <f>_xlfn.IFNA(VLOOKUP(D108,Master_Section!$I:$K,2,FALSE),"")</f>
        <v/>
      </c>
      <c r="J108" s="42" t="str">
        <f>_xlfn.IFNA(VLOOKUP(D108,Master_Section!$I:$K,3,FALSE),"")</f>
        <v/>
      </c>
      <c r="P108" s="80" t="str">
        <f t="shared" si="4"/>
        <v/>
      </c>
      <c r="Q108" s="43">
        <f t="shared" si="5"/>
        <v>0</v>
      </c>
    </row>
    <row r="109" spans="2:17" ht="15" customHeight="1">
      <c r="B109" s="26" t="str">
        <f>_xlfn.IFNA(VLOOKUP(C109,Master_Section!$H:$I,2,FALSE),"")</f>
        <v/>
      </c>
      <c r="D109" s="26" t="str">
        <f>_xlfn.IFNA(VLOOKUP(E109,Master_Section!$H:$I,2,FALSE),"")</f>
        <v/>
      </c>
      <c r="F109" s="81" t="str">
        <f>_xlfn.IFNA(VLOOKUP(G109,Master!AE:AF,2,FALSE),"")</f>
        <v/>
      </c>
      <c r="I109" s="42" t="str">
        <f>_xlfn.IFNA(VLOOKUP(D109,Master_Section!$I:$K,2,FALSE),"")</f>
        <v/>
      </c>
      <c r="J109" s="42" t="str">
        <f>_xlfn.IFNA(VLOOKUP(D109,Master_Section!$I:$K,3,FALSE),"")</f>
        <v/>
      </c>
      <c r="P109" s="80" t="str">
        <f t="shared" si="4"/>
        <v/>
      </c>
      <c r="Q109" s="43">
        <f t="shared" si="5"/>
        <v>0</v>
      </c>
    </row>
    <row r="110" spans="2:17" ht="15" customHeight="1">
      <c r="B110" s="26" t="str">
        <f>_xlfn.IFNA(VLOOKUP(C110,Master_Section!$H:$I,2,FALSE),"")</f>
        <v/>
      </c>
      <c r="D110" s="26" t="str">
        <f>_xlfn.IFNA(VLOOKUP(E110,Master_Section!$H:$I,2,FALSE),"")</f>
        <v/>
      </c>
      <c r="F110" s="81" t="str">
        <f>_xlfn.IFNA(VLOOKUP(G110,Master!AE:AF,2,FALSE),"")</f>
        <v/>
      </c>
      <c r="I110" s="42" t="str">
        <f>_xlfn.IFNA(VLOOKUP(D110,Master_Section!$I:$K,2,FALSE),"")</f>
        <v/>
      </c>
      <c r="J110" s="42" t="str">
        <f>_xlfn.IFNA(VLOOKUP(D110,Master_Section!$I:$K,3,FALSE),"")</f>
        <v/>
      </c>
      <c r="P110" s="80" t="str">
        <f t="shared" si="4"/>
        <v/>
      </c>
      <c r="Q110" s="43">
        <f t="shared" si="5"/>
        <v>0</v>
      </c>
    </row>
    <row r="111" spans="2:17" ht="15" customHeight="1">
      <c r="B111" s="26" t="str">
        <f>_xlfn.IFNA(VLOOKUP(C111,Master_Section!$H:$I,2,FALSE),"")</f>
        <v/>
      </c>
      <c r="D111" s="26" t="str">
        <f>_xlfn.IFNA(VLOOKUP(E111,Master_Section!$H:$I,2,FALSE),"")</f>
        <v/>
      </c>
      <c r="F111" s="81" t="str">
        <f>_xlfn.IFNA(VLOOKUP(G111,Master!AE:AF,2,FALSE),"")</f>
        <v/>
      </c>
      <c r="I111" s="42" t="str">
        <f>_xlfn.IFNA(VLOOKUP(D111,Master_Section!$I:$K,2,FALSE),"")</f>
        <v/>
      </c>
      <c r="J111" s="42" t="str">
        <f>_xlfn.IFNA(VLOOKUP(D111,Master_Section!$I:$K,3,FALSE),"")</f>
        <v/>
      </c>
      <c r="P111" s="80" t="str">
        <f t="shared" si="4"/>
        <v/>
      </c>
      <c r="Q111" s="43">
        <f t="shared" si="5"/>
        <v>0</v>
      </c>
    </row>
    <row r="112" spans="2:17" ht="15" customHeight="1">
      <c r="B112" s="26" t="str">
        <f>_xlfn.IFNA(VLOOKUP(C112,Master_Section!$H:$I,2,FALSE),"")</f>
        <v/>
      </c>
      <c r="D112" s="26" t="str">
        <f>_xlfn.IFNA(VLOOKUP(E112,Master_Section!$H:$I,2,FALSE),"")</f>
        <v/>
      </c>
      <c r="F112" s="81" t="str">
        <f>_xlfn.IFNA(VLOOKUP(G112,Master!AE:AF,2,FALSE),"")</f>
        <v/>
      </c>
      <c r="I112" s="42" t="str">
        <f>_xlfn.IFNA(VLOOKUP(D112,Master_Section!$I:$K,2,FALSE),"")</f>
        <v/>
      </c>
      <c r="J112" s="42" t="str">
        <f>_xlfn.IFNA(VLOOKUP(D112,Master_Section!$I:$K,3,FALSE),"")</f>
        <v/>
      </c>
      <c r="P112" s="80" t="str">
        <f t="shared" si="4"/>
        <v/>
      </c>
      <c r="Q112" s="43">
        <f t="shared" si="5"/>
        <v>0</v>
      </c>
    </row>
    <row r="113" spans="2:17" ht="15" customHeight="1">
      <c r="B113" s="26" t="str">
        <f>_xlfn.IFNA(VLOOKUP(C113,Master_Section!$H:$I,2,FALSE),"")</f>
        <v/>
      </c>
      <c r="D113" s="26" t="str">
        <f>_xlfn.IFNA(VLOOKUP(E113,Master_Section!$H:$I,2,FALSE),"")</f>
        <v/>
      </c>
      <c r="F113" s="81" t="str">
        <f>_xlfn.IFNA(VLOOKUP(G113,Master!AE:AF,2,FALSE),"")</f>
        <v/>
      </c>
      <c r="I113" s="42" t="str">
        <f>_xlfn.IFNA(VLOOKUP(D113,Master_Section!$I:$K,2,FALSE),"")</f>
        <v/>
      </c>
      <c r="J113" s="42" t="str">
        <f>_xlfn.IFNA(VLOOKUP(D113,Master_Section!$I:$K,3,FALSE),"")</f>
        <v/>
      </c>
      <c r="P113" s="80" t="str">
        <f t="shared" si="4"/>
        <v/>
      </c>
      <c r="Q113" s="43">
        <f t="shared" si="5"/>
        <v>0</v>
      </c>
    </row>
    <row r="114" spans="2:17" ht="15" customHeight="1">
      <c r="B114" s="26" t="str">
        <f>_xlfn.IFNA(VLOOKUP(C114,Master_Section!$H:$I,2,FALSE),"")</f>
        <v/>
      </c>
      <c r="D114" s="26" t="str">
        <f>_xlfn.IFNA(VLOOKUP(E114,Master_Section!$H:$I,2,FALSE),"")</f>
        <v/>
      </c>
      <c r="F114" s="81" t="str">
        <f>_xlfn.IFNA(VLOOKUP(G114,Master!AE:AF,2,FALSE),"")</f>
        <v/>
      </c>
      <c r="I114" s="42" t="str">
        <f>_xlfn.IFNA(VLOOKUP(D114,Master_Section!$I:$K,2,FALSE),"")</f>
        <v/>
      </c>
      <c r="J114" s="42" t="str">
        <f>_xlfn.IFNA(VLOOKUP(D114,Master_Section!$I:$K,3,FALSE),"")</f>
        <v/>
      </c>
      <c r="P114" s="80" t="str">
        <f t="shared" si="4"/>
        <v/>
      </c>
      <c r="Q114" s="43">
        <f t="shared" si="5"/>
        <v>0</v>
      </c>
    </row>
    <row r="115" spans="2:17" ht="15" customHeight="1">
      <c r="B115" s="26" t="str">
        <f>_xlfn.IFNA(VLOOKUP(C115,Master_Section!$H:$I,2,FALSE),"")</f>
        <v/>
      </c>
      <c r="D115" s="26" t="str">
        <f>_xlfn.IFNA(VLOOKUP(E115,Master_Section!$H:$I,2,FALSE),"")</f>
        <v/>
      </c>
      <c r="F115" s="81" t="str">
        <f>_xlfn.IFNA(VLOOKUP(G115,Master!AE:AF,2,FALSE),"")</f>
        <v/>
      </c>
      <c r="I115" s="42" t="str">
        <f>_xlfn.IFNA(VLOOKUP(D115,Master_Section!$I:$K,2,FALSE),"")</f>
        <v/>
      </c>
      <c r="J115" s="42" t="str">
        <f>_xlfn.IFNA(VLOOKUP(D115,Master_Section!$I:$K,3,FALSE),"")</f>
        <v/>
      </c>
      <c r="P115" s="80" t="str">
        <f t="shared" si="4"/>
        <v/>
      </c>
      <c r="Q115" s="43">
        <f t="shared" si="5"/>
        <v>0</v>
      </c>
    </row>
    <row r="116" spans="2:17" ht="15" customHeight="1">
      <c r="B116" s="26" t="str">
        <f>_xlfn.IFNA(VLOOKUP(C116,Master_Section!$H:$I,2,FALSE),"")</f>
        <v/>
      </c>
      <c r="D116" s="26" t="str">
        <f>_xlfn.IFNA(VLOOKUP(E116,Master_Section!$H:$I,2,FALSE),"")</f>
        <v/>
      </c>
      <c r="F116" s="81" t="str">
        <f>_xlfn.IFNA(VLOOKUP(G116,Master!AE:AF,2,FALSE),"")</f>
        <v/>
      </c>
      <c r="I116" s="42" t="str">
        <f>_xlfn.IFNA(VLOOKUP(D116,Master_Section!$I:$K,2,FALSE),"")</f>
        <v/>
      </c>
      <c r="J116" s="42" t="str">
        <f>_xlfn.IFNA(VLOOKUP(D116,Master_Section!$I:$K,3,FALSE),"")</f>
        <v/>
      </c>
      <c r="P116" s="80" t="str">
        <f t="shared" si="4"/>
        <v/>
      </c>
      <c r="Q116" s="43">
        <f t="shared" si="5"/>
        <v>0</v>
      </c>
    </row>
    <row r="117" spans="2:17" ht="15" customHeight="1">
      <c r="B117" s="26" t="str">
        <f>_xlfn.IFNA(VLOOKUP(C117,Master_Section!$H:$I,2,FALSE),"")</f>
        <v/>
      </c>
      <c r="D117" s="26" t="str">
        <f>_xlfn.IFNA(VLOOKUP(E117,Master_Section!$H:$I,2,FALSE),"")</f>
        <v/>
      </c>
      <c r="F117" s="81" t="str">
        <f>_xlfn.IFNA(VLOOKUP(G117,Master!AE:AF,2,FALSE),"")</f>
        <v/>
      </c>
      <c r="I117" s="42" t="str">
        <f>_xlfn.IFNA(VLOOKUP(D117,Master_Section!$I:$K,2,FALSE),"")</f>
        <v/>
      </c>
      <c r="J117" s="42" t="str">
        <f>_xlfn.IFNA(VLOOKUP(D117,Master_Section!$I:$K,3,FALSE),"")</f>
        <v/>
      </c>
      <c r="P117" s="80" t="str">
        <f t="shared" si="4"/>
        <v/>
      </c>
      <c r="Q117" s="43">
        <f t="shared" si="5"/>
        <v>0</v>
      </c>
    </row>
    <row r="118" spans="2:17" ht="15" customHeight="1">
      <c r="B118" s="26" t="str">
        <f>_xlfn.IFNA(VLOOKUP(C118,Master_Section!$H:$I,2,FALSE),"")</f>
        <v/>
      </c>
      <c r="D118" s="26" t="str">
        <f>_xlfn.IFNA(VLOOKUP(E118,Master_Section!$H:$I,2,FALSE),"")</f>
        <v/>
      </c>
      <c r="F118" s="81" t="str">
        <f>_xlfn.IFNA(VLOOKUP(G118,Master!AE:AF,2,FALSE),"")</f>
        <v/>
      </c>
      <c r="I118" s="42" t="str">
        <f>_xlfn.IFNA(VLOOKUP(D118,Master_Section!$I:$K,2,FALSE),"")</f>
        <v/>
      </c>
      <c r="J118" s="42" t="str">
        <f>_xlfn.IFNA(VLOOKUP(D118,Master_Section!$I:$K,3,FALSE),"")</f>
        <v/>
      </c>
      <c r="P118" s="80" t="str">
        <f t="shared" si="4"/>
        <v/>
      </c>
      <c r="Q118" s="43">
        <f t="shared" si="5"/>
        <v>0</v>
      </c>
    </row>
    <row r="119" spans="2:17" ht="15" customHeight="1">
      <c r="B119" s="26" t="str">
        <f>_xlfn.IFNA(VLOOKUP(C119,Master_Section!$H:$I,2,FALSE),"")</f>
        <v/>
      </c>
      <c r="D119" s="26" t="str">
        <f>_xlfn.IFNA(VLOOKUP(E119,Master_Section!$H:$I,2,FALSE),"")</f>
        <v/>
      </c>
      <c r="F119" s="81" t="str">
        <f>_xlfn.IFNA(VLOOKUP(G119,Master!AE:AF,2,FALSE),"")</f>
        <v/>
      </c>
      <c r="I119" s="42" t="str">
        <f>_xlfn.IFNA(VLOOKUP(D119,Master_Section!$I:$K,2,FALSE),"")</f>
        <v/>
      </c>
      <c r="J119" s="42" t="str">
        <f>_xlfn.IFNA(VLOOKUP(D119,Master_Section!$I:$K,3,FALSE),"")</f>
        <v/>
      </c>
      <c r="P119" s="80" t="str">
        <f t="shared" ref="P119:P182" si="6">IF(N119&lt;&gt;"",IF(MONTH(N119)&gt;=4,"FY1"&amp;RIGHT(YEAR(N119)+1,2),"FY1"&amp;RIGHT(YEAR(N119),2)),"")</f>
        <v/>
      </c>
      <c r="Q119" s="43">
        <f t="shared" ref="Q119:Q182" si="7">IF(K119&gt;0&amp;M119&gt;0,K119*M119,"")</f>
        <v>0</v>
      </c>
    </row>
    <row r="120" spans="2:17" ht="15" customHeight="1">
      <c r="B120" s="26" t="str">
        <f>_xlfn.IFNA(VLOOKUP(C120,Master_Section!$H:$I,2,FALSE),"")</f>
        <v/>
      </c>
      <c r="D120" s="26" t="str">
        <f>_xlfn.IFNA(VLOOKUP(E120,Master_Section!$H:$I,2,FALSE),"")</f>
        <v/>
      </c>
      <c r="F120" s="81" t="str">
        <f>_xlfn.IFNA(VLOOKUP(G120,Master!AE:AF,2,FALSE),"")</f>
        <v/>
      </c>
      <c r="I120" s="42" t="str">
        <f>_xlfn.IFNA(VLOOKUP(D120,Master_Section!$I:$K,2,FALSE),"")</f>
        <v/>
      </c>
      <c r="J120" s="42" t="str">
        <f>_xlfn.IFNA(VLOOKUP(D120,Master_Section!$I:$K,3,FALSE),"")</f>
        <v/>
      </c>
      <c r="P120" s="80" t="str">
        <f t="shared" si="6"/>
        <v/>
      </c>
      <c r="Q120" s="43">
        <f t="shared" si="7"/>
        <v>0</v>
      </c>
    </row>
    <row r="121" spans="2:17" ht="15" customHeight="1">
      <c r="B121" s="26" t="str">
        <f>_xlfn.IFNA(VLOOKUP(C121,Master_Section!$H:$I,2,FALSE),"")</f>
        <v/>
      </c>
      <c r="D121" s="26" t="str">
        <f>_xlfn.IFNA(VLOOKUP(E121,Master_Section!$H:$I,2,FALSE),"")</f>
        <v/>
      </c>
      <c r="F121" s="81" t="str">
        <f>_xlfn.IFNA(VLOOKUP(G121,Master!AE:AF,2,FALSE),"")</f>
        <v/>
      </c>
      <c r="I121" s="42" t="str">
        <f>_xlfn.IFNA(VLOOKUP(D121,Master_Section!$I:$K,2,FALSE),"")</f>
        <v/>
      </c>
      <c r="J121" s="42" t="str">
        <f>_xlfn.IFNA(VLOOKUP(D121,Master_Section!$I:$K,3,FALSE),"")</f>
        <v/>
      </c>
      <c r="P121" s="80" t="str">
        <f t="shared" si="6"/>
        <v/>
      </c>
      <c r="Q121" s="43">
        <f t="shared" si="7"/>
        <v>0</v>
      </c>
    </row>
    <row r="122" spans="2:17" ht="15" customHeight="1">
      <c r="B122" s="26" t="str">
        <f>_xlfn.IFNA(VLOOKUP(C122,Master_Section!$H:$I,2,FALSE),"")</f>
        <v/>
      </c>
      <c r="D122" s="26" t="str">
        <f>_xlfn.IFNA(VLOOKUP(E122,Master_Section!$H:$I,2,FALSE),"")</f>
        <v/>
      </c>
      <c r="F122" s="81" t="str">
        <f>_xlfn.IFNA(VLOOKUP(G122,Master!AE:AF,2,FALSE),"")</f>
        <v/>
      </c>
      <c r="I122" s="42" t="str">
        <f>_xlfn.IFNA(VLOOKUP(D122,Master_Section!$I:$K,2,FALSE),"")</f>
        <v/>
      </c>
      <c r="J122" s="42" t="str">
        <f>_xlfn.IFNA(VLOOKUP(D122,Master_Section!$I:$K,3,FALSE),"")</f>
        <v/>
      </c>
      <c r="P122" s="80" t="str">
        <f t="shared" si="6"/>
        <v/>
      </c>
      <c r="Q122" s="43">
        <f t="shared" si="7"/>
        <v>0</v>
      </c>
    </row>
    <row r="123" spans="2:17" ht="15" customHeight="1">
      <c r="B123" s="26" t="str">
        <f>_xlfn.IFNA(VLOOKUP(C123,Master_Section!$H:$I,2,FALSE),"")</f>
        <v/>
      </c>
      <c r="D123" s="26" t="str">
        <f>_xlfn.IFNA(VLOOKUP(E123,Master_Section!$H:$I,2,FALSE),"")</f>
        <v/>
      </c>
      <c r="F123" s="81" t="str">
        <f>_xlfn.IFNA(VLOOKUP(G123,Master!AE:AF,2,FALSE),"")</f>
        <v/>
      </c>
      <c r="I123" s="42" t="str">
        <f>_xlfn.IFNA(VLOOKUP(D123,Master_Section!$I:$K,2,FALSE),"")</f>
        <v/>
      </c>
      <c r="J123" s="42" t="str">
        <f>_xlfn.IFNA(VLOOKUP(D123,Master_Section!$I:$K,3,FALSE),"")</f>
        <v/>
      </c>
      <c r="P123" s="80" t="str">
        <f t="shared" si="6"/>
        <v/>
      </c>
      <c r="Q123" s="43">
        <f t="shared" si="7"/>
        <v>0</v>
      </c>
    </row>
    <row r="124" spans="2:17" ht="15" customHeight="1">
      <c r="B124" s="26" t="str">
        <f>_xlfn.IFNA(VLOOKUP(C124,Master_Section!$H:$I,2,FALSE),"")</f>
        <v/>
      </c>
      <c r="D124" s="26" t="str">
        <f>_xlfn.IFNA(VLOOKUP(E124,Master_Section!$H:$I,2,FALSE),"")</f>
        <v/>
      </c>
      <c r="F124" s="81" t="str">
        <f>_xlfn.IFNA(VLOOKUP(G124,Master!AE:AF,2,FALSE),"")</f>
        <v/>
      </c>
      <c r="I124" s="42" t="str">
        <f>_xlfn.IFNA(VLOOKUP(D124,Master_Section!$I:$K,2,FALSE),"")</f>
        <v/>
      </c>
      <c r="J124" s="42" t="str">
        <f>_xlfn.IFNA(VLOOKUP(D124,Master_Section!$I:$K,3,FALSE),"")</f>
        <v/>
      </c>
      <c r="P124" s="80" t="str">
        <f t="shared" si="6"/>
        <v/>
      </c>
      <c r="Q124" s="43">
        <f t="shared" si="7"/>
        <v>0</v>
      </c>
    </row>
    <row r="125" spans="2:17" ht="15" customHeight="1">
      <c r="B125" s="26" t="str">
        <f>_xlfn.IFNA(VLOOKUP(C125,Master_Section!$H:$I,2,FALSE),"")</f>
        <v/>
      </c>
      <c r="D125" s="26" t="str">
        <f>_xlfn.IFNA(VLOOKUP(E125,Master_Section!$H:$I,2,FALSE),"")</f>
        <v/>
      </c>
      <c r="F125" s="81" t="str">
        <f>_xlfn.IFNA(VLOOKUP(G125,Master!AE:AF,2,FALSE),"")</f>
        <v/>
      </c>
      <c r="I125" s="42" t="str">
        <f>_xlfn.IFNA(VLOOKUP(D125,Master_Section!$I:$K,2,FALSE),"")</f>
        <v/>
      </c>
      <c r="J125" s="42" t="str">
        <f>_xlfn.IFNA(VLOOKUP(D125,Master_Section!$I:$K,3,FALSE),"")</f>
        <v/>
      </c>
      <c r="P125" s="80" t="str">
        <f t="shared" si="6"/>
        <v/>
      </c>
      <c r="Q125" s="43">
        <f t="shared" si="7"/>
        <v>0</v>
      </c>
    </row>
    <row r="126" spans="2:17" ht="15" customHeight="1">
      <c r="B126" s="26" t="str">
        <f>_xlfn.IFNA(VLOOKUP(C126,Master_Section!$H:$I,2,FALSE),"")</f>
        <v/>
      </c>
      <c r="D126" s="26" t="str">
        <f>_xlfn.IFNA(VLOOKUP(E126,Master_Section!$H:$I,2,FALSE),"")</f>
        <v/>
      </c>
      <c r="F126" s="81" t="str">
        <f>_xlfn.IFNA(VLOOKUP(G126,Master!AE:AF,2,FALSE),"")</f>
        <v/>
      </c>
      <c r="I126" s="42" t="str">
        <f>_xlfn.IFNA(VLOOKUP(D126,Master_Section!$I:$K,2,FALSE),"")</f>
        <v/>
      </c>
      <c r="J126" s="42" t="str">
        <f>_xlfn.IFNA(VLOOKUP(D126,Master_Section!$I:$K,3,FALSE),"")</f>
        <v/>
      </c>
      <c r="P126" s="80" t="str">
        <f t="shared" si="6"/>
        <v/>
      </c>
      <c r="Q126" s="43">
        <f t="shared" si="7"/>
        <v>0</v>
      </c>
    </row>
    <row r="127" spans="2:17" ht="15" customHeight="1">
      <c r="B127" s="26" t="str">
        <f>_xlfn.IFNA(VLOOKUP(C127,Master_Section!$H:$I,2,FALSE),"")</f>
        <v/>
      </c>
      <c r="D127" s="26" t="str">
        <f>_xlfn.IFNA(VLOOKUP(E127,Master_Section!$H:$I,2,FALSE),"")</f>
        <v/>
      </c>
      <c r="F127" s="81" t="str">
        <f>_xlfn.IFNA(VLOOKUP(G127,Master!AE:AF,2,FALSE),"")</f>
        <v/>
      </c>
      <c r="I127" s="42" t="str">
        <f>_xlfn.IFNA(VLOOKUP(D127,Master_Section!$I:$K,2,FALSE),"")</f>
        <v/>
      </c>
      <c r="J127" s="42" t="str">
        <f>_xlfn.IFNA(VLOOKUP(D127,Master_Section!$I:$K,3,FALSE),"")</f>
        <v/>
      </c>
      <c r="P127" s="80" t="str">
        <f t="shared" si="6"/>
        <v/>
      </c>
      <c r="Q127" s="43">
        <f t="shared" si="7"/>
        <v>0</v>
      </c>
    </row>
    <row r="128" spans="2:17" ht="15" customHeight="1">
      <c r="B128" s="26" t="str">
        <f>_xlfn.IFNA(VLOOKUP(C128,Master_Section!$H:$I,2,FALSE),"")</f>
        <v/>
      </c>
      <c r="D128" s="26" t="str">
        <f>_xlfn.IFNA(VLOOKUP(E128,Master_Section!$H:$I,2,FALSE),"")</f>
        <v/>
      </c>
      <c r="F128" s="81" t="str">
        <f>_xlfn.IFNA(VLOOKUP(G128,Master!AE:AF,2,FALSE),"")</f>
        <v/>
      </c>
      <c r="I128" s="42" t="str">
        <f>_xlfn.IFNA(VLOOKUP(D128,Master_Section!$I:$K,2,FALSE),"")</f>
        <v/>
      </c>
      <c r="J128" s="42" t="str">
        <f>_xlfn.IFNA(VLOOKUP(D128,Master_Section!$I:$K,3,FALSE),"")</f>
        <v/>
      </c>
      <c r="P128" s="80" t="str">
        <f t="shared" si="6"/>
        <v/>
      </c>
      <c r="Q128" s="43">
        <f t="shared" si="7"/>
        <v>0</v>
      </c>
    </row>
    <row r="129" spans="2:17" ht="15" customHeight="1">
      <c r="B129" s="26" t="str">
        <f>_xlfn.IFNA(VLOOKUP(C129,Master_Section!$H:$I,2,FALSE),"")</f>
        <v/>
      </c>
      <c r="D129" s="26" t="str">
        <f>_xlfn.IFNA(VLOOKUP(E129,Master_Section!$H:$I,2,FALSE),"")</f>
        <v/>
      </c>
      <c r="F129" s="81" t="str">
        <f>_xlfn.IFNA(VLOOKUP(G129,Master!AE:AF,2,FALSE),"")</f>
        <v/>
      </c>
      <c r="I129" s="42" t="str">
        <f>_xlfn.IFNA(VLOOKUP(D129,Master_Section!$I:$K,2,FALSE),"")</f>
        <v/>
      </c>
      <c r="J129" s="42" t="str">
        <f>_xlfn.IFNA(VLOOKUP(D129,Master_Section!$I:$K,3,FALSE),"")</f>
        <v/>
      </c>
      <c r="P129" s="80" t="str">
        <f t="shared" si="6"/>
        <v/>
      </c>
      <c r="Q129" s="43">
        <f t="shared" si="7"/>
        <v>0</v>
      </c>
    </row>
    <row r="130" spans="2:17" ht="15" customHeight="1">
      <c r="B130" s="26" t="str">
        <f>_xlfn.IFNA(VLOOKUP(C130,Master_Section!$H:$I,2,FALSE),"")</f>
        <v/>
      </c>
      <c r="D130" s="26" t="str">
        <f>_xlfn.IFNA(VLOOKUP(E130,Master_Section!$H:$I,2,FALSE),"")</f>
        <v/>
      </c>
      <c r="F130" s="81" t="str">
        <f>_xlfn.IFNA(VLOOKUP(G130,Master!AE:AF,2,FALSE),"")</f>
        <v/>
      </c>
      <c r="I130" s="42" t="str">
        <f>_xlfn.IFNA(VLOOKUP(D130,Master_Section!$I:$K,2,FALSE),"")</f>
        <v/>
      </c>
      <c r="J130" s="42" t="str">
        <f>_xlfn.IFNA(VLOOKUP(D130,Master_Section!$I:$K,3,FALSE),"")</f>
        <v/>
      </c>
      <c r="P130" s="80" t="str">
        <f t="shared" si="6"/>
        <v/>
      </c>
      <c r="Q130" s="43">
        <f t="shared" si="7"/>
        <v>0</v>
      </c>
    </row>
    <row r="131" spans="2:17" ht="15" customHeight="1">
      <c r="B131" s="26" t="str">
        <f>_xlfn.IFNA(VLOOKUP(C131,Master_Section!$H:$I,2,FALSE),"")</f>
        <v/>
      </c>
      <c r="D131" s="26" t="str">
        <f>_xlfn.IFNA(VLOOKUP(E131,Master_Section!$H:$I,2,FALSE),"")</f>
        <v/>
      </c>
      <c r="F131" s="81" t="str">
        <f>_xlfn.IFNA(VLOOKUP(G131,Master!AE:AF,2,FALSE),"")</f>
        <v/>
      </c>
      <c r="I131" s="42" t="str">
        <f>_xlfn.IFNA(VLOOKUP(D131,Master_Section!$I:$K,2,FALSE),"")</f>
        <v/>
      </c>
      <c r="J131" s="42" t="str">
        <f>_xlfn.IFNA(VLOOKUP(D131,Master_Section!$I:$K,3,FALSE),"")</f>
        <v/>
      </c>
      <c r="P131" s="80" t="str">
        <f t="shared" si="6"/>
        <v/>
      </c>
      <c r="Q131" s="43">
        <f t="shared" si="7"/>
        <v>0</v>
      </c>
    </row>
    <row r="132" spans="2:17" ht="15" customHeight="1">
      <c r="B132" s="26" t="str">
        <f>_xlfn.IFNA(VLOOKUP(C132,Master_Section!$H:$I,2,FALSE),"")</f>
        <v/>
      </c>
      <c r="D132" s="26" t="str">
        <f>_xlfn.IFNA(VLOOKUP(E132,Master_Section!$H:$I,2,FALSE),"")</f>
        <v/>
      </c>
      <c r="F132" s="81" t="str">
        <f>_xlfn.IFNA(VLOOKUP(G132,Master!AE:AF,2,FALSE),"")</f>
        <v/>
      </c>
      <c r="I132" s="42" t="str">
        <f>_xlfn.IFNA(VLOOKUP(D132,Master_Section!$I:$K,2,FALSE),"")</f>
        <v/>
      </c>
      <c r="J132" s="42" t="str">
        <f>_xlfn.IFNA(VLOOKUP(D132,Master_Section!$I:$K,3,FALSE),"")</f>
        <v/>
      </c>
      <c r="P132" s="80" t="str">
        <f t="shared" si="6"/>
        <v/>
      </c>
      <c r="Q132" s="43">
        <f t="shared" si="7"/>
        <v>0</v>
      </c>
    </row>
    <row r="133" spans="2:17" ht="15" customHeight="1">
      <c r="B133" s="26" t="str">
        <f>_xlfn.IFNA(VLOOKUP(C133,Master_Section!$H:$I,2,FALSE),"")</f>
        <v/>
      </c>
      <c r="D133" s="26" t="str">
        <f>_xlfn.IFNA(VLOOKUP(E133,Master_Section!$H:$I,2,FALSE),"")</f>
        <v/>
      </c>
      <c r="F133" s="81" t="str">
        <f>_xlfn.IFNA(VLOOKUP(G133,Master!AE:AF,2,FALSE),"")</f>
        <v/>
      </c>
      <c r="I133" s="42" t="str">
        <f>_xlfn.IFNA(VLOOKUP(D133,Master_Section!$I:$K,2,FALSE),"")</f>
        <v/>
      </c>
      <c r="J133" s="42" t="str">
        <f>_xlfn.IFNA(VLOOKUP(D133,Master_Section!$I:$K,3,FALSE),"")</f>
        <v/>
      </c>
      <c r="P133" s="80" t="str">
        <f t="shared" si="6"/>
        <v/>
      </c>
      <c r="Q133" s="43">
        <f t="shared" si="7"/>
        <v>0</v>
      </c>
    </row>
    <row r="134" spans="2:17" ht="15" customHeight="1">
      <c r="B134" s="26" t="str">
        <f>_xlfn.IFNA(VLOOKUP(C134,Master_Section!$H:$I,2,FALSE),"")</f>
        <v/>
      </c>
      <c r="D134" s="26" t="str">
        <f>_xlfn.IFNA(VLOOKUP(E134,Master_Section!$H:$I,2,FALSE),"")</f>
        <v/>
      </c>
      <c r="F134" s="81" t="str">
        <f>_xlfn.IFNA(VLOOKUP(G134,Master!AE:AF,2,FALSE),"")</f>
        <v/>
      </c>
      <c r="I134" s="42" t="str">
        <f>_xlfn.IFNA(VLOOKUP(D134,Master_Section!$I:$K,2,FALSE),"")</f>
        <v/>
      </c>
      <c r="J134" s="42" t="str">
        <f>_xlfn.IFNA(VLOOKUP(D134,Master_Section!$I:$K,3,FALSE),"")</f>
        <v/>
      </c>
      <c r="P134" s="80" t="str">
        <f t="shared" si="6"/>
        <v/>
      </c>
      <c r="Q134" s="43">
        <f t="shared" si="7"/>
        <v>0</v>
      </c>
    </row>
    <row r="135" spans="2:17" ht="15" customHeight="1">
      <c r="B135" s="26" t="str">
        <f>_xlfn.IFNA(VLOOKUP(C135,Master_Section!$H:$I,2,FALSE),"")</f>
        <v/>
      </c>
      <c r="D135" s="26" t="str">
        <f>_xlfn.IFNA(VLOOKUP(E135,Master_Section!$H:$I,2,FALSE),"")</f>
        <v/>
      </c>
      <c r="F135" s="81" t="str">
        <f>_xlfn.IFNA(VLOOKUP(G135,Master!AE:AF,2,FALSE),"")</f>
        <v/>
      </c>
      <c r="I135" s="42" t="str">
        <f>_xlfn.IFNA(VLOOKUP(D135,Master_Section!$I:$K,2,FALSE),"")</f>
        <v/>
      </c>
      <c r="J135" s="42" t="str">
        <f>_xlfn.IFNA(VLOOKUP(D135,Master_Section!$I:$K,3,FALSE),"")</f>
        <v/>
      </c>
      <c r="P135" s="80" t="str">
        <f t="shared" si="6"/>
        <v/>
      </c>
      <c r="Q135" s="43">
        <f t="shared" si="7"/>
        <v>0</v>
      </c>
    </row>
    <row r="136" spans="2:17" ht="15" customHeight="1">
      <c r="B136" s="26" t="str">
        <f>_xlfn.IFNA(VLOOKUP(C136,Master_Section!$H:$I,2,FALSE),"")</f>
        <v/>
      </c>
      <c r="D136" s="26" t="str">
        <f>_xlfn.IFNA(VLOOKUP(E136,Master_Section!$H:$I,2,FALSE),"")</f>
        <v/>
      </c>
      <c r="F136" s="81" t="str">
        <f>_xlfn.IFNA(VLOOKUP(G136,Master!AE:AF,2,FALSE),"")</f>
        <v/>
      </c>
      <c r="I136" s="42" t="str">
        <f>_xlfn.IFNA(VLOOKUP(D136,Master_Section!$I:$K,2,FALSE),"")</f>
        <v/>
      </c>
      <c r="J136" s="42" t="str">
        <f>_xlfn.IFNA(VLOOKUP(D136,Master_Section!$I:$K,3,FALSE),"")</f>
        <v/>
      </c>
      <c r="P136" s="80" t="str">
        <f t="shared" si="6"/>
        <v/>
      </c>
      <c r="Q136" s="43">
        <f t="shared" si="7"/>
        <v>0</v>
      </c>
    </row>
    <row r="137" spans="2:17" ht="15" customHeight="1">
      <c r="B137" s="26" t="str">
        <f>_xlfn.IFNA(VLOOKUP(C137,Master_Section!$H:$I,2,FALSE),"")</f>
        <v/>
      </c>
      <c r="D137" s="26" t="str">
        <f>_xlfn.IFNA(VLOOKUP(E137,Master_Section!$H:$I,2,FALSE),"")</f>
        <v/>
      </c>
      <c r="F137" s="81" t="str">
        <f>_xlfn.IFNA(VLOOKUP(G137,Master!AE:AF,2,FALSE),"")</f>
        <v/>
      </c>
      <c r="I137" s="42" t="str">
        <f>_xlfn.IFNA(VLOOKUP(D137,Master_Section!$I:$K,2,FALSE),"")</f>
        <v/>
      </c>
      <c r="J137" s="42" t="str">
        <f>_xlfn.IFNA(VLOOKUP(D137,Master_Section!$I:$K,3,FALSE),"")</f>
        <v/>
      </c>
      <c r="P137" s="80" t="str">
        <f t="shared" si="6"/>
        <v/>
      </c>
      <c r="Q137" s="43">
        <f t="shared" si="7"/>
        <v>0</v>
      </c>
    </row>
    <row r="138" spans="2:17" ht="15" customHeight="1">
      <c r="B138" s="26" t="str">
        <f>_xlfn.IFNA(VLOOKUP(C138,Master_Section!$H:$I,2,FALSE),"")</f>
        <v/>
      </c>
      <c r="D138" s="26" t="str">
        <f>_xlfn.IFNA(VLOOKUP(E138,Master_Section!$H:$I,2,FALSE),"")</f>
        <v/>
      </c>
      <c r="F138" s="81" t="str">
        <f>_xlfn.IFNA(VLOOKUP(G138,Master!AE:AF,2,FALSE),"")</f>
        <v/>
      </c>
      <c r="I138" s="42" t="str">
        <f>_xlfn.IFNA(VLOOKUP(D138,Master_Section!$I:$K,2,FALSE),"")</f>
        <v/>
      </c>
      <c r="J138" s="42" t="str">
        <f>_xlfn.IFNA(VLOOKUP(D138,Master_Section!$I:$K,3,FALSE),"")</f>
        <v/>
      </c>
      <c r="P138" s="80" t="str">
        <f t="shared" si="6"/>
        <v/>
      </c>
      <c r="Q138" s="43">
        <f t="shared" si="7"/>
        <v>0</v>
      </c>
    </row>
    <row r="139" spans="2:17" ht="15" customHeight="1">
      <c r="B139" s="26" t="str">
        <f>_xlfn.IFNA(VLOOKUP(C139,Master_Section!$H:$I,2,FALSE),"")</f>
        <v/>
      </c>
      <c r="D139" s="26" t="str">
        <f>_xlfn.IFNA(VLOOKUP(E139,Master_Section!$H:$I,2,FALSE),"")</f>
        <v/>
      </c>
      <c r="F139" s="81" t="str">
        <f>_xlfn.IFNA(VLOOKUP(G139,Master!AE:AF,2,FALSE),"")</f>
        <v/>
      </c>
      <c r="I139" s="42" t="str">
        <f>_xlfn.IFNA(VLOOKUP(D139,Master_Section!$I:$K,2,FALSE),"")</f>
        <v/>
      </c>
      <c r="J139" s="42" t="str">
        <f>_xlfn.IFNA(VLOOKUP(D139,Master_Section!$I:$K,3,FALSE),"")</f>
        <v/>
      </c>
      <c r="P139" s="80" t="str">
        <f t="shared" si="6"/>
        <v/>
      </c>
      <c r="Q139" s="43">
        <f t="shared" si="7"/>
        <v>0</v>
      </c>
    </row>
    <row r="140" spans="2:17" ht="15" customHeight="1">
      <c r="B140" s="26" t="str">
        <f>_xlfn.IFNA(VLOOKUP(C140,Master_Section!$H:$I,2,FALSE),"")</f>
        <v/>
      </c>
      <c r="D140" s="26" t="str">
        <f>_xlfn.IFNA(VLOOKUP(E140,Master_Section!$H:$I,2,FALSE),"")</f>
        <v/>
      </c>
      <c r="F140" s="81" t="str">
        <f>_xlfn.IFNA(VLOOKUP(G140,Master!AE:AF,2,FALSE),"")</f>
        <v/>
      </c>
      <c r="I140" s="42" t="str">
        <f>_xlfn.IFNA(VLOOKUP(D140,Master_Section!$I:$K,2,FALSE),"")</f>
        <v/>
      </c>
      <c r="J140" s="42" t="str">
        <f>_xlfn.IFNA(VLOOKUP(D140,Master_Section!$I:$K,3,FALSE),"")</f>
        <v/>
      </c>
      <c r="P140" s="80" t="str">
        <f t="shared" si="6"/>
        <v/>
      </c>
      <c r="Q140" s="43">
        <f t="shared" si="7"/>
        <v>0</v>
      </c>
    </row>
    <row r="141" spans="2:17" ht="15" customHeight="1">
      <c r="B141" s="26" t="str">
        <f>_xlfn.IFNA(VLOOKUP(C141,Master_Section!$H:$I,2,FALSE),"")</f>
        <v/>
      </c>
      <c r="D141" s="26" t="str">
        <f>_xlfn.IFNA(VLOOKUP(E141,Master_Section!$H:$I,2,FALSE),"")</f>
        <v/>
      </c>
      <c r="F141" s="81" t="str">
        <f>_xlfn.IFNA(VLOOKUP(G141,Master!AE:AF,2,FALSE),"")</f>
        <v/>
      </c>
      <c r="I141" s="42" t="str">
        <f>_xlfn.IFNA(VLOOKUP(D141,Master_Section!$I:$K,2,FALSE),"")</f>
        <v/>
      </c>
      <c r="J141" s="42" t="str">
        <f>_xlfn.IFNA(VLOOKUP(D141,Master_Section!$I:$K,3,FALSE),"")</f>
        <v/>
      </c>
      <c r="P141" s="80" t="str">
        <f t="shared" si="6"/>
        <v/>
      </c>
      <c r="Q141" s="43">
        <f t="shared" si="7"/>
        <v>0</v>
      </c>
    </row>
    <row r="142" spans="2:17" ht="15" customHeight="1">
      <c r="B142" s="26" t="str">
        <f>_xlfn.IFNA(VLOOKUP(C142,Master_Section!$H:$I,2,FALSE),"")</f>
        <v/>
      </c>
      <c r="D142" s="26" t="str">
        <f>_xlfn.IFNA(VLOOKUP(E142,Master_Section!$H:$I,2,FALSE),"")</f>
        <v/>
      </c>
      <c r="F142" s="81" t="str">
        <f>_xlfn.IFNA(VLOOKUP(G142,Master!AE:AF,2,FALSE),"")</f>
        <v/>
      </c>
      <c r="I142" s="42" t="str">
        <f>_xlfn.IFNA(VLOOKUP(D142,Master_Section!$I:$K,2,FALSE),"")</f>
        <v/>
      </c>
      <c r="J142" s="42" t="str">
        <f>_xlfn.IFNA(VLOOKUP(D142,Master_Section!$I:$K,3,FALSE),"")</f>
        <v/>
      </c>
      <c r="P142" s="80" t="str">
        <f t="shared" si="6"/>
        <v/>
      </c>
      <c r="Q142" s="43">
        <f t="shared" si="7"/>
        <v>0</v>
      </c>
    </row>
    <row r="143" spans="2:17" ht="15" customHeight="1">
      <c r="B143" s="26" t="str">
        <f>_xlfn.IFNA(VLOOKUP(C143,Master_Section!$H:$I,2,FALSE),"")</f>
        <v/>
      </c>
      <c r="D143" s="26" t="str">
        <f>_xlfn.IFNA(VLOOKUP(E143,Master_Section!$H:$I,2,FALSE),"")</f>
        <v/>
      </c>
      <c r="F143" s="81" t="str">
        <f>_xlfn.IFNA(VLOOKUP(G143,Master!AE:AF,2,FALSE),"")</f>
        <v/>
      </c>
      <c r="I143" s="42" t="str">
        <f>_xlfn.IFNA(VLOOKUP(D143,Master_Section!$I:$K,2,FALSE),"")</f>
        <v/>
      </c>
      <c r="J143" s="42" t="str">
        <f>_xlfn.IFNA(VLOOKUP(D143,Master_Section!$I:$K,3,FALSE),"")</f>
        <v/>
      </c>
      <c r="P143" s="80" t="str">
        <f t="shared" si="6"/>
        <v/>
      </c>
      <c r="Q143" s="43">
        <f t="shared" si="7"/>
        <v>0</v>
      </c>
    </row>
    <row r="144" spans="2:17" ht="15" customHeight="1">
      <c r="B144" s="26" t="str">
        <f>_xlfn.IFNA(VLOOKUP(C144,Master_Section!$H:$I,2,FALSE),"")</f>
        <v/>
      </c>
      <c r="D144" s="26" t="str">
        <f>_xlfn.IFNA(VLOOKUP(E144,Master_Section!$H:$I,2,FALSE),"")</f>
        <v/>
      </c>
      <c r="F144" s="81" t="str">
        <f>_xlfn.IFNA(VLOOKUP(G144,Master!AE:AF,2,FALSE),"")</f>
        <v/>
      </c>
      <c r="I144" s="42" t="str">
        <f>_xlfn.IFNA(VLOOKUP(D144,Master_Section!$I:$K,2,FALSE),"")</f>
        <v/>
      </c>
      <c r="J144" s="42" t="str">
        <f>_xlfn.IFNA(VLOOKUP(D144,Master_Section!$I:$K,3,FALSE),"")</f>
        <v/>
      </c>
      <c r="P144" s="80" t="str">
        <f t="shared" si="6"/>
        <v/>
      </c>
      <c r="Q144" s="43">
        <f t="shared" si="7"/>
        <v>0</v>
      </c>
    </row>
    <row r="145" spans="2:17" ht="15" customHeight="1">
      <c r="B145" s="26" t="str">
        <f>_xlfn.IFNA(VLOOKUP(C145,Master_Section!$H:$I,2,FALSE),"")</f>
        <v/>
      </c>
      <c r="D145" s="26" t="str">
        <f>_xlfn.IFNA(VLOOKUP(E145,Master_Section!$H:$I,2,FALSE),"")</f>
        <v/>
      </c>
      <c r="F145" s="81" t="str">
        <f>_xlfn.IFNA(VLOOKUP(G145,Master!AE:AF,2,FALSE),"")</f>
        <v/>
      </c>
      <c r="I145" s="42" t="str">
        <f>_xlfn.IFNA(VLOOKUP(D145,Master_Section!$I:$K,2,FALSE),"")</f>
        <v/>
      </c>
      <c r="J145" s="42" t="str">
        <f>_xlfn.IFNA(VLOOKUP(D145,Master_Section!$I:$K,3,FALSE),"")</f>
        <v/>
      </c>
      <c r="P145" s="80" t="str">
        <f t="shared" si="6"/>
        <v/>
      </c>
      <c r="Q145" s="43">
        <f t="shared" si="7"/>
        <v>0</v>
      </c>
    </row>
    <row r="146" spans="2:17" ht="15" customHeight="1">
      <c r="B146" s="26" t="str">
        <f>_xlfn.IFNA(VLOOKUP(C146,Master_Section!$H:$I,2,FALSE),"")</f>
        <v/>
      </c>
      <c r="D146" s="26" t="str">
        <f>_xlfn.IFNA(VLOOKUP(E146,Master_Section!$H:$I,2,FALSE),"")</f>
        <v/>
      </c>
      <c r="F146" s="81" t="str">
        <f>_xlfn.IFNA(VLOOKUP(G146,Master!AE:AF,2,FALSE),"")</f>
        <v/>
      </c>
      <c r="I146" s="42" t="str">
        <f>_xlfn.IFNA(VLOOKUP(D146,Master_Section!$I:$K,2,FALSE),"")</f>
        <v/>
      </c>
      <c r="J146" s="42" t="str">
        <f>_xlfn.IFNA(VLOOKUP(D146,Master_Section!$I:$K,3,FALSE),"")</f>
        <v/>
      </c>
      <c r="P146" s="80" t="str">
        <f t="shared" si="6"/>
        <v/>
      </c>
      <c r="Q146" s="43">
        <f t="shared" si="7"/>
        <v>0</v>
      </c>
    </row>
    <row r="147" spans="2:17" ht="15" customHeight="1">
      <c r="B147" s="26" t="str">
        <f>_xlfn.IFNA(VLOOKUP(C147,Master_Section!$H:$I,2,FALSE),"")</f>
        <v/>
      </c>
      <c r="D147" s="26" t="str">
        <f>_xlfn.IFNA(VLOOKUP(E147,Master_Section!$H:$I,2,FALSE),"")</f>
        <v/>
      </c>
      <c r="F147" s="81" t="str">
        <f>_xlfn.IFNA(VLOOKUP(G147,Master!AE:AF,2,FALSE),"")</f>
        <v/>
      </c>
      <c r="I147" s="42" t="str">
        <f>_xlfn.IFNA(VLOOKUP(D147,Master_Section!$I:$K,2,FALSE),"")</f>
        <v/>
      </c>
      <c r="J147" s="42" t="str">
        <f>_xlfn.IFNA(VLOOKUP(D147,Master_Section!$I:$K,3,FALSE),"")</f>
        <v/>
      </c>
      <c r="P147" s="80" t="str">
        <f t="shared" si="6"/>
        <v/>
      </c>
      <c r="Q147" s="43">
        <f t="shared" si="7"/>
        <v>0</v>
      </c>
    </row>
    <row r="148" spans="2:17" ht="15" customHeight="1">
      <c r="B148" s="26" t="str">
        <f>_xlfn.IFNA(VLOOKUP(C148,Master_Section!$H:$I,2,FALSE),"")</f>
        <v/>
      </c>
      <c r="D148" s="26" t="str">
        <f>_xlfn.IFNA(VLOOKUP(E148,Master_Section!$H:$I,2,FALSE),"")</f>
        <v/>
      </c>
      <c r="F148" s="81" t="str">
        <f>_xlfn.IFNA(VLOOKUP(G148,Master!AE:AF,2,FALSE),"")</f>
        <v/>
      </c>
      <c r="I148" s="42" t="str">
        <f>_xlfn.IFNA(VLOOKUP(D148,Master_Section!$I:$K,2,FALSE),"")</f>
        <v/>
      </c>
      <c r="J148" s="42" t="str">
        <f>_xlfn.IFNA(VLOOKUP(D148,Master_Section!$I:$K,3,FALSE),"")</f>
        <v/>
      </c>
      <c r="P148" s="80" t="str">
        <f t="shared" si="6"/>
        <v/>
      </c>
      <c r="Q148" s="43">
        <f t="shared" si="7"/>
        <v>0</v>
      </c>
    </row>
    <row r="149" spans="2:17" ht="15" customHeight="1">
      <c r="B149" s="26" t="str">
        <f>_xlfn.IFNA(VLOOKUP(C149,Master_Section!$H:$I,2,FALSE),"")</f>
        <v/>
      </c>
      <c r="D149" s="26" t="str">
        <f>_xlfn.IFNA(VLOOKUP(E149,Master_Section!$H:$I,2,FALSE),"")</f>
        <v/>
      </c>
      <c r="F149" s="81" t="str">
        <f>_xlfn.IFNA(VLOOKUP(G149,Master!AE:AF,2,FALSE),"")</f>
        <v/>
      </c>
      <c r="I149" s="42" t="str">
        <f>_xlfn.IFNA(VLOOKUP(D149,Master_Section!$I:$K,2,FALSE),"")</f>
        <v/>
      </c>
      <c r="J149" s="42" t="str">
        <f>_xlfn.IFNA(VLOOKUP(D149,Master_Section!$I:$K,3,FALSE),"")</f>
        <v/>
      </c>
      <c r="P149" s="80" t="str">
        <f t="shared" si="6"/>
        <v/>
      </c>
      <c r="Q149" s="43">
        <f t="shared" si="7"/>
        <v>0</v>
      </c>
    </row>
    <row r="150" spans="2:17" ht="15" customHeight="1">
      <c r="B150" s="26" t="str">
        <f>_xlfn.IFNA(VLOOKUP(C150,Master_Section!$H:$I,2,FALSE),"")</f>
        <v/>
      </c>
      <c r="D150" s="26" t="str">
        <f>_xlfn.IFNA(VLOOKUP(E150,Master_Section!$H:$I,2,FALSE),"")</f>
        <v/>
      </c>
      <c r="F150" s="81" t="str">
        <f>_xlfn.IFNA(VLOOKUP(G150,Master!AE:AF,2,FALSE),"")</f>
        <v/>
      </c>
      <c r="I150" s="42" t="str">
        <f>_xlfn.IFNA(VLOOKUP(D150,Master_Section!$I:$K,2,FALSE),"")</f>
        <v/>
      </c>
      <c r="J150" s="42" t="str">
        <f>_xlfn.IFNA(VLOOKUP(D150,Master_Section!$I:$K,3,FALSE),"")</f>
        <v/>
      </c>
      <c r="P150" s="80" t="str">
        <f t="shared" si="6"/>
        <v/>
      </c>
      <c r="Q150" s="43">
        <f t="shared" si="7"/>
        <v>0</v>
      </c>
    </row>
    <row r="151" spans="2:17" ht="15" customHeight="1">
      <c r="B151" s="26" t="str">
        <f>_xlfn.IFNA(VLOOKUP(C151,Master_Section!$H:$I,2,FALSE),"")</f>
        <v/>
      </c>
      <c r="D151" s="26" t="str">
        <f>_xlfn.IFNA(VLOOKUP(E151,Master_Section!$H:$I,2,FALSE),"")</f>
        <v/>
      </c>
      <c r="F151" s="81" t="str">
        <f>_xlfn.IFNA(VLOOKUP(G151,Master!AE:AF,2,FALSE),"")</f>
        <v/>
      </c>
      <c r="I151" s="42" t="str">
        <f>_xlfn.IFNA(VLOOKUP(D151,Master_Section!$I:$K,2,FALSE),"")</f>
        <v/>
      </c>
      <c r="J151" s="42" t="str">
        <f>_xlfn.IFNA(VLOOKUP(D151,Master_Section!$I:$K,3,FALSE),"")</f>
        <v/>
      </c>
      <c r="P151" s="80" t="str">
        <f t="shared" si="6"/>
        <v/>
      </c>
      <c r="Q151" s="43">
        <f t="shared" si="7"/>
        <v>0</v>
      </c>
    </row>
    <row r="152" spans="2:17" ht="15" customHeight="1">
      <c r="B152" s="26" t="str">
        <f>_xlfn.IFNA(VLOOKUP(C152,Master_Section!$H:$I,2,FALSE),"")</f>
        <v/>
      </c>
      <c r="D152" s="26" t="str">
        <f>_xlfn.IFNA(VLOOKUP(E152,Master_Section!$H:$I,2,FALSE),"")</f>
        <v/>
      </c>
      <c r="F152" s="81" t="str">
        <f>_xlfn.IFNA(VLOOKUP(G152,Master!AE:AF,2,FALSE),"")</f>
        <v/>
      </c>
      <c r="I152" s="42" t="str">
        <f>_xlfn.IFNA(VLOOKUP(D152,Master_Section!$I:$K,2,FALSE),"")</f>
        <v/>
      </c>
      <c r="J152" s="42" t="str">
        <f>_xlfn.IFNA(VLOOKUP(D152,Master_Section!$I:$K,3,FALSE),"")</f>
        <v/>
      </c>
      <c r="P152" s="80" t="str">
        <f t="shared" si="6"/>
        <v/>
      </c>
      <c r="Q152" s="43">
        <f t="shared" si="7"/>
        <v>0</v>
      </c>
    </row>
    <row r="153" spans="2:17" ht="15" customHeight="1">
      <c r="B153" s="26" t="str">
        <f>_xlfn.IFNA(VLOOKUP(C153,Master_Section!$H:$I,2,FALSE),"")</f>
        <v/>
      </c>
      <c r="D153" s="26" t="str">
        <f>_xlfn.IFNA(VLOOKUP(E153,Master_Section!$H:$I,2,FALSE),"")</f>
        <v/>
      </c>
      <c r="F153" s="81" t="str">
        <f>_xlfn.IFNA(VLOOKUP(G153,Master!AE:AF,2,FALSE),"")</f>
        <v/>
      </c>
      <c r="I153" s="42" t="str">
        <f>_xlfn.IFNA(VLOOKUP(D153,Master_Section!$I:$K,2,FALSE),"")</f>
        <v/>
      </c>
      <c r="J153" s="42" t="str">
        <f>_xlfn.IFNA(VLOOKUP(D153,Master_Section!$I:$K,3,FALSE),"")</f>
        <v/>
      </c>
      <c r="P153" s="80" t="str">
        <f t="shared" si="6"/>
        <v/>
      </c>
      <c r="Q153" s="43">
        <f t="shared" si="7"/>
        <v>0</v>
      </c>
    </row>
    <row r="154" spans="2:17" ht="15" customHeight="1">
      <c r="B154" s="26" t="str">
        <f>_xlfn.IFNA(VLOOKUP(C154,Master_Section!$H:$I,2,FALSE),"")</f>
        <v/>
      </c>
      <c r="D154" s="26" t="str">
        <f>_xlfn.IFNA(VLOOKUP(E154,Master_Section!$H:$I,2,FALSE),"")</f>
        <v/>
      </c>
      <c r="F154" s="81" t="str">
        <f>_xlfn.IFNA(VLOOKUP(G154,Master!AE:AF,2,FALSE),"")</f>
        <v/>
      </c>
      <c r="I154" s="42" t="str">
        <f>_xlfn.IFNA(VLOOKUP(D154,Master_Section!$I:$K,2,FALSE),"")</f>
        <v/>
      </c>
      <c r="J154" s="42" t="str">
        <f>_xlfn.IFNA(VLOOKUP(D154,Master_Section!$I:$K,3,FALSE),"")</f>
        <v/>
      </c>
      <c r="P154" s="80" t="str">
        <f t="shared" si="6"/>
        <v/>
      </c>
      <c r="Q154" s="43">
        <f t="shared" si="7"/>
        <v>0</v>
      </c>
    </row>
    <row r="155" spans="2:17" ht="15" customHeight="1">
      <c r="B155" s="26" t="str">
        <f>_xlfn.IFNA(VLOOKUP(C155,Master_Section!$H:$I,2,FALSE),"")</f>
        <v/>
      </c>
      <c r="D155" s="26" t="str">
        <f>_xlfn.IFNA(VLOOKUP(E155,Master_Section!$H:$I,2,FALSE),"")</f>
        <v/>
      </c>
      <c r="F155" s="81" t="str">
        <f>_xlfn.IFNA(VLOOKUP(G155,Master!AE:AF,2,FALSE),"")</f>
        <v/>
      </c>
      <c r="I155" s="42" t="str">
        <f>_xlfn.IFNA(VLOOKUP(D155,Master_Section!$I:$K,2,FALSE),"")</f>
        <v/>
      </c>
      <c r="J155" s="42" t="str">
        <f>_xlfn.IFNA(VLOOKUP(D155,Master_Section!$I:$K,3,FALSE),"")</f>
        <v/>
      </c>
      <c r="P155" s="80" t="str">
        <f t="shared" si="6"/>
        <v/>
      </c>
      <c r="Q155" s="43">
        <f t="shared" si="7"/>
        <v>0</v>
      </c>
    </row>
    <row r="156" spans="2:17" ht="15" customHeight="1">
      <c r="B156" s="26" t="str">
        <f>_xlfn.IFNA(VLOOKUP(C156,Master_Section!$H:$I,2,FALSE),"")</f>
        <v/>
      </c>
      <c r="D156" s="26" t="str">
        <f>_xlfn.IFNA(VLOOKUP(E156,Master_Section!$H:$I,2,FALSE),"")</f>
        <v/>
      </c>
      <c r="F156" s="81" t="str">
        <f>_xlfn.IFNA(VLOOKUP(G156,Master!AE:AF,2,FALSE),"")</f>
        <v/>
      </c>
      <c r="I156" s="42" t="str">
        <f>_xlfn.IFNA(VLOOKUP(D156,Master_Section!$I:$K,2,FALSE),"")</f>
        <v/>
      </c>
      <c r="J156" s="42" t="str">
        <f>_xlfn.IFNA(VLOOKUP(D156,Master_Section!$I:$K,3,FALSE),"")</f>
        <v/>
      </c>
      <c r="P156" s="80" t="str">
        <f t="shared" si="6"/>
        <v/>
      </c>
      <c r="Q156" s="43">
        <f t="shared" si="7"/>
        <v>0</v>
      </c>
    </row>
    <row r="157" spans="2:17" ht="15" customHeight="1">
      <c r="B157" s="26" t="str">
        <f>_xlfn.IFNA(VLOOKUP(C157,Master_Section!$H:$I,2,FALSE),"")</f>
        <v/>
      </c>
      <c r="D157" s="26" t="str">
        <f>_xlfn.IFNA(VLOOKUP(E157,Master_Section!$H:$I,2,FALSE),"")</f>
        <v/>
      </c>
      <c r="F157" s="81" t="str">
        <f>_xlfn.IFNA(VLOOKUP(G157,Master!AE:AF,2,FALSE),"")</f>
        <v/>
      </c>
      <c r="I157" s="42" t="str">
        <f>_xlfn.IFNA(VLOOKUP(D157,Master_Section!$I:$K,2,FALSE),"")</f>
        <v/>
      </c>
      <c r="J157" s="42" t="str">
        <f>_xlfn.IFNA(VLOOKUP(D157,Master_Section!$I:$K,3,FALSE),"")</f>
        <v/>
      </c>
      <c r="P157" s="80" t="str">
        <f t="shared" si="6"/>
        <v/>
      </c>
      <c r="Q157" s="43">
        <f t="shared" si="7"/>
        <v>0</v>
      </c>
    </row>
    <row r="158" spans="2:17" ht="15" customHeight="1">
      <c r="B158" s="26" t="str">
        <f>_xlfn.IFNA(VLOOKUP(C158,Master_Section!$H:$I,2,FALSE),"")</f>
        <v/>
      </c>
      <c r="D158" s="26" t="str">
        <f>_xlfn.IFNA(VLOOKUP(E158,Master_Section!$H:$I,2,FALSE),"")</f>
        <v/>
      </c>
      <c r="F158" s="81" t="str">
        <f>_xlfn.IFNA(VLOOKUP(G158,Master!AE:AF,2,FALSE),"")</f>
        <v/>
      </c>
      <c r="I158" s="42" t="str">
        <f>_xlfn.IFNA(VLOOKUP(D158,Master_Section!$I:$K,2,FALSE),"")</f>
        <v/>
      </c>
      <c r="J158" s="42" t="str">
        <f>_xlfn.IFNA(VLOOKUP(D158,Master_Section!$I:$K,3,FALSE),"")</f>
        <v/>
      </c>
      <c r="P158" s="80" t="str">
        <f t="shared" si="6"/>
        <v/>
      </c>
      <c r="Q158" s="43">
        <f t="shared" si="7"/>
        <v>0</v>
      </c>
    </row>
    <row r="159" spans="2:17" ht="15" customHeight="1">
      <c r="B159" s="26" t="str">
        <f>_xlfn.IFNA(VLOOKUP(C159,Master_Section!$H:$I,2,FALSE),"")</f>
        <v/>
      </c>
      <c r="D159" s="26" t="str">
        <f>_xlfn.IFNA(VLOOKUP(E159,Master_Section!$H:$I,2,FALSE),"")</f>
        <v/>
      </c>
      <c r="F159" s="81" t="str">
        <f>_xlfn.IFNA(VLOOKUP(G159,Master!AE:AF,2,FALSE),"")</f>
        <v/>
      </c>
      <c r="I159" s="42" t="str">
        <f>_xlfn.IFNA(VLOOKUP(D159,Master_Section!$I:$K,2,FALSE),"")</f>
        <v/>
      </c>
      <c r="J159" s="42" t="str">
        <f>_xlfn.IFNA(VLOOKUP(D159,Master_Section!$I:$K,3,FALSE),"")</f>
        <v/>
      </c>
      <c r="P159" s="80" t="str">
        <f t="shared" si="6"/>
        <v/>
      </c>
      <c r="Q159" s="43">
        <f t="shared" si="7"/>
        <v>0</v>
      </c>
    </row>
    <row r="160" spans="2:17" ht="15" customHeight="1">
      <c r="B160" s="26" t="str">
        <f>_xlfn.IFNA(VLOOKUP(C160,Master_Section!$H:$I,2,FALSE),"")</f>
        <v/>
      </c>
      <c r="D160" s="26" t="str">
        <f>_xlfn.IFNA(VLOOKUP(E160,Master_Section!$H:$I,2,FALSE),"")</f>
        <v/>
      </c>
      <c r="F160" s="81" t="str">
        <f>_xlfn.IFNA(VLOOKUP(G160,Master!AE:AF,2,FALSE),"")</f>
        <v/>
      </c>
      <c r="I160" s="42" t="str">
        <f>_xlfn.IFNA(VLOOKUP(D160,Master_Section!$I:$K,2,FALSE),"")</f>
        <v/>
      </c>
      <c r="J160" s="42" t="str">
        <f>_xlfn.IFNA(VLOOKUP(D160,Master_Section!$I:$K,3,FALSE),"")</f>
        <v/>
      </c>
      <c r="P160" s="80" t="str">
        <f t="shared" si="6"/>
        <v/>
      </c>
      <c r="Q160" s="43">
        <f t="shared" si="7"/>
        <v>0</v>
      </c>
    </row>
    <row r="161" spans="2:17" ht="15" customHeight="1">
      <c r="B161" s="26" t="str">
        <f>_xlfn.IFNA(VLOOKUP(C161,Master_Section!$H:$I,2,FALSE),"")</f>
        <v/>
      </c>
      <c r="D161" s="26" t="str">
        <f>_xlfn.IFNA(VLOOKUP(E161,Master_Section!$H:$I,2,FALSE),"")</f>
        <v/>
      </c>
      <c r="F161" s="81" t="str">
        <f>_xlfn.IFNA(VLOOKUP(G161,Master!AE:AF,2,FALSE),"")</f>
        <v/>
      </c>
      <c r="I161" s="42" t="str">
        <f>_xlfn.IFNA(VLOOKUP(D161,Master_Section!$I:$K,2,FALSE),"")</f>
        <v/>
      </c>
      <c r="J161" s="42" t="str">
        <f>_xlfn.IFNA(VLOOKUP(D161,Master_Section!$I:$K,3,FALSE),"")</f>
        <v/>
      </c>
      <c r="P161" s="80" t="str">
        <f t="shared" si="6"/>
        <v/>
      </c>
      <c r="Q161" s="43">
        <f t="shared" si="7"/>
        <v>0</v>
      </c>
    </row>
    <row r="162" spans="2:17" ht="15" customHeight="1">
      <c r="B162" s="26" t="str">
        <f>_xlfn.IFNA(VLOOKUP(C162,Master_Section!$H:$I,2,FALSE),"")</f>
        <v/>
      </c>
      <c r="D162" s="26" t="str">
        <f>_xlfn.IFNA(VLOOKUP(E162,Master_Section!$H:$I,2,FALSE),"")</f>
        <v/>
      </c>
      <c r="F162" s="81" t="str">
        <f>_xlfn.IFNA(VLOOKUP(G162,Master!AE:AF,2,FALSE),"")</f>
        <v/>
      </c>
      <c r="I162" s="42" t="str">
        <f>_xlfn.IFNA(VLOOKUP(D162,Master_Section!$I:$K,2,FALSE),"")</f>
        <v/>
      </c>
      <c r="J162" s="42" t="str">
        <f>_xlfn.IFNA(VLOOKUP(D162,Master_Section!$I:$K,3,FALSE),"")</f>
        <v/>
      </c>
      <c r="P162" s="80" t="str">
        <f t="shared" si="6"/>
        <v/>
      </c>
      <c r="Q162" s="43">
        <f t="shared" si="7"/>
        <v>0</v>
      </c>
    </row>
    <row r="163" spans="2:17" ht="15" customHeight="1">
      <c r="B163" s="26" t="str">
        <f>_xlfn.IFNA(VLOOKUP(C163,Master_Section!$H:$I,2,FALSE),"")</f>
        <v/>
      </c>
      <c r="D163" s="26" t="str">
        <f>_xlfn.IFNA(VLOOKUP(E163,Master_Section!$H:$I,2,FALSE),"")</f>
        <v/>
      </c>
      <c r="F163" s="81" t="str">
        <f>_xlfn.IFNA(VLOOKUP(G163,Master!AE:AF,2,FALSE),"")</f>
        <v/>
      </c>
      <c r="I163" s="42" t="str">
        <f>_xlfn.IFNA(VLOOKUP(D163,Master_Section!$I:$K,2,FALSE),"")</f>
        <v/>
      </c>
      <c r="J163" s="42" t="str">
        <f>_xlfn.IFNA(VLOOKUP(D163,Master_Section!$I:$K,3,FALSE),"")</f>
        <v/>
      </c>
      <c r="P163" s="80" t="str">
        <f t="shared" si="6"/>
        <v/>
      </c>
      <c r="Q163" s="43">
        <f t="shared" si="7"/>
        <v>0</v>
      </c>
    </row>
    <row r="164" spans="2:17" ht="15" customHeight="1">
      <c r="B164" s="26" t="str">
        <f>_xlfn.IFNA(VLOOKUP(C164,Master_Section!$H:$I,2,FALSE),"")</f>
        <v/>
      </c>
      <c r="D164" s="26" t="str">
        <f>_xlfn.IFNA(VLOOKUP(E164,Master_Section!$H:$I,2,FALSE),"")</f>
        <v/>
      </c>
      <c r="F164" s="81" t="str">
        <f>_xlfn.IFNA(VLOOKUP(G164,Master!AE:AF,2,FALSE),"")</f>
        <v/>
      </c>
      <c r="I164" s="42" t="str">
        <f>_xlfn.IFNA(VLOOKUP(D164,Master_Section!$I:$K,2,FALSE),"")</f>
        <v/>
      </c>
      <c r="J164" s="42" t="str">
        <f>_xlfn.IFNA(VLOOKUP(D164,Master_Section!$I:$K,3,FALSE),"")</f>
        <v/>
      </c>
      <c r="P164" s="80" t="str">
        <f t="shared" si="6"/>
        <v/>
      </c>
      <c r="Q164" s="43">
        <f t="shared" si="7"/>
        <v>0</v>
      </c>
    </row>
    <row r="165" spans="2:17" ht="15" customHeight="1">
      <c r="B165" s="26" t="str">
        <f>_xlfn.IFNA(VLOOKUP(C165,Master_Section!$H:$I,2,FALSE),"")</f>
        <v/>
      </c>
      <c r="D165" s="26" t="str">
        <f>_xlfn.IFNA(VLOOKUP(E165,Master_Section!$H:$I,2,FALSE),"")</f>
        <v/>
      </c>
      <c r="F165" s="81" t="str">
        <f>_xlfn.IFNA(VLOOKUP(G165,Master!AE:AF,2,FALSE),"")</f>
        <v/>
      </c>
      <c r="I165" s="42" t="str">
        <f>_xlfn.IFNA(VLOOKUP(D165,Master_Section!$I:$K,2,FALSE),"")</f>
        <v/>
      </c>
      <c r="J165" s="42" t="str">
        <f>_xlfn.IFNA(VLOOKUP(D165,Master_Section!$I:$K,3,FALSE),"")</f>
        <v/>
      </c>
      <c r="P165" s="80" t="str">
        <f t="shared" si="6"/>
        <v/>
      </c>
      <c r="Q165" s="43">
        <f t="shared" si="7"/>
        <v>0</v>
      </c>
    </row>
    <row r="166" spans="2:17" ht="15" customHeight="1">
      <c r="B166" s="26" t="str">
        <f>_xlfn.IFNA(VLOOKUP(C166,Master_Section!$H:$I,2,FALSE),"")</f>
        <v/>
      </c>
      <c r="D166" s="26" t="str">
        <f>_xlfn.IFNA(VLOOKUP(E166,Master_Section!$H:$I,2,FALSE),"")</f>
        <v/>
      </c>
      <c r="F166" s="81" t="str">
        <f>_xlfn.IFNA(VLOOKUP(G166,Master!AE:AF,2,FALSE),"")</f>
        <v/>
      </c>
      <c r="I166" s="42" t="str">
        <f>_xlfn.IFNA(VLOOKUP(D166,Master_Section!$I:$K,2,FALSE),"")</f>
        <v/>
      </c>
      <c r="J166" s="42" t="str">
        <f>_xlfn.IFNA(VLOOKUP(D166,Master_Section!$I:$K,3,FALSE),"")</f>
        <v/>
      </c>
      <c r="P166" s="80" t="str">
        <f t="shared" si="6"/>
        <v/>
      </c>
      <c r="Q166" s="43">
        <f t="shared" si="7"/>
        <v>0</v>
      </c>
    </row>
    <row r="167" spans="2:17" ht="15" customHeight="1">
      <c r="B167" s="26" t="str">
        <f>_xlfn.IFNA(VLOOKUP(C167,Master_Section!$H:$I,2,FALSE),"")</f>
        <v/>
      </c>
      <c r="D167" s="26" t="str">
        <f>_xlfn.IFNA(VLOOKUP(E167,Master_Section!$H:$I,2,FALSE),"")</f>
        <v/>
      </c>
      <c r="F167" s="81" t="str">
        <f>_xlfn.IFNA(VLOOKUP(G167,Master!AE:AF,2,FALSE),"")</f>
        <v/>
      </c>
      <c r="I167" s="42" t="str">
        <f>_xlfn.IFNA(VLOOKUP(D167,Master_Section!$I:$K,2,FALSE),"")</f>
        <v/>
      </c>
      <c r="J167" s="42" t="str">
        <f>_xlfn.IFNA(VLOOKUP(D167,Master_Section!$I:$K,3,FALSE),"")</f>
        <v/>
      </c>
      <c r="P167" s="80" t="str">
        <f t="shared" si="6"/>
        <v/>
      </c>
      <c r="Q167" s="43">
        <f t="shared" si="7"/>
        <v>0</v>
      </c>
    </row>
    <row r="168" spans="2:17" ht="15" customHeight="1">
      <c r="B168" s="26" t="str">
        <f>_xlfn.IFNA(VLOOKUP(C168,Master_Section!$H:$I,2,FALSE),"")</f>
        <v/>
      </c>
      <c r="D168" s="26" t="str">
        <f>_xlfn.IFNA(VLOOKUP(E168,Master_Section!$H:$I,2,FALSE),"")</f>
        <v/>
      </c>
      <c r="F168" s="81" t="str">
        <f>_xlfn.IFNA(VLOOKUP(G168,Master!AE:AF,2,FALSE),"")</f>
        <v/>
      </c>
      <c r="I168" s="42" t="str">
        <f>_xlfn.IFNA(VLOOKUP(D168,Master_Section!$I:$K,2,FALSE),"")</f>
        <v/>
      </c>
      <c r="J168" s="42" t="str">
        <f>_xlfn.IFNA(VLOOKUP(D168,Master_Section!$I:$K,3,FALSE),"")</f>
        <v/>
      </c>
      <c r="P168" s="80" t="str">
        <f t="shared" si="6"/>
        <v/>
      </c>
      <c r="Q168" s="43">
        <f t="shared" si="7"/>
        <v>0</v>
      </c>
    </row>
    <row r="169" spans="2:17" ht="15" customHeight="1">
      <c r="B169" s="26" t="str">
        <f>_xlfn.IFNA(VLOOKUP(C169,Master_Section!$H:$I,2,FALSE),"")</f>
        <v/>
      </c>
      <c r="D169" s="26" t="str">
        <f>_xlfn.IFNA(VLOOKUP(E169,Master_Section!$H:$I,2,FALSE),"")</f>
        <v/>
      </c>
      <c r="F169" s="81" t="str">
        <f>_xlfn.IFNA(VLOOKUP(G169,Master!AE:AF,2,FALSE),"")</f>
        <v/>
      </c>
      <c r="I169" s="42" t="str">
        <f>_xlfn.IFNA(VLOOKUP(D169,Master_Section!$I:$K,2,FALSE),"")</f>
        <v/>
      </c>
      <c r="J169" s="42" t="str">
        <f>_xlfn.IFNA(VLOOKUP(D169,Master_Section!$I:$K,3,FALSE),"")</f>
        <v/>
      </c>
      <c r="P169" s="80" t="str">
        <f t="shared" si="6"/>
        <v/>
      </c>
      <c r="Q169" s="43">
        <f t="shared" si="7"/>
        <v>0</v>
      </c>
    </row>
    <row r="170" spans="2:17" ht="15" customHeight="1">
      <c r="B170" s="26" t="str">
        <f>_xlfn.IFNA(VLOOKUP(C170,Master_Section!$H:$I,2,FALSE),"")</f>
        <v/>
      </c>
      <c r="D170" s="26" t="str">
        <f>_xlfn.IFNA(VLOOKUP(E170,Master_Section!$H:$I,2,FALSE),"")</f>
        <v/>
      </c>
      <c r="F170" s="81" t="str">
        <f>_xlfn.IFNA(VLOOKUP(G170,Master!AE:AF,2,FALSE),"")</f>
        <v/>
      </c>
      <c r="I170" s="42" t="str">
        <f>_xlfn.IFNA(VLOOKUP(D170,Master_Section!$I:$K,2,FALSE),"")</f>
        <v/>
      </c>
      <c r="J170" s="42" t="str">
        <f>_xlfn.IFNA(VLOOKUP(D170,Master_Section!$I:$K,3,FALSE),"")</f>
        <v/>
      </c>
      <c r="P170" s="80" t="str">
        <f t="shared" si="6"/>
        <v/>
      </c>
      <c r="Q170" s="43">
        <f t="shared" si="7"/>
        <v>0</v>
      </c>
    </row>
    <row r="171" spans="2:17" ht="15" customHeight="1">
      <c r="B171" s="26" t="str">
        <f>_xlfn.IFNA(VLOOKUP(C171,Master_Section!$H:$I,2,FALSE),"")</f>
        <v/>
      </c>
      <c r="D171" s="26" t="str">
        <f>_xlfn.IFNA(VLOOKUP(E171,Master_Section!$H:$I,2,FALSE),"")</f>
        <v/>
      </c>
      <c r="F171" s="81" t="str">
        <f>_xlfn.IFNA(VLOOKUP(G171,Master!AE:AF,2,FALSE),"")</f>
        <v/>
      </c>
      <c r="I171" s="42" t="str">
        <f>_xlfn.IFNA(VLOOKUP(D171,Master_Section!$I:$K,2,FALSE),"")</f>
        <v/>
      </c>
      <c r="J171" s="42" t="str">
        <f>_xlfn.IFNA(VLOOKUP(D171,Master_Section!$I:$K,3,FALSE),"")</f>
        <v/>
      </c>
      <c r="P171" s="80" t="str">
        <f t="shared" si="6"/>
        <v/>
      </c>
      <c r="Q171" s="43">
        <f t="shared" si="7"/>
        <v>0</v>
      </c>
    </row>
    <row r="172" spans="2:17" ht="15" customHeight="1">
      <c r="B172" s="26" t="str">
        <f>_xlfn.IFNA(VLOOKUP(C172,Master_Section!$H:$I,2,FALSE),"")</f>
        <v/>
      </c>
      <c r="D172" s="26" t="str">
        <f>_xlfn.IFNA(VLOOKUP(E172,Master_Section!$H:$I,2,FALSE),"")</f>
        <v/>
      </c>
      <c r="F172" s="81" t="str">
        <f>_xlfn.IFNA(VLOOKUP(G172,Master!AE:AF,2,FALSE),"")</f>
        <v/>
      </c>
      <c r="I172" s="42" t="str">
        <f>_xlfn.IFNA(VLOOKUP(D172,Master_Section!$I:$K,2,FALSE),"")</f>
        <v/>
      </c>
      <c r="J172" s="42" t="str">
        <f>_xlfn.IFNA(VLOOKUP(D172,Master_Section!$I:$K,3,FALSE),"")</f>
        <v/>
      </c>
      <c r="P172" s="80" t="str">
        <f t="shared" si="6"/>
        <v/>
      </c>
      <c r="Q172" s="43">
        <f t="shared" si="7"/>
        <v>0</v>
      </c>
    </row>
    <row r="173" spans="2:17" ht="15" customHeight="1">
      <c r="B173" s="26" t="str">
        <f>_xlfn.IFNA(VLOOKUP(C173,Master_Section!$H:$I,2,FALSE),"")</f>
        <v/>
      </c>
      <c r="D173" s="26" t="str">
        <f>_xlfn.IFNA(VLOOKUP(E173,Master_Section!$H:$I,2,FALSE),"")</f>
        <v/>
      </c>
      <c r="F173" s="81" t="str">
        <f>_xlfn.IFNA(VLOOKUP(G173,Master!AE:AF,2,FALSE),"")</f>
        <v/>
      </c>
      <c r="I173" s="42" t="str">
        <f>_xlfn.IFNA(VLOOKUP(D173,Master_Section!$I:$K,2,FALSE),"")</f>
        <v/>
      </c>
      <c r="J173" s="42" t="str">
        <f>_xlfn.IFNA(VLOOKUP(D173,Master_Section!$I:$K,3,FALSE),"")</f>
        <v/>
      </c>
      <c r="P173" s="80" t="str">
        <f t="shared" si="6"/>
        <v/>
      </c>
      <c r="Q173" s="43">
        <f t="shared" si="7"/>
        <v>0</v>
      </c>
    </row>
    <row r="174" spans="2:17" ht="15" customHeight="1">
      <c r="B174" s="26" t="str">
        <f>_xlfn.IFNA(VLOOKUP(C174,Master_Section!$H:$I,2,FALSE),"")</f>
        <v/>
      </c>
      <c r="D174" s="26" t="str">
        <f>_xlfn.IFNA(VLOOKUP(E174,Master_Section!$H:$I,2,FALSE),"")</f>
        <v/>
      </c>
      <c r="F174" s="81" t="str">
        <f>_xlfn.IFNA(VLOOKUP(G174,Master!AE:AF,2,FALSE),"")</f>
        <v/>
      </c>
      <c r="I174" s="42" t="str">
        <f>_xlfn.IFNA(VLOOKUP(D174,Master_Section!$I:$K,2,FALSE),"")</f>
        <v/>
      </c>
      <c r="J174" s="42" t="str">
        <f>_xlfn.IFNA(VLOOKUP(D174,Master_Section!$I:$K,3,FALSE),"")</f>
        <v/>
      </c>
      <c r="P174" s="80" t="str">
        <f t="shared" si="6"/>
        <v/>
      </c>
      <c r="Q174" s="43">
        <f t="shared" si="7"/>
        <v>0</v>
      </c>
    </row>
    <row r="175" spans="2:17" ht="15" customHeight="1">
      <c r="B175" s="26" t="str">
        <f>_xlfn.IFNA(VLOOKUP(C175,Master_Section!$H:$I,2,FALSE),"")</f>
        <v/>
      </c>
      <c r="D175" s="26" t="str">
        <f>_xlfn.IFNA(VLOOKUP(E175,Master_Section!$H:$I,2,FALSE),"")</f>
        <v/>
      </c>
      <c r="F175" s="81" t="str">
        <f>_xlfn.IFNA(VLOOKUP(G175,Master!AE:AF,2,FALSE),"")</f>
        <v/>
      </c>
      <c r="I175" s="42" t="str">
        <f>_xlfn.IFNA(VLOOKUP(D175,Master_Section!$I:$K,2,FALSE),"")</f>
        <v/>
      </c>
      <c r="J175" s="42" t="str">
        <f>_xlfn.IFNA(VLOOKUP(D175,Master_Section!$I:$K,3,FALSE),"")</f>
        <v/>
      </c>
      <c r="P175" s="80" t="str">
        <f t="shared" si="6"/>
        <v/>
      </c>
      <c r="Q175" s="43">
        <f t="shared" si="7"/>
        <v>0</v>
      </c>
    </row>
    <row r="176" spans="2:17" ht="15" customHeight="1">
      <c r="B176" s="26" t="str">
        <f>_xlfn.IFNA(VLOOKUP(C176,Master_Section!$H:$I,2,FALSE),"")</f>
        <v/>
      </c>
      <c r="D176" s="26" t="str">
        <f>_xlfn.IFNA(VLOOKUP(E176,Master_Section!$H:$I,2,FALSE),"")</f>
        <v/>
      </c>
      <c r="F176" s="81" t="str">
        <f>_xlfn.IFNA(VLOOKUP(G176,Master!AE:AF,2,FALSE),"")</f>
        <v/>
      </c>
      <c r="I176" s="42" t="str">
        <f>_xlfn.IFNA(VLOOKUP(D176,Master_Section!$I:$K,2,FALSE),"")</f>
        <v/>
      </c>
      <c r="J176" s="42" t="str">
        <f>_xlfn.IFNA(VLOOKUP(D176,Master_Section!$I:$K,3,FALSE),"")</f>
        <v/>
      </c>
      <c r="P176" s="80" t="str">
        <f t="shared" si="6"/>
        <v/>
      </c>
      <c r="Q176" s="43">
        <f t="shared" si="7"/>
        <v>0</v>
      </c>
    </row>
    <row r="177" spans="2:17" ht="15" customHeight="1">
      <c r="B177" s="26" t="str">
        <f>_xlfn.IFNA(VLOOKUP(C177,Master_Section!$H:$I,2,FALSE),"")</f>
        <v/>
      </c>
      <c r="D177" s="26" t="str">
        <f>_xlfn.IFNA(VLOOKUP(E177,Master_Section!$H:$I,2,FALSE),"")</f>
        <v/>
      </c>
      <c r="F177" s="81" t="str">
        <f>_xlfn.IFNA(VLOOKUP(G177,Master!AE:AF,2,FALSE),"")</f>
        <v/>
      </c>
      <c r="I177" s="42" t="str">
        <f>_xlfn.IFNA(VLOOKUP(D177,Master_Section!$I:$K,2,FALSE),"")</f>
        <v/>
      </c>
      <c r="J177" s="42" t="str">
        <f>_xlfn.IFNA(VLOOKUP(D177,Master_Section!$I:$K,3,FALSE),"")</f>
        <v/>
      </c>
      <c r="P177" s="80" t="str">
        <f t="shared" si="6"/>
        <v/>
      </c>
      <c r="Q177" s="43">
        <f t="shared" si="7"/>
        <v>0</v>
      </c>
    </row>
    <row r="178" spans="2:17" ht="15" customHeight="1">
      <c r="B178" s="26" t="str">
        <f>_xlfn.IFNA(VLOOKUP(C178,Master_Section!$H:$I,2,FALSE),"")</f>
        <v/>
      </c>
      <c r="D178" s="26" t="str">
        <f>_xlfn.IFNA(VLOOKUP(E178,Master_Section!$H:$I,2,FALSE),"")</f>
        <v/>
      </c>
      <c r="F178" s="81" t="str">
        <f>_xlfn.IFNA(VLOOKUP(G178,Master!AE:AF,2,FALSE),"")</f>
        <v/>
      </c>
      <c r="I178" s="42" t="str">
        <f>_xlfn.IFNA(VLOOKUP(D178,Master_Section!$I:$K,2,FALSE),"")</f>
        <v/>
      </c>
      <c r="J178" s="42" t="str">
        <f>_xlfn.IFNA(VLOOKUP(D178,Master_Section!$I:$K,3,FALSE),"")</f>
        <v/>
      </c>
      <c r="P178" s="80" t="str">
        <f t="shared" si="6"/>
        <v/>
      </c>
      <c r="Q178" s="43">
        <f t="shared" si="7"/>
        <v>0</v>
      </c>
    </row>
    <row r="179" spans="2:17" ht="15" customHeight="1">
      <c r="B179" s="26" t="str">
        <f>_xlfn.IFNA(VLOOKUP(C179,Master_Section!$H:$I,2,FALSE),"")</f>
        <v/>
      </c>
      <c r="D179" s="26" t="str">
        <f>_xlfn.IFNA(VLOOKUP(E179,Master_Section!$H:$I,2,FALSE),"")</f>
        <v/>
      </c>
      <c r="F179" s="81" t="str">
        <f>_xlfn.IFNA(VLOOKUP(G179,Master!AE:AF,2,FALSE),"")</f>
        <v/>
      </c>
      <c r="I179" s="42" t="str">
        <f>_xlfn.IFNA(VLOOKUP(D179,Master_Section!$I:$K,2,FALSE),"")</f>
        <v/>
      </c>
      <c r="J179" s="42" t="str">
        <f>_xlfn.IFNA(VLOOKUP(D179,Master_Section!$I:$K,3,FALSE),"")</f>
        <v/>
      </c>
      <c r="P179" s="80" t="str">
        <f t="shared" si="6"/>
        <v/>
      </c>
      <c r="Q179" s="43">
        <f t="shared" si="7"/>
        <v>0</v>
      </c>
    </row>
    <row r="180" spans="2:17" ht="15" customHeight="1">
      <c r="B180" s="26" t="str">
        <f>_xlfn.IFNA(VLOOKUP(C180,Master_Section!$H:$I,2,FALSE),"")</f>
        <v/>
      </c>
      <c r="D180" s="26" t="str">
        <f>_xlfn.IFNA(VLOOKUP(E180,Master_Section!$H:$I,2,FALSE),"")</f>
        <v/>
      </c>
      <c r="F180" s="81" t="str">
        <f>_xlfn.IFNA(VLOOKUP(G180,Master!AE:AF,2,FALSE),"")</f>
        <v/>
      </c>
      <c r="I180" s="42" t="str">
        <f>_xlfn.IFNA(VLOOKUP(D180,Master_Section!$I:$K,2,FALSE),"")</f>
        <v/>
      </c>
      <c r="J180" s="42" t="str">
        <f>_xlfn.IFNA(VLOOKUP(D180,Master_Section!$I:$K,3,FALSE),"")</f>
        <v/>
      </c>
      <c r="P180" s="80" t="str">
        <f t="shared" si="6"/>
        <v/>
      </c>
      <c r="Q180" s="43">
        <f t="shared" si="7"/>
        <v>0</v>
      </c>
    </row>
    <row r="181" spans="2:17" ht="15" customHeight="1">
      <c r="B181" s="26" t="str">
        <f>_xlfn.IFNA(VLOOKUP(C181,Master_Section!$H:$I,2,FALSE),"")</f>
        <v/>
      </c>
      <c r="D181" s="26" t="str">
        <f>_xlfn.IFNA(VLOOKUP(E181,Master_Section!$H:$I,2,FALSE),"")</f>
        <v/>
      </c>
      <c r="F181" s="81" t="str">
        <f>_xlfn.IFNA(VLOOKUP(G181,Master!AE:AF,2,FALSE),"")</f>
        <v/>
      </c>
      <c r="I181" s="42" t="str">
        <f>_xlfn.IFNA(VLOOKUP(D181,Master_Section!$I:$K,2,FALSE),"")</f>
        <v/>
      </c>
      <c r="J181" s="42" t="str">
        <f>_xlfn.IFNA(VLOOKUP(D181,Master_Section!$I:$K,3,FALSE),"")</f>
        <v/>
      </c>
      <c r="P181" s="80" t="str">
        <f t="shared" si="6"/>
        <v/>
      </c>
      <c r="Q181" s="43">
        <f t="shared" si="7"/>
        <v>0</v>
      </c>
    </row>
    <row r="182" spans="2:17" ht="15" customHeight="1">
      <c r="B182" s="26" t="str">
        <f>_xlfn.IFNA(VLOOKUP(C182,Master_Section!$H:$I,2,FALSE),"")</f>
        <v/>
      </c>
      <c r="D182" s="26" t="str">
        <f>_xlfn.IFNA(VLOOKUP(E182,Master_Section!$H:$I,2,FALSE),"")</f>
        <v/>
      </c>
      <c r="F182" s="81" t="str">
        <f>_xlfn.IFNA(VLOOKUP(G182,Master!AE:AF,2,FALSE),"")</f>
        <v/>
      </c>
      <c r="I182" s="42" t="str">
        <f>_xlfn.IFNA(VLOOKUP(D182,Master_Section!$I:$K,2,FALSE),"")</f>
        <v/>
      </c>
      <c r="J182" s="42" t="str">
        <f>_xlfn.IFNA(VLOOKUP(D182,Master_Section!$I:$K,3,FALSE),"")</f>
        <v/>
      </c>
      <c r="P182" s="80" t="str">
        <f t="shared" si="6"/>
        <v/>
      </c>
      <c r="Q182" s="43">
        <f t="shared" si="7"/>
        <v>0</v>
      </c>
    </row>
    <row r="183" spans="2:17" ht="15" customHeight="1">
      <c r="B183" s="26" t="str">
        <f>_xlfn.IFNA(VLOOKUP(C183,Master_Section!$H:$I,2,FALSE),"")</f>
        <v/>
      </c>
      <c r="D183" s="26" t="str">
        <f>_xlfn.IFNA(VLOOKUP(E183,Master_Section!$H:$I,2,FALSE),"")</f>
        <v/>
      </c>
      <c r="F183" s="81" t="str">
        <f>_xlfn.IFNA(VLOOKUP(G183,Master!AE:AF,2,FALSE),"")</f>
        <v/>
      </c>
      <c r="I183" s="42" t="str">
        <f>_xlfn.IFNA(VLOOKUP(D183,Master_Section!$I:$K,2,FALSE),"")</f>
        <v/>
      </c>
      <c r="J183" s="42" t="str">
        <f>_xlfn.IFNA(VLOOKUP(D183,Master_Section!$I:$K,3,FALSE),"")</f>
        <v/>
      </c>
      <c r="P183" s="80" t="str">
        <f t="shared" ref="P183:P246" si="8">IF(N183&lt;&gt;"",IF(MONTH(N183)&gt;=4,"FY1"&amp;RIGHT(YEAR(N183)+1,2),"FY1"&amp;RIGHT(YEAR(N183),2)),"")</f>
        <v/>
      </c>
      <c r="Q183" s="43">
        <f t="shared" ref="Q183:Q246" si="9">IF(K183&gt;0&amp;M183&gt;0,K183*M183,"")</f>
        <v>0</v>
      </c>
    </row>
    <row r="184" spans="2:17" ht="15" customHeight="1">
      <c r="B184" s="26" t="str">
        <f>_xlfn.IFNA(VLOOKUP(C184,Master_Section!$H:$I,2,FALSE),"")</f>
        <v/>
      </c>
      <c r="D184" s="26" t="str">
        <f>_xlfn.IFNA(VLOOKUP(E184,Master_Section!$H:$I,2,FALSE),"")</f>
        <v/>
      </c>
      <c r="F184" s="81" t="str">
        <f>_xlfn.IFNA(VLOOKUP(G184,Master!AE:AF,2,FALSE),"")</f>
        <v/>
      </c>
      <c r="I184" s="42" t="str">
        <f>_xlfn.IFNA(VLOOKUP(D184,Master_Section!$I:$K,2,FALSE),"")</f>
        <v/>
      </c>
      <c r="J184" s="42" t="str">
        <f>_xlfn.IFNA(VLOOKUP(D184,Master_Section!$I:$K,3,FALSE),"")</f>
        <v/>
      </c>
      <c r="P184" s="80" t="str">
        <f t="shared" si="8"/>
        <v/>
      </c>
      <c r="Q184" s="43">
        <f t="shared" si="9"/>
        <v>0</v>
      </c>
    </row>
    <row r="185" spans="2:17" ht="15" customHeight="1">
      <c r="B185" s="26" t="str">
        <f>_xlfn.IFNA(VLOOKUP(C185,Master_Section!$H:$I,2,FALSE),"")</f>
        <v/>
      </c>
      <c r="D185" s="26" t="str">
        <f>_xlfn.IFNA(VLOOKUP(E185,Master_Section!$H:$I,2,FALSE),"")</f>
        <v/>
      </c>
      <c r="F185" s="81" t="str">
        <f>_xlfn.IFNA(VLOOKUP(G185,Master!AE:AF,2,FALSE),"")</f>
        <v/>
      </c>
      <c r="I185" s="42" t="str">
        <f>_xlfn.IFNA(VLOOKUP(D185,Master_Section!$I:$K,2,FALSE),"")</f>
        <v/>
      </c>
      <c r="J185" s="42" t="str">
        <f>_xlfn.IFNA(VLOOKUP(D185,Master_Section!$I:$K,3,FALSE),"")</f>
        <v/>
      </c>
      <c r="P185" s="80" t="str">
        <f t="shared" si="8"/>
        <v/>
      </c>
      <c r="Q185" s="43">
        <f t="shared" si="9"/>
        <v>0</v>
      </c>
    </row>
    <row r="186" spans="2:17" ht="15" customHeight="1">
      <c r="B186" s="26" t="str">
        <f>_xlfn.IFNA(VLOOKUP(C186,Master_Section!$H:$I,2,FALSE),"")</f>
        <v/>
      </c>
      <c r="D186" s="26" t="str">
        <f>_xlfn.IFNA(VLOOKUP(E186,Master_Section!$H:$I,2,FALSE),"")</f>
        <v/>
      </c>
      <c r="F186" s="81" t="str">
        <f>_xlfn.IFNA(VLOOKUP(G186,Master!AE:AF,2,FALSE),"")</f>
        <v/>
      </c>
      <c r="I186" s="42" t="str">
        <f>_xlfn.IFNA(VLOOKUP(D186,Master_Section!$I:$K,2,FALSE),"")</f>
        <v/>
      </c>
      <c r="J186" s="42" t="str">
        <f>_xlfn.IFNA(VLOOKUP(D186,Master_Section!$I:$K,3,FALSE),"")</f>
        <v/>
      </c>
      <c r="P186" s="80" t="str">
        <f t="shared" si="8"/>
        <v/>
      </c>
      <c r="Q186" s="43">
        <f t="shared" si="9"/>
        <v>0</v>
      </c>
    </row>
    <row r="187" spans="2:17" ht="15" customHeight="1">
      <c r="B187" s="26" t="str">
        <f>_xlfn.IFNA(VLOOKUP(C187,Master_Section!$H:$I,2,FALSE),"")</f>
        <v/>
      </c>
      <c r="D187" s="26" t="str">
        <f>_xlfn.IFNA(VLOOKUP(E187,Master_Section!$H:$I,2,FALSE),"")</f>
        <v/>
      </c>
      <c r="F187" s="81" t="str">
        <f>_xlfn.IFNA(VLOOKUP(G187,Master!AE:AF,2,FALSE),"")</f>
        <v/>
      </c>
      <c r="I187" s="42" t="str">
        <f>_xlfn.IFNA(VLOOKUP(D187,Master_Section!$I:$K,2,FALSE),"")</f>
        <v/>
      </c>
      <c r="J187" s="42" t="str">
        <f>_xlfn.IFNA(VLOOKUP(D187,Master_Section!$I:$K,3,FALSE),"")</f>
        <v/>
      </c>
      <c r="P187" s="80" t="str">
        <f t="shared" si="8"/>
        <v/>
      </c>
      <c r="Q187" s="43">
        <f t="shared" si="9"/>
        <v>0</v>
      </c>
    </row>
    <row r="188" spans="2:17" ht="15" customHeight="1">
      <c r="B188" s="26" t="str">
        <f>_xlfn.IFNA(VLOOKUP(C188,Master_Section!$H:$I,2,FALSE),"")</f>
        <v/>
      </c>
      <c r="D188" s="26" t="str">
        <f>_xlfn.IFNA(VLOOKUP(E188,Master_Section!$H:$I,2,FALSE),"")</f>
        <v/>
      </c>
      <c r="F188" s="81" t="str">
        <f>_xlfn.IFNA(VLOOKUP(G188,Master!AE:AF,2,FALSE),"")</f>
        <v/>
      </c>
      <c r="I188" s="42" t="str">
        <f>_xlfn.IFNA(VLOOKUP(D188,Master_Section!$I:$K,2,FALSE),"")</f>
        <v/>
      </c>
      <c r="J188" s="42" t="str">
        <f>_xlfn.IFNA(VLOOKUP(D188,Master_Section!$I:$K,3,FALSE),"")</f>
        <v/>
      </c>
      <c r="P188" s="80" t="str">
        <f t="shared" si="8"/>
        <v/>
      </c>
      <c r="Q188" s="43">
        <f t="shared" si="9"/>
        <v>0</v>
      </c>
    </row>
    <row r="189" spans="2:17" ht="15" customHeight="1">
      <c r="B189" s="26" t="str">
        <f>_xlfn.IFNA(VLOOKUP(C189,Master_Section!$H:$I,2,FALSE),"")</f>
        <v/>
      </c>
      <c r="D189" s="26" t="str">
        <f>_xlfn.IFNA(VLOOKUP(E189,Master_Section!$H:$I,2,FALSE),"")</f>
        <v/>
      </c>
      <c r="F189" s="81" t="str">
        <f>_xlfn.IFNA(VLOOKUP(G189,Master!AE:AF,2,FALSE),"")</f>
        <v/>
      </c>
      <c r="I189" s="42" t="str">
        <f>_xlfn.IFNA(VLOOKUP(D189,Master_Section!$I:$K,2,FALSE),"")</f>
        <v/>
      </c>
      <c r="J189" s="42" t="str">
        <f>_xlfn.IFNA(VLOOKUP(D189,Master_Section!$I:$K,3,FALSE),"")</f>
        <v/>
      </c>
      <c r="P189" s="80" t="str">
        <f t="shared" si="8"/>
        <v/>
      </c>
      <c r="Q189" s="43">
        <f t="shared" si="9"/>
        <v>0</v>
      </c>
    </row>
    <row r="190" spans="2:17" ht="15" customHeight="1">
      <c r="B190" s="26" t="str">
        <f>_xlfn.IFNA(VLOOKUP(C190,Master_Section!$H:$I,2,FALSE),"")</f>
        <v/>
      </c>
      <c r="D190" s="26" t="str">
        <f>_xlfn.IFNA(VLOOKUP(E190,Master_Section!$H:$I,2,FALSE),"")</f>
        <v/>
      </c>
      <c r="F190" s="81" t="str">
        <f>_xlfn.IFNA(VLOOKUP(G190,Master!AE:AF,2,FALSE),"")</f>
        <v/>
      </c>
      <c r="I190" s="42" t="str">
        <f>_xlfn.IFNA(VLOOKUP(D190,Master_Section!$I:$K,2,FALSE),"")</f>
        <v/>
      </c>
      <c r="J190" s="42" t="str">
        <f>_xlfn.IFNA(VLOOKUP(D190,Master_Section!$I:$K,3,FALSE),"")</f>
        <v/>
      </c>
      <c r="P190" s="80" t="str">
        <f t="shared" si="8"/>
        <v/>
      </c>
      <c r="Q190" s="43">
        <f t="shared" si="9"/>
        <v>0</v>
      </c>
    </row>
    <row r="191" spans="2:17" ht="15" customHeight="1">
      <c r="B191" s="26" t="str">
        <f>_xlfn.IFNA(VLOOKUP(C191,Master_Section!$H:$I,2,FALSE),"")</f>
        <v/>
      </c>
      <c r="D191" s="26" t="str">
        <f>_xlfn.IFNA(VLOOKUP(E191,Master_Section!$H:$I,2,FALSE),"")</f>
        <v/>
      </c>
      <c r="F191" s="81" t="str">
        <f>_xlfn.IFNA(VLOOKUP(G191,Master!AE:AF,2,FALSE),"")</f>
        <v/>
      </c>
      <c r="I191" s="42" t="str">
        <f>_xlfn.IFNA(VLOOKUP(D191,Master_Section!$I:$K,2,FALSE),"")</f>
        <v/>
      </c>
      <c r="J191" s="42" t="str">
        <f>_xlfn.IFNA(VLOOKUP(D191,Master_Section!$I:$K,3,FALSE),"")</f>
        <v/>
      </c>
      <c r="P191" s="80" t="str">
        <f t="shared" si="8"/>
        <v/>
      </c>
      <c r="Q191" s="43">
        <f t="shared" si="9"/>
        <v>0</v>
      </c>
    </row>
    <row r="192" spans="2:17" ht="15" customHeight="1">
      <c r="B192" s="26" t="str">
        <f>_xlfn.IFNA(VLOOKUP(C192,Master_Section!$H:$I,2,FALSE),"")</f>
        <v/>
      </c>
      <c r="D192" s="26" t="str">
        <f>_xlfn.IFNA(VLOOKUP(E192,Master_Section!$H:$I,2,FALSE),"")</f>
        <v/>
      </c>
      <c r="F192" s="81" t="str">
        <f>_xlfn.IFNA(VLOOKUP(G192,Master!AE:AF,2,FALSE),"")</f>
        <v/>
      </c>
      <c r="I192" s="42" t="str">
        <f>_xlfn.IFNA(VLOOKUP(D192,Master_Section!$I:$K,2,FALSE),"")</f>
        <v/>
      </c>
      <c r="J192" s="42" t="str">
        <f>_xlfn.IFNA(VLOOKUP(D192,Master_Section!$I:$K,3,FALSE),"")</f>
        <v/>
      </c>
      <c r="P192" s="80" t="str">
        <f t="shared" si="8"/>
        <v/>
      </c>
      <c r="Q192" s="43">
        <f t="shared" si="9"/>
        <v>0</v>
      </c>
    </row>
    <row r="193" spans="2:17" ht="15" customHeight="1">
      <c r="B193" s="26" t="str">
        <f>_xlfn.IFNA(VLOOKUP(C193,Master_Section!$H:$I,2,FALSE),"")</f>
        <v/>
      </c>
      <c r="D193" s="26" t="str">
        <f>_xlfn.IFNA(VLOOKUP(E193,Master_Section!$H:$I,2,FALSE),"")</f>
        <v/>
      </c>
      <c r="F193" s="81" t="str">
        <f>_xlfn.IFNA(VLOOKUP(G193,Master!AE:AF,2,FALSE),"")</f>
        <v/>
      </c>
      <c r="I193" s="42" t="str">
        <f>_xlfn.IFNA(VLOOKUP(D193,Master_Section!$I:$K,2,FALSE),"")</f>
        <v/>
      </c>
      <c r="J193" s="42" t="str">
        <f>_xlfn.IFNA(VLOOKUP(D193,Master_Section!$I:$K,3,FALSE),"")</f>
        <v/>
      </c>
      <c r="P193" s="80" t="str">
        <f t="shared" si="8"/>
        <v/>
      </c>
      <c r="Q193" s="43">
        <f t="shared" si="9"/>
        <v>0</v>
      </c>
    </row>
    <row r="194" spans="2:17" ht="15" customHeight="1">
      <c r="B194" s="26" t="str">
        <f>_xlfn.IFNA(VLOOKUP(C194,Master_Section!$H:$I,2,FALSE),"")</f>
        <v/>
      </c>
      <c r="D194" s="26" t="str">
        <f>_xlfn.IFNA(VLOOKUP(E194,Master_Section!$H:$I,2,FALSE),"")</f>
        <v/>
      </c>
      <c r="F194" s="81" t="str">
        <f>_xlfn.IFNA(VLOOKUP(G194,Master!AE:AF,2,FALSE),"")</f>
        <v/>
      </c>
      <c r="I194" s="42" t="str">
        <f>_xlfn.IFNA(VLOOKUP(D194,Master_Section!$I:$K,2,FALSE),"")</f>
        <v/>
      </c>
      <c r="J194" s="42" t="str">
        <f>_xlfn.IFNA(VLOOKUP(D194,Master_Section!$I:$K,3,FALSE),"")</f>
        <v/>
      </c>
      <c r="P194" s="80" t="str">
        <f t="shared" si="8"/>
        <v/>
      </c>
      <c r="Q194" s="43">
        <f t="shared" si="9"/>
        <v>0</v>
      </c>
    </row>
    <row r="195" spans="2:17" ht="15" customHeight="1">
      <c r="B195" s="26" t="str">
        <f>_xlfn.IFNA(VLOOKUP(C195,Master_Section!$H:$I,2,FALSE),"")</f>
        <v/>
      </c>
      <c r="D195" s="26" t="str">
        <f>_xlfn.IFNA(VLOOKUP(E195,Master_Section!$H:$I,2,FALSE),"")</f>
        <v/>
      </c>
      <c r="F195" s="81" t="str">
        <f>_xlfn.IFNA(VLOOKUP(G195,Master!AE:AF,2,FALSE),"")</f>
        <v/>
      </c>
      <c r="I195" s="42" t="str">
        <f>_xlfn.IFNA(VLOOKUP(D195,Master_Section!$I:$K,2,FALSE),"")</f>
        <v/>
      </c>
      <c r="J195" s="42" t="str">
        <f>_xlfn.IFNA(VLOOKUP(D195,Master_Section!$I:$K,3,FALSE),"")</f>
        <v/>
      </c>
      <c r="P195" s="80" t="str">
        <f t="shared" si="8"/>
        <v/>
      </c>
      <c r="Q195" s="43">
        <f t="shared" si="9"/>
        <v>0</v>
      </c>
    </row>
    <row r="196" spans="2:17" ht="15" customHeight="1">
      <c r="B196" s="26" t="str">
        <f>_xlfn.IFNA(VLOOKUP(C196,Master_Section!$H:$I,2,FALSE),"")</f>
        <v/>
      </c>
      <c r="D196" s="26" t="str">
        <f>_xlfn.IFNA(VLOOKUP(E196,Master_Section!$H:$I,2,FALSE),"")</f>
        <v/>
      </c>
      <c r="F196" s="81" t="str">
        <f>_xlfn.IFNA(VLOOKUP(G196,Master!AE:AF,2,FALSE),"")</f>
        <v/>
      </c>
      <c r="I196" s="42" t="str">
        <f>_xlfn.IFNA(VLOOKUP(D196,Master_Section!$I:$K,2,FALSE),"")</f>
        <v/>
      </c>
      <c r="J196" s="42" t="str">
        <f>_xlfn.IFNA(VLOOKUP(D196,Master_Section!$I:$K,3,FALSE),"")</f>
        <v/>
      </c>
      <c r="P196" s="80" t="str">
        <f t="shared" si="8"/>
        <v/>
      </c>
      <c r="Q196" s="43">
        <f t="shared" si="9"/>
        <v>0</v>
      </c>
    </row>
    <row r="197" spans="2:17" ht="15" customHeight="1">
      <c r="B197" s="26" t="str">
        <f>_xlfn.IFNA(VLOOKUP(C197,Master_Section!$H:$I,2,FALSE),"")</f>
        <v/>
      </c>
      <c r="D197" s="26" t="str">
        <f>_xlfn.IFNA(VLOOKUP(E197,Master_Section!$H:$I,2,FALSE),"")</f>
        <v/>
      </c>
      <c r="F197" s="81" t="str">
        <f>_xlfn.IFNA(VLOOKUP(G197,Master!AE:AF,2,FALSE),"")</f>
        <v/>
      </c>
      <c r="I197" s="42" t="str">
        <f>_xlfn.IFNA(VLOOKUP(D197,Master_Section!$I:$K,2,FALSE),"")</f>
        <v/>
      </c>
      <c r="J197" s="42" t="str">
        <f>_xlfn.IFNA(VLOOKUP(D197,Master_Section!$I:$K,3,FALSE),"")</f>
        <v/>
      </c>
      <c r="P197" s="80" t="str">
        <f t="shared" si="8"/>
        <v/>
      </c>
      <c r="Q197" s="43">
        <f t="shared" si="9"/>
        <v>0</v>
      </c>
    </row>
    <row r="198" spans="2:17" ht="15" customHeight="1">
      <c r="B198" s="26" t="str">
        <f>_xlfn.IFNA(VLOOKUP(C198,Master_Section!$H:$I,2,FALSE),"")</f>
        <v/>
      </c>
      <c r="D198" s="26" t="str">
        <f>_xlfn.IFNA(VLOOKUP(E198,Master_Section!$H:$I,2,FALSE),"")</f>
        <v/>
      </c>
      <c r="F198" s="81" t="str">
        <f>_xlfn.IFNA(VLOOKUP(G198,Master!AE:AF,2,FALSE),"")</f>
        <v/>
      </c>
      <c r="I198" s="42" t="str">
        <f>_xlfn.IFNA(VLOOKUP(D198,Master_Section!$I:$K,2,FALSE),"")</f>
        <v/>
      </c>
      <c r="J198" s="42" t="str">
        <f>_xlfn.IFNA(VLOOKUP(D198,Master_Section!$I:$K,3,FALSE),"")</f>
        <v/>
      </c>
      <c r="P198" s="80" t="str">
        <f t="shared" si="8"/>
        <v/>
      </c>
      <c r="Q198" s="43">
        <f t="shared" si="9"/>
        <v>0</v>
      </c>
    </row>
    <row r="199" spans="2:17" ht="15" customHeight="1">
      <c r="B199" s="26" t="str">
        <f>_xlfn.IFNA(VLOOKUP(C199,Master_Section!$H:$I,2,FALSE),"")</f>
        <v/>
      </c>
      <c r="D199" s="26" t="str">
        <f>_xlfn.IFNA(VLOOKUP(E199,Master_Section!$H:$I,2,FALSE),"")</f>
        <v/>
      </c>
      <c r="F199" s="81" t="str">
        <f>_xlfn.IFNA(VLOOKUP(G199,Master!AE:AF,2,FALSE),"")</f>
        <v/>
      </c>
      <c r="I199" s="42" t="str">
        <f>_xlfn.IFNA(VLOOKUP(D199,Master_Section!$I:$K,2,FALSE),"")</f>
        <v/>
      </c>
      <c r="J199" s="42" t="str">
        <f>_xlfn.IFNA(VLOOKUP(D199,Master_Section!$I:$K,3,FALSE),"")</f>
        <v/>
      </c>
      <c r="P199" s="80" t="str">
        <f t="shared" si="8"/>
        <v/>
      </c>
      <c r="Q199" s="43">
        <f t="shared" si="9"/>
        <v>0</v>
      </c>
    </row>
    <row r="200" spans="2:17" ht="15" customHeight="1">
      <c r="B200" s="26" t="str">
        <f>_xlfn.IFNA(VLOOKUP(C200,Master_Section!$H:$I,2,FALSE),"")</f>
        <v/>
      </c>
      <c r="D200" s="26" t="str">
        <f>_xlfn.IFNA(VLOOKUP(E200,Master_Section!$H:$I,2,FALSE),"")</f>
        <v/>
      </c>
      <c r="F200" s="81" t="str">
        <f>_xlfn.IFNA(VLOOKUP(G200,Master!AE:AF,2,FALSE),"")</f>
        <v/>
      </c>
      <c r="I200" s="42" t="str">
        <f>_xlfn.IFNA(VLOOKUP(D200,Master_Section!$I:$K,2,FALSE),"")</f>
        <v/>
      </c>
      <c r="J200" s="42" t="str">
        <f>_xlfn.IFNA(VLOOKUP(D200,Master_Section!$I:$K,3,FALSE),"")</f>
        <v/>
      </c>
      <c r="P200" s="80" t="str">
        <f t="shared" si="8"/>
        <v/>
      </c>
      <c r="Q200" s="43">
        <f t="shared" si="9"/>
        <v>0</v>
      </c>
    </row>
    <row r="201" spans="2:17" ht="15" customHeight="1">
      <c r="B201" s="26" t="str">
        <f>_xlfn.IFNA(VLOOKUP(C201,Master_Section!$H:$I,2,FALSE),"")</f>
        <v/>
      </c>
      <c r="D201" s="26" t="str">
        <f>_xlfn.IFNA(VLOOKUP(E201,Master_Section!$H:$I,2,FALSE),"")</f>
        <v/>
      </c>
      <c r="F201" s="81" t="str">
        <f>_xlfn.IFNA(VLOOKUP(G201,Master!AE:AF,2,FALSE),"")</f>
        <v/>
      </c>
      <c r="I201" s="42" t="str">
        <f>_xlfn.IFNA(VLOOKUP(D201,Master_Section!$I:$K,2,FALSE),"")</f>
        <v/>
      </c>
      <c r="J201" s="42" t="str">
        <f>_xlfn.IFNA(VLOOKUP(D201,Master_Section!$I:$K,3,FALSE),"")</f>
        <v/>
      </c>
      <c r="P201" s="80" t="str">
        <f t="shared" si="8"/>
        <v/>
      </c>
      <c r="Q201" s="43">
        <f t="shared" si="9"/>
        <v>0</v>
      </c>
    </row>
    <row r="202" spans="2:17" ht="15" customHeight="1">
      <c r="B202" s="26" t="str">
        <f>_xlfn.IFNA(VLOOKUP(C202,Master_Section!$H:$I,2,FALSE),"")</f>
        <v/>
      </c>
      <c r="D202" s="26" t="str">
        <f>_xlfn.IFNA(VLOOKUP(E202,Master_Section!$H:$I,2,FALSE),"")</f>
        <v/>
      </c>
      <c r="F202" s="81" t="str">
        <f>_xlfn.IFNA(VLOOKUP(G202,Master!AE:AF,2,FALSE),"")</f>
        <v/>
      </c>
      <c r="I202" s="42" t="str">
        <f>_xlfn.IFNA(VLOOKUP(D202,Master_Section!$I:$K,2,FALSE),"")</f>
        <v/>
      </c>
      <c r="J202" s="42" t="str">
        <f>_xlfn.IFNA(VLOOKUP(D202,Master_Section!$I:$K,3,FALSE),"")</f>
        <v/>
      </c>
      <c r="P202" s="80" t="str">
        <f t="shared" si="8"/>
        <v/>
      </c>
      <c r="Q202" s="43">
        <f t="shared" si="9"/>
        <v>0</v>
      </c>
    </row>
    <row r="203" spans="2:17" ht="15" customHeight="1">
      <c r="B203" s="26" t="str">
        <f>_xlfn.IFNA(VLOOKUP(C203,Master_Section!$H:$I,2,FALSE),"")</f>
        <v/>
      </c>
      <c r="D203" s="26" t="str">
        <f>_xlfn.IFNA(VLOOKUP(E203,Master_Section!$H:$I,2,FALSE),"")</f>
        <v/>
      </c>
      <c r="F203" s="81" t="str">
        <f>_xlfn.IFNA(VLOOKUP(G203,Master!AE:AF,2,FALSE),"")</f>
        <v/>
      </c>
      <c r="I203" s="42" t="str">
        <f>_xlfn.IFNA(VLOOKUP(D203,Master_Section!$I:$K,2,FALSE),"")</f>
        <v/>
      </c>
      <c r="J203" s="42" t="str">
        <f>_xlfn.IFNA(VLOOKUP(D203,Master_Section!$I:$K,3,FALSE),"")</f>
        <v/>
      </c>
      <c r="P203" s="80" t="str">
        <f t="shared" si="8"/>
        <v/>
      </c>
      <c r="Q203" s="43">
        <f t="shared" si="9"/>
        <v>0</v>
      </c>
    </row>
    <row r="204" spans="2:17" ht="15" customHeight="1">
      <c r="B204" s="26" t="str">
        <f>_xlfn.IFNA(VLOOKUP(C204,Master_Section!$H:$I,2,FALSE),"")</f>
        <v/>
      </c>
      <c r="D204" s="26" t="str">
        <f>_xlfn.IFNA(VLOOKUP(E204,Master_Section!$H:$I,2,FALSE),"")</f>
        <v/>
      </c>
      <c r="F204" s="81" t="str">
        <f>_xlfn.IFNA(VLOOKUP(G204,Master!AE:AF,2,FALSE),"")</f>
        <v/>
      </c>
      <c r="I204" s="42" t="str">
        <f>_xlfn.IFNA(VLOOKUP(D204,Master_Section!$I:$K,2,FALSE),"")</f>
        <v/>
      </c>
      <c r="J204" s="42" t="str">
        <f>_xlfn.IFNA(VLOOKUP(D204,Master_Section!$I:$K,3,FALSE),"")</f>
        <v/>
      </c>
      <c r="P204" s="80" t="str">
        <f t="shared" si="8"/>
        <v/>
      </c>
      <c r="Q204" s="43">
        <f t="shared" si="9"/>
        <v>0</v>
      </c>
    </row>
    <row r="205" spans="2:17" ht="15" customHeight="1">
      <c r="B205" s="26" t="str">
        <f>_xlfn.IFNA(VLOOKUP(C205,Master_Section!$H:$I,2,FALSE),"")</f>
        <v/>
      </c>
      <c r="D205" s="26" t="str">
        <f>_xlfn.IFNA(VLOOKUP(E205,Master_Section!$H:$I,2,FALSE),"")</f>
        <v/>
      </c>
      <c r="F205" s="81" t="str">
        <f>_xlfn.IFNA(VLOOKUP(G205,Master!AE:AF,2,FALSE),"")</f>
        <v/>
      </c>
      <c r="I205" s="42" t="str">
        <f>_xlfn.IFNA(VLOOKUP(D205,Master_Section!$I:$K,2,FALSE),"")</f>
        <v/>
      </c>
      <c r="J205" s="42" t="str">
        <f>_xlfn.IFNA(VLOOKUP(D205,Master_Section!$I:$K,3,FALSE),"")</f>
        <v/>
      </c>
      <c r="P205" s="80" t="str">
        <f t="shared" si="8"/>
        <v/>
      </c>
      <c r="Q205" s="43">
        <f t="shared" si="9"/>
        <v>0</v>
      </c>
    </row>
    <row r="206" spans="2:17" ht="15" customHeight="1">
      <c r="B206" s="26" t="str">
        <f>_xlfn.IFNA(VLOOKUP(C206,Master_Section!$H:$I,2,FALSE),"")</f>
        <v/>
      </c>
      <c r="D206" s="26" t="str">
        <f>_xlfn.IFNA(VLOOKUP(E206,Master_Section!$H:$I,2,FALSE),"")</f>
        <v/>
      </c>
      <c r="F206" s="81" t="str">
        <f>_xlfn.IFNA(VLOOKUP(G206,Master!AE:AF,2,FALSE),"")</f>
        <v/>
      </c>
      <c r="I206" s="42" t="str">
        <f>_xlfn.IFNA(VLOOKUP(D206,Master_Section!$I:$K,2,FALSE),"")</f>
        <v/>
      </c>
      <c r="J206" s="42" t="str">
        <f>_xlfn.IFNA(VLOOKUP(D206,Master_Section!$I:$K,3,FALSE),"")</f>
        <v/>
      </c>
      <c r="P206" s="80" t="str">
        <f t="shared" si="8"/>
        <v/>
      </c>
      <c r="Q206" s="43">
        <f t="shared" si="9"/>
        <v>0</v>
      </c>
    </row>
    <row r="207" spans="2:17" ht="15" customHeight="1">
      <c r="B207" s="26" t="str">
        <f>_xlfn.IFNA(VLOOKUP(C207,Master_Section!$H:$I,2,FALSE),"")</f>
        <v/>
      </c>
      <c r="D207" s="26" t="str">
        <f>_xlfn.IFNA(VLOOKUP(E207,Master_Section!$H:$I,2,FALSE),"")</f>
        <v/>
      </c>
      <c r="F207" s="81" t="str">
        <f>_xlfn.IFNA(VLOOKUP(G207,Master!AE:AF,2,FALSE),"")</f>
        <v/>
      </c>
      <c r="I207" s="42" t="str">
        <f>_xlfn.IFNA(VLOOKUP(D207,Master_Section!$I:$K,2,FALSE),"")</f>
        <v/>
      </c>
      <c r="J207" s="42" t="str">
        <f>_xlfn.IFNA(VLOOKUP(D207,Master_Section!$I:$K,3,FALSE),"")</f>
        <v/>
      </c>
      <c r="P207" s="80" t="str">
        <f t="shared" si="8"/>
        <v/>
      </c>
      <c r="Q207" s="43">
        <f t="shared" si="9"/>
        <v>0</v>
      </c>
    </row>
    <row r="208" spans="2:17" ht="15" customHeight="1">
      <c r="B208" s="26" t="str">
        <f>_xlfn.IFNA(VLOOKUP(C208,Master_Section!$H:$I,2,FALSE),"")</f>
        <v/>
      </c>
      <c r="D208" s="26" t="str">
        <f>_xlfn.IFNA(VLOOKUP(E208,Master_Section!$H:$I,2,FALSE),"")</f>
        <v/>
      </c>
      <c r="F208" s="81" t="str">
        <f>_xlfn.IFNA(VLOOKUP(G208,Master!AE:AF,2,FALSE),"")</f>
        <v/>
      </c>
      <c r="I208" s="42" t="str">
        <f>_xlfn.IFNA(VLOOKUP(D208,Master_Section!$I:$K,2,FALSE),"")</f>
        <v/>
      </c>
      <c r="J208" s="42" t="str">
        <f>_xlfn.IFNA(VLOOKUP(D208,Master_Section!$I:$K,3,FALSE),"")</f>
        <v/>
      </c>
      <c r="P208" s="80" t="str">
        <f t="shared" si="8"/>
        <v/>
      </c>
      <c r="Q208" s="43">
        <f t="shared" si="9"/>
        <v>0</v>
      </c>
    </row>
    <row r="209" spans="2:17" ht="15" customHeight="1">
      <c r="B209" s="26" t="str">
        <f>_xlfn.IFNA(VLOOKUP(C209,Master_Section!$H:$I,2,FALSE),"")</f>
        <v/>
      </c>
      <c r="D209" s="26" t="str">
        <f>_xlfn.IFNA(VLOOKUP(E209,Master_Section!$H:$I,2,FALSE),"")</f>
        <v/>
      </c>
      <c r="F209" s="81" t="str">
        <f>_xlfn.IFNA(VLOOKUP(G209,Master!AE:AF,2,FALSE),"")</f>
        <v/>
      </c>
      <c r="I209" s="42" t="str">
        <f>_xlfn.IFNA(VLOOKUP(D209,Master_Section!$I:$K,2,FALSE),"")</f>
        <v/>
      </c>
      <c r="J209" s="42" t="str">
        <f>_xlfn.IFNA(VLOOKUP(D209,Master_Section!$I:$K,3,FALSE),"")</f>
        <v/>
      </c>
      <c r="P209" s="80" t="str">
        <f t="shared" si="8"/>
        <v/>
      </c>
      <c r="Q209" s="43">
        <f t="shared" si="9"/>
        <v>0</v>
      </c>
    </row>
    <row r="210" spans="2:17" ht="15" customHeight="1">
      <c r="B210" s="26" t="str">
        <f>_xlfn.IFNA(VLOOKUP(C210,Master_Section!$H:$I,2,FALSE),"")</f>
        <v/>
      </c>
      <c r="D210" s="26" t="str">
        <f>_xlfn.IFNA(VLOOKUP(E210,Master_Section!$H:$I,2,FALSE),"")</f>
        <v/>
      </c>
      <c r="F210" s="81" t="str">
        <f>_xlfn.IFNA(VLOOKUP(G210,Master!AE:AF,2,FALSE),"")</f>
        <v/>
      </c>
      <c r="I210" s="42" t="str">
        <f>_xlfn.IFNA(VLOOKUP(D210,Master_Section!$I:$K,2,FALSE),"")</f>
        <v/>
      </c>
      <c r="J210" s="42" t="str">
        <f>_xlfn.IFNA(VLOOKUP(D210,Master_Section!$I:$K,3,FALSE),"")</f>
        <v/>
      </c>
      <c r="P210" s="80" t="str">
        <f t="shared" si="8"/>
        <v/>
      </c>
      <c r="Q210" s="43">
        <f t="shared" si="9"/>
        <v>0</v>
      </c>
    </row>
    <row r="211" spans="2:17" ht="15" customHeight="1">
      <c r="B211" s="26" t="str">
        <f>_xlfn.IFNA(VLOOKUP(C211,Master_Section!$H:$I,2,FALSE),"")</f>
        <v/>
      </c>
      <c r="D211" s="26" t="str">
        <f>_xlfn.IFNA(VLOOKUP(E211,Master_Section!$H:$I,2,FALSE),"")</f>
        <v/>
      </c>
      <c r="F211" s="81" t="str">
        <f>_xlfn.IFNA(VLOOKUP(G211,Master!AE:AF,2,FALSE),"")</f>
        <v/>
      </c>
      <c r="I211" s="42" t="str">
        <f>_xlfn.IFNA(VLOOKUP(D211,Master_Section!$I:$K,2,FALSE),"")</f>
        <v/>
      </c>
      <c r="J211" s="42" t="str">
        <f>_xlfn.IFNA(VLOOKUP(D211,Master_Section!$I:$K,3,FALSE),"")</f>
        <v/>
      </c>
      <c r="P211" s="80" t="str">
        <f t="shared" si="8"/>
        <v/>
      </c>
      <c r="Q211" s="43">
        <f t="shared" si="9"/>
        <v>0</v>
      </c>
    </row>
    <row r="212" spans="2:17" ht="15" customHeight="1">
      <c r="B212" s="26" t="str">
        <f>_xlfn.IFNA(VLOOKUP(C212,Master_Section!$H:$I,2,FALSE),"")</f>
        <v/>
      </c>
      <c r="D212" s="26" t="str">
        <f>_xlfn.IFNA(VLOOKUP(E212,Master_Section!$H:$I,2,FALSE),"")</f>
        <v/>
      </c>
      <c r="F212" s="81" t="str">
        <f>_xlfn.IFNA(VLOOKUP(G212,Master!AE:AF,2,FALSE),"")</f>
        <v/>
      </c>
      <c r="I212" s="42" t="str">
        <f>_xlfn.IFNA(VLOOKUP(D212,Master_Section!$I:$K,2,FALSE),"")</f>
        <v/>
      </c>
      <c r="J212" s="42" t="str">
        <f>_xlfn.IFNA(VLOOKUP(D212,Master_Section!$I:$K,3,FALSE),"")</f>
        <v/>
      </c>
      <c r="P212" s="80" t="str">
        <f t="shared" si="8"/>
        <v/>
      </c>
      <c r="Q212" s="43">
        <f t="shared" si="9"/>
        <v>0</v>
      </c>
    </row>
    <row r="213" spans="2:17" ht="15" customHeight="1">
      <c r="B213" s="26" t="str">
        <f>_xlfn.IFNA(VLOOKUP(C213,Master_Section!$H:$I,2,FALSE),"")</f>
        <v/>
      </c>
      <c r="D213" s="26" t="str">
        <f>_xlfn.IFNA(VLOOKUP(E213,Master_Section!$H:$I,2,FALSE),"")</f>
        <v/>
      </c>
      <c r="F213" s="81" t="str">
        <f>_xlfn.IFNA(VLOOKUP(G213,Master!AE:AF,2,FALSE),"")</f>
        <v/>
      </c>
      <c r="I213" s="42" t="str">
        <f>_xlfn.IFNA(VLOOKUP(D213,Master_Section!$I:$K,2,FALSE),"")</f>
        <v/>
      </c>
      <c r="J213" s="42" t="str">
        <f>_xlfn.IFNA(VLOOKUP(D213,Master_Section!$I:$K,3,FALSE),"")</f>
        <v/>
      </c>
      <c r="P213" s="80" t="str">
        <f t="shared" si="8"/>
        <v/>
      </c>
      <c r="Q213" s="43">
        <f t="shared" si="9"/>
        <v>0</v>
      </c>
    </row>
    <row r="214" spans="2:17" ht="15" customHeight="1">
      <c r="B214" s="26" t="str">
        <f>_xlfn.IFNA(VLOOKUP(C214,Master_Section!$H:$I,2,FALSE),"")</f>
        <v/>
      </c>
      <c r="D214" s="26" t="str">
        <f>_xlfn.IFNA(VLOOKUP(E214,Master_Section!$H:$I,2,FALSE),"")</f>
        <v/>
      </c>
      <c r="F214" s="81" t="str">
        <f>_xlfn.IFNA(VLOOKUP(G214,Master!AE:AF,2,FALSE),"")</f>
        <v/>
      </c>
      <c r="I214" s="42" t="str">
        <f>_xlfn.IFNA(VLOOKUP(D214,Master_Section!$I:$K,2,FALSE),"")</f>
        <v/>
      </c>
      <c r="J214" s="42" t="str">
        <f>_xlfn.IFNA(VLOOKUP(D214,Master_Section!$I:$K,3,FALSE),"")</f>
        <v/>
      </c>
      <c r="P214" s="80" t="str">
        <f t="shared" si="8"/>
        <v/>
      </c>
      <c r="Q214" s="43">
        <f t="shared" si="9"/>
        <v>0</v>
      </c>
    </row>
    <row r="215" spans="2:17" ht="15" customHeight="1">
      <c r="B215" s="26" t="str">
        <f>_xlfn.IFNA(VLOOKUP(C215,Master_Section!$H:$I,2,FALSE),"")</f>
        <v/>
      </c>
      <c r="D215" s="26" t="str">
        <f>_xlfn.IFNA(VLOOKUP(E215,Master_Section!$H:$I,2,FALSE),"")</f>
        <v/>
      </c>
      <c r="F215" s="81" t="str">
        <f>_xlfn.IFNA(VLOOKUP(G215,Master!AE:AF,2,FALSE),"")</f>
        <v/>
      </c>
      <c r="I215" s="42" t="str">
        <f>_xlfn.IFNA(VLOOKUP(D215,Master_Section!$I:$K,2,FALSE),"")</f>
        <v/>
      </c>
      <c r="J215" s="42" t="str">
        <f>_xlfn.IFNA(VLOOKUP(D215,Master_Section!$I:$K,3,FALSE),"")</f>
        <v/>
      </c>
      <c r="P215" s="80" t="str">
        <f t="shared" si="8"/>
        <v/>
      </c>
      <c r="Q215" s="43">
        <f t="shared" si="9"/>
        <v>0</v>
      </c>
    </row>
    <row r="216" spans="2:17" ht="15" customHeight="1">
      <c r="B216" s="26" t="str">
        <f>_xlfn.IFNA(VLOOKUP(C216,Master_Section!$H:$I,2,FALSE),"")</f>
        <v/>
      </c>
      <c r="D216" s="26" t="str">
        <f>_xlfn.IFNA(VLOOKUP(E216,Master_Section!$H:$I,2,FALSE),"")</f>
        <v/>
      </c>
      <c r="F216" s="81" t="str">
        <f>_xlfn.IFNA(VLOOKUP(G216,Master!AE:AF,2,FALSE),"")</f>
        <v/>
      </c>
      <c r="I216" s="42" t="str">
        <f>_xlfn.IFNA(VLOOKUP(D216,Master_Section!$I:$K,2,FALSE),"")</f>
        <v/>
      </c>
      <c r="J216" s="42" t="str">
        <f>_xlfn.IFNA(VLOOKUP(D216,Master_Section!$I:$K,3,FALSE),"")</f>
        <v/>
      </c>
      <c r="P216" s="80" t="str">
        <f t="shared" si="8"/>
        <v/>
      </c>
      <c r="Q216" s="43">
        <f t="shared" si="9"/>
        <v>0</v>
      </c>
    </row>
    <row r="217" spans="2:17" ht="15" customHeight="1">
      <c r="B217" s="26" t="str">
        <f>_xlfn.IFNA(VLOOKUP(C217,Master_Section!$H:$I,2,FALSE),"")</f>
        <v/>
      </c>
      <c r="D217" s="26" t="str">
        <f>_xlfn.IFNA(VLOOKUP(E217,Master_Section!$H:$I,2,FALSE),"")</f>
        <v/>
      </c>
      <c r="F217" s="81" t="str">
        <f>_xlfn.IFNA(VLOOKUP(G217,Master!AE:AF,2,FALSE),"")</f>
        <v/>
      </c>
      <c r="I217" s="42" t="str">
        <f>_xlfn.IFNA(VLOOKUP(D217,Master_Section!$I:$K,2,FALSE),"")</f>
        <v/>
      </c>
      <c r="J217" s="42" t="str">
        <f>_xlfn.IFNA(VLOOKUP(D217,Master_Section!$I:$K,3,FALSE),"")</f>
        <v/>
      </c>
      <c r="P217" s="80" t="str">
        <f t="shared" si="8"/>
        <v/>
      </c>
      <c r="Q217" s="43">
        <f t="shared" si="9"/>
        <v>0</v>
      </c>
    </row>
    <row r="218" spans="2:17" ht="15" customHeight="1">
      <c r="B218" s="26" t="str">
        <f>_xlfn.IFNA(VLOOKUP(C218,Master_Section!$H:$I,2,FALSE),"")</f>
        <v/>
      </c>
      <c r="D218" s="26" t="str">
        <f>_xlfn.IFNA(VLOOKUP(E218,Master_Section!$H:$I,2,FALSE),"")</f>
        <v/>
      </c>
      <c r="F218" s="81" t="str">
        <f>_xlfn.IFNA(VLOOKUP(G218,Master!AE:AF,2,FALSE),"")</f>
        <v/>
      </c>
      <c r="I218" s="42" t="str">
        <f>_xlfn.IFNA(VLOOKUP(D218,Master_Section!$I:$K,2,FALSE),"")</f>
        <v/>
      </c>
      <c r="J218" s="42" t="str">
        <f>_xlfn.IFNA(VLOOKUP(D218,Master_Section!$I:$K,3,FALSE),"")</f>
        <v/>
      </c>
      <c r="P218" s="80" t="str">
        <f t="shared" si="8"/>
        <v/>
      </c>
      <c r="Q218" s="43">
        <f t="shared" si="9"/>
        <v>0</v>
      </c>
    </row>
    <row r="219" spans="2:17" ht="15" customHeight="1">
      <c r="B219" s="26" t="str">
        <f>_xlfn.IFNA(VLOOKUP(C219,Master_Section!$H:$I,2,FALSE),"")</f>
        <v/>
      </c>
      <c r="D219" s="26" t="str">
        <f>_xlfn.IFNA(VLOOKUP(E219,Master_Section!$H:$I,2,FALSE),"")</f>
        <v/>
      </c>
      <c r="F219" s="81" t="str">
        <f>_xlfn.IFNA(VLOOKUP(G219,Master!AE:AF,2,FALSE),"")</f>
        <v/>
      </c>
      <c r="I219" s="42" t="str">
        <f>_xlfn.IFNA(VLOOKUP(D219,Master_Section!$I:$K,2,FALSE),"")</f>
        <v/>
      </c>
      <c r="J219" s="42" t="str">
        <f>_xlfn.IFNA(VLOOKUP(D219,Master_Section!$I:$K,3,FALSE),"")</f>
        <v/>
      </c>
      <c r="P219" s="80" t="str">
        <f t="shared" si="8"/>
        <v/>
      </c>
      <c r="Q219" s="43">
        <f t="shared" si="9"/>
        <v>0</v>
      </c>
    </row>
    <row r="220" spans="2:17" ht="15" customHeight="1">
      <c r="B220" s="26" t="str">
        <f>_xlfn.IFNA(VLOOKUP(C220,Master_Section!$H:$I,2,FALSE),"")</f>
        <v/>
      </c>
      <c r="D220" s="26" t="str">
        <f>_xlfn.IFNA(VLOOKUP(E220,Master_Section!$H:$I,2,FALSE),"")</f>
        <v/>
      </c>
      <c r="F220" s="81" t="str">
        <f>_xlfn.IFNA(VLOOKUP(G220,Master!AE:AF,2,FALSE),"")</f>
        <v/>
      </c>
      <c r="I220" s="42" t="str">
        <f>_xlfn.IFNA(VLOOKUP(D220,Master_Section!$I:$K,2,FALSE),"")</f>
        <v/>
      </c>
      <c r="J220" s="42" t="str">
        <f>_xlfn.IFNA(VLOOKUP(D220,Master_Section!$I:$K,3,FALSE),"")</f>
        <v/>
      </c>
      <c r="P220" s="80" t="str">
        <f t="shared" si="8"/>
        <v/>
      </c>
      <c r="Q220" s="43">
        <f t="shared" si="9"/>
        <v>0</v>
      </c>
    </row>
    <row r="221" spans="2:17" ht="15" customHeight="1">
      <c r="B221" s="26" t="str">
        <f>_xlfn.IFNA(VLOOKUP(C221,Master_Section!$H:$I,2,FALSE),"")</f>
        <v/>
      </c>
      <c r="D221" s="26" t="str">
        <f>_xlfn.IFNA(VLOOKUP(E221,Master_Section!$H:$I,2,FALSE),"")</f>
        <v/>
      </c>
      <c r="F221" s="81" t="str">
        <f>_xlfn.IFNA(VLOOKUP(G221,Master!AE:AF,2,FALSE),"")</f>
        <v/>
      </c>
      <c r="I221" s="42" t="str">
        <f>_xlfn.IFNA(VLOOKUP(D221,Master_Section!$I:$K,2,FALSE),"")</f>
        <v/>
      </c>
      <c r="J221" s="42" t="str">
        <f>_xlfn.IFNA(VLOOKUP(D221,Master_Section!$I:$K,3,FALSE),"")</f>
        <v/>
      </c>
      <c r="P221" s="80" t="str">
        <f t="shared" si="8"/>
        <v/>
      </c>
      <c r="Q221" s="43">
        <f t="shared" si="9"/>
        <v>0</v>
      </c>
    </row>
    <row r="222" spans="2:17" ht="15" customHeight="1">
      <c r="B222" s="26" t="str">
        <f>_xlfn.IFNA(VLOOKUP(C222,Master_Section!$H:$I,2,FALSE),"")</f>
        <v/>
      </c>
      <c r="D222" s="26" t="str">
        <f>_xlfn.IFNA(VLOOKUP(E222,Master_Section!$H:$I,2,FALSE),"")</f>
        <v/>
      </c>
      <c r="F222" s="81" t="str">
        <f>_xlfn.IFNA(VLOOKUP(G222,Master!AE:AF,2,FALSE),"")</f>
        <v/>
      </c>
      <c r="I222" s="42" t="str">
        <f>_xlfn.IFNA(VLOOKUP(D222,Master_Section!$I:$K,2,FALSE),"")</f>
        <v/>
      </c>
      <c r="J222" s="42" t="str">
        <f>_xlfn.IFNA(VLOOKUP(D222,Master_Section!$I:$K,3,FALSE),"")</f>
        <v/>
      </c>
      <c r="P222" s="80" t="str">
        <f t="shared" si="8"/>
        <v/>
      </c>
      <c r="Q222" s="43">
        <f t="shared" si="9"/>
        <v>0</v>
      </c>
    </row>
    <row r="223" spans="2:17" ht="15" customHeight="1">
      <c r="B223" s="26" t="str">
        <f>_xlfn.IFNA(VLOOKUP(C223,Master_Section!$H:$I,2,FALSE),"")</f>
        <v/>
      </c>
      <c r="D223" s="26" t="str">
        <f>_xlfn.IFNA(VLOOKUP(E223,Master_Section!$H:$I,2,FALSE),"")</f>
        <v/>
      </c>
      <c r="F223" s="81" t="str">
        <f>_xlfn.IFNA(VLOOKUP(G223,Master!AE:AF,2,FALSE),"")</f>
        <v/>
      </c>
      <c r="I223" s="42" t="str">
        <f>_xlfn.IFNA(VLOOKUP(D223,Master_Section!$I:$K,2,FALSE),"")</f>
        <v/>
      </c>
      <c r="J223" s="42" t="str">
        <f>_xlfn.IFNA(VLOOKUP(D223,Master_Section!$I:$K,3,FALSE),"")</f>
        <v/>
      </c>
      <c r="P223" s="80" t="str">
        <f t="shared" si="8"/>
        <v/>
      </c>
      <c r="Q223" s="43">
        <f t="shared" si="9"/>
        <v>0</v>
      </c>
    </row>
    <row r="224" spans="2:17" ht="15" customHeight="1">
      <c r="B224" s="26" t="str">
        <f>_xlfn.IFNA(VLOOKUP(C224,Master_Section!$H:$I,2,FALSE),"")</f>
        <v/>
      </c>
      <c r="D224" s="26" t="str">
        <f>_xlfn.IFNA(VLOOKUP(E224,Master_Section!$H:$I,2,FALSE),"")</f>
        <v/>
      </c>
      <c r="F224" s="81" t="str">
        <f>_xlfn.IFNA(VLOOKUP(G224,Master!AE:AF,2,FALSE),"")</f>
        <v/>
      </c>
      <c r="I224" s="42" t="str">
        <f>_xlfn.IFNA(VLOOKUP(D224,Master_Section!$I:$K,2,FALSE),"")</f>
        <v/>
      </c>
      <c r="J224" s="42" t="str">
        <f>_xlfn.IFNA(VLOOKUP(D224,Master_Section!$I:$K,3,FALSE),"")</f>
        <v/>
      </c>
      <c r="P224" s="80" t="str">
        <f t="shared" si="8"/>
        <v/>
      </c>
      <c r="Q224" s="43">
        <f t="shared" si="9"/>
        <v>0</v>
      </c>
    </row>
    <row r="225" spans="2:17" ht="15" customHeight="1">
      <c r="B225" s="26" t="str">
        <f>_xlfn.IFNA(VLOOKUP(C225,Master_Section!$H:$I,2,FALSE),"")</f>
        <v/>
      </c>
      <c r="D225" s="26" t="str">
        <f>_xlfn.IFNA(VLOOKUP(E225,Master_Section!$H:$I,2,FALSE),"")</f>
        <v/>
      </c>
      <c r="F225" s="81" t="str">
        <f>_xlfn.IFNA(VLOOKUP(G225,Master!AE:AF,2,FALSE),"")</f>
        <v/>
      </c>
      <c r="I225" s="42" t="str">
        <f>_xlfn.IFNA(VLOOKUP(D225,Master_Section!$I:$K,2,FALSE),"")</f>
        <v/>
      </c>
      <c r="J225" s="42" t="str">
        <f>_xlfn.IFNA(VLOOKUP(D225,Master_Section!$I:$K,3,FALSE),"")</f>
        <v/>
      </c>
      <c r="P225" s="80" t="str">
        <f t="shared" si="8"/>
        <v/>
      </c>
      <c r="Q225" s="43">
        <f t="shared" si="9"/>
        <v>0</v>
      </c>
    </row>
    <row r="226" spans="2:17" ht="15" customHeight="1">
      <c r="B226" s="26" t="str">
        <f>_xlfn.IFNA(VLOOKUP(C226,Master_Section!$H:$I,2,FALSE),"")</f>
        <v/>
      </c>
      <c r="D226" s="26" t="str">
        <f>_xlfn.IFNA(VLOOKUP(E226,Master_Section!$H:$I,2,FALSE),"")</f>
        <v/>
      </c>
      <c r="F226" s="81" t="str">
        <f>_xlfn.IFNA(VLOOKUP(G226,Master!AE:AF,2,FALSE),"")</f>
        <v/>
      </c>
      <c r="I226" s="42" t="str">
        <f>_xlfn.IFNA(VLOOKUP(D226,Master_Section!$I:$K,2,FALSE),"")</f>
        <v/>
      </c>
      <c r="J226" s="42" t="str">
        <f>_xlfn.IFNA(VLOOKUP(D226,Master_Section!$I:$K,3,FALSE),"")</f>
        <v/>
      </c>
      <c r="P226" s="80" t="str">
        <f t="shared" si="8"/>
        <v/>
      </c>
      <c r="Q226" s="43">
        <f t="shared" si="9"/>
        <v>0</v>
      </c>
    </row>
    <row r="227" spans="2:17" ht="15" customHeight="1">
      <c r="B227" s="26" t="str">
        <f>_xlfn.IFNA(VLOOKUP(C227,Master_Section!$H:$I,2,FALSE),"")</f>
        <v/>
      </c>
      <c r="D227" s="26" t="str">
        <f>_xlfn.IFNA(VLOOKUP(E227,Master_Section!$H:$I,2,FALSE),"")</f>
        <v/>
      </c>
      <c r="F227" s="81" t="str">
        <f>_xlfn.IFNA(VLOOKUP(G227,Master!AE:AF,2,FALSE),"")</f>
        <v/>
      </c>
      <c r="I227" s="42" t="str">
        <f>_xlfn.IFNA(VLOOKUP(D227,Master_Section!$I:$K,2,FALSE),"")</f>
        <v/>
      </c>
      <c r="J227" s="42" t="str">
        <f>_xlfn.IFNA(VLOOKUP(D227,Master_Section!$I:$K,3,FALSE),"")</f>
        <v/>
      </c>
      <c r="P227" s="80" t="str">
        <f t="shared" si="8"/>
        <v/>
      </c>
      <c r="Q227" s="43">
        <f t="shared" si="9"/>
        <v>0</v>
      </c>
    </row>
    <row r="228" spans="2:17" ht="15" customHeight="1">
      <c r="B228" s="26" t="str">
        <f>_xlfn.IFNA(VLOOKUP(C228,Master_Section!$H:$I,2,FALSE),"")</f>
        <v/>
      </c>
      <c r="D228" s="26" t="str">
        <f>_xlfn.IFNA(VLOOKUP(E228,Master_Section!$H:$I,2,FALSE),"")</f>
        <v/>
      </c>
      <c r="F228" s="81" t="str">
        <f>_xlfn.IFNA(VLOOKUP(G228,Master!AE:AF,2,FALSE),"")</f>
        <v/>
      </c>
      <c r="I228" s="42" t="str">
        <f>_xlfn.IFNA(VLOOKUP(D228,Master_Section!$I:$K,2,FALSE),"")</f>
        <v/>
      </c>
      <c r="J228" s="42" t="str">
        <f>_xlfn.IFNA(VLOOKUP(D228,Master_Section!$I:$K,3,FALSE),"")</f>
        <v/>
      </c>
      <c r="P228" s="80" t="str">
        <f t="shared" si="8"/>
        <v/>
      </c>
      <c r="Q228" s="43">
        <f t="shared" si="9"/>
        <v>0</v>
      </c>
    </row>
    <row r="229" spans="2:17" ht="15" customHeight="1">
      <c r="B229" s="26" t="str">
        <f>_xlfn.IFNA(VLOOKUP(C229,Master_Section!$H:$I,2,FALSE),"")</f>
        <v/>
      </c>
      <c r="D229" s="26" t="str">
        <f>_xlfn.IFNA(VLOOKUP(E229,Master_Section!$H:$I,2,FALSE),"")</f>
        <v/>
      </c>
      <c r="F229" s="81" t="str">
        <f>_xlfn.IFNA(VLOOKUP(G229,Master!AE:AF,2,FALSE),"")</f>
        <v/>
      </c>
      <c r="I229" s="42" t="str">
        <f>_xlfn.IFNA(VLOOKUP(D229,Master_Section!$I:$K,2,FALSE),"")</f>
        <v/>
      </c>
      <c r="J229" s="42" t="str">
        <f>_xlfn.IFNA(VLOOKUP(D229,Master_Section!$I:$K,3,FALSE),"")</f>
        <v/>
      </c>
      <c r="P229" s="80" t="str">
        <f t="shared" si="8"/>
        <v/>
      </c>
      <c r="Q229" s="43">
        <f t="shared" si="9"/>
        <v>0</v>
      </c>
    </row>
    <row r="230" spans="2:17" ht="15" customHeight="1">
      <c r="B230" s="26" t="str">
        <f>_xlfn.IFNA(VLOOKUP(C230,Master_Section!$H:$I,2,FALSE),"")</f>
        <v/>
      </c>
      <c r="D230" s="26" t="str">
        <f>_xlfn.IFNA(VLOOKUP(E230,Master_Section!$H:$I,2,FALSE),"")</f>
        <v/>
      </c>
      <c r="F230" s="81" t="str">
        <f>_xlfn.IFNA(VLOOKUP(G230,Master!AE:AF,2,FALSE),"")</f>
        <v/>
      </c>
      <c r="I230" s="42" t="str">
        <f>_xlfn.IFNA(VLOOKUP(D230,Master_Section!$I:$K,2,FALSE),"")</f>
        <v/>
      </c>
      <c r="J230" s="42" t="str">
        <f>_xlfn.IFNA(VLOOKUP(D230,Master_Section!$I:$K,3,FALSE),"")</f>
        <v/>
      </c>
      <c r="P230" s="80" t="str">
        <f t="shared" si="8"/>
        <v/>
      </c>
      <c r="Q230" s="43">
        <f t="shared" si="9"/>
        <v>0</v>
      </c>
    </row>
    <row r="231" spans="2:17" ht="15" customHeight="1">
      <c r="B231" s="26" t="str">
        <f>_xlfn.IFNA(VLOOKUP(C231,Master_Section!$H:$I,2,FALSE),"")</f>
        <v/>
      </c>
      <c r="D231" s="26" t="str">
        <f>_xlfn.IFNA(VLOOKUP(E231,Master_Section!$H:$I,2,FALSE),"")</f>
        <v/>
      </c>
      <c r="F231" s="81" t="str">
        <f>_xlfn.IFNA(VLOOKUP(G231,Master!AE:AF,2,FALSE),"")</f>
        <v/>
      </c>
      <c r="I231" s="42" t="str">
        <f>_xlfn.IFNA(VLOOKUP(D231,Master_Section!$I:$K,2,FALSE),"")</f>
        <v/>
      </c>
      <c r="J231" s="42" t="str">
        <f>_xlfn.IFNA(VLOOKUP(D231,Master_Section!$I:$K,3,FALSE),"")</f>
        <v/>
      </c>
      <c r="P231" s="80" t="str">
        <f t="shared" si="8"/>
        <v/>
      </c>
      <c r="Q231" s="43">
        <f t="shared" si="9"/>
        <v>0</v>
      </c>
    </row>
    <row r="232" spans="2:17" ht="15" customHeight="1">
      <c r="B232" s="26" t="str">
        <f>_xlfn.IFNA(VLOOKUP(C232,Master_Section!$H:$I,2,FALSE),"")</f>
        <v/>
      </c>
      <c r="D232" s="26" t="str">
        <f>_xlfn.IFNA(VLOOKUP(E232,Master_Section!$H:$I,2,FALSE),"")</f>
        <v/>
      </c>
      <c r="F232" s="81" t="str">
        <f>_xlfn.IFNA(VLOOKUP(G232,Master!AE:AF,2,FALSE),"")</f>
        <v/>
      </c>
      <c r="I232" s="42" t="str">
        <f>_xlfn.IFNA(VLOOKUP(D232,Master_Section!$I:$K,2,FALSE),"")</f>
        <v/>
      </c>
      <c r="J232" s="42" t="str">
        <f>_xlfn.IFNA(VLOOKUP(D232,Master_Section!$I:$K,3,FALSE),"")</f>
        <v/>
      </c>
      <c r="P232" s="80" t="str">
        <f t="shared" si="8"/>
        <v/>
      </c>
      <c r="Q232" s="43">
        <f t="shared" si="9"/>
        <v>0</v>
      </c>
    </row>
    <row r="233" spans="2:17" ht="15" customHeight="1">
      <c r="B233" s="26" t="str">
        <f>_xlfn.IFNA(VLOOKUP(C233,Master_Section!$H:$I,2,FALSE),"")</f>
        <v/>
      </c>
      <c r="D233" s="26" t="str">
        <f>_xlfn.IFNA(VLOOKUP(E233,Master_Section!$H:$I,2,FALSE),"")</f>
        <v/>
      </c>
      <c r="F233" s="81" t="str">
        <f>_xlfn.IFNA(VLOOKUP(G233,Master!AE:AF,2,FALSE),"")</f>
        <v/>
      </c>
      <c r="I233" s="42" t="str">
        <f>_xlfn.IFNA(VLOOKUP(D233,Master_Section!$I:$K,2,FALSE),"")</f>
        <v/>
      </c>
      <c r="J233" s="42" t="str">
        <f>_xlfn.IFNA(VLOOKUP(D233,Master_Section!$I:$K,3,FALSE),"")</f>
        <v/>
      </c>
      <c r="P233" s="80" t="str">
        <f t="shared" si="8"/>
        <v/>
      </c>
      <c r="Q233" s="43">
        <f t="shared" si="9"/>
        <v>0</v>
      </c>
    </row>
    <row r="234" spans="2:17" ht="15" customHeight="1">
      <c r="B234" s="26" t="str">
        <f>_xlfn.IFNA(VLOOKUP(C234,Master_Section!$H:$I,2,FALSE),"")</f>
        <v/>
      </c>
      <c r="D234" s="26" t="str">
        <f>_xlfn.IFNA(VLOOKUP(E234,Master_Section!$H:$I,2,FALSE),"")</f>
        <v/>
      </c>
      <c r="F234" s="81" t="str">
        <f>_xlfn.IFNA(VLOOKUP(G234,Master!AE:AF,2,FALSE),"")</f>
        <v/>
      </c>
      <c r="I234" s="42" t="str">
        <f>_xlfn.IFNA(VLOOKUP(D234,Master_Section!$I:$K,2,FALSE),"")</f>
        <v/>
      </c>
      <c r="J234" s="42" t="str">
        <f>_xlfn.IFNA(VLOOKUP(D234,Master_Section!$I:$K,3,FALSE),"")</f>
        <v/>
      </c>
      <c r="P234" s="80" t="str">
        <f t="shared" si="8"/>
        <v/>
      </c>
      <c r="Q234" s="43">
        <f t="shared" si="9"/>
        <v>0</v>
      </c>
    </row>
    <row r="235" spans="2:17" ht="15" customHeight="1">
      <c r="B235" s="26" t="str">
        <f>_xlfn.IFNA(VLOOKUP(C235,Master_Section!$H:$I,2,FALSE),"")</f>
        <v/>
      </c>
      <c r="D235" s="26" t="str">
        <f>_xlfn.IFNA(VLOOKUP(E235,Master_Section!$H:$I,2,FALSE),"")</f>
        <v/>
      </c>
      <c r="F235" s="81" t="str">
        <f>_xlfn.IFNA(VLOOKUP(G235,Master!AE:AF,2,FALSE),"")</f>
        <v/>
      </c>
      <c r="I235" s="42" t="str">
        <f>_xlfn.IFNA(VLOOKUP(D235,Master_Section!$I:$K,2,FALSE),"")</f>
        <v/>
      </c>
      <c r="J235" s="42" t="str">
        <f>_xlfn.IFNA(VLOOKUP(D235,Master_Section!$I:$K,3,FALSE),"")</f>
        <v/>
      </c>
      <c r="P235" s="80" t="str">
        <f t="shared" si="8"/>
        <v/>
      </c>
      <c r="Q235" s="43">
        <f t="shared" si="9"/>
        <v>0</v>
      </c>
    </row>
    <row r="236" spans="2:17" ht="15" customHeight="1">
      <c r="B236" s="26" t="str">
        <f>_xlfn.IFNA(VLOOKUP(C236,Master_Section!$H:$I,2,FALSE),"")</f>
        <v/>
      </c>
      <c r="D236" s="26" t="str">
        <f>_xlfn.IFNA(VLOOKUP(E236,Master_Section!$H:$I,2,FALSE),"")</f>
        <v/>
      </c>
      <c r="F236" s="81" t="str">
        <f>_xlfn.IFNA(VLOOKUP(G236,Master!AE:AF,2,FALSE),"")</f>
        <v/>
      </c>
      <c r="I236" s="42" t="str">
        <f>_xlfn.IFNA(VLOOKUP(D236,Master_Section!$I:$K,2,FALSE),"")</f>
        <v/>
      </c>
      <c r="J236" s="42" t="str">
        <f>_xlfn.IFNA(VLOOKUP(D236,Master_Section!$I:$K,3,FALSE),"")</f>
        <v/>
      </c>
      <c r="P236" s="80" t="str">
        <f t="shared" si="8"/>
        <v/>
      </c>
      <c r="Q236" s="43">
        <f t="shared" si="9"/>
        <v>0</v>
      </c>
    </row>
    <row r="237" spans="2:17" ht="15" customHeight="1">
      <c r="B237" s="26" t="str">
        <f>_xlfn.IFNA(VLOOKUP(C237,Master_Section!$H:$I,2,FALSE),"")</f>
        <v/>
      </c>
      <c r="D237" s="26" t="str">
        <f>_xlfn.IFNA(VLOOKUP(E237,Master_Section!$H:$I,2,FALSE),"")</f>
        <v/>
      </c>
      <c r="F237" s="81" t="str">
        <f>_xlfn.IFNA(VLOOKUP(G237,Master!AE:AF,2,FALSE),"")</f>
        <v/>
      </c>
      <c r="I237" s="42" t="str">
        <f>_xlfn.IFNA(VLOOKUP(D237,Master_Section!$I:$K,2,FALSE),"")</f>
        <v/>
      </c>
      <c r="J237" s="42" t="str">
        <f>_xlfn.IFNA(VLOOKUP(D237,Master_Section!$I:$K,3,FALSE),"")</f>
        <v/>
      </c>
      <c r="P237" s="80" t="str">
        <f t="shared" si="8"/>
        <v/>
      </c>
      <c r="Q237" s="43">
        <f t="shared" si="9"/>
        <v>0</v>
      </c>
    </row>
    <row r="238" spans="2:17" ht="15" customHeight="1">
      <c r="B238" s="26" t="str">
        <f>_xlfn.IFNA(VLOOKUP(C238,Master_Section!$H:$I,2,FALSE),"")</f>
        <v/>
      </c>
      <c r="D238" s="26" t="str">
        <f>_xlfn.IFNA(VLOOKUP(E238,Master_Section!$H:$I,2,FALSE),"")</f>
        <v/>
      </c>
      <c r="F238" s="81" t="str">
        <f>_xlfn.IFNA(VLOOKUP(G238,Master!AE:AF,2,FALSE),"")</f>
        <v/>
      </c>
      <c r="I238" s="42" t="str">
        <f>_xlfn.IFNA(VLOOKUP(D238,Master_Section!$I:$K,2,FALSE),"")</f>
        <v/>
      </c>
      <c r="J238" s="42" t="str">
        <f>_xlfn.IFNA(VLOOKUP(D238,Master_Section!$I:$K,3,FALSE),"")</f>
        <v/>
      </c>
      <c r="P238" s="80" t="str">
        <f t="shared" si="8"/>
        <v/>
      </c>
      <c r="Q238" s="43">
        <f t="shared" si="9"/>
        <v>0</v>
      </c>
    </row>
    <row r="239" spans="2:17" ht="15" customHeight="1">
      <c r="B239" s="26" t="str">
        <f>_xlfn.IFNA(VLOOKUP(C239,Master_Section!$H:$I,2,FALSE),"")</f>
        <v/>
      </c>
      <c r="D239" s="26" t="str">
        <f>_xlfn.IFNA(VLOOKUP(E239,Master_Section!$H:$I,2,FALSE),"")</f>
        <v/>
      </c>
      <c r="F239" s="81" t="str">
        <f>_xlfn.IFNA(VLOOKUP(G239,Master!AE:AF,2,FALSE),"")</f>
        <v/>
      </c>
      <c r="I239" s="42" t="str">
        <f>_xlfn.IFNA(VLOOKUP(D239,Master_Section!$I:$K,2,FALSE),"")</f>
        <v/>
      </c>
      <c r="J239" s="42" t="str">
        <f>_xlfn.IFNA(VLOOKUP(D239,Master_Section!$I:$K,3,FALSE),"")</f>
        <v/>
      </c>
      <c r="P239" s="80" t="str">
        <f t="shared" si="8"/>
        <v/>
      </c>
      <c r="Q239" s="43">
        <f t="shared" si="9"/>
        <v>0</v>
      </c>
    </row>
    <row r="240" spans="2:17" ht="15" customHeight="1">
      <c r="B240" s="26" t="str">
        <f>_xlfn.IFNA(VLOOKUP(C240,Master_Section!$H:$I,2,FALSE),"")</f>
        <v/>
      </c>
      <c r="D240" s="26" t="str">
        <f>_xlfn.IFNA(VLOOKUP(E240,Master_Section!$H:$I,2,FALSE),"")</f>
        <v/>
      </c>
      <c r="F240" s="81" t="str">
        <f>_xlfn.IFNA(VLOOKUP(G240,Master!AE:AF,2,FALSE),"")</f>
        <v/>
      </c>
      <c r="I240" s="42" t="str">
        <f>_xlfn.IFNA(VLOOKUP(D240,Master_Section!$I:$K,2,FALSE),"")</f>
        <v/>
      </c>
      <c r="J240" s="42" t="str">
        <f>_xlfn.IFNA(VLOOKUP(D240,Master_Section!$I:$K,3,FALSE),"")</f>
        <v/>
      </c>
      <c r="P240" s="80" t="str">
        <f t="shared" si="8"/>
        <v/>
      </c>
      <c r="Q240" s="43">
        <f t="shared" si="9"/>
        <v>0</v>
      </c>
    </row>
    <row r="241" spans="2:17" ht="15" customHeight="1">
      <c r="B241" s="26" t="str">
        <f>_xlfn.IFNA(VLOOKUP(C241,Master_Section!$H:$I,2,FALSE),"")</f>
        <v/>
      </c>
      <c r="D241" s="26" t="str">
        <f>_xlfn.IFNA(VLOOKUP(E241,Master_Section!$H:$I,2,FALSE),"")</f>
        <v/>
      </c>
      <c r="F241" s="81" t="str">
        <f>_xlfn.IFNA(VLOOKUP(G241,Master!AE:AF,2,FALSE),"")</f>
        <v/>
      </c>
      <c r="I241" s="42" t="str">
        <f>_xlfn.IFNA(VLOOKUP(D241,Master_Section!$I:$K,2,FALSE),"")</f>
        <v/>
      </c>
      <c r="J241" s="42" t="str">
        <f>_xlfn.IFNA(VLOOKUP(D241,Master_Section!$I:$K,3,FALSE),"")</f>
        <v/>
      </c>
      <c r="P241" s="80" t="str">
        <f t="shared" si="8"/>
        <v/>
      </c>
      <c r="Q241" s="43">
        <f t="shared" si="9"/>
        <v>0</v>
      </c>
    </row>
    <row r="242" spans="2:17" ht="15" customHeight="1">
      <c r="B242" s="26" t="str">
        <f>_xlfn.IFNA(VLOOKUP(C242,Master_Section!$H:$I,2,FALSE),"")</f>
        <v/>
      </c>
      <c r="D242" s="26" t="str">
        <f>_xlfn.IFNA(VLOOKUP(E242,Master_Section!$H:$I,2,FALSE),"")</f>
        <v/>
      </c>
      <c r="F242" s="81" t="str">
        <f>_xlfn.IFNA(VLOOKUP(G242,Master!AE:AF,2,FALSE),"")</f>
        <v/>
      </c>
      <c r="I242" s="42" t="str">
        <f>_xlfn.IFNA(VLOOKUP(D242,Master_Section!$I:$K,2,FALSE),"")</f>
        <v/>
      </c>
      <c r="J242" s="42" t="str">
        <f>_xlfn.IFNA(VLOOKUP(D242,Master_Section!$I:$K,3,FALSE),"")</f>
        <v/>
      </c>
      <c r="P242" s="80" t="str">
        <f t="shared" si="8"/>
        <v/>
      </c>
      <c r="Q242" s="43">
        <f t="shared" si="9"/>
        <v>0</v>
      </c>
    </row>
    <row r="243" spans="2:17" ht="15" customHeight="1">
      <c r="B243" s="26" t="str">
        <f>_xlfn.IFNA(VLOOKUP(C243,Master_Section!$H:$I,2,FALSE),"")</f>
        <v/>
      </c>
      <c r="D243" s="26" t="str">
        <f>_xlfn.IFNA(VLOOKUP(E243,Master_Section!$H:$I,2,FALSE),"")</f>
        <v/>
      </c>
      <c r="F243" s="81" t="str">
        <f>_xlfn.IFNA(VLOOKUP(G243,Master!AE:AF,2,FALSE),"")</f>
        <v/>
      </c>
      <c r="I243" s="42" t="str">
        <f>_xlfn.IFNA(VLOOKUP(D243,Master_Section!$I:$K,2,FALSE),"")</f>
        <v/>
      </c>
      <c r="J243" s="42" t="str">
        <f>_xlfn.IFNA(VLOOKUP(D243,Master_Section!$I:$K,3,FALSE),"")</f>
        <v/>
      </c>
      <c r="P243" s="80" t="str">
        <f t="shared" si="8"/>
        <v/>
      </c>
      <c r="Q243" s="43">
        <f t="shared" si="9"/>
        <v>0</v>
      </c>
    </row>
    <row r="244" spans="2:17" ht="15" customHeight="1">
      <c r="B244" s="26" t="str">
        <f>_xlfn.IFNA(VLOOKUP(C244,Master_Section!$H:$I,2,FALSE),"")</f>
        <v/>
      </c>
      <c r="D244" s="26" t="str">
        <f>_xlfn.IFNA(VLOOKUP(E244,Master_Section!$H:$I,2,FALSE),"")</f>
        <v/>
      </c>
      <c r="F244" s="81" t="str">
        <f>_xlfn.IFNA(VLOOKUP(G244,Master!AE:AF,2,FALSE),"")</f>
        <v/>
      </c>
      <c r="I244" s="42" t="str">
        <f>_xlfn.IFNA(VLOOKUP(D244,Master_Section!$I:$K,2,FALSE),"")</f>
        <v/>
      </c>
      <c r="J244" s="42" t="str">
        <f>_xlfn.IFNA(VLOOKUP(D244,Master_Section!$I:$K,3,FALSE),"")</f>
        <v/>
      </c>
      <c r="P244" s="80" t="str">
        <f t="shared" si="8"/>
        <v/>
      </c>
      <c r="Q244" s="43">
        <f t="shared" si="9"/>
        <v>0</v>
      </c>
    </row>
    <row r="245" spans="2:17" ht="15" customHeight="1">
      <c r="B245" s="26" t="str">
        <f>_xlfn.IFNA(VLOOKUP(C245,Master_Section!$H:$I,2,FALSE),"")</f>
        <v/>
      </c>
      <c r="D245" s="26" t="str">
        <f>_xlfn.IFNA(VLOOKUP(E245,Master_Section!$H:$I,2,FALSE),"")</f>
        <v/>
      </c>
      <c r="F245" s="81" t="str">
        <f>_xlfn.IFNA(VLOOKUP(G245,Master!AE:AF,2,FALSE),"")</f>
        <v/>
      </c>
      <c r="I245" s="42" t="str">
        <f>_xlfn.IFNA(VLOOKUP(D245,Master_Section!$I:$K,2,FALSE),"")</f>
        <v/>
      </c>
      <c r="J245" s="42" t="str">
        <f>_xlfn.IFNA(VLOOKUP(D245,Master_Section!$I:$K,3,FALSE),"")</f>
        <v/>
      </c>
      <c r="P245" s="80" t="str">
        <f t="shared" si="8"/>
        <v/>
      </c>
      <c r="Q245" s="43">
        <f t="shared" si="9"/>
        <v>0</v>
      </c>
    </row>
    <row r="246" spans="2:17" ht="15" customHeight="1">
      <c r="B246" s="26" t="str">
        <f>_xlfn.IFNA(VLOOKUP(C246,Master_Section!$H:$I,2,FALSE),"")</f>
        <v/>
      </c>
      <c r="D246" s="26" t="str">
        <f>_xlfn.IFNA(VLOOKUP(E246,Master_Section!$H:$I,2,FALSE),"")</f>
        <v/>
      </c>
      <c r="F246" s="81" t="str">
        <f>_xlfn.IFNA(VLOOKUP(G246,Master!AE:AF,2,FALSE),"")</f>
        <v/>
      </c>
      <c r="I246" s="42" t="str">
        <f>_xlfn.IFNA(VLOOKUP(D246,Master_Section!$I:$K,2,FALSE),"")</f>
        <v/>
      </c>
      <c r="J246" s="42" t="str">
        <f>_xlfn.IFNA(VLOOKUP(D246,Master_Section!$I:$K,3,FALSE),"")</f>
        <v/>
      </c>
      <c r="P246" s="80" t="str">
        <f t="shared" si="8"/>
        <v/>
      </c>
      <c r="Q246" s="43">
        <f t="shared" si="9"/>
        <v>0</v>
      </c>
    </row>
    <row r="247" spans="2:17" ht="15" customHeight="1">
      <c r="B247" s="26" t="str">
        <f>_xlfn.IFNA(VLOOKUP(C247,Master_Section!$H:$I,2,FALSE),"")</f>
        <v/>
      </c>
      <c r="D247" s="26" t="str">
        <f>_xlfn.IFNA(VLOOKUP(E247,Master_Section!$H:$I,2,FALSE),"")</f>
        <v/>
      </c>
      <c r="F247" s="81" t="str">
        <f>_xlfn.IFNA(VLOOKUP(G247,Master!AE:AF,2,FALSE),"")</f>
        <v/>
      </c>
      <c r="I247" s="42" t="str">
        <f>_xlfn.IFNA(VLOOKUP(D247,Master_Section!$I:$K,2,FALSE),"")</f>
        <v/>
      </c>
      <c r="J247" s="42" t="str">
        <f>_xlfn.IFNA(VLOOKUP(D247,Master_Section!$I:$K,3,FALSE),"")</f>
        <v/>
      </c>
      <c r="P247" s="80" t="str">
        <f t="shared" ref="P247:P310" si="10">IF(N247&lt;&gt;"",IF(MONTH(N247)&gt;=4,"FY1"&amp;RIGHT(YEAR(N247)+1,2),"FY1"&amp;RIGHT(YEAR(N247),2)),"")</f>
        <v/>
      </c>
      <c r="Q247" s="43">
        <f t="shared" ref="Q247:Q310" si="11">IF(K247&gt;0&amp;M247&gt;0,K247*M247,"")</f>
        <v>0</v>
      </c>
    </row>
    <row r="248" spans="2:17" ht="15" customHeight="1">
      <c r="B248" s="26" t="str">
        <f>_xlfn.IFNA(VLOOKUP(C248,Master_Section!$H:$I,2,FALSE),"")</f>
        <v/>
      </c>
      <c r="D248" s="26" t="str">
        <f>_xlfn.IFNA(VLOOKUP(E248,Master_Section!$H:$I,2,FALSE),"")</f>
        <v/>
      </c>
      <c r="F248" s="81" t="str">
        <f>_xlfn.IFNA(VLOOKUP(G248,Master!AE:AF,2,FALSE),"")</f>
        <v/>
      </c>
      <c r="I248" s="42" t="str">
        <f>_xlfn.IFNA(VLOOKUP(D248,Master_Section!$I:$K,2,FALSE),"")</f>
        <v/>
      </c>
      <c r="J248" s="42" t="str">
        <f>_xlfn.IFNA(VLOOKUP(D248,Master_Section!$I:$K,3,FALSE),"")</f>
        <v/>
      </c>
      <c r="P248" s="80" t="str">
        <f t="shared" si="10"/>
        <v/>
      </c>
      <c r="Q248" s="43">
        <f t="shared" si="11"/>
        <v>0</v>
      </c>
    </row>
    <row r="249" spans="2:17" ht="15" customHeight="1">
      <c r="B249" s="26" t="str">
        <f>_xlfn.IFNA(VLOOKUP(C249,Master_Section!$H:$I,2,FALSE),"")</f>
        <v/>
      </c>
      <c r="D249" s="26" t="str">
        <f>_xlfn.IFNA(VLOOKUP(E249,Master_Section!$H:$I,2,FALSE),"")</f>
        <v/>
      </c>
      <c r="F249" s="81" t="str">
        <f>_xlfn.IFNA(VLOOKUP(G249,Master!AE:AF,2,FALSE),"")</f>
        <v/>
      </c>
      <c r="I249" s="42" t="str">
        <f>_xlfn.IFNA(VLOOKUP(D249,Master_Section!$I:$K,2,FALSE),"")</f>
        <v/>
      </c>
      <c r="J249" s="42" t="str">
        <f>_xlfn.IFNA(VLOOKUP(D249,Master_Section!$I:$K,3,FALSE),"")</f>
        <v/>
      </c>
      <c r="P249" s="80" t="str">
        <f t="shared" si="10"/>
        <v/>
      </c>
      <c r="Q249" s="43">
        <f t="shared" si="11"/>
        <v>0</v>
      </c>
    </row>
    <row r="250" spans="2:17" ht="15" customHeight="1">
      <c r="B250" s="26" t="str">
        <f>_xlfn.IFNA(VLOOKUP(C250,Master_Section!$H:$I,2,FALSE),"")</f>
        <v/>
      </c>
      <c r="D250" s="26" t="str">
        <f>_xlfn.IFNA(VLOOKUP(E250,Master_Section!$H:$I,2,FALSE),"")</f>
        <v/>
      </c>
      <c r="F250" s="81" t="str">
        <f>_xlfn.IFNA(VLOOKUP(G250,Master!AE:AF,2,FALSE),"")</f>
        <v/>
      </c>
      <c r="I250" s="42" t="str">
        <f>_xlfn.IFNA(VLOOKUP(D250,Master_Section!$I:$K,2,FALSE),"")</f>
        <v/>
      </c>
      <c r="J250" s="42" t="str">
        <f>_xlfn.IFNA(VLOOKUP(D250,Master_Section!$I:$K,3,FALSE),"")</f>
        <v/>
      </c>
      <c r="P250" s="80" t="str">
        <f t="shared" si="10"/>
        <v/>
      </c>
      <c r="Q250" s="43">
        <f t="shared" si="11"/>
        <v>0</v>
      </c>
    </row>
    <row r="251" spans="2:17" ht="15" customHeight="1">
      <c r="B251" s="26" t="str">
        <f>_xlfn.IFNA(VLOOKUP(C251,Master_Section!$H:$I,2,FALSE),"")</f>
        <v/>
      </c>
      <c r="D251" s="26" t="str">
        <f>_xlfn.IFNA(VLOOKUP(E251,Master_Section!$H:$I,2,FALSE),"")</f>
        <v/>
      </c>
      <c r="F251" s="81" t="str">
        <f>_xlfn.IFNA(VLOOKUP(G251,Master!AE:AF,2,FALSE),"")</f>
        <v/>
      </c>
      <c r="I251" s="42" t="str">
        <f>_xlfn.IFNA(VLOOKUP(D251,Master_Section!$I:$K,2,FALSE),"")</f>
        <v/>
      </c>
      <c r="J251" s="42" t="str">
        <f>_xlfn.IFNA(VLOOKUP(D251,Master_Section!$I:$K,3,FALSE),"")</f>
        <v/>
      </c>
      <c r="P251" s="80" t="str">
        <f t="shared" si="10"/>
        <v/>
      </c>
      <c r="Q251" s="43">
        <f t="shared" si="11"/>
        <v>0</v>
      </c>
    </row>
    <row r="252" spans="2:17" ht="15" customHeight="1">
      <c r="B252" s="26" t="str">
        <f>_xlfn.IFNA(VLOOKUP(C252,Master_Section!$H:$I,2,FALSE),"")</f>
        <v/>
      </c>
      <c r="D252" s="26" t="str">
        <f>_xlfn.IFNA(VLOOKUP(E252,Master_Section!$H:$I,2,FALSE),"")</f>
        <v/>
      </c>
      <c r="F252" s="81" t="str">
        <f>_xlfn.IFNA(VLOOKUP(G252,Master!AE:AF,2,FALSE),"")</f>
        <v/>
      </c>
      <c r="I252" s="42" t="str">
        <f>_xlfn.IFNA(VLOOKUP(D252,Master_Section!$I:$K,2,FALSE),"")</f>
        <v/>
      </c>
      <c r="J252" s="42" t="str">
        <f>_xlfn.IFNA(VLOOKUP(D252,Master_Section!$I:$K,3,FALSE),"")</f>
        <v/>
      </c>
      <c r="P252" s="80" t="str">
        <f t="shared" si="10"/>
        <v/>
      </c>
      <c r="Q252" s="43">
        <f t="shared" si="11"/>
        <v>0</v>
      </c>
    </row>
    <row r="253" spans="2:17" ht="15" customHeight="1">
      <c r="B253" s="26" t="str">
        <f>_xlfn.IFNA(VLOOKUP(C253,Master_Section!$H:$I,2,FALSE),"")</f>
        <v/>
      </c>
      <c r="D253" s="26" t="str">
        <f>_xlfn.IFNA(VLOOKUP(E253,Master_Section!$H:$I,2,FALSE),"")</f>
        <v/>
      </c>
      <c r="F253" s="81" t="str">
        <f>_xlfn.IFNA(VLOOKUP(G253,Master!AE:AF,2,FALSE),"")</f>
        <v/>
      </c>
      <c r="I253" s="42" t="str">
        <f>_xlfn.IFNA(VLOOKUP(D253,Master_Section!$I:$K,2,FALSE),"")</f>
        <v/>
      </c>
      <c r="J253" s="42" t="str">
        <f>_xlfn.IFNA(VLOOKUP(D253,Master_Section!$I:$K,3,FALSE),"")</f>
        <v/>
      </c>
      <c r="P253" s="80" t="str">
        <f t="shared" si="10"/>
        <v/>
      </c>
      <c r="Q253" s="43">
        <f t="shared" si="11"/>
        <v>0</v>
      </c>
    </row>
    <row r="254" spans="2:17" ht="15" customHeight="1">
      <c r="B254" s="26" t="str">
        <f>_xlfn.IFNA(VLOOKUP(C254,Master_Section!$H:$I,2,FALSE),"")</f>
        <v/>
      </c>
      <c r="D254" s="26" t="str">
        <f>_xlfn.IFNA(VLOOKUP(E254,Master_Section!$H:$I,2,FALSE),"")</f>
        <v/>
      </c>
      <c r="F254" s="81" t="str">
        <f>_xlfn.IFNA(VLOOKUP(G254,Master!AE:AF,2,FALSE),"")</f>
        <v/>
      </c>
      <c r="I254" s="42" t="str">
        <f>_xlfn.IFNA(VLOOKUP(D254,Master_Section!$I:$K,2,FALSE),"")</f>
        <v/>
      </c>
      <c r="J254" s="42" t="str">
        <f>_xlfn.IFNA(VLOOKUP(D254,Master_Section!$I:$K,3,FALSE),"")</f>
        <v/>
      </c>
      <c r="P254" s="80" t="str">
        <f t="shared" si="10"/>
        <v/>
      </c>
      <c r="Q254" s="43">
        <f t="shared" si="11"/>
        <v>0</v>
      </c>
    </row>
    <row r="255" spans="2:17" ht="15" customHeight="1">
      <c r="B255" s="26" t="str">
        <f>_xlfn.IFNA(VLOOKUP(C255,Master_Section!$H:$I,2,FALSE),"")</f>
        <v/>
      </c>
      <c r="D255" s="26" t="str">
        <f>_xlfn.IFNA(VLOOKUP(E255,Master_Section!$H:$I,2,FALSE),"")</f>
        <v/>
      </c>
      <c r="F255" s="81" t="str">
        <f>_xlfn.IFNA(VLOOKUP(G255,Master!AE:AF,2,FALSE),"")</f>
        <v/>
      </c>
      <c r="I255" s="42" t="str">
        <f>_xlfn.IFNA(VLOOKUP(D255,Master_Section!$I:$K,2,FALSE),"")</f>
        <v/>
      </c>
      <c r="J255" s="42" t="str">
        <f>_xlfn.IFNA(VLOOKUP(D255,Master_Section!$I:$K,3,FALSE),"")</f>
        <v/>
      </c>
      <c r="P255" s="80" t="str">
        <f t="shared" si="10"/>
        <v/>
      </c>
      <c r="Q255" s="43">
        <f t="shared" si="11"/>
        <v>0</v>
      </c>
    </row>
    <row r="256" spans="2:17" ht="15" customHeight="1">
      <c r="B256" s="26" t="str">
        <f>_xlfn.IFNA(VLOOKUP(C256,Master_Section!$H:$I,2,FALSE),"")</f>
        <v/>
      </c>
      <c r="D256" s="26" t="str">
        <f>_xlfn.IFNA(VLOOKUP(E256,Master_Section!$H:$I,2,FALSE),"")</f>
        <v/>
      </c>
      <c r="F256" s="81" t="str">
        <f>_xlfn.IFNA(VLOOKUP(G256,Master!AE:AF,2,FALSE),"")</f>
        <v/>
      </c>
      <c r="I256" s="42" t="str">
        <f>_xlfn.IFNA(VLOOKUP(D256,Master_Section!$I:$K,2,FALSE),"")</f>
        <v/>
      </c>
      <c r="J256" s="42" t="str">
        <f>_xlfn.IFNA(VLOOKUP(D256,Master_Section!$I:$K,3,FALSE),"")</f>
        <v/>
      </c>
      <c r="P256" s="80" t="str">
        <f t="shared" si="10"/>
        <v/>
      </c>
      <c r="Q256" s="43">
        <f t="shared" si="11"/>
        <v>0</v>
      </c>
    </row>
    <row r="257" spans="2:17" ht="15" customHeight="1">
      <c r="B257" s="26" t="str">
        <f>_xlfn.IFNA(VLOOKUP(C257,Master_Section!$H:$I,2,FALSE),"")</f>
        <v/>
      </c>
      <c r="D257" s="26" t="str">
        <f>_xlfn.IFNA(VLOOKUP(E257,Master_Section!$H:$I,2,FALSE),"")</f>
        <v/>
      </c>
      <c r="F257" s="81" t="str">
        <f>_xlfn.IFNA(VLOOKUP(G257,Master!AE:AF,2,FALSE),"")</f>
        <v/>
      </c>
      <c r="I257" s="42" t="str">
        <f>_xlfn.IFNA(VLOOKUP(D257,Master_Section!$I:$K,2,FALSE),"")</f>
        <v/>
      </c>
      <c r="J257" s="42" t="str">
        <f>_xlfn.IFNA(VLOOKUP(D257,Master_Section!$I:$K,3,FALSE),"")</f>
        <v/>
      </c>
      <c r="P257" s="80" t="str">
        <f t="shared" si="10"/>
        <v/>
      </c>
      <c r="Q257" s="43">
        <f t="shared" si="11"/>
        <v>0</v>
      </c>
    </row>
    <row r="258" spans="2:17" ht="15" customHeight="1">
      <c r="B258" s="26" t="str">
        <f>_xlfn.IFNA(VLOOKUP(C258,Master_Section!$H:$I,2,FALSE),"")</f>
        <v/>
      </c>
      <c r="D258" s="26" t="str">
        <f>_xlfn.IFNA(VLOOKUP(E258,Master_Section!$H:$I,2,FALSE),"")</f>
        <v/>
      </c>
      <c r="F258" s="81" t="str">
        <f>_xlfn.IFNA(VLOOKUP(G258,Master!AE:AF,2,FALSE),"")</f>
        <v/>
      </c>
      <c r="I258" s="42" t="str">
        <f>_xlfn.IFNA(VLOOKUP(D258,Master_Section!$I:$K,2,FALSE),"")</f>
        <v/>
      </c>
      <c r="J258" s="42" t="str">
        <f>_xlfn.IFNA(VLOOKUP(D258,Master_Section!$I:$K,3,FALSE),"")</f>
        <v/>
      </c>
      <c r="P258" s="80" t="str">
        <f t="shared" si="10"/>
        <v/>
      </c>
      <c r="Q258" s="43">
        <f t="shared" si="11"/>
        <v>0</v>
      </c>
    </row>
    <row r="259" spans="2:17" ht="15" customHeight="1">
      <c r="B259" s="26" t="str">
        <f>_xlfn.IFNA(VLOOKUP(C259,Master_Section!$H:$I,2,FALSE),"")</f>
        <v/>
      </c>
      <c r="D259" s="26" t="str">
        <f>_xlfn.IFNA(VLOOKUP(E259,Master_Section!$H:$I,2,FALSE),"")</f>
        <v/>
      </c>
      <c r="F259" s="81" t="str">
        <f>_xlfn.IFNA(VLOOKUP(G259,Master!AE:AF,2,FALSE),"")</f>
        <v/>
      </c>
      <c r="I259" s="42" t="str">
        <f>_xlfn.IFNA(VLOOKUP(D259,Master_Section!$I:$K,2,FALSE),"")</f>
        <v/>
      </c>
      <c r="J259" s="42" t="str">
        <f>_xlfn.IFNA(VLOOKUP(D259,Master_Section!$I:$K,3,FALSE),"")</f>
        <v/>
      </c>
      <c r="P259" s="80" t="str">
        <f t="shared" si="10"/>
        <v/>
      </c>
      <c r="Q259" s="43">
        <f t="shared" si="11"/>
        <v>0</v>
      </c>
    </row>
    <row r="260" spans="2:17" ht="15" customHeight="1">
      <c r="B260" s="26" t="str">
        <f>_xlfn.IFNA(VLOOKUP(C260,Master_Section!$H:$I,2,FALSE),"")</f>
        <v/>
      </c>
      <c r="D260" s="26" t="str">
        <f>_xlfn.IFNA(VLOOKUP(E260,Master_Section!$H:$I,2,FALSE),"")</f>
        <v/>
      </c>
      <c r="F260" s="81" t="str">
        <f>_xlfn.IFNA(VLOOKUP(G260,Master!AE:AF,2,FALSE),"")</f>
        <v/>
      </c>
      <c r="I260" s="42" t="str">
        <f>_xlfn.IFNA(VLOOKUP(D260,Master_Section!$I:$K,2,FALSE),"")</f>
        <v/>
      </c>
      <c r="J260" s="42" t="str">
        <f>_xlfn.IFNA(VLOOKUP(D260,Master_Section!$I:$K,3,FALSE),"")</f>
        <v/>
      </c>
      <c r="P260" s="80" t="str">
        <f t="shared" si="10"/>
        <v/>
      </c>
      <c r="Q260" s="43">
        <f t="shared" si="11"/>
        <v>0</v>
      </c>
    </row>
    <row r="261" spans="2:17" ht="15" customHeight="1">
      <c r="B261" s="26" t="str">
        <f>_xlfn.IFNA(VLOOKUP(C261,Master_Section!$H:$I,2,FALSE),"")</f>
        <v/>
      </c>
      <c r="D261" s="26" t="str">
        <f>_xlfn.IFNA(VLOOKUP(E261,Master_Section!$H:$I,2,FALSE),"")</f>
        <v/>
      </c>
      <c r="F261" s="81" t="str">
        <f>_xlfn.IFNA(VLOOKUP(G261,Master!AE:AF,2,FALSE),"")</f>
        <v/>
      </c>
      <c r="I261" s="42" t="str">
        <f>_xlfn.IFNA(VLOOKUP(D261,Master_Section!$I:$K,2,FALSE),"")</f>
        <v/>
      </c>
      <c r="J261" s="42" t="str">
        <f>_xlfn.IFNA(VLOOKUP(D261,Master_Section!$I:$K,3,FALSE),"")</f>
        <v/>
      </c>
      <c r="P261" s="80" t="str">
        <f t="shared" si="10"/>
        <v/>
      </c>
      <c r="Q261" s="43">
        <f t="shared" si="11"/>
        <v>0</v>
      </c>
    </row>
    <row r="262" spans="2:17" ht="15" customHeight="1">
      <c r="B262" s="26" t="str">
        <f>_xlfn.IFNA(VLOOKUP(C262,Master_Section!$H:$I,2,FALSE),"")</f>
        <v/>
      </c>
      <c r="D262" s="26" t="str">
        <f>_xlfn.IFNA(VLOOKUP(E262,Master_Section!$H:$I,2,FALSE),"")</f>
        <v/>
      </c>
      <c r="F262" s="81" t="str">
        <f>_xlfn.IFNA(VLOOKUP(G262,Master!AE:AF,2,FALSE),"")</f>
        <v/>
      </c>
      <c r="I262" s="42" t="str">
        <f>_xlfn.IFNA(VLOOKUP(D262,Master_Section!$I:$K,2,FALSE),"")</f>
        <v/>
      </c>
      <c r="J262" s="42" t="str">
        <f>_xlfn.IFNA(VLOOKUP(D262,Master_Section!$I:$K,3,FALSE),"")</f>
        <v/>
      </c>
      <c r="P262" s="80" t="str">
        <f t="shared" si="10"/>
        <v/>
      </c>
      <c r="Q262" s="43">
        <f t="shared" si="11"/>
        <v>0</v>
      </c>
    </row>
    <row r="263" spans="2:17" ht="15" customHeight="1">
      <c r="B263" s="26" t="str">
        <f>_xlfn.IFNA(VLOOKUP(C263,Master_Section!$H:$I,2,FALSE),"")</f>
        <v/>
      </c>
      <c r="D263" s="26" t="str">
        <f>_xlfn.IFNA(VLOOKUP(E263,Master_Section!$H:$I,2,FALSE),"")</f>
        <v/>
      </c>
      <c r="F263" s="81" t="str">
        <f>_xlfn.IFNA(VLOOKUP(G263,Master!AE:AF,2,FALSE),"")</f>
        <v/>
      </c>
      <c r="I263" s="42" t="str">
        <f>_xlfn.IFNA(VLOOKUP(D263,Master_Section!$I:$K,2,FALSE),"")</f>
        <v/>
      </c>
      <c r="J263" s="42" t="str">
        <f>_xlfn.IFNA(VLOOKUP(D263,Master_Section!$I:$K,3,FALSE),"")</f>
        <v/>
      </c>
      <c r="P263" s="80" t="str">
        <f t="shared" si="10"/>
        <v/>
      </c>
      <c r="Q263" s="43">
        <f t="shared" si="11"/>
        <v>0</v>
      </c>
    </row>
    <row r="264" spans="2:17" ht="15" customHeight="1">
      <c r="B264" s="26" t="str">
        <f>_xlfn.IFNA(VLOOKUP(C264,Master_Section!$H:$I,2,FALSE),"")</f>
        <v/>
      </c>
      <c r="D264" s="26" t="str">
        <f>_xlfn.IFNA(VLOOKUP(E264,Master_Section!$H:$I,2,FALSE),"")</f>
        <v/>
      </c>
      <c r="F264" s="81" t="str">
        <f>_xlfn.IFNA(VLOOKUP(G264,Master!AE:AF,2,FALSE),"")</f>
        <v/>
      </c>
      <c r="I264" s="42" t="str">
        <f>_xlfn.IFNA(VLOOKUP(D264,Master_Section!$I:$K,2,FALSE),"")</f>
        <v/>
      </c>
      <c r="J264" s="42" t="str">
        <f>_xlfn.IFNA(VLOOKUP(D264,Master_Section!$I:$K,3,FALSE),"")</f>
        <v/>
      </c>
      <c r="P264" s="80" t="str">
        <f t="shared" si="10"/>
        <v/>
      </c>
      <c r="Q264" s="43">
        <f t="shared" si="11"/>
        <v>0</v>
      </c>
    </row>
    <row r="265" spans="2:17" ht="15" customHeight="1">
      <c r="B265" s="26" t="str">
        <f>_xlfn.IFNA(VLOOKUP(C265,Master_Section!$H:$I,2,FALSE),"")</f>
        <v/>
      </c>
      <c r="D265" s="26" t="str">
        <f>_xlfn.IFNA(VLOOKUP(E265,Master_Section!$H:$I,2,FALSE),"")</f>
        <v/>
      </c>
      <c r="F265" s="81" t="str">
        <f>_xlfn.IFNA(VLOOKUP(G265,Master!AE:AF,2,FALSE),"")</f>
        <v/>
      </c>
      <c r="I265" s="42" t="str">
        <f>_xlfn.IFNA(VLOOKUP(D265,Master_Section!$I:$K,2,FALSE),"")</f>
        <v/>
      </c>
      <c r="J265" s="42" t="str">
        <f>_xlfn.IFNA(VLOOKUP(D265,Master_Section!$I:$K,3,FALSE),"")</f>
        <v/>
      </c>
      <c r="P265" s="80" t="str">
        <f t="shared" si="10"/>
        <v/>
      </c>
      <c r="Q265" s="43">
        <f t="shared" si="11"/>
        <v>0</v>
      </c>
    </row>
    <row r="266" spans="2:17" ht="15" customHeight="1">
      <c r="B266" s="26" t="str">
        <f>_xlfn.IFNA(VLOOKUP(C266,Master_Section!$H:$I,2,FALSE),"")</f>
        <v/>
      </c>
      <c r="D266" s="26" t="str">
        <f>_xlfn.IFNA(VLOOKUP(E266,Master_Section!$H:$I,2,FALSE),"")</f>
        <v/>
      </c>
      <c r="F266" s="81" t="str">
        <f>_xlfn.IFNA(VLOOKUP(G266,Master!AE:AF,2,FALSE),"")</f>
        <v/>
      </c>
      <c r="I266" s="42" t="str">
        <f>_xlfn.IFNA(VLOOKUP(D266,Master_Section!$I:$K,2,FALSE),"")</f>
        <v/>
      </c>
      <c r="J266" s="42" t="str">
        <f>_xlfn.IFNA(VLOOKUP(D266,Master_Section!$I:$K,3,FALSE),"")</f>
        <v/>
      </c>
      <c r="P266" s="80" t="str">
        <f t="shared" si="10"/>
        <v/>
      </c>
      <c r="Q266" s="43">
        <f t="shared" si="11"/>
        <v>0</v>
      </c>
    </row>
    <row r="267" spans="2:17" ht="15" customHeight="1">
      <c r="B267" s="26" t="str">
        <f>_xlfn.IFNA(VLOOKUP(C267,Master_Section!$H:$I,2,FALSE),"")</f>
        <v/>
      </c>
      <c r="D267" s="26" t="str">
        <f>_xlfn.IFNA(VLOOKUP(E267,Master_Section!$H:$I,2,FALSE),"")</f>
        <v/>
      </c>
      <c r="F267" s="81" t="str">
        <f>_xlfn.IFNA(VLOOKUP(G267,Master!AE:AF,2,FALSE),"")</f>
        <v/>
      </c>
      <c r="I267" s="42" t="str">
        <f>_xlfn.IFNA(VLOOKUP(D267,Master_Section!$I:$K,2,FALSE),"")</f>
        <v/>
      </c>
      <c r="J267" s="42" t="str">
        <f>_xlfn.IFNA(VLOOKUP(D267,Master_Section!$I:$K,3,FALSE),"")</f>
        <v/>
      </c>
      <c r="P267" s="80" t="str">
        <f t="shared" si="10"/>
        <v/>
      </c>
      <c r="Q267" s="43">
        <f t="shared" si="11"/>
        <v>0</v>
      </c>
    </row>
    <row r="268" spans="2:17" ht="15" customHeight="1">
      <c r="B268" s="26" t="str">
        <f>_xlfn.IFNA(VLOOKUP(C268,Master_Section!$H:$I,2,FALSE),"")</f>
        <v/>
      </c>
      <c r="D268" s="26" t="str">
        <f>_xlfn.IFNA(VLOOKUP(E268,Master_Section!$H:$I,2,FALSE),"")</f>
        <v/>
      </c>
      <c r="F268" s="81" t="str">
        <f>_xlfn.IFNA(VLOOKUP(G268,Master!AE:AF,2,FALSE),"")</f>
        <v/>
      </c>
      <c r="I268" s="42" t="str">
        <f>_xlfn.IFNA(VLOOKUP(D268,Master_Section!$I:$K,2,FALSE),"")</f>
        <v/>
      </c>
      <c r="J268" s="42" t="str">
        <f>_xlfn.IFNA(VLOOKUP(D268,Master_Section!$I:$K,3,FALSE),"")</f>
        <v/>
      </c>
      <c r="P268" s="80" t="str">
        <f t="shared" si="10"/>
        <v/>
      </c>
      <c r="Q268" s="43">
        <f t="shared" si="11"/>
        <v>0</v>
      </c>
    </row>
    <row r="269" spans="2:17" ht="15" customHeight="1">
      <c r="B269" s="26" t="str">
        <f>_xlfn.IFNA(VLOOKUP(C269,Master_Section!$H:$I,2,FALSE),"")</f>
        <v/>
      </c>
      <c r="D269" s="26" t="str">
        <f>_xlfn.IFNA(VLOOKUP(E269,Master_Section!$H:$I,2,FALSE),"")</f>
        <v/>
      </c>
      <c r="F269" s="81" t="str">
        <f>_xlfn.IFNA(VLOOKUP(G269,Master!AE:AF,2,FALSE),"")</f>
        <v/>
      </c>
      <c r="I269" s="42" t="str">
        <f>_xlfn.IFNA(VLOOKUP(D269,Master_Section!$I:$K,2,FALSE),"")</f>
        <v/>
      </c>
      <c r="J269" s="42" t="str">
        <f>_xlfn.IFNA(VLOOKUP(D269,Master_Section!$I:$K,3,FALSE),"")</f>
        <v/>
      </c>
      <c r="P269" s="80" t="str">
        <f t="shared" si="10"/>
        <v/>
      </c>
      <c r="Q269" s="43">
        <f t="shared" si="11"/>
        <v>0</v>
      </c>
    </row>
    <row r="270" spans="2:17" ht="15" customHeight="1">
      <c r="B270" s="26" t="str">
        <f>_xlfn.IFNA(VLOOKUP(C270,Master_Section!$H:$I,2,FALSE),"")</f>
        <v/>
      </c>
      <c r="D270" s="26" t="str">
        <f>_xlfn.IFNA(VLOOKUP(E270,Master_Section!$H:$I,2,FALSE),"")</f>
        <v/>
      </c>
      <c r="F270" s="81" t="str">
        <f>_xlfn.IFNA(VLOOKUP(G270,Master!AE:AF,2,FALSE),"")</f>
        <v/>
      </c>
      <c r="I270" s="42" t="str">
        <f>_xlfn.IFNA(VLOOKUP(D270,Master_Section!$I:$K,2,FALSE),"")</f>
        <v/>
      </c>
      <c r="J270" s="42" t="str">
        <f>_xlfn.IFNA(VLOOKUP(D270,Master_Section!$I:$K,3,FALSE),"")</f>
        <v/>
      </c>
      <c r="P270" s="80" t="str">
        <f t="shared" si="10"/>
        <v/>
      </c>
      <c r="Q270" s="43">
        <f t="shared" si="11"/>
        <v>0</v>
      </c>
    </row>
    <row r="271" spans="2:17" ht="15" customHeight="1">
      <c r="B271" s="26" t="str">
        <f>_xlfn.IFNA(VLOOKUP(C271,Master_Section!$H:$I,2,FALSE),"")</f>
        <v/>
      </c>
      <c r="D271" s="26" t="str">
        <f>_xlfn.IFNA(VLOOKUP(E271,Master_Section!$H:$I,2,FALSE),"")</f>
        <v/>
      </c>
      <c r="F271" s="81" t="str">
        <f>_xlfn.IFNA(VLOOKUP(G271,Master!AE:AF,2,FALSE),"")</f>
        <v/>
      </c>
      <c r="I271" s="42" t="str">
        <f>_xlfn.IFNA(VLOOKUP(D271,Master_Section!$I:$K,2,FALSE),"")</f>
        <v/>
      </c>
      <c r="J271" s="42" t="str">
        <f>_xlfn.IFNA(VLOOKUP(D271,Master_Section!$I:$K,3,FALSE),"")</f>
        <v/>
      </c>
      <c r="P271" s="80" t="str">
        <f t="shared" si="10"/>
        <v/>
      </c>
      <c r="Q271" s="43">
        <f t="shared" si="11"/>
        <v>0</v>
      </c>
    </row>
    <row r="272" spans="2:17" ht="15" customHeight="1">
      <c r="B272" s="26" t="str">
        <f>_xlfn.IFNA(VLOOKUP(C272,Master_Section!$H:$I,2,FALSE),"")</f>
        <v/>
      </c>
      <c r="D272" s="26" t="str">
        <f>_xlfn.IFNA(VLOOKUP(E272,Master_Section!$H:$I,2,FALSE),"")</f>
        <v/>
      </c>
      <c r="F272" s="81" t="str">
        <f>_xlfn.IFNA(VLOOKUP(G272,Master!AE:AF,2,FALSE),"")</f>
        <v/>
      </c>
      <c r="I272" s="42" t="str">
        <f>_xlfn.IFNA(VLOOKUP(D272,Master_Section!$I:$K,2,FALSE),"")</f>
        <v/>
      </c>
      <c r="J272" s="42" t="str">
        <f>_xlfn.IFNA(VLOOKUP(D272,Master_Section!$I:$K,3,FALSE),"")</f>
        <v/>
      </c>
      <c r="P272" s="80" t="str">
        <f t="shared" si="10"/>
        <v/>
      </c>
      <c r="Q272" s="43">
        <f t="shared" si="11"/>
        <v>0</v>
      </c>
    </row>
    <row r="273" spans="2:17" ht="15" customHeight="1">
      <c r="B273" s="26" t="str">
        <f>_xlfn.IFNA(VLOOKUP(C273,Master_Section!$H:$I,2,FALSE),"")</f>
        <v/>
      </c>
      <c r="D273" s="26" t="str">
        <f>_xlfn.IFNA(VLOOKUP(E273,Master_Section!$H:$I,2,FALSE),"")</f>
        <v/>
      </c>
      <c r="F273" s="81" t="str">
        <f>_xlfn.IFNA(VLOOKUP(G273,Master!AE:AF,2,FALSE),"")</f>
        <v/>
      </c>
      <c r="I273" s="42" t="str">
        <f>_xlfn.IFNA(VLOOKUP(D273,Master_Section!$I:$K,2,FALSE),"")</f>
        <v/>
      </c>
      <c r="J273" s="42" t="str">
        <f>_xlfn.IFNA(VLOOKUP(D273,Master_Section!$I:$K,3,FALSE),"")</f>
        <v/>
      </c>
      <c r="P273" s="80" t="str">
        <f t="shared" si="10"/>
        <v/>
      </c>
      <c r="Q273" s="43">
        <f t="shared" si="11"/>
        <v>0</v>
      </c>
    </row>
    <row r="274" spans="2:17" ht="15" customHeight="1">
      <c r="B274" s="26" t="str">
        <f>_xlfn.IFNA(VLOOKUP(C274,Master_Section!$H:$I,2,FALSE),"")</f>
        <v/>
      </c>
      <c r="D274" s="26" t="str">
        <f>_xlfn.IFNA(VLOOKUP(E274,Master_Section!$H:$I,2,FALSE),"")</f>
        <v/>
      </c>
      <c r="F274" s="81" t="str">
        <f>_xlfn.IFNA(VLOOKUP(G274,Master!AE:AF,2,FALSE),"")</f>
        <v/>
      </c>
      <c r="I274" s="42" t="str">
        <f>_xlfn.IFNA(VLOOKUP(D274,Master_Section!$I:$K,2,FALSE),"")</f>
        <v/>
      </c>
      <c r="J274" s="42" t="str">
        <f>_xlfn.IFNA(VLOOKUP(D274,Master_Section!$I:$K,3,FALSE),"")</f>
        <v/>
      </c>
      <c r="P274" s="80" t="str">
        <f t="shared" si="10"/>
        <v/>
      </c>
      <c r="Q274" s="43">
        <f t="shared" si="11"/>
        <v>0</v>
      </c>
    </row>
    <row r="275" spans="2:17" ht="15" customHeight="1">
      <c r="B275" s="26" t="str">
        <f>_xlfn.IFNA(VLOOKUP(C275,Master_Section!$H:$I,2,FALSE),"")</f>
        <v/>
      </c>
      <c r="D275" s="26" t="str">
        <f>_xlfn.IFNA(VLOOKUP(E275,Master_Section!$H:$I,2,FALSE),"")</f>
        <v/>
      </c>
      <c r="F275" s="81" t="str">
        <f>_xlfn.IFNA(VLOOKUP(G275,Master!AE:AF,2,FALSE),"")</f>
        <v/>
      </c>
      <c r="I275" s="42" t="str">
        <f>_xlfn.IFNA(VLOOKUP(D275,Master_Section!$I:$K,2,FALSE),"")</f>
        <v/>
      </c>
      <c r="J275" s="42" t="str">
        <f>_xlfn.IFNA(VLOOKUP(D275,Master_Section!$I:$K,3,FALSE),"")</f>
        <v/>
      </c>
      <c r="P275" s="80" t="str">
        <f t="shared" si="10"/>
        <v/>
      </c>
      <c r="Q275" s="43">
        <f t="shared" si="11"/>
        <v>0</v>
      </c>
    </row>
    <row r="276" spans="2:17" ht="15" customHeight="1">
      <c r="B276" s="26" t="str">
        <f>_xlfn.IFNA(VLOOKUP(C276,Master_Section!$H:$I,2,FALSE),"")</f>
        <v/>
      </c>
      <c r="D276" s="26" t="str">
        <f>_xlfn.IFNA(VLOOKUP(E276,Master_Section!$H:$I,2,FALSE),"")</f>
        <v/>
      </c>
      <c r="F276" s="81" t="str">
        <f>_xlfn.IFNA(VLOOKUP(G276,Master!AE:AF,2,FALSE),"")</f>
        <v/>
      </c>
      <c r="I276" s="42" t="str">
        <f>_xlfn.IFNA(VLOOKUP(D276,Master_Section!$I:$K,2,FALSE),"")</f>
        <v/>
      </c>
      <c r="J276" s="42" t="str">
        <f>_xlfn.IFNA(VLOOKUP(D276,Master_Section!$I:$K,3,FALSE),"")</f>
        <v/>
      </c>
      <c r="P276" s="80" t="str">
        <f t="shared" si="10"/>
        <v/>
      </c>
      <c r="Q276" s="43">
        <f t="shared" si="11"/>
        <v>0</v>
      </c>
    </row>
    <row r="277" spans="2:17" ht="15" customHeight="1">
      <c r="B277" s="26" t="str">
        <f>_xlfn.IFNA(VLOOKUP(C277,Master_Section!$H:$I,2,FALSE),"")</f>
        <v/>
      </c>
      <c r="D277" s="26" t="str">
        <f>_xlfn.IFNA(VLOOKUP(E277,Master_Section!$H:$I,2,FALSE),"")</f>
        <v/>
      </c>
      <c r="F277" s="81" t="str">
        <f>_xlfn.IFNA(VLOOKUP(G277,Master!AE:AF,2,FALSE),"")</f>
        <v/>
      </c>
      <c r="I277" s="42" t="str">
        <f>_xlfn.IFNA(VLOOKUP(D277,Master_Section!$I:$K,2,FALSE),"")</f>
        <v/>
      </c>
      <c r="J277" s="42" t="str">
        <f>_xlfn.IFNA(VLOOKUP(D277,Master_Section!$I:$K,3,FALSE),"")</f>
        <v/>
      </c>
      <c r="P277" s="80" t="str">
        <f t="shared" si="10"/>
        <v/>
      </c>
      <c r="Q277" s="43">
        <f t="shared" si="11"/>
        <v>0</v>
      </c>
    </row>
    <row r="278" spans="2:17" ht="15" customHeight="1">
      <c r="B278" s="26" t="str">
        <f>_xlfn.IFNA(VLOOKUP(C278,Master_Section!$H:$I,2,FALSE),"")</f>
        <v/>
      </c>
      <c r="D278" s="26" t="str">
        <f>_xlfn.IFNA(VLOOKUP(E278,Master_Section!$H:$I,2,FALSE),"")</f>
        <v/>
      </c>
      <c r="F278" s="81" t="str">
        <f>_xlfn.IFNA(VLOOKUP(G278,Master!AE:AF,2,FALSE),"")</f>
        <v/>
      </c>
      <c r="I278" s="42" t="str">
        <f>_xlfn.IFNA(VLOOKUP(D278,Master_Section!$I:$K,2,FALSE),"")</f>
        <v/>
      </c>
      <c r="J278" s="42" t="str">
        <f>_xlfn.IFNA(VLOOKUP(D278,Master_Section!$I:$K,3,FALSE),"")</f>
        <v/>
      </c>
      <c r="P278" s="80" t="str">
        <f t="shared" si="10"/>
        <v/>
      </c>
      <c r="Q278" s="43">
        <f t="shared" si="11"/>
        <v>0</v>
      </c>
    </row>
    <row r="279" spans="2:17" ht="15" customHeight="1">
      <c r="B279" s="26" t="str">
        <f>_xlfn.IFNA(VLOOKUP(C279,Master_Section!$H:$I,2,FALSE),"")</f>
        <v/>
      </c>
      <c r="D279" s="26" t="str">
        <f>_xlfn.IFNA(VLOOKUP(E279,Master_Section!$H:$I,2,FALSE),"")</f>
        <v/>
      </c>
      <c r="F279" s="81" t="str">
        <f>_xlfn.IFNA(VLOOKUP(G279,Master!AE:AF,2,FALSE),"")</f>
        <v/>
      </c>
      <c r="I279" s="42" t="str">
        <f>_xlfn.IFNA(VLOOKUP(D279,Master_Section!$I:$K,2,FALSE),"")</f>
        <v/>
      </c>
      <c r="J279" s="42" t="str">
        <f>_xlfn.IFNA(VLOOKUP(D279,Master_Section!$I:$K,3,FALSE),"")</f>
        <v/>
      </c>
      <c r="P279" s="80" t="str">
        <f t="shared" si="10"/>
        <v/>
      </c>
      <c r="Q279" s="43">
        <f t="shared" si="11"/>
        <v>0</v>
      </c>
    </row>
    <row r="280" spans="2:17" ht="15" customHeight="1">
      <c r="B280" s="26" t="str">
        <f>_xlfn.IFNA(VLOOKUP(C280,Master_Section!$H:$I,2,FALSE),"")</f>
        <v/>
      </c>
      <c r="D280" s="26" t="str">
        <f>_xlfn.IFNA(VLOOKUP(E280,Master_Section!$H:$I,2,FALSE),"")</f>
        <v/>
      </c>
      <c r="F280" s="81" t="str">
        <f>_xlfn.IFNA(VLOOKUP(G280,Master!AE:AF,2,FALSE),"")</f>
        <v/>
      </c>
      <c r="I280" s="42" t="str">
        <f>_xlfn.IFNA(VLOOKUP(D280,Master_Section!$I:$K,2,FALSE),"")</f>
        <v/>
      </c>
      <c r="J280" s="42" t="str">
        <f>_xlfn.IFNA(VLOOKUP(D280,Master_Section!$I:$K,3,FALSE),"")</f>
        <v/>
      </c>
      <c r="P280" s="80" t="str">
        <f t="shared" si="10"/>
        <v/>
      </c>
      <c r="Q280" s="43">
        <f t="shared" si="11"/>
        <v>0</v>
      </c>
    </row>
    <row r="281" spans="2:17" ht="15" customHeight="1">
      <c r="B281" s="26" t="str">
        <f>_xlfn.IFNA(VLOOKUP(C281,Master_Section!$H:$I,2,FALSE),"")</f>
        <v/>
      </c>
      <c r="D281" s="26" t="str">
        <f>_xlfn.IFNA(VLOOKUP(E281,Master_Section!$H:$I,2,FALSE),"")</f>
        <v/>
      </c>
      <c r="F281" s="81" t="str">
        <f>_xlfn.IFNA(VLOOKUP(G281,Master!AE:AF,2,FALSE),"")</f>
        <v/>
      </c>
      <c r="I281" s="42" t="str">
        <f>_xlfn.IFNA(VLOOKUP(D281,Master_Section!$I:$K,2,FALSE),"")</f>
        <v/>
      </c>
      <c r="J281" s="42" t="str">
        <f>_xlfn.IFNA(VLOOKUP(D281,Master_Section!$I:$K,3,FALSE),"")</f>
        <v/>
      </c>
      <c r="P281" s="80" t="str">
        <f t="shared" si="10"/>
        <v/>
      </c>
      <c r="Q281" s="43">
        <f t="shared" si="11"/>
        <v>0</v>
      </c>
    </row>
    <row r="282" spans="2:17" ht="15" customHeight="1">
      <c r="B282" s="26" t="str">
        <f>_xlfn.IFNA(VLOOKUP(C282,Master_Section!$H:$I,2,FALSE),"")</f>
        <v/>
      </c>
      <c r="D282" s="26" t="str">
        <f>_xlfn.IFNA(VLOOKUP(E282,Master_Section!$H:$I,2,FALSE),"")</f>
        <v/>
      </c>
      <c r="F282" s="81" t="str">
        <f>_xlfn.IFNA(VLOOKUP(G282,Master!AE:AF,2,FALSE),"")</f>
        <v/>
      </c>
      <c r="I282" s="42" t="str">
        <f>_xlfn.IFNA(VLOOKUP(D282,Master_Section!$I:$K,2,FALSE),"")</f>
        <v/>
      </c>
      <c r="J282" s="42" t="str">
        <f>_xlfn.IFNA(VLOOKUP(D282,Master_Section!$I:$K,3,FALSE),"")</f>
        <v/>
      </c>
      <c r="P282" s="80" t="str">
        <f t="shared" si="10"/>
        <v/>
      </c>
      <c r="Q282" s="43">
        <f t="shared" si="11"/>
        <v>0</v>
      </c>
    </row>
    <row r="283" spans="2:17" ht="15" customHeight="1">
      <c r="B283" s="26" t="str">
        <f>_xlfn.IFNA(VLOOKUP(C283,Master_Section!$H:$I,2,FALSE),"")</f>
        <v/>
      </c>
      <c r="D283" s="26" t="str">
        <f>_xlfn.IFNA(VLOOKUP(E283,Master_Section!$H:$I,2,FALSE),"")</f>
        <v/>
      </c>
      <c r="F283" s="81" t="str">
        <f>_xlfn.IFNA(VLOOKUP(G283,Master!AE:AF,2,FALSE),"")</f>
        <v/>
      </c>
      <c r="I283" s="42" t="str">
        <f>_xlfn.IFNA(VLOOKUP(D283,Master_Section!$I:$K,2,FALSE),"")</f>
        <v/>
      </c>
      <c r="J283" s="42" t="str">
        <f>_xlfn.IFNA(VLOOKUP(D283,Master_Section!$I:$K,3,FALSE),"")</f>
        <v/>
      </c>
      <c r="P283" s="80" t="str">
        <f t="shared" si="10"/>
        <v/>
      </c>
      <c r="Q283" s="43">
        <f t="shared" si="11"/>
        <v>0</v>
      </c>
    </row>
    <row r="284" spans="2:17" ht="15" customHeight="1">
      <c r="B284" s="26" t="str">
        <f>_xlfn.IFNA(VLOOKUP(C284,Master_Section!$H:$I,2,FALSE),"")</f>
        <v/>
      </c>
      <c r="D284" s="26" t="str">
        <f>_xlfn.IFNA(VLOOKUP(E284,Master_Section!$H:$I,2,FALSE),"")</f>
        <v/>
      </c>
      <c r="F284" s="81" t="str">
        <f>_xlfn.IFNA(VLOOKUP(G284,Master!AE:AF,2,FALSE),"")</f>
        <v/>
      </c>
      <c r="I284" s="42" t="str">
        <f>_xlfn.IFNA(VLOOKUP(D284,Master_Section!$I:$K,2,FALSE),"")</f>
        <v/>
      </c>
      <c r="J284" s="42" t="str">
        <f>_xlfn.IFNA(VLOOKUP(D284,Master_Section!$I:$K,3,FALSE),"")</f>
        <v/>
      </c>
      <c r="P284" s="80" t="str">
        <f t="shared" si="10"/>
        <v/>
      </c>
      <c r="Q284" s="43">
        <f t="shared" si="11"/>
        <v>0</v>
      </c>
    </row>
    <row r="285" spans="2:17" ht="15" customHeight="1">
      <c r="B285" s="26" t="str">
        <f>_xlfn.IFNA(VLOOKUP(C285,Master_Section!$H:$I,2,FALSE),"")</f>
        <v/>
      </c>
      <c r="D285" s="26" t="str">
        <f>_xlfn.IFNA(VLOOKUP(E285,Master_Section!$H:$I,2,FALSE),"")</f>
        <v/>
      </c>
      <c r="F285" s="81" t="str">
        <f>_xlfn.IFNA(VLOOKUP(G285,Master!AE:AF,2,FALSE),"")</f>
        <v/>
      </c>
      <c r="I285" s="42" t="str">
        <f>_xlfn.IFNA(VLOOKUP(D285,Master_Section!$I:$K,2,FALSE),"")</f>
        <v/>
      </c>
      <c r="J285" s="42" t="str">
        <f>_xlfn.IFNA(VLOOKUP(D285,Master_Section!$I:$K,3,FALSE),"")</f>
        <v/>
      </c>
      <c r="P285" s="80" t="str">
        <f t="shared" si="10"/>
        <v/>
      </c>
      <c r="Q285" s="43">
        <f t="shared" si="11"/>
        <v>0</v>
      </c>
    </row>
    <row r="286" spans="2:17" ht="15" customHeight="1">
      <c r="B286" s="26" t="str">
        <f>_xlfn.IFNA(VLOOKUP(C286,Master_Section!$H:$I,2,FALSE),"")</f>
        <v/>
      </c>
      <c r="D286" s="26" t="str">
        <f>_xlfn.IFNA(VLOOKUP(E286,Master_Section!$H:$I,2,FALSE),"")</f>
        <v/>
      </c>
      <c r="F286" s="81" t="str">
        <f>_xlfn.IFNA(VLOOKUP(G286,Master!AE:AF,2,FALSE),"")</f>
        <v/>
      </c>
      <c r="I286" s="42" t="str">
        <f>_xlfn.IFNA(VLOOKUP(D286,Master_Section!$I:$K,2,FALSE),"")</f>
        <v/>
      </c>
      <c r="J286" s="42" t="str">
        <f>_xlfn.IFNA(VLOOKUP(D286,Master_Section!$I:$K,3,FALSE),"")</f>
        <v/>
      </c>
      <c r="P286" s="80" t="str">
        <f t="shared" si="10"/>
        <v/>
      </c>
      <c r="Q286" s="43">
        <f t="shared" si="11"/>
        <v>0</v>
      </c>
    </row>
    <row r="287" spans="2:17" ht="15" customHeight="1">
      <c r="B287" s="26" t="str">
        <f>_xlfn.IFNA(VLOOKUP(C287,Master_Section!$H:$I,2,FALSE),"")</f>
        <v/>
      </c>
      <c r="D287" s="26" t="str">
        <f>_xlfn.IFNA(VLOOKUP(E287,Master_Section!$H:$I,2,FALSE),"")</f>
        <v/>
      </c>
      <c r="F287" s="81" t="str">
        <f>_xlfn.IFNA(VLOOKUP(G287,Master!AE:AF,2,FALSE),"")</f>
        <v/>
      </c>
      <c r="I287" s="42" t="str">
        <f>_xlfn.IFNA(VLOOKUP(D287,Master_Section!$I:$K,2,FALSE),"")</f>
        <v/>
      </c>
      <c r="J287" s="42" t="str">
        <f>_xlfn.IFNA(VLOOKUP(D287,Master_Section!$I:$K,3,FALSE),"")</f>
        <v/>
      </c>
      <c r="P287" s="80" t="str">
        <f t="shared" si="10"/>
        <v/>
      </c>
      <c r="Q287" s="43">
        <f t="shared" si="11"/>
        <v>0</v>
      </c>
    </row>
    <row r="288" spans="2:17" ht="15" customHeight="1">
      <c r="B288" s="26" t="str">
        <f>_xlfn.IFNA(VLOOKUP(C288,Master_Section!$H:$I,2,FALSE),"")</f>
        <v/>
      </c>
      <c r="D288" s="26" t="str">
        <f>_xlfn.IFNA(VLOOKUP(E288,Master_Section!$H:$I,2,FALSE),"")</f>
        <v/>
      </c>
      <c r="F288" s="81" t="str">
        <f>_xlfn.IFNA(VLOOKUP(G288,Master!AE:AF,2,FALSE),"")</f>
        <v/>
      </c>
      <c r="I288" s="42" t="str">
        <f>_xlfn.IFNA(VLOOKUP(D288,Master_Section!$I:$K,2,FALSE),"")</f>
        <v/>
      </c>
      <c r="J288" s="42" t="str">
        <f>_xlfn.IFNA(VLOOKUP(D288,Master_Section!$I:$K,3,FALSE),"")</f>
        <v/>
      </c>
      <c r="P288" s="80" t="str">
        <f t="shared" si="10"/>
        <v/>
      </c>
      <c r="Q288" s="43">
        <f t="shared" si="11"/>
        <v>0</v>
      </c>
    </row>
    <row r="289" spans="2:17" ht="15" customHeight="1">
      <c r="B289" s="26" t="str">
        <f>_xlfn.IFNA(VLOOKUP(C289,Master_Section!$H:$I,2,FALSE),"")</f>
        <v/>
      </c>
      <c r="D289" s="26" t="str">
        <f>_xlfn.IFNA(VLOOKUP(E289,Master_Section!$H:$I,2,FALSE),"")</f>
        <v/>
      </c>
      <c r="F289" s="81" t="str">
        <f>_xlfn.IFNA(VLOOKUP(G289,Master!AE:AF,2,FALSE),"")</f>
        <v/>
      </c>
      <c r="I289" s="42" t="str">
        <f>_xlfn.IFNA(VLOOKUP(D289,Master_Section!$I:$K,2,FALSE),"")</f>
        <v/>
      </c>
      <c r="J289" s="42" t="str">
        <f>_xlfn.IFNA(VLOOKUP(D289,Master_Section!$I:$K,3,FALSE),"")</f>
        <v/>
      </c>
      <c r="P289" s="80" t="str">
        <f t="shared" si="10"/>
        <v/>
      </c>
      <c r="Q289" s="43">
        <f t="shared" si="11"/>
        <v>0</v>
      </c>
    </row>
    <row r="290" spans="2:17" ht="15" customHeight="1">
      <c r="B290" s="26" t="str">
        <f>_xlfn.IFNA(VLOOKUP(C290,Master_Section!$H:$I,2,FALSE),"")</f>
        <v/>
      </c>
      <c r="D290" s="26" t="str">
        <f>_xlfn.IFNA(VLOOKUP(E290,Master_Section!$H:$I,2,FALSE),"")</f>
        <v/>
      </c>
      <c r="F290" s="81" t="str">
        <f>_xlfn.IFNA(VLOOKUP(G290,Master!AE:AF,2,FALSE),"")</f>
        <v/>
      </c>
      <c r="I290" s="42" t="str">
        <f>_xlfn.IFNA(VLOOKUP(D290,Master_Section!$I:$K,2,FALSE),"")</f>
        <v/>
      </c>
      <c r="J290" s="42" t="str">
        <f>_xlfn.IFNA(VLOOKUP(D290,Master_Section!$I:$K,3,FALSE),"")</f>
        <v/>
      </c>
      <c r="P290" s="80" t="str">
        <f t="shared" si="10"/>
        <v/>
      </c>
      <c r="Q290" s="43">
        <f t="shared" si="11"/>
        <v>0</v>
      </c>
    </row>
    <row r="291" spans="2:17" ht="15" customHeight="1">
      <c r="B291" s="26" t="str">
        <f>_xlfn.IFNA(VLOOKUP(C291,Master_Section!$H:$I,2,FALSE),"")</f>
        <v/>
      </c>
      <c r="D291" s="26" t="str">
        <f>_xlfn.IFNA(VLOOKUP(E291,Master_Section!$H:$I,2,FALSE),"")</f>
        <v/>
      </c>
      <c r="F291" s="81" t="str">
        <f>_xlfn.IFNA(VLOOKUP(G291,Master!AE:AF,2,FALSE),"")</f>
        <v/>
      </c>
      <c r="I291" s="42" t="str">
        <f>_xlfn.IFNA(VLOOKUP(D291,Master_Section!$I:$K,2,FALSE),"")</f>
        <v/>
      </c>
      <c r="J291" s="42" t="str">
        <f>_xlfn.IFNA(VLOOKUP(D291,Master_Section!$I:$K,3,FALSE),"")</f>
        <v/>
      </c>
      <c r="P291" s="80" t="str">
        <f t="shared" si="10"/>
        <v/>
      </c>
      <c r="Q291" s="43">
        <f t="shared" si="11"/>
        <v>0</v>
      </c>
    </row>
    <row r="292" spans="2:17" ht="15" customHeight="1">
      <c r="B292" s="26" t="str">
        <f>_xlfn.IFNA(VLOOKUP(C292,Master_Section!$H:$I,2,FALSE),"")</f>
        <v/>
      </c>
      <c r="D292" s="26" t="str">
        <f>_xlfn.IFNA(VLOOKUP(E292,Master_Section!$H:$I,2,FALSE),"")</f>
        <v/>
      </c>
      <c r="F292" s="81" t="str">
        <f>_xlfn.IFNA(VLOOKUP(G292,Master!AE:AF,2,FALSE),"")</f>
        <v/>
      </c>
      <c r="I292" s="42" t="str">
        <f>_xlfn.IFNA(VLOOKUP(D292,Master_Section!$I:$K,2,FALSE),"")</f>
        <v/>
      </c>
      <c r="J292" s="42" t="str">
        <f>_xlfn.IFNA(VLOOKUP(D292,Master_Section!$I:$K,3,FALSE),"")</f>
        <v/>
      </c>
      <c r="P292" s="80" t="str">
        <f t="shared" si="10"/>
        <v/>
      </c>
      <c r="Q292" s="43">
        <f t="shared" si="11"/>
        <v>0</v>
      </c>
    </row>
    <row r="293" spans="2:17" ht="15" customHeight="1">
      <c r="B293" s="26" t="str">
        <f>_xlfn.IFNA(VLOOKUP(C293,Master_Section!$H:$I,2,FALSE),"")</f>
        <v/>
      </c>
      <c r="D293" s="26" t="str">
        <f>_xlfn.IFNA(VLOOKUP(E293,Master_Section!$H:$I,2,FALSE),"")</f>
        <v/>
      </c>
      <c r="F293" s="81" t="str">
        <f>_xlfn.IFNA(VLOOKUP(G293,Master!AE:AF,2,FALSE),"")</f>
        <v/>
      </c>
      <c r="I293" s="42" t="str">
        <f>_xlfn.IFNA(VLOOKUP(D293,Master_Section!$I:$K,2,FALSE),"")</f>
        <v/>
      </c>
      <c r="J293" s="42" t="str">
        <f>_xlfn.IFNA(VLOOKUP(D293,Master_Section!$I:$K,3,FALSE),"")</f>
        <v/>
      </c>
      <c r="P293" s="80" t="str">
        <f t="shared" si="10"/>
        <v/>
      </c>
      <c r="Q293" s="43">
        <f t="shared" si="11"/>
        <v>0</v>
      </c>
    </row>
    <row r="294" spans="2:17" ht="15" customHeight="1">
      <c r="B294" s="26" t="str">
        <f>_xlfn.IFNA(VLOOKUP(C294,Master_Section!$H:$I,2,FALSE),"")</f>
        <v/>
      </c>
      <c r="D294" s="26" t="str">
        <f>_xlfn.IFNA(VLOOKUP(E294,Master_Section!$H:$I,2,FALSE),"")</f>
        <v/>
      </c>
      <c r="F294" s="81" t="str">
        <f>_xlfn.IFNA(VLOOKUP(G294,Master!AE:AF,2,FALSE),"")</f>
        <v/>
      </c>
      <c r="I294" s="42" t="str">
        <f>_xlfn.IFNA(VLOOKUP(D294,Master_Section!$I:$K,2,FALSE),"")</f>
        <v/>
      </c>
      <c r="J294" s="42" t="str">
        <f>_xlfn.IFNA(VLOOKUP(D294,Master_Section!$I:$K,3,FALSE),"")</f>
        <v/>
      </c>
      <c r="P294" s="80" t="str">
        <f t="shared" si="10"/>
        <v/>
      </c>
      <c r="Q294" s="43">
        <f t="shared" si="11"/>
        <v>0</v>
      </c>
    </row>
    <row r="295" spans="2:17" ht="15" customHeight="1">
      <c r="B295" s="26" t="str">
        <f>_xlfn.IFNA(VLOOKUP(C295,Master_Section!$H:$I,2,FALSE),"")</f>
        <v/>
      </c>
      <c r="D295" s="26" t="str">
        <f>_xlfn.IFNA(VLOOKUP(E295,Master_Section!$H:$I,2,FALSE),"")</f>
        <v/>
      </c>
      <c r="F295" s="81" t="str">
        <f>_xlfn.IFNA(VLOOKUP(G295,Master!AE:AF,2,FALSE),"")</f>
        <v/>
      </c>
      <c r="I295" s="42" t="str">
        <f>_xlfn.IFNA(VLOOKUP(D295,Master_Section!$I:$K,2,FALSE),"")</f>
        <v/>
      </c>
      <c r="J295" s="42" t="str">
        <f>_xlfn.IFNA(VLOOKUP(D295,Master_Section!$I:$K,3,FALSE),"")</f>
        <v/>
      </c>
      <c r="P295" s="80" t="str">
        <f t="shared" si="10"/>
        <v/>
      </c>
      <c r="Q295" s="43">
        <f t="shared" si="11"/>
        <v>0</v>
      </c>
    </row>
    <row r="296" spans="2:17" ht="15" customHeight="1">
      <c r="B296" s="26" t="str">
        <f>_xlfn.IFNA(VLOOKUP(C296,Master_Section!$H:$I,2,FALSE),"")</f>
        <v/>
      </c>
      <c r="D296" s="26" t="str">
        <f>_xlfn.IFNA(VLOOKUP(E296,Master_Section!$H:$I,2,FALSE),"")</f>
        <v/>
      </c>
      <c r="F296" s="81" t="str">
        <f>_xlfn.IFNA(VLOOKUP(G296,Master!AE:AF,2,FALSE),"")</f>
        <v/>
      </c>
      <c r="I296" s="42" t="str">
        <f>_xlfn.IFNA(VLOOKUP(D296,Master_Section!$I:$K,2,FALSE),"")</f>
        <v/>
      </c>
      <c r="J296" s="42" t="str">
        <f>_xlfn.IFNA(VLOOKUP(D296,Master_Section!$I:$K,3,FALSE),"")</f>
        <v/>
      </c>
      <c r="P296" s="80" t="str">
        <f t="shared" si="10"/>
        <v/>
      </c>
      <c r="Q296" s="43">
        <f t="shared" si="11"/>
        <v>0</v>
      </c>
    </row>
    <row r="297" spans="2:17" ht="15" customHeight="1">
      <c r="B297" s="26" t="str">
        <f>_xlfn.IFNA(VLOOKUP(C297,Master_Section!$H:$I,2,FALSE),"")</f>
        <v/>
      </c>
      <c r="D297" s="26" t="str">
        <f>_xlfn.IFNA(VLOOKUP(E297,Master_Section!$H:$I,2,FALSE),"")</f>
        <v/>
      </c>
      <c r="F297" s="81" t="str">
        <f>_xlfn.IFNA(VLOOKUP(G297,Master!AE:AF,2,FALSE),"")</f>
        <v/>
      </c>
      <c r="I297" s="42" t="str">
        <f>_xlfn.IFNA(VLOOKUP(D297,Master_Section!$I:$K,2,FALSE),"")</f>
        <v/>
      </c>
      <c r="J297" s="42" t="str">
        <f>_xlfn.IFNA(VLOOKUP(D297,Master_Section!$I:$K,3,FALSE),"")</f>
        <v/>
      </c>
      <c r="P297" s="80" t="str">
        <f t="shared" si="10"/>
        <v/>
      </c>
      <c r="Q297" s="43">
        <f t="shared" si="11"/>
        <v>0</v>
      </c>
    </row>
    <row r="298" spans="2:17" ht="15" customHeight="1">
      <c r="B298" s="26" t="str">
        <f>_xlfn.IFNA(VLOOKUP(C298,Master_Section!$H:$I,2,FALSE),"")</f>
        <v/>
      </c>
      <c r="D298" s="26" t="str">
        <f>_xlfn.IFNA(VLOOKUP(E298,Master_Section!$H:$I,2,FALSE),"")</f>
        <v/>
      </c>
      <c r="F298" s="81" t="str">
        <f>_xlfn.IFNA(VLOOKUP(G298,Master!AE:AF,2,FALSE),"")</f>
        <v/>
      </c>
      <c r="I298" s="42" t="str">
        <f>_xlfn.IFNA(VLOOKUP(D298,Master_Section!$I:$K,2,FALSE),"")</f>
        <v/>
      </c>
      <c r="J298" s="42" t="str">
        <f>_xlfn.IFNA(VLOOKUP(D298,Master_Section!$I:$K,3,FALSE),"")</f>
        <v/>
      </c>
      <c r="P298" s="80" t="str">
        <f t="shared" si="10"/>
        <v/>
      </c>
      <c r="Q298" s="43">
        <f t="shared" si="11"/>
        <v>0</v>
      </c>
    </row>
    <row r="299" spans="2:17" ht="15" customHeight="1">
      <c r="B299" s="26" t="str">
        <f>_xlfn.IFNA(VLOOKUP(C299,Master_Section!$H:$I,2,FALSE),"")</f>
        <v/>
      </c>
      <c r="D299" s="26" t="str">
        <f>_xlfn.IFNA(VLOOKUP(E299,Master_Section!$H:$I,2,FALSE),"")</f>
        <v/>
      </c>
      <c r="F299" s="81" t="str">
        <f>_xlfn.IFNA(VLOOKUP(G299,Master!AE:AF,2,FALSE),"")</f>
        <v/>
      </c>
      <c r="I299" s="42" t="str">
        <f>_xlfn.IFNA(VLOOKUP(D299,Master_Section!$I:$K,2,FALSE),"")</f>
        <v/>
      </c>
      <c r="J299" s="42" t="str">
        <f>_xlfn.IFNA(VLOOKUP(D299,Master_Section!$I:$K,3,FALSE),"")</f>
        <v/>
      </c>
      <c r="P299" s="80" t="str">
        <f t="shared" si="10"/>
        <v/>
      </c>
      <c r="Q299" s="43">
        <f t="shared" si="11"/>
        <v>0</v>
      </c>
    </row>
    <row r="300" spans="2:17" ht="15" customHeight="1">
      <c r="B300" s="26" t="str">
        <f>_xlfn.IFNA(VLOOKUP(C300,Master_Section!$H:$I,2,FALSE),"")</f>
        <v/>
      </c>
      <c r="D300" s="26" t="str">
        <f>_xlfn.IFNA(VLOOKUP(E300,Master_Section!$H:$I,2,FALSE),"")</f>
        <v/>
      </c>
      <c r="F300" s="81" t="str">
        <f>_xlfn.IFNA(VLOOKUP(G300,Master!AE:AF,2,FALSE),"")</f>
        <v/>
      </c>
      <c r="I300" s="42" t="str">
        <f>_xlfn.IFNA(VLOOKUP(D300,Master_Section!$I:$K,2,FALSE),"")</f>
        <v/>
      </c>
      <c r="J300" s="42" t="str">
        <f>_xlfn.IFNA(VLOOKUP(D300,Master_Section!$I:$K,3,FALSE),"")</f>
        <v/>
      </c>
      <c r="P300" s="80" t="str">
        <f t="shared" si="10"/>
        <v/>
      </c>
      <c r="Q300" s="43">
        <f t="shared" si="11"/>
        <v>0</v>
      </c>
    </row>
    <row r="301" spans="2:17" ht="15" customHeight="1">
      <c r="B301" s="26" t="str">
        <f>_xlfn.IFNA(VLOOKUP(C301,Master_Section!$H:$I,2,FALSE),"")</f>
        <v/>
      </c>
      <c r="D301" s="26" t="str">
        <f>_xlfn.IFNA(VLOOKUP(E301,Master_Section!$H:$I,2,FALSE),"")</f>
        <v/>
      </c>
      <c r="F301" s="81" t="str">
        <f>_xlfn.IFNA(VLOOKUP(G301,Master!AE:AF,2,FALSE),"")</f>
        <v/>
      </c>
      <c r="I301" s="42" t="str">
        <f>_xlfn.IFNA(VLOOKUP(D301,Master_Section!$I:$K,2,FALSE),"")</f>
        <v/>
      </c>
      <c r="J301" s="42" t="str">
        <f>_xlfn.IFNA(VLOOKUP(D301,Master_Section!$I:$K,3,FALSE),"")</f>
        <v/>
      </c>
      <c r="P301" s="80" t="str">
        <f t="shared" si="10"/>
        <v/>
      </c>
      <c r="Q301" s="43">
        <f t="shared" si="11"/>
        <v>0</v>
      </c>
    </row>
    <row r="302" spans="2:17" ht="15" customHeight="1">
      <c r="B302" s="26" t="str">
        <f>_xlfn.IFNA(VLOOKUP(C302,Master_Section!$H:$I,2,FALSE),"")</f>
        <v/>
      </c>
      <c r="D302" s="26" t="str">
        <f>_xlfn.IFNA(VLOOKUP(E302,Master_Section!$H:$I,2,FALSE),"")</f>
        <v/>
      </c>
      <c r="F302" s="81" t="str">
        <f>_xlfn.IFNA(VLOOKUP(G302,Master!AE:AF,2,FALSE),"")</f>
        <v/>
      </c>
      <c r="I302" s="42" t="str">
        <f>_xlfn.IFNA(VLOOKUP(D302,Master_Section!$I:$K,2,FALSE),"")</f>
        <v/>
      </c>
      <c r="J302" s="42" t="str">
        <f>_xlfn.IFNA(VLOOKUP(D302,Master_Section!$I:$K,3,FALSE),"")</f>
        <v/>
      </c>
      <c r="P302" s="80" t="str">
        <f t="shared" si="10"/>
        <v/>
      </c>
      <c r="Q302" s="43">
        <f t="shared" si="11"/>
        <v>0</v>
      </c>
    </row>
    <row r="303" spans="2:17" ht="15" customHeight="1">
      <c r="B303" s="26" t="str">
        <f>_xlfn.IFNA(VLOOKUP(C303,Master_Section!$H:$I,2,FALSE),"")</f>
        <v/>
      </c>
      <c r="D303" s="26" t="str">
        <f>_xlfn.IFNA(VLOOKUP(E303,Master_Section!$H:$I,2,FALSE),"")</f>
        <v/>
      </c>
      <c r="F303" s="81" t="str">
        <f>_xlfn.IFNA(VLOOKUP(G303,Master!AE:AF,2,FALSE),"")</f>
        <v/>
      </c>
      <c r="I303" s="42" t="str">
        <f>_xlfn.IFNA(VLOOKUP(D303,Master_Section!$I:$K,2,FALSE),"")</f>
        <v/>
      </c>
      <c r="J303" s="42" t="str">
        <f>_xlfn.IFNA(VLOOKUP(D303,Master_Section!$I:$K,3,FALSE),"")</f>
        <v/>
      </c>
      <c r="P303" s="80" t="str">
        <f t="shared" si="10"/>
        <v/>
      </c>
      <c r="Q303" s="43">
        <f t="shared" si="11"/>
        <v>0</v>
      </c>
    </row>
    <row r="304" spans="2:17" ht="15" customHeight="1">
      <c r="B304" s="26" t="str">
        <f>_xlfn.IFNA(VLOOKUP(C304,Master_Section!$H:$I,2,FALSE),"")</f>
        <v/>
      </c>
      <c r="D304" s="26" t="str">
        <f>_xlfn.IFNA(VLOOKUP(E304,Master_Section!$H:$I,2,FALSE),"")</f>
        <v/>
      </c>
      <c r="F304" s="81" t="str">
        <f>_xlfn.IFNA(VLOOKUP(G304,Master!AE:AF,2,FALSE),"")</f>
        <v/>
      </c>
      <c r="I304" s="42" t="str">
        <f>_xlfn.IFNA(VLOOKUP(D304,Master_Section!$I:$K,2,FALSE),"")</f>
        <v/>
      </c>
      <c r="J304" s="42" t="str">
        <f>_xlfn.IFNA(VLOOKUP(D304,Master_Section!$I:$K,3,FALSE),"")</f>
        <v/>
      </c>
      <c r="P304" s="80" t="str">
        <f t="shared" si="10"/>
        <v/>
      </c>
      <c r="Q304" s="43">
        <f t="shared" si="11"/>
        <v>0</v>
      </c>
    </row>
    <row r="305" spans="2:17" ht="15" customHeight="1">
      <c r="B305" s="26" t="str">
        <f>_xlfn.IFNA(VLOOKUP(C305,Master_Section!$H:$I,2,FALSE),"")</f>
        <v/>
      </c>
      <c r="D305" s="26" t="str">
        <f>_xlfn.IFNA(VLOOKUP(E305,Master_Section!$H:$I,2,FALSE),"")</f>
        <v/>
      </c>
      <c r="F305" s="81" t="str">
        <f>_xlfn.IFNA(VLOOKUP(G305,Master!AE:AF,2,FALSE),"")</f>
        <v/>
      </c>
      <c r="I305" s="42" t="str">
        <f>_xlfn.IFNA(VLOOKUP(D305,Master_Section!$I:$K,2,FALSE),"")</f>
        <v/>
      </c>
      <c r="J305" s="42" t="str">
        <f>_xlfn.IFNA(VLOOKUP(D305,Master_Section!$I:$K,3,FALSE),"")</f>
        <v/>
      </c>
      <c r="P305" s="80" t="str">
        <f t="shared" si="10"/>
        <v/>
      </c>
      <c r="Q305" s="43">
        <f t="shared" si="11"/>
        <v>0</v>
      </c>
    </row>
    <row r="306" spans="2:17" ht="15" customHeight="1">
      <c r="B306" s="26" t="str">
        <f>_xlfn.IFNA(VLOOKUP(C306,Master_Section!$H:$I,2,FALSE),"")</f>
        <v/>
      </c>
      <c r="D306" s="26" t="str">
        <f>_xlfn.IFNA(VLOOKUP(E306,Master_Section!$H:$I,2,FALSE),"")</f>
        <v/>
      </c>
      <c r="F306" s="81" t="str">
        <f>_xlfn.IFNA(VLOOKUP(G306,Master!AE:AF,2,FALSE),"")</f>
        <v/>
      </c>
      <c r="I306" s="42" t="str">
        <f>_xlfn.IFNA(VLOOKUP(D306,Master_Section!$I:$K,2,FALSE),"")</f>
        <v/>
      </c>
      <c r="J306" s="42" t="str">
        <f>_xlfn.IFNA(VLOOKUP(D306,Master_Section!$I:$K,3,FALSE),"")</f>
        <v/>
      </c>
      <c r="P306" s="80" t="str">
        <f t="shared" si="10"/>
        <v/>
      </c>
      <c r="Q306" s="43">
        <f t="shared" si="11"/>
        <v>0</v>
      </c>
    </row>
    <row r="307" spans="2:17" ht="15" customHeight="1">
      <c r="B307" s="26" t="str">
        <f>_xlfn.IFNA(VLOOKUP(C307,Master_Section!$H:$I,2,FALSE),"")</f>
        <v/>
      </c>
      <c r="D307" s="26" t="str">
        <f>_xlfn.IFNA(VLOOKUP(E307,Master_Section!$H:$I,2,FALSE),"")</f>
        <v/>
      </c>
      <c r="F307" s="81" t="str">
        <f>_xlfn.IFNA(VLOOKUP(G307,Master!AE:AF,2,FALSE),"")</f>
        <v/>
      </c>
      <c r="I307" s="42" t="str">
        <f>_xlfn.IFNA(VLOOKUP(D307,Master_Section!$I:$K,2,FALSE),"")</f>
        <v/>
      </c>
      <c r="J307" s="42" t="str">
        <f>_xlfn.IFNA(VLOOKUP(D307,Master_Section!$I:$K,3,FALSE),"")</f>
        <v/>
      </c>
      <c r="P307" s="80" t="str">
        <f t="shared" si="10"/>
        <v/>
      </c>
      <c r="Q307" s="43">
        <f t="shared" si="11"/>
        <v>0</v>
      </c>
    </row>
    <row r="308" spans="2:17" ht="15" customHeight="1">
      <c r="B308" s="26" t="str">
        <f>_xlfn.IFNA(VLOOKUP(C308,Master_Section!$H:$I,2,FALSE),"")</f>
        <v/>
      </c>
      <c r="D308" s="26" t="str">
        <f>_xlfn.IFNA(VLOOKUP(E308,Master_Section!$H:$I,2,FALSE),"")</f>
        <v/>
      </c>
      <c r="F308" s="81" t="str">
        <f>_xlfn.IFNA(VLOOKUP(G308,Master!AE:AF,2,FALSE),"")</f>
        <v/>
      </c>
      <c r="I308" s="42" t="str">
        <f>_xlfn.IFNA(VLOOKUP(D308,Master_Section!$I:$K,2,FALSE),"")</f>
        <v/>
      </c>
      <c r="J308" s="42" t="str">
        <f>_xlfn.IFNA(VLOOKUP(D308,Master_Section!$I:$K,3,FALSE),"")</f>
        <v/>
      </c>
      <c r="P308" s="80" t="str">
        <f t="shared" si="10"/>
        <v/>
      </c>
      <c r="Q308" s="43">
        <f t="shared" si="11"/>
        <v>0</v>
      </c>
    </row>
    <row r="309" spans="2:17" ht="15" customHeight="1">
      <c r="B309" s="26" t="str">
        <f>_xlfn.IFNA(VLOOKUP(C309,Master_Section!$H:$I,2,FALSE),"")</f>
        <v/>
      </c>
      <c r="D309" s="26" t="str">
        <f>_xlfn.IFNA(VLOOKUP(E309,Master_Section!$H:$I,2,FALSE),"")</f>
        <v/>
      </c>
      <c r="F309" s="81" t="str">
        <f>_xlfn.IFNA(VLOOKUP(G309,Master!AE:AF,2,FALSE),"")</f>
        <v/>
      </c>
      <c r="I309" s="42" t="str">
        <f>_xlfn.IFNA(VLOOKUP(D309,Master_Section!$I:$K,2,FALSE),"")</f>
        <v/>
      </c>
      <c r="J309" s="42" t="str">
        <f>_xlfn.IFNA(VLOOKUP(D309,Master_Section!$I:$K,3,FALSE),"")</f>
        <v/>
      </c>
      <c r="P309" s="80" t="str">
        <f t="shared" si="10"/>
        <v/>
      </c>
      <c r="Q309" s="43">
        <f t="shared" si="11"/>
        <v>0</v>
      </c>
    </row>
    <row r="310" spans="2:17" ht="15" customHeight="1">
      <c r="B310" s="26" t="str">
        <f>_xlfn.IFNA(VLOOKUP(C310,Master_Section!$H:$I,2,FALSE),"")</f>
        <v/>
      </c>
      <c r="D310" s="26" t="str">
        <f>_xlfn.IFNA(VLOOKUP(E310,Master_Section!$H:$I,2,FALSE),"")</f>
        <v/>
      </c>
      <c r="F310" s="81" t="str">
        <f>_xlfn.IFNA(VLOOKUP(G310,Master!AE:AF,2,FALSE),"")</f>
        <v/>
      </c>
      <c r="I310" s="42" t="str">
        <f>_xlfn.IFNA(VLOOKUP(D310,Master_Section!$I:$K,2,FALSE),"")</f>
        <v/>
      </c>
      <c r="J310" s="42" t="str">
        <f>_xlfn.IFNA(VLOOKUP(D310,Master_Section!$I:$K,3,FALSE),"")</f>
        <v/>
      </c>
      <c r="P310" s="80" t="str">
        <f t="shared" si="10"/>
        <v/>
      </c>
      <c r="Q310" s="43">
        <f t="shared" si="11"/>
        <v>0</v>
      </c>
    </row>
    <row r="311" spans="2:17" ht="15" customHeight="1">
      <c r="B311" s="26" t="str">
        <f>_xlfn.IFNA(VLOOKUP(C311,Master_Section!$H:$I,2,FALSE),"")</f>
        <v/>
      </c>
      <c r="D311" s="26" t="str">
        <f>_xlfn.IFNA(VLOOKUP(E311,Master_Section!$H:$I,2,FALSE),"")</f>
        <v/>
      </c>
      <c r="F311" s="81" t="str">
        <f>_xlfn.IFNA(VLOOKUP(G311,Master!AE:AF,2,FALSE),"")</f>
        <v/>
      </c>
      <c r="I311" s="42" t="str">
        <f>_xlfn.IFNA(VLOOKUP(D311,Master_Section!$I:$K,2,FALSE),"")</f>
        <v/>
      </c>
      <c r="J311" s="42" t="str">
        <f>_xlfn.IFNA(VLOOKUP(D311,Master_Section!$I:$K,3,FALSE),"")</f>
        <v/>
      </c>
      <c r="P311" s="80" t="str">
        <f t="shared" ref="P311:P374" si="12">IF(N311&lt;&gt;"",IF(MONTH(N311)&gt;=4,"FY1"&amp;RIGHT(YEAR(N311)+1,2),"FY1"&amp;RIGHT(YEAR(N311),2)),"")</f>
        <v/>
      </c>
      <c r="Q311" s="43">
        <f t="shared" ref="Q311:Q374" si="13">IF(K311&gt;0&amp;M311&gt;0,K311*M311,"")</f>
        <v>0</v>
      </c>
    </row>
    <row r="312" spans="2:17" ht="15" customHeight="1">
      <c r="B312" s="26" t="str">
        <f>_xlfn.IFNA(VLOOKUP(C312,Master_Section!$H:$I,2,FALSE),"")</f>
        <v/>
      </c>
      <c r="D312" s="26" t="str">
        <f>_xlfn.IFNA(VLOOKUP(E312,Master_Section!$H:$I,2,FALSE),"")</f>
        <v/>
      </c>
      <c r="F312" s="81" t="str">
        <f>_xlfn.IFNA(VLOOKUP(G312,Master!AE:AF,2,FALSE),"")</f>
        <v/>
      </c>
      <c r="I312" s="42" t="str">
        <f>_xlfn.IFNA(VLOOKUP(D312,Master_Section!$I:$K,2,FALSE),"")</f>
        <v/>
      </c>
      <c r="J312" s="42" t="str">
        <f>_xlfn.IFNA(VLOOKUP(D312,Master_Section!$I:$K,3,FALSE),"")</f>
        <v/>
      </c>
      <c r="P312" s="80" t="str">
        <f t="shared" si="12"/>
        <v/>
      </c>
      <c r="Q312" s="43">
        <f t="shared" si="13"/>
        <v>0</v>
      </c>
    </row>
    <row r="313" spans="2:17" ht="15" customHeight="1">
      <c r="B313" s="26" t="str">
        <f>_xlfn.IFNA(VLOOKUP(C313,Master_Section!$H:$I,2,FALSE),"")</f>
        <v/>
      </c>
      <c r="D313" s="26" t="str">
        <f>_xlfn.IFNA(VLOOKUP(E313,Master_Section!$H:$I,2,FALSE),"")</f>
        <v/>
      </c>
      <c r="F313" s="81" t="str">
        <f>_xlfn.IFNA(VLOOKUP(G313,Master!AE:AF,2,FALSE),"")</f>
        <v/>
      </c>
      <c r="I313" s="42" t="str">
        <f>_xlfn.IFNA(VLOOKUP(D313,Master_Section!$I:$K,2,FALSE),"")</f>
        <v/>
      </c>
      <c r="J313" s="42" t="str">
        <f>_xlfn.IFNA(VLOOKUP(D313,Master_Section!$I:$K,3,FALSE),"")</f>
        <v/>
      </c>
      <c r="P313" s="80" t="str">
        <f t="shared" si="12"/>
        <v/>
      </c>
      <c r="Q313" s="43">
        <f t="shared" si="13"/>
        <v>0</v>
      </c>
    </row>
    <row r="314" spans="2:17" ht="15" customHeight="1">
      <c r="B314" s="26" t="str">
        <f>_xlfn.IFNA(VLOOKUP(C314,Master_Section!$H:$I,2,FALSE),"")</f>
        <v/>
      </c>
      <c r="D314" s="26" t="str">
        <f>_xlfn.IFNA(VLOOKUP(E314,Master_Section!$H:$I,2,FALSE),"")</f>
        <v/>
      </c>
      <c r="F314" s="81" t="str">
        <f>_xlfn.IFNA(VLOOKUP(G314,Master!AE:AF,2,FALSE),"")</f>
        <v/>
      </c>
      <c r="I314" s="42" t="str">
        <f>_xlfn.IFNA(VLOOKUP(D314,Master_Section!$I:$K,2,FALSE),"")</f>
        <v/>
      </c>
      <c r="J314" s="42" t="str">
        <f>_xlfn.IFNA(VLOOKUP(D314,Master_Section!$I:$K,3,FALSE),"")</f>
        <v/>
      </c>
      <c r="P314" s="80" t="str">
        <f t="shared" si="12"/>
        <v/>
      </c>
      <c r="Q314" s="43">
        <f t="shared" si="13"/>
        <v>0</v>
      </c>
    </row>
    <row r="315" spans="2:17" ht="15" customHeight="1">
      <c r="B315" s="26" t="str">
        <f>_xlfn.IFNA(VLOOKUP(C315,Master_Section!$H:$I,2,FALSE),"")</f>
        <v/>
      </c>
      <c r="D315" s="26" t="str">
        <f>_xlfn.IFNA(VLOOKUP(E315,Master_Section!$H:$I,2,FALSE),"")</f>
        <v/>
      </c>
      <c r="F315" s="81" t="str">
        <f>_xlfn.IFNA(VLOOKUP(G315,Master!AE:AF,2,FALSE),"")</f>
        <v/>
      </c>
      <c r="I315" s="42" t="str">
        <f>_xlfn.IFNA(VLOOKUP(D315,Master_Section!$I:$K,2,FALSE),"")</f>
        <v/>
      </c>
      <c r="J315" s="42" t="str">
        <f>_xlfn.IFNA(VLOOKUP(D315,Master_Section!$I:$K,3,FALSE),"")</f>
        <v/>
      </c>
      <c r="P315" s="80" t="str">
        <f t="shared" si="12"/>
        <v/>
      </c>
      <c r="Q315" s="43">
        <f t="shared" si="13"/>
        <v>0</v>
      </c>
    </row>
    <row r="316" spans="2:17" ht="15" customHeight="1">
      <c r="B316" s="26" t="str">
        <f>_xlfn.IFNA(VLOOKUP(C316,Master_Section!$H:$I,2,FALSE),"")</f>
        <v/>
      </c>
      <c r="D316" s="26" t="str">
        <f>_xlfn.IFNA(VLOOKUP(E316,Master_Section!$H:$I,2,FALSE),"")</f>
        <v/>
      </c>
      <c r="F316" s="81" t="str">
        <f>_xlfn.IFNA(VLOOKUP(G316,Master!AE:AF,2,FALSE),"")</f>
        <v/>
      </c>
      <c r="I316" s="42" t="str">
        <f>_xlfn.IFNA(VLOOKUP(D316,Master_Section!$I:$K,2,FALSE),"")</f>
        <v/>
      </c>
      <c r="J316" s="42" t="str">
        <f>_xlfn.IFNA(VLOOKUP(D316,Master_Section!$I:$K,3,FALSE),"")</f>
        <v/>
      </c>
      <c r="P316" s="80" t="str">
        <f t="shared" si="12"/>
        <v/>
      </c>
      <c r="Q316" s="43">
        <f t="shared" si="13"/>
        <v>0</v>
      </c>
    </row>
    <row r="317" spans="2:17" ht="15" customHeight="1">
      <c r="B317" s="26" t="str">
        <f>_xlfn.IFNA(VLOOKUP(C317,Master_Section!$H:$I,2,FALSE),"")</f>
        <v/>
      </c>
      <c r="D317" s="26" t="str">
        <f>_xlfn.IFNA(VLOOKUP(E317,Master_Section!$H:$I,2,FALSE),"")</f>
        <v/>
      </c>
      <c r="F317" s="81" t="str">
        <f>_xlfn.IFNA(VLOOKUP(G317,Master!AE:AF,2,FALSE),"")</f>
        <v/>
      </c>
      <c r="I317" s="42" t="str">
        <f>_xlfn.IFNA(VLOOKUP(D317,Master_Section!$I:$K,2,FALSE),"")</f>
        <v/>
      </c>
      <c r="J317" s="42" t="str">
        <f>_xlfn.IFNA(VLOOKUP(D317,Master_Section!$I:$K,3,FALSE),"")</f>
        <v/>
      </c>
      <c r="P317" s="80" t="str">
        <f t="shared" si="12"/>
        <v/>
      </c>
      <c r="Q317" s="43">
        <f t="shared" si="13"/>
        <v>0</v>
      </c>
    </row>
    <row r="318" spans="2:17" ht="15" customHeight="1">
      <c r="B318" s="26" t="str">
        <f>_xlfn.IFNA(VLOOKUP(C318,Master_Section!$H:$I,2,FALSE),"")</f>
        <v/>
      </c>
      <c r="D318" s="26" t="str">
        <f>_xlfn.IFNA(VLOOKUP(E318,Master_Section!$H:$I,2,FALSE),"")</f>
        <v/>
      </c>
      <c r="F318" s="81" t="str">
        <f>_xlfn.IFNA(VLOOKUP(G318,Master!AE:AF,2,FALSE),"")</f>
        <v/>
      </c>
      <c r="I318" s="42" t="str">
        <f>_xlfn.IFNA(VLOOKUP(D318,Master_Section!$I:$K,2,FALSE),"")</f>
        <v/>
      </c>
      <c r="J318" s="42" t="str">
        <f>_xlfn.IFNA(VLOOKUP(D318,Master_Section!$I:$K,3,FALSE),"")</f>
        <v/>
      </c>
      <c r="P318" s="80" t="str">
        <f t="shared" si="12"/>
        <v/>
      </c>
      <c r="Q318" s="43">
        <f t="shared" si="13"/>
        <v>0</v>
      </c>
    </row>
    <row r="319" spans="2:17" ht="15" customHeight="1">
      <c r="B319" s="26" t="str">
        <f>_xlfn.IFNA(VLOOKUP(C319,Master_Section!$H:$I,2,FALSE),"")</f>
        <v/>
      </c>
      <c r="D319" s="26" t="str">
        <f>_xlfn.IFNA(VLOOKUP(E319,Master_Section!$H:$I,2,FALSE),"")</f>
        <v/>
      </c>
      <c r="F319" s="81" t="str">
        <f>_xlfn.IFNA(VLOOKUP(G319,Master!AE:AF,2,FALSE),"")</f>
        <v/>
      </c>
      <c r="I319" s="42" t="str">
        <f>_xlfn.IFNA(VLOOKUP(D319,Master_Section!$I:$K,2,FALSE),"")</f>
        <v/>
      </c>
      <c r="J319" s="42" t="str">
        <f>_xlfn.IFNA(VLOOKUP(D319,Master_Section!$I:$K,3,FALSE),"")</f>
        <v/>
      </c>
      <c r="P319" s="80" t="str">
        <f t="shared" si="12"/>
        <v/>
      </c>
      <c r="Q319" s="43">
        <f t="shared" si="13"/>
        <v>0</v>
      </c>
    </row>
    <row r="320" spans="2:17" ht="15" customHeight="1">
      <c r="B320" s="26" t="str">
        <f>_xlfn.IFNA(VLOOKUP(C320,Master_Section!$H:$I,2,FALSE),"")</f>
        <v/>
      </c>
      <c r="D320" s="26" t="str">
        <f>_xlfn.IFNA(VLOOKUP(E320,Master_Section!$H:$I,2,FALSE),"")</f>
        <v/>
      </c>
      <c r="F320" s="81" t="str">
        <f>_xlfn.IFNA(VLOOKUP(G320,Master!AE:AF,2,FALSE),"")</f>
        <v/>
      </c>
      <c r="I320" s="42" t="str">
        <f>_xlfn.IFNA(VLOOKUP(D320,Master_Section!$I:$K,2,FALSE),"")</f>
        <v/>
      </c>
      <c r="J320" s="42" t="str">
        <f>_xlfn.IFNA(VLOOKUP(D320,Master_Section!$I:$K,3,FALSE),"")</f>
        <v/>
      </c>
      <c r="P320" s="80" t="str">
        <f t="shared" si="12"/>
        <v/>
      </c>
      <c r="Q320" s="43">
        <f t="shared" si="13"/>
        <v>0</v>
      </c>
    </row>
    <row r="321" spans="2:17" ht="15" customHeight="1">
      <c r="B321" s="26" t="str">
        <f>_xlfn.IFNA(VLOOKUP(C321,Master_Section!$H:$I,2,FALSE),"")</f>
        <v/>
      </c>
      <c r="D321" s="26" t="str">
        <f>_xlfn.IFNA(VLOOKUP(E321,Master_Section!$H:$I,2,FALSE),"")</f>
        <v/>
      </c>
      <c r="F321" s="81" t="str">
        <f>_xlfn.IFNA(VLOOKUP(G321,Master!AE:AF,2,FALSE),"")</f>
        <v/>
      </c>
      <c r="I321" s="42" t="str">
        <f>_xlfn.IFNA(VLOOKUP(D321,Master_Section!$I:$K,2,FALSE),"")</f>
        <v/>
      </c>
      <c r="J321" s="42" t="str">
        <f>_xlfn.IFNA(VLOOKUP(D321,Master_Section!$I:$K,3,FALSE),"")</f>
        <v/>
      </c>
      <c r="P321" s="80" t="str">
        <f t="shared" si="12"/>
        <v/>
      </c>
      <c r="Q321" s="43">
        <f t="shared" si="13"/>
        <v>0</v>
      </c>
    </row>
    <row r="322" spans="2:17" ht="15" customHeight="1">
      <c r="B322" s="26" t="str">
        <f>_xlfn.IFNA(VLOOKUP(C322,Master_Section!$H:$I,2,FALSE),"")</f>
        <v/>
      </c>
      <c r="D322" s="26" t="str">
        <f>_xlfn.IFNA(VLOOKUP(E322,Master_Section!$H:$I,2,FALSE),"")</f>
        <v/>
      </c>
      <c r="F322" s="81" t="str">
        <f>_xlfn.IFNA(VLOOKUP(G322,Master!AE:AF,2,FALSE),"")</f>
        <v/>
      </c>
      <c r="I322" s="42" t="str">
        <f>_xlfn.IFNA(VLOOKUP(D322,Master_Section!$I:$K,2,FALSE),"")</f>
        <v/>
      </c>
      <c r="J322" s="42" t="str">
        <f>_xlfn.IFNA(VLOOKUP(D322,Master_Section!$I:$K,3,FALSE),"")</f>
        <v/>
      </c>
      <c r="P322" s="80" t="str">
        <f t="shared" si="12"/>
        <v/>
      </c>
      <c r="Q322" s="43">
        <f t="shared" si="13"/>
        <v>0</v>
      </c>
    </row>
    <row r="323" spans="2:17" ht="15" customHeight="1">
      <c r="B323" s="26" t="str">
        <f>_xlfn.IFNA(VLOOKUP(C323,Master_Section!$H:$I,2,FALSE),"")</f>
        <v/>
      </c>
      <c r="D323" s="26" t="str">
        <f>_xlfn.IFNA(VLOOKUP(E323,Master_Section!$H:$I,2,FALSE),"")</f>
        <v/>
      </c>
      <c r="F323" s="81" t="str">
        <f>_xlfn.IFNA(VLOOKUP(G323,Master!AE:AF,2,FALSE),"")</f>
        <v/>
      </c>
      <c r="I323" s="42" t="str">
        <f>_xlfn.IFNA(VLOOKUP(D323,Master_Section!$I:$K,2,FALSE),"")</f>
        <v/>
      </c>
      <c r="J323" s="42" t="str">
        <f>_xlfn.IFNA(VLOOKUP(D323,Master_Section!$I:$K,3,FALSE),"")</f>
        <v/>
      </c>
      <c r="P323" s="80" t="str">
        <f t="shared" si="12"/>
        <v/>
      </c>
      <c r="Q323" s="43">
        <f t="shared" si="13"/>
        <v>0</v>
      </c>
    </row>
    <row r="324" spans="2:17" ht="15" customHeight="1">
      <c r="B324" s="26" t="str">
        <f>_xlfn.IFNA(VLOOKUP(C324,Master_Section!$H:$I,2,FALSE),"")</f>
        <v/>
      </c>
      <c r="D324" s="26" t="str">
        <f>_xlfn.IFNA(VLOOKUP(E324,Master_Section!$H:$I,2,FALSE),"")</f>
        <v/>
      </c>
      <c r="F324" s="81" t="str">
        <f>_xlfn.IFNA(VLOOKUP(G324,Master!AE:AF,2,FALSE),"")</f>
        <v/>
      </c>
      <c r="I324" s="42" t="str">
        <f>_xlfn.IFNA(VLOOKUP(D324,Master_Section!$I:$K,2,FALSE),"")</f>
        <v/>
      </c>
      <c r="J324" s="42" t="str">
        <f>_xlfn.IFNA(VLOOKUP(D324,Master_Section!$I:$K,3,FALSE),"")</f>
        <v/>
      </c>
      <c r="P324" s="80" t="str">
        <f t="shared" si="12"/>
        <v/>
      </c>
      <c r="Q324" s="43">
        <f t="shared" si="13"/>
        <v>0</v>
      </c>
    </row>
    <row r="325" spans="2:17" ht="15" customHeight="1">
      <c r="B325" s="26" t="str">
        <f>_xlfn.IFNA(VLOOKUP(C325,Master_Section!$H:$I,2,FALSE),"")</f>
        <v/>
      </c>
      <c r="D325" s="26" t="str">
        <f>_xlfn.IFNA(VLOOKUP(E325,Master_Section!$H:$I,2,FALSE),"")</f>
        <v/>
      </c>
      <c r="F325" s="81" t="str">
        <f>_xlfn.IFNA(VLOOKUP(G325,Master!AE:AF,2,FALSE),"")</f>
        <v/>
      </c>
      <c r="I325" s="42" t="str">
        <f>_xlfn.IFNA(VLOOKUP(D325,Master_Section!$I:$K,2,FALSE),"")</f>
        <v/>
      </c>
      <c r="J325" s="42" t="str">
        <f>_xlfn.IFNA(VLOOKUP(D325,Master_Section!$I:$K,3,FALSE),"")</f>
        <v/>
      </c>
      <c r="P325" s="80" t="str">
        <f t="shared" si="12"/>
        <v/>
      </c>
      <c r="Q325" s="43">
        <f t="shared" si="13"/>
        <v>0</v>
      </c>
    </row>
    <row r="326" spans="2:17" ht="15" customHeight="1">
      <c r="B326" s="26" t="str">
        <f>_xlfn.IFNA(VLOOKUP(C326,Master_Section!$H:$I,2,FALSE),"")</f>
        <v/>
      </c>
      <c r="D326" s="26" t="str">
        <f>_xlfn.IFNA(VLOOKUP(E326,Master_Section!$H:$I,2,FALSE),"")</f>
        <v/>
      </c>
      <c r="F326" s="81" t="str">
        <f>_xlfn.IFNA(VLOOKUP(G326,Master!AE:AF,2,FALSE),"")</f>
        <v/>
      </c>
      <c r="I326" s="42" t="str">
        <f>_xlfn.IFNA(VLOOKUP(D326,Master_Section!$I:$K,2,FALSE),"")</f>
        <v/>
      </c>
      <c r="J326" s="42" t="str">
        <f>_xlfn.IFNA(VLOOKUP(D326,Master_Section!$I:$K,3,FALSE),"")</f>
        <v/>
      </c>
      <c r="P326" s="80" t="str">
        <f t="shared" si="12"/>
        <v/>
      </c>
      <c r="Q326" s="43">
        <f t="shared" si="13"/>
        <v>0</v>
      </c>
    </row>
    <row r="327" spans="2:17" ht="15" customHeight="1">
      <c r="B327" s="26" t="str">
        <f>_xlfn.IFNA(VLOOKUP(C327,Master_Section!$H:$I,2,FALSE),"")</f>
        <v/>
      </c>
      <c r="D327" s="26" t="str">
        <f>_xlfn.IFNA(VLOOKUP(E327,Master_Section!$H:$I,2,FALSE),"")</f>
        <v/>
      </c>
      <c r="F327" s="81" t="str">
        <f>_xlfn.IFNA(VLOOKUP(G327,Master!AE:AF,2,FALSE),"")</f>
        <v/>
      </c>
      <c r="I327" s="42" t="str">
        <f>_xlfn.IFNA(VLOOKUP(D327,Master_Section!$I:$K,2,FALSE),"")</f>
        <v/>
      </c>
      <c r="J327" s="42" t="str">
        <f>_xlfn.IFNA(VLOOKUP(D327,Master_Section!$I:$K,3,FALSE),"")</f>
        <v/>
      </c>
      <c r="P327" s="80" t="str">
        <f t="shared" si="12"/>
        <v/>
      </c>
      <c r="Q327" s="43">
        <f t="shared" si="13"/>
        <v>0</v>
      </c>
    </row>
    <row r="328" spans="2:17" ht="15" customHeight="1">
      <c r="B328" s="26" t="str">
        <f>_xlfn.IFNA(VLOOKUP(C328,Master_Section!$H:$I,2,FALSE),"")</f>
        <v/>
      </c>
      <c r="D328" s="26" t="str">
        <f>_xlfn.IFNA(VLOOKUP(E328,Master_Section!$H:$I,2,FALSE),"")</f>
        <v/>
      </c>
      <c r="F328" s="81" t="str">
        <f>_xlfn.IFNA(VLOOKUP(G328,Master!AE:AF,2,FALSE),"")</f>
        <v/>
      </c>
      <c r="I328" s="42" t="str">
        <f>_xlfn.IFNA(VLOOKUP(D328,Master_Section!$I:$K,2,FALSE),"")</f>
        <v/>
      </c>
      <c r="J328" s="42" t="str">
        <f>_xlfn.IFNA(VLOOKUP(D328,Master_Section!$I:$K,3,FALSE),"")</f>
        <v/>
      </c>
      <c r="P328" s="80" t="str">
        <f t="shared" si="12"/>
        <v/>
      </c>
      <c r="Q328" s="43">
        <f t="shared" si="13"/>
        <v>0</v>
      </c>
    </row>
    <row r="329" spans="2:17" ht="15" customHeight="1">
      <c r="B329" s="26" t="str">
        <f>_xlfn.IFNA(VLOOKUP(C329,Master_Section!$H:$I,2,FALSE),"")</f>
        <v/>
      </c>
      <c r="D329" s="26" t="str">
        <f>_xlfn.IFNA(VLOOKUP(E329,Master_Section!$H:$I,2,FALSE),"")</f>
        <v/>
      </c>
      <c r="F329" s="81" t="str">
        <f>_xlfn.IFNA(VLOOKUP(G329,Master!AE:AF,2,FALSE),"")</f>
        <v/>
      </c>
      <c r="I329" s="42" t="str">
        <f>_xlfn.IFNA(VLOOKUP(D329,Master_Section!$I:$K,2,FALSE),"")</f>
        <v/>
      </c>
      <c r="J329" s="42" t="str">
        <f>_xlfn.IFNA(VLOOKUP(D329,Master_Section!$I:$K,3,FALSE),"")</f>
        <v/>
      </c>
      <c r="P329" s="80" t="str">
        <f t="shared" si="12"/>
        <v/>
      </c>
      <c r="Q329" s="43">
        <f t="shared" si="13"/>
        <v>0</v>
      </c>
    </row>
    <row r="330" spans="2:17" ht="15" customHeight="1">
      <c r="B330" s="26" t="str">
        <f>_xlfn.IFNA(VLOOKUP(C330,Master_Section!$H:$I,2,FALSE),"")</f>
        <v/>
      </c>
      <c r="D330" s="26" t="str">
        <f>_xlfn.IFNA(VLOOKUP(E330,Master_Section!$H:$I,2,FALSE),"")</f>
        <v/>
      </c>
      <c r="F330" s="81" t="str">
        <f>_xlfn.IFNA(VLOOKUP(G330,Master!AE:AF,2,FALSE),"")</f>
        <v/>
      </c>
      <c r="I330" s="42" t="str">
        <f>_xlfn.IFNA(VLOOKUP(D330,Master_Section!$I:$K,2,FALSE),"")</f>
        <v/>
      </c>
      <c r="J330" s="42" t="str">
        <f>_xlfn.IFNA(VLOOKUP(D330,Master_Section!$I:$K,3,FALSE),"")</f>
        <v/>
      </c>
      <c r="P330" s="80" t="str">
        <f t="shared" si="12"/>
        <v/>
      </c>
      <c r="Q330" s="43">
        <f t="shared" si="13"/>
        <v>0</v>
      </c>
    </row>
    <row r="331" spans="2:17" ht="15" customHeight="1">
      <c r="B331" s="26" t="str">
        <f>_xlfn.IFNA(VLOOKUP(C331,Master_Section!$H:$I,2,FALSE),"")</f>
        <v/>
      </c>
      <c r="D331" s="26" t="str">
        <f>_xlfn.IFNA(VLOOKUP(E331,Master_Section!$H:$I,2,FALSE),"")</f>
        <v/>
      </c>
      <c r="F331" s="81" t="str">
        <f>_xlfn.IFNA(VLOOKUP(G331,Master!AE:AF,2,FALSE),"")</f>
        <v/>
      </c>
      <c r="I331" s="42" t="str">
        <f>_xlfn.IFNA(VLOOKUP(D331,Master_Section!$I:$K,2,FALSE),"")</f>
        <v/>
      </c>
      <c r="J331" s="42" t="str">
        <f>_xlfn.IFNA(VLOOKUP(D331,Master_Section!$I:$K,3,FALSE),"")</f>
        <v/>
      </c>
      <c r="P331" s="80" t="str">
        <f t="shared" si="12"/>
        <v/>
      </c>
      <c r="Q331" s="43">
        <f t="shared" si="13"/>
        <v>0</v>
      </c>
    </row>
    <row r="332" spans="2:17" ht="15" customHeight="1">
      <c r="B332" s="26" t="str">
        <f>_xlfn.IFNA(VLOOKUP(C332,Master_Section!$H:$I,2,FALSE),"")</f>
        <v/>
      </c>
      <c r="D332" s="26" t="str">
        <f>_xlfn.IFNA(VLOOKUP(E332,Master_Section!$H:$I,2,FALSE),"")</f>
        <v/>
      </c>
      <c r="F332" s="81" t="str">
        <f>_xlfn.IFNA(VLOOKUP(G332,Master!AE:AF,2,FALSE),"")</f>
        <v/>
      </c>
      <c r="I332" s="42" t="str">
        <f>_xlfn.IFNA(VLOOKUP(D332,Master_Section!$I:$K,2,FALSE),"")</f>
        <v/>
      </c>
      <c r="J332" s="42" t="str">
        <f>_xlfn.IFNA(VLOOKUP(D332,Master_Section!$I:$K,3,FALSE),"")</f>
        <v/>
      </c>
      <c r="P332" s="80" t="str">
        <f t="shared" si="12"/>
        <v/>
      </c>
      <c r="Q332" s="43">
        <f t="shared" si="13"/>
        <v>0</v>
      </c>
    </row>
    <row r="333" spans="2:17" ht="15" customHeight="1">
      <c r="B333" s="26" t="str">
        <f>_xlfn.IFNA(VLOOKUP(C333,Master_Section!$H:$I,2,FALSE),"")</f>
        <v/>
      </c>
      <c r="D333" s="26" t="str">
        <f>_xlfn.IFNA(VLOOKUP(E333,Master_Section!$H:$I,2,FALSE),"")</f>
        <v/>
      </c>
      <c r="F333" s="81" t="str">
        <f>_xlfn.IFNA(VLOOKUP(G333,Master!AE:AF,2,FALSE),"")</f>
        <v/>
      </c>
      <c r="I333" s="42" t="str">
        <f>_xlfn.IFNA(VLOOKUP(D333,Master_Section!$I:$K,2,FALSE),"")</f>
        <v/>
      </c>
      <c r="J333" s="42" t="str">
        <f>_xlfn.IFNA(VLOOKUP(D333,Master_Section!$I:$K,3,FALSE),"")</f>
        <v/>
      </c>
      <c r="P333" s="80" t="str">
        <f t="shared" si="12"/>
        <v/>
      </c>
      <c r="Q333" s="43">
        <f t="shared" si="13"/>
        <v>0</v>
      </c>
    </row>
    <row r="334" spans="2:17" ht="15" customHeight="1">
      <c r="B334" s="26" t="str">
        <f>_xlfn.IFNA(VLOOKUP(C334,Master_Section!$H:$I,2,FALSE),"")</f>
        <v/>
      </c>
      <c r="D334" s="26" t="str">
        <f>_xlfn.IFNA(VLOOKUP(E334,Master_Section!$H:$I,2,FALSE),"")</f>
        <v/>
      </c>
      <c r="F334" s="81" t="str">
        <f>_xlfn.IFNA(VLOOKUP(G334,Master!AE:AF,2,FALSE),"")</f>
        <v/>
      </c>
      <c r="I334" s="42" t="str">
        <f>_xlfn.IFNA(VLOOKUP(D334,Master_Section!$I:$K,2,FALSE),"")</f>
        <v/>
      </c>
      <c r="J334" s="42" t="str">
        <f>_xlfn.IFNA(VLOOKUP(D334,Master_Section!$I:$K,3,FALSE),"")</f>
        <v/>
      </c>
      <c r="P334" s="80" t="str">
        <f t="shared" si="12"/>
        <v/>
      </c>
      <c r="Q334" s="43">
        <f t="shared" si="13"/>
        <v>0</v>
      </c>
    </row>
    <row r="335" spans="2:17" ht="15" customHeight="1">
      <c r="B335" s="26" t="str">
        <f>_xlfn.IFNA(VLOOKUP(C335,Master_Section!$H:$I,2,FALSE),"")</f>
        <v/>
      </c>
      <c r="D335" s="26" t="str">
        <f>_xlfn.IFNA(VLOOKUP(E335,Master_Section!$H:$I,2,FALSE),"")</f>
        <v/>
      </c>
      <c r="F335" s="81" t="str">
        <f>_xlfn.IFNA(VLOOKUP(G335,Master!AE:AF,2,FALSE),"")</f>
        <v/>
      </c>
      <c r="I335" s="42" t="str">
        <f>_xlfn.IFNA(VLOOKUP(D335,Master_Section!$I:$K,2,FALSE),"")</f>
        <v/>
      </c>
      <c r="J335" s="42" t="str">
        <f>_xlfn.IFNA(VLOOKUP(D335,Master_Section!$I:$K,3,FALSE),"")</f>
        <v/>
      </c>
      <c r="P335" s="80" t="str">
        <f t="shared" si="12"/>
        <v/>
      </c>
      <c r="Q335" s="43">
        <f t="shared" si="13"/>
        <v>0</v>
      </c>
    </row>
    <row r="336" spans="2:17" ht="15" customHeight="1">
      <c r="B336" s="26" t="str">
        <f>_xlfn.IFNA(VLOOKUP(C336,Master_Section!$H:$I,2,FALSE),"")</f>
        <v/>
      </c>
      <c r="D336" s="26" t="str">
        <f>_xlfn.IFNA(VLOOKUP(E336,Master_Section!$H:$I,2,FALSE),"")</f>
        <v/>
      </c>
      <c r="F336" s="81" t="str">
        <f>_xlfn.IFNA(VLOOKUP(G336,Master!AE:AF,2,FALSE),"")</f>
        <v/>
      </c>
      <c r="I336" s="42" t="str">
        <f>_xlfn.IFNA(VLOOKUP(D336,Master_Section!$I:$K,2,FALSE),"")</f>
        <v/>
      </c>
      <c r="J336" s="42" t="str">
        <f>_xlfn.IFNA(VLOOKUP(D336,Master_Section!$I:$K,3,FALSE),"")</f>
        <v/>
      </c>
      <c r="P336" s="80" t="str">
        <f t="shared" si="12"/>
        <v/>
      </c>
      <c r="Q336" s="43">
        <f t="shared" si="13"/>
        <v>0</v>
      </c>
    </row>
    <row r="337" spans="2:17" ht="15" customHeight="1">
      <c r="B337" s="26" t="str">
        <f>_xlfn.IFNA(VLOOKUP(C337,Master_Section!$H:$I,2,FALSE),"")</f>
        <v/>
      </c>
      <c r="D337" s="26" t="str">
        <f>_xlfn.IFNA(VLOOKUP(E337,Master_Section!$H:$I,2,FALSE),"")</f>
        <v/>
      </c>
      <c r="F337" s="81" t="str">
        <f>_xlfn.IFNA(VLOOKUP(G337,Master!AE:AF,2,FALSE),"")</f>
        <v/>
      </c>
      <c r="I337" s="42" t="str">
        <f>_xlfn.IFNA(VLOOKUP(D337,Master_Section!$I:$K,2,FALSE),"")</f>
        <v/>
      </c>
      <c r="J337" s="42" t="str">
        <f>_xlfn.IFNA(VLOOKUP(D337,Master_Section!$I:$K,3,FALSE),"")</f>
        <v/>
      </c>
      <c r="P337" s="80" t="str">
        <f t="shared" si="12"/>
        <v/>
      </c>
      <c r="Q337" s="43">
        <f t="shared" si="13"/>
        <v>0</v>
      </c>
    </row>
    <row r="338" spans="2:17" ht="15" customHeight="1">
      <c r="B338" s="26" t="str">
        <f>_xlfn.IFNA(VLOOKUP(C338,Master_Section!$H:$I,2,FALSE),"")</f>
        <v/>
      </c>
      <c r="D338" s="26" t="str">
        <f>_xlfn.IFNA(VLOOKUP(E338,Master_Section!$H:$I,2,FALSE),"")</f>
        <v/>
      </c>
      <c r="F338" s="81" t="str">
        <f>_xlfn.IFNA(VLOOKUP(G338,Master!AE:AF,2,FALSE),"")</f>
        <v/>
      </c>
      <c r="I338" s="42" t="str">
        <f>_xlfn.IFNA(VLOOKUP(D338,Master_Section!$I:$K,2,FALSE),"")</f>
        <v/>
      </c>
      <c r="J338" s="42" t="str">
        <f>_xlfn.IFNA(VLOOKUP(D338,Master_Section!$I:$K,3,FALSE),"")</f>
        <v/>
      </c>
      <c r="P338" s="80" t="str">
        <f t="shared" si="12"/>
        <v/>
      </c>
      <c r="Q338" s="43">
        <f t="shared" si="13"/>
        <v>0</v>
      </c>
    </row>
    <row r="339" spans="2:17" ht="15" customHeight="1">
      <c r="B339" s="26" t="str">
        <f>_xlfn.IFNA(VLOOKUP(C339,Master_Section!$H:$I,2,FALSE),"")</f>
        <v/>
      </c>
      <c r="D339" s="26" t="str">
        <f>_xlfn.IFNA(VLOOKUP(E339,Master_Section!$H:$I,2,FALSE),"")</f>
        <v/>
      </c>
      <c r="F339" s="81" t="str">
        <f>_xlfn.IFNA(VLOOKUP(G339,Master!AE:AF,2,FALSE),"")</f>
        <v/>
      </c>
      <c r="I339" s="42" t="str">
        <f>_xlfn.IFNA(VLOOKUP(D339,Master_Section!$I:$K,2,FALSE),"")</f>
        <v/>
      </c>
      <c r="J339" s="42" t="str">
        <f>_xlfn.IFNA(VLOOKUP(D339,Master_Section!$I:$K,3,FALSE),"")</f>
        <v/>
      </c>
      <c r="P339" s="80" t="str">
        <f t="shared" si="12"/>
        <v/>
      </c>
      <c r="Q339" s="43">
        <f t="shared" si="13"/>
        <v>0</v>
      </c>
    </row>
    <row r="340" spans="2:17" ht="15" customHeight="1">
      <c r="B340" s="26" t="str">
        <f>_xlfn.IFNA(VLOOKUP(C340,Master_Section!$H:$I,2,FALSE),"")</f>
        <v/>
      </c>
      <c r="D340" s="26" t="str">
        <f>_xlfn.IFNA(VLOOKUP(E340,Master_Section!$H:$I,2,FALSE),"")</f>
        <v/>
      </c>
      <c r="F340" s="81" t="str">
        <f>_xlfn.IFNA(VLOOKUP(G340,Master!AE:AF,2,FALSE),"")</f>
        <v/>
      </c>
      <c r="I340" s="42" t="str">
        <f>_xlfn.IFNA(VLOOKUP(D340,Master_Section!$I:$K,2,FALSE),"")</f>
        <v/>
      </c>
      <c r="J340" s="42" t="str">
        <f>_xlfn.IFNA(VLOOKUP(D340,Master_Section!$I:$K,3,FALSE),"")</f>
        <v/>
      </c>
      <c r="P340" s="80" t="str">
        <f t="shared" si="12"/>
        <v/>
      </c>
      <c r="Q340" s="43">
        <f t="shared" si="13"/>
        <v>0</v>
      </c>
    </row>
    <row r="341" spans="2:17" ht="15" customHeight="1">
      <c r="B341" s="26" t="str">
        <f>_xlfn.IFNA(VLOOKUP(C341,Master_Section!$H:$I,2,FALSE),"")</f>
        <v/>
      </c>
      <c r="D341" s="26" t="str">
        <f>_xlfn.IFNA(VLOOKUP(E341,Master_Section!$H:$I,2,FALSE),"")</f>
        <v/>
      </c>
      <c r="F341" s="81" t="str">
        <f>_xlfn.IFNA(VLOOKUP(G341,Master!AE:AF,2,FALSE),"")</f>
        <v/>
      </c>
      <c r="I341" s="42" t="str">
        <f>_xlfn.IFNA(VLOOKUP(D341,Master_Section!$I:$K,2,FALSE),"")</f>
        <v/>
      </c>
      <c r="J341" s="42" t="str">
        <f>_xlfn.IFNA(VLOOKUP(D341,Master_Section!$I:$K,3,FALSE),"")</f>
        <v/>
      </c>
      <c r="P341" s="80" t="str">
        <f t="shared" si="12"/>
        <v/>
      </c>
      <c r="Q341" s="43">
        <f t="shared" si="13"/>
        <v>0</v>
      </c>
    </row>
    <row r="342" spans="2:17" ht="15" customHeight="1">
      <c r="B342" s="26" t="str">
        <f>_xlfn.IFNA(VLOOKUP(C342,Master_Section!$H:$I,2,FALSE),"")</f>
        <v/>
      </c>
      <c r="D342" s="26" t="str">
        <f>_xlfn.IFNA(VLOOKUP(E342,Master_Section!$H:$I,2,FALSE),"")</f>
        <v/>
      </c>
      <c r="F342" s="81" t="str">
        <f>_xlfn.IFNA(VLOOKUP(G342,Master!AE:AF,2,FALSE),"")</f>
        <v/>
      </c>
      <c r="I342" s="42" t="str">
        <f>_xlfn.IFNA(VLOOKUP(D342,Master_Section!$I:$K,2,FALSE),"")</f>
        <v/>
      </c>
      <c r="J342" s="42" t="str">
        <f>_xlfn.IFNA(VLOOKUP(D342,Master_Section!$I:$K,3,FALSE),"")</f>
        <v/>
      </c>
      <c r="P342" s="80" t="str">
        <f t="shared" si="12"/>
        <v/>
      </c>
      <c r="Q342" s="43">
        <f t="shared" si="13"/>
        <v>0</v>
      </c>
    </row>
    <row r="343" spans="2:17" ht="15" customHeight="1">
      <c r="B343" s="26" t="str">
        <f>_xlfn.IFNA(VLOOKUP(C343,Master_Section!$H:$I,2,FALSE),"")</f>
        <v/>
      </c>
      <c r="F343" s="81" t="str">
        <f>_xlfn.IFNA(VLOOKUP(G343,Master!AE:AF,2,FALSE),"")</f>
        <v/>
      </c>
      <c r="I343" s="42" t="str">
        <f>_xlfn.IFNA(VLOOKUP(D343,Master_Section!$I:$K,2,FALSE),"")</f>
        <v/>
      </c>
      <c r="J343" s="42" t="str">
        <f>_xlfn.IFNA(VLOOKUP(D343,Master_Section!$I:$K,3,FALSE),"")</f>
        <v/>
      </c>
      <c r="P343" s="80" t="str">
        <f t="shared" si="12"/>
        <v/>
      </c>
      <c r="Q343" s="43">
        <f t="shared" si="13"/>
        <v>0</v>
      </c>
    </row>
    <row r="344" spans="2:17" ht="15" customHeight="1">
      <c r="B344" s="26" t="str">
        <f>_xlfn.IFNA(VLOOKUP(C344,Master_Section!$H:$I,2,FALSE),"")</f>
        <v/>
      </c>
      <c r="F344" s="81" t="str">
        <f>_xlfn.IFNA(VLOOKUP(G344,Master!AE:AF,2,FALSE),"")</f>
        <v/>
      </c>
      <c r="I344" s="42" t="str">
        <f>_xlfn.IFNA(VLOOKUP(D344,Master_Section!$I:$K,2,FALSE),"")</f>
        <v/>
      </c>
      <c r="J344" s="42" t="str">
        <f>_xlfn.IFNA(VLOOKUP(D344,Master_Section!$I:$K,3,FALSE),"")</f>
        <v/>
      </c>
      <c r="P344" s="80" t="str">
        <f t="shared" si="12"/>
        <v/>
      </c>
      <c r="Q344" s="43">
        <f t="shared" si="13"/>
        <v>0</v>
      </c>
    </row>
    <row r="345" spans="2:17" ht="15" customHeight="1">
      <c r="B345" s="26" t="str">
        <f>_xlfn.IFNA(VLOOKUP(C345,Master_Section!$H:$I,2,FALSE),"")</f>
        <v/>
      </c>
      <c r="F345" s="81" t="str">
        <f>_xlfn.IFNA(VLOOKUP(G345,Master!AE:AF,2,FALSE),"")</f>
        <v/>
      </c>
      <c r="I345" s="42" t="str">
        <f>_xlfn.IFNA(VLOOKUP(D345,Master_Section!$I:$K,2,FALSE),"")</f>
        <v/>
      </c>
      <c r="J345" s="42" t="str">
        <f>_xlfn.IFNA(VLOOKUP(D345,Master_Section!$I:$K,3,FALSE),"")</f>
        <v/>
      </c>
      <c r="P345" s="80" t="str">
        <f t="shared" si="12"/>
        <v/>
      </c>
      <c r="Q345" s="43">
        <f t="shared" si="13"/>
        <v>0</v>
      </c>
    </row>
    <row r="346" spans="2:17" ht="15" customHeight="1">
      <c r="B346" s="26" t="str">
        <f>_xlfn.IFNA(VLOOKUP(C346,Master_Section!$H:$I,2,FALSE),"")</f>
        <v/>
      </c>
      <c r="F346" s="81" t="str">
        <f>_xlfn.IFNA(VLOOKUP(G346,Master!AE:AF,2,FALSE),"")</f>
        <v/>
      </c>
      <c r="I346" s="42" t="str">
        <f>_xlfn.IFNA(VLOOKUP(D346,Master_Section!$I:$K,2,FALSE),"")</f>
        <v/>
      </c>
      <c r="J346" s="42" t="str">
        <f>_xlfn.IFNA(VLOOKUP(D346,Master_Section!$I:$K,3,FALSE),"")</f>
        <v/>
      </c>
      <c r="P346" s="80" t="str">
        <f t="shared" si="12"/>
        <v/>
      </c>
      <c r="Q346" s="43">
        <f t="shared" si="13"/>
        <v>0</v>
      </c>
    </row>
    <row r="347" spans="2:17" ht="15" customHeight="1">
      <c r="B347" s="26" t="str">
        <f>_xlfn.IFNA(VLOOKUP(C347,Master_Section!$H:$I,2,FALSE),"")</f>
        <v/>
      </c>
      <c r="F347" s="81" t="str">
        <f>_xlfn.IFNA(VLOOKUP(G347,Master!AE:AF,2,FALSE),"")</f>
        <v/>
      </c>
      <c r="I347" s="42" t="str">
        <f>_xlfn.IFNA(VLOOKUP(D347,Master_Section!$I:$K,2,FALSE),"")</f>
        <v/>
      </c>
      <c r="J347" s="42" t="str">
        <f>_xlfn.IFNA(VLOOKUP(D347,Master_Section!$I:$K,3,FALSE),"")</f>
        <v/>
      </c>
      <c r="P347" s="80" t="str">
        <f t="shared" si="12"/>
        <v/>
      </c>
      <c r="Q347" s="43">
        <f t="shared" si="13"/>
        <v>0</v>
      </c>
    </row>
    <row r="348" spans="2:17" ht="15" customHeight="1">
      <c r="B348" s="26" t="str">
        <f>_xlfn.IFNA(VLOOKUP(C348,Master_Section!$H:$I,2,FALSE),"")</f>
        <v/>
      </c>
      <c r="F348" s="81" t="str">
        <f>_xlfn.IFNA(VLOOKUP(G348,Master!AE:AF,2,FALSE),"")</f>
        <v/>
      </c>
      <c r="I348" s="42" t="str">
        <f>_xlfn.IFNA(VLOOKUP(D348,Master_Section!$I:$K,2,FALSE),"")</f>
        <v/>
      </c>
      <c r="J348" s="42" t="str">
        <f>_xlfn.IFNA(VLOOKUP(D348,Master_Section!$I:$K,3,FALSE),"")</f>
        <v/>
      </c>
      <c r="P348" s="80" t="str">
        <f t="shared" si="12"/>
        <v/>
      </c>
      <c r="Q348" s="43">
        <f t="shared" si="13"/>
        <v>0</v>
      </c>
    </row>
    <row r="349" spans="2:17" ht="15" customHeight="1">
      <c r="B349" s="26" t="str">
        <f>_xlfn.IFNA(VLOOKUP(C349,Master_Section!$H:$I,2,FALSE),"")</f>
        <v/>
      </c>
      <c r="F349" s="81" t="str">
        <f>_xlfn.IFNA(VLOOKUP(G349,Master!AE:AF,2,FALSE),"")</f>
        <v/>
      </c>
      <c r="I349" s="42" t="str">
        <f>_xlfn.IFNA(VLOOKUP(D349,Master_Section!$I:$K,2,FALSE),"")</f>
        <v/>
      </c>
      <c r="J349" s="42" t="str">
        <f>_xlfn.IFNA(VLOOKUP(D349,Master_Section!$I:$K,3,FALSE),"")</f>
        <v/>
      </c>
      <c r="P349" s="80" t="str">
        <f t="shared" si="12"/>
        <v/>
      </c>
      <c r="Q349" s="43">
        <f t="shared" si="13"/>
        <v>0</v>
      </c>
    </row>
    <row r="350" spans="2:17" ht="15" customHeight="1">
      <c r="B350" s="26" t="str">
        <f>_xlfn.IFNA(VLOOKUP(C350,Master_Section!$H:$I,2,FALSE),"")</f>
        <v/>
      </c>
      <c r="F350" s="81" t="str">
        <f>_xlfn.IFNA(VLOOKUP(G350,Master!AE:AF,2,FALSE),"")</f>
        <v/>
      </c>
      <c r="I350" s="42" t="str">
        <f>_xlfn.IFNA(VLOOKUP(D350,Master_Section!$I:$K,2,FALSE),"")</f>
        <v/>
      </c>
      <c r="J350" s="42" t="str">
        <f>_xlfn.IFNA(VLOOKUP(D350,Master_Section!$I:$K,3,FALSE),"")</f>
        <v/>
      </c>
      <c r="P350" s="80" t="str">
        <f t="shared" si="12"/>
        <v/>
      </c>
      <c r="Q350" s="43">
        <f t="shared" si="13"/>
        <v>0</v>
      </c>
    </row>
    <row r="351" spans="2:17" ht="15" customHeight="1">
      <c r="B351" s="26" t="str">
        <f>_xlfn.IFNA(VLOOKUP(C351,Master_Section!$H:$I,2,FALSE),"")</f>
        <v/>
      </c>
      <c r="F351" s="81" t="str">
        <f>_xlfn.IFNA(VLOOKUP(G351,Master!AE:AF,2,FALSE),"")</f>
        <v/>
      </c>
      <c r="I351" s="42" t="str">
        <f>_xlfn.IFNA(VLOOKUP(D351,Master_Section!$I:$K,2,FALSE),"")</f>
        <v/>
      </c>
      <c r="J351" s="42" t="str">
        <f>_xlfn.IFNA(VLOOKUP(D351,Master_Section!$I:$K,3,FALSE),"")</f>
        <v/>
      </c>
      <c r="P351" s="80" t="str">
        <f t="shared" si="12"/>
        <v/>
      </c>
      <c r="Q351" s="43">
        <f t="shared" si="13"/>
        <v>0</v>
      </c>
    </row>
    <row r="352" spans="2:17" ht="15" customHeight="1">
      <c r="B352" s="26" t="str">
        <f>_xlfn.IFNA(VLOOKUP(C352,Master_Section!$H:$I,2,FALSE),"")</f>
        <v/>
      </c>
      <c r="F352" s="81" t="str">
        <f>_xlfn.IFNA(VLOOKUP(G352,Master!AE:AF,2,FALSE),"")</f>
        <v/>
      </c>
      <c r="I352" s="42" t="str">
        <f>_xlfn.IFNA(VLOOKUP(D352,Master_Section!$I:$K,2,FALSE),"")</f>
        <v/>
      </c>
      <c r="J352" s="42" t="str">
        <f>_xlfn.IFNA(VLOOKUP(D352,Master_Section!$I:$K,3,FALSE),"")</f>
        <v/>
      </c>
      <c r="P352" s="80" t="str">
        <f t="shared" si="12"/>
        <v/>
      </c>
      <c r="Q352" s="43">
        <f t="shared" si="13"/>
        <v>0</v>
      </c>
    </row>
    <row r="353" spans="2:17" ht="15" customHeight="1">
      <c r="B353" s="26" t="str">
        <f>_xlfn.IFNA(VLOOKUP(C353,Master_Section!$H:$I,2,FALSE),"")</f>
        <v/>
      </c>
      <c r="F353" s="81" t="str">
        <f>_xlfn.IFNA(VLOOKUP(G353,Master!AE:AF,2,FALSE),"")</f>
        <v/>
      </c>
      <c r="I353" s="42" t="str">
        <f>_xlfn.IFNA(VLOOKUP(D353,Master_Section!$I:$K,2,FALSE),"")</f>
        <v/>
      </c>
      <c r="J353" s="42" t="str">
        <f>_xlfn.IFNA(VLOOKUP(D353,Master_Section!$I:$K,3,FALSE),"")</f>
        <v/>
      </c>
      <c r="P353" s="80" t="str">
        <f t="shared" si="12"/>
        <v/>
      </c>
      <c r="Q353" s="43">
        <f t="shared" si="13"/>
        <v>0</v>
      </c>
    </row>
    <row r="354" spans="2:17" ht="15" customHeight="1">
      <c r="B354" s="26" t="str">
        <f>_xlfn.IFNA(VLOOKUP(C354,Master_Section!$H:$I,2,FALSE),"")</f>
        <v/>
      </c>
      <c r="F354" s="81" t="str">
        <f>_xlfn.IFNA(VLOOKUP(G354,Master!AE:AF,2,FALSE),"")</f>
        <v/>
      </c>
      <c r="I354" s="42" t="str">
        <f>_xlfn.IFNA(VLOOKUP(D354,Master_Section!$I:$K,2,FALSE),"")</f>
        <v/>
      </c>
      <c r="J354" s="42" t="str">
        <f>_xlfn.IFNA(VLOOKUP(D354,Master_Section!$I:$K,3,FALSE),"")</f>
        <v/>
      </c>
      <c r="P354" s="80" t="str">
        <f t="shared" si="12"/>
        <v/>
      </c>
      <c r="Q354" s="43">
        <f t="shared" si="13"/>
        <v>0</v>
      </c>
    </row>
    <row r="355" spans="2:17" ht="15" customHeight="1">
      <c r="B355" s="26" t="str">
        <f>_xlfn.IFNA(VLOOKUP(C355,Master_Section!$H:$I,2,FALSE),"")</f>
        <v/>
      </c>
      <c r="F355" s="81" t="str">
        <f>_xlfn.IFNA(VLOOKUP(G355,Master!AE:AF,2,FALSE),"")</f>
        <v/>
      </c>
      <c r="I355" s="42" t="str">
        <f>_xlfn.IFNA(VLOOKUP(D355,Master_Section!$I:$K,2,FALSE),"")</f>
        <v/>
      </c>
      <c r="J355" s="42" t="str">
        <f>_xlfn.IFNA(VLOOKUP(D355,Master_Section!$I:$K,3,FALSE),"")</f>
        <v/>
      </c>
      <c r="P355" s="80" t="str">
        <f t="shared" si="12"/>
        <v/>
      </c>
      <c r="Q355" s="43">
        <f t="shared" si="13"/>
        <v>0</v>
      </c>
    </row>
    <row r="356" spans="2:17" ht="15" customHeight="1">
      <c r="B356" s="26" t="str">
        <f>_xlfn.IFNA(VLOOKUP(C356,Master_Section!$H:$I,2,FALSE),"")</f>
        <v/>
      </c>
      <c r="F356" s="81" t="str">
        <f>_xlfn.IFNA(VLOOKUP(G356,Master!AE:AF,2,FALSE),"")</f>
        <v/>
      </c>
      <c r="I356" s="42" t="str">
        <f>_xlfn.IFNA(VLOOKUP(D356,Master_Section!$I:$K,2,FALSE),"")</f>
        <v/>
      </c>
      <c r="J356" s="42" t="str">
        <f>_xlfn.IFNA(VLOOKUP(D356,Master_Section!$I:$K,3,FALSE),"")</f>
        <v/>
      </c>
      <c r="P356" s="80" t="str">
        <f t="shared" si="12"/>
        <v/>
      </c>
      <c r="Q356" s="43">
        <f t="shared" si="13"/>
        <v>0</v>
      </c>
    </row>
    <row r="357" spans="2:17" ht="15" customHeight="1">
      <c r="B357" s="26" t="str">
        <f>_xlfn.IFNA(VLOOKUP(C357,Master_Section!$H:$I,2,FALSE),"")</f>
        <v/>
      </c>
      <c r="F357" s="81" t="str">
        <f>_xlfn.IFNA(VLOOKUP(G357,Master!AE:AF,2,FALSE),"")</f>
        <v/>
      </c>
      <c r="I357" s="42" t="str">
        <f>_xlfn.IFNA(VLOOKUP(D357,Master_Section!$I:$K,2,FALSE),"")</f>
        <v/>
      </c>
      <c r="J357" s="42" t="str">
        <f>_xlfn.IFNA(VLOOKUP(D357,Master_Section!$I:$K,3,FALSE),"")</f>
        <v/>
      </c>
      <c r="P357" s="80" t="str">
        <f t="shared" si="12"/>
        <v/>
      </c>
      <c r="Q357" s="43">
        <f t="shared" si="13"/>
        <v>0</v>
      </c>
    </row>
    <row r="358" spans="2:17" ht="15" customHeight="1">
      <c r="B358" s="26" t="str">
        <f>_xlfn.IFNA(VLOOKUP(C358,Master_Section!$H:$I,2,FALSE),"")</f>
        <v/>
      </c>
      <c r="F358" s="81" t="str">
        <f>_xlfn.IFNA(VLOOKUP(G358,Master!AE:AF,2,FALSE),"")</f>
        <v/>
      </c>
      <c r="I358" s="42" t="str">
        <f>_xlfn.IFNA(VLOOKUP(D358,Master_Section!$I:$K,2,FALSE),"")</f>
        <v/>
      </c>
      <c r="J358" s="42" t="str">
        <f>_xlfn.IFNA(VLOOKUP(D358,Master_Section!$I:$K,3,FALSE),"")</f>
        <v/>
      </c>
      <c r="P358" s="80" t="str">
        <f t="shared" si="12"/>
        <v/>
      </c>
      <c r="Q358" s="43">
        <f t="shared" si="13"/>
        <v>0</v>
      </c>
    </row>
    <row r="359" spans="2:17" ht="15" customHeight="1">
      <c r="B359" s="26" t="str">
        <f>_xlfn.IFNA(VLOOKUP(C359,Master_Section!$H:$I,2,FALSE),"")</f>
        <v/>
      </c>
      <c r="F359" s="81" t="str">
        <f>_xlfn.IFNA(VLOOKUP(G359,Master!AE:AF,2,FALSE),"")</f>
        <v/>
      </c>
      <c r="I359" s="42" t="str">
        <f>_xlfn.IFNA(VLOOKUP(D359,Master_Section!$I:$K,2,FALSE),"")</f>
        <v/>
      </c>
      <c r="J359" s="42" t="str">
        <f>_xlfn.IFNA(VLOOKUP(D359,Master_Section!$I:$K,3,FALSE),"")</f>
        <v/>
      </c>
      <c r="P359" s="80" t="str">
        <f t="shared" si="12"/>
        <v/>
      </c>
      <c r="Q359" s="43">
        <f t="shared" si="13"/>
        <v>0</v>
      </c>
    </row>
    <row r="360" spans="2:17" ht="15" customHeight="1">
      <c r="B360" s="26" t="str">
        <f>_xlfn.IFNA(VLOOKUP(C360,Master_Section!$H:$I,2,FALSE),"")</f>
        <v/>
      </c>
      <c r="F360" s="81" t="str">
        <f>_xlfn.IFNA(VLOOKUP(G360,Master!AE:AF,2,FALSE),"")</f>
        <v/>
      </c>
      <c r="I360" s="42" t="str">
        <f>_xlfn.IFNA(VLOOKUP(D360,Master_Section!$I:$K,2,FALSE),"")</f>
        <v/>
      </c>
      <c r="J360" s="42" t="str">
        <f>_xlfn.IFNA(VLOOKUP(D360,Master_Section!$I:$K,3,FALSE),"")</f>
        <v/>
      </c>
      <c r="P360" s="80" t="str">
        <f t="shared" si="12"/>
        <v/>
      </c>
      <c r="Q360" s="43">
        <f t="shared" si="13"/>
        <v>0</v>
      </c>
    </row>
    <row r="361" spans="2:17" ht="15" customHeight="1">
      <c r="B361" s="26" t="str">
        <f>_xlfn.IFNA(VLOOKUP(C361,Master_Section!$H:$I,2,FALSE),"")</f>
        <v/>
      </c>
      <c r="F361" s="81" t="str">
        <f>_xlfn.IFNA(VLOOKUP(G361,Master!AE:AF,2,FALSE),"")</f>
        <v/>
      </c>
      <c r="I361" s="42" t="str">
        <f>_xlfn.IFNA(VLOOKUP(D361,Master_Section!$I:$K,2,FALSE),"")</f>
        <v/>
      </c>
      <c r="J361" s="42" t="str">
        <f>_xlfn.IFNA(VLOOKUP(D361,Master_Section!$I:$K,3,FALSE),"")</f>
        <v/>
      </c>
      <c r="P361" s="80" t="str">
        <f t="shared" si="12"/>
        <v/>
      </c>
      <c r="Q361" s="43">
        <f t="shared" si="13"/>
        <v>0</v>
      </c>
    </row>
    <row r="362" spans="2:17" ht="15" customHeight="1">
      <c r="B362" s="26" t="str">
        <f>_xlfn.IFNA(VLOOKUP(C362,Master_Section!$H:$I,2,FALSE),"")</f>
        <v/>
      </c>
      <c r="F362" s="81" t="str">
        <f>_xlfn.IFNA(VLOOKUP(G362,Master!AE:AF,2,FALSE),"")</f>
        <v/>
      </c>
      <c r="I362" s="42" t="str">
        <f>_xlfn.IFNA(VLOOKUP(D362,Master_Section!$I:$K,2,FALSE),"")</f>
        <v/>
      </c>
      <c r="J362" s="42" t="str">
        <f>_xlfn.IFNA(VLOOKUP(D362,Master_Section!$I:$K,3,FALSE),"")</f>
        <v/>
      </c>
      <c r="P362" s="80" t="str">
        <f t="shared" si="12"/>
        <v/>
      </c>
      <c r="Q362" s="43">
        <f t="shared" si="13"/>
        <v>0</v>
      </c>
    </row>
    <row r="363" spans="2:17" ht="15" customHeight="1">
      <c r="B363" s="26" t="str">
        <f>_xlfn.IFNA(VLOOKUP(C363,Master_Section!$H:$I,2,FALSE),"")</f>
        <v/>
      </c>
      <c r="F363" s="81" t="str">
        <f>_xlfn.IFNA(VLOOKUP(G363,Master!AE:AF,2,FALSE),"")</f>
        <v/>
      </c>
      <c r="I363" s="42" t="str">
        <f>_xlfn.IFNA(VLOOKUP(D363,Master_Section!$I:$K,2,FALSE),"")</f>
        <v/>
      </c>
      <c r="J363" s="42" t="str">
        <f>_xlfn.IFNA(VLOOKUP(D363,Master_Section!$I:$K,3,FALSE),"")</f>
        <v/>
      </c>
      <c r="P363" s="80" t="str">
        <f t="shared" si="12"/>
        <v/>
      </c>
      <c r="Q363" s="43">
        <f t="shared" si="13"/>
        <v>0</v>
      </c>
    </row>
    <row r="364" spans="2:17" ht="15" customHeight="1">
      <c r="B364" s="26" t="str">
        <f>_xlfn.IFNA(VLOOKUP(C364,Master_Section!$H:$I,2,FALSE),"")</f>
        <v/>
      </c>
      <c r="F364" s="81" t="str">
        <f>_xlfn.IFNA(VLOOKUP(G364,Master!AE:AF,2,FALSE),"")</f>
        <v/>
      </c>
      <c r="I364" s="42" t="str">
        <f>_xlfn.IFNA(VLOOKUP(D364,Master_Section!$I:$K,2,FALSE),"")</f>
        <v/>
      </c>
      <c r="J364" s="42" t="str">
        <f>_xlfn.IFNA(VLOOKUP(D364,Master_Section!$I:$K,3,FALSE),"")</f>
        <v/>
      </c>
      <c r="P364" s="80" t="str">
        <f t="shared" si="12"/>
        <v/>
      </c>
      <c r="Q364" s="43">
        <f t="shared" si="13"/>
        <v>0</v>
      </c>
    </row>
    <row r="365" spans="2:17" ht="15" customHeight="1">
      <c r="B365" s="26" t="str">
        <f>_xlfn.IFNA(VLOOKUP(C365,Master_Section!$H:$I,2,FALSE),"")</f>
        <v/>
      </c>
      <c r="F365" s="81" t="str">
        <f>_xlfn.IFNA(VLOOKUP(G365,Master!AE:AF,2,FALSE),"")</f>
        <v/>
      </c>
      <c r="I365" s="42" t="str">
        <f>_xlfn.IFNA(VLOOKUP(D365,Master_Section!$I:$K,2,FALSE),"")</f>
        <v/>
      </c>
      <c r="J365" s="42" t="str">
        <f>_xlfn.IFNA(VLOOKUP(D365,Master_Section!$I:$K,3,FALSE),"")</f>
        <v/>
      </c>
      <c r="P365" s="80" t="str">
        <f t="shared" si="12"/>
        <v/>
      </c>
      <c r="Q365" s="43">
        <f t="shared" si="13"/>
        <v>0</v>
      </c>
    </row>
    <row r="366" spans="2:17" ht="15" customHeight="1">
      <c r="B366" s="26" t="str">
        <f>_xlfn.IFNA(VLOOKUP(C366,Master_Section!$H:$I,2,FALSE),"")</f>
        <v/>
      </c>
      <c r="F366" s="81" t="str">
        <f>_xlfn.IFNA(VLOOKUP(G366,Master!AE:AF,2,FALSE),"")</f>
        <v/>
      </c>
      <c r="I366" s="42" t="str">
        <f>_xlfn.IFNA(VLOOKUP(D366,Master_Section!$I:$K,2,FALSE),"")</f>
        <v/>
      </c>
      <c r="J366" s="42" t="str">
        <f>_xlfn.IFNA(VLOOKUP(D366,Master_Section!$I:$K,3,FALSE),"")</f>
        <v/>
      </c>
      <c r="P366" s="80" t="str">
        <f t="shared" si="12"/>
        <v/>
      </c>
      <c r="Q366" s="43">
        <f t="shared" si="13"/>
        <v>0</v>
      </c>
    </row>
    <row r="367" spans="2:17" ht="15" customHeight="1">
      <c r="B367" s="26" t="str">
        <f>_xlfn.IFNA(VLOOKUP(C367,Master_Section!$H:$I,2,FALSE),"")</f>
        <v/>
      </c>
      <c r="F367" s="81" t="str">
        <f>_xlfn.IFNA(VLOOKUP(G367,Master!AE:AF,2,FALSE),"")</f>
        <v/>
      </c>
      <c r="I367" s="42" t="str">
        <f>_xlfn.IFNA(VLOOKUP(D367,Master_Section!$I:$K,2,FALSE),"")</f>
        <v/>
      </c>
      <c r="J367" s="42" t="str">
        <f>_xlfn.IFNA(VLOOKUP(D367,Master_Section!$I:$K,3,FALSE),"")</f>
        <v/>
      </c>
      <c r="P367" s="80" t="str">
        <f t="shared" si="12"/>
        <v/>
      </c>
      <c r="Q367" s="43">
        <f t="shared" si="13"/>
        <v>0</v>
      </c>
    </row>
    <row r="368" spans="2:17" ht="15" customHeight="1">
      <c r="B368" s="26" t="str">
        <f>_xlfn.IFNA(VLOOKUP(C368,Master_Section!$H:$I,2,FALSE),"")</f>
        <v/>
      </c>
      <c r="F368" s="81" t="str">
        <f>_xlfn.IFNA(VLOOKUP(G368,Master!AE:AF,2,FALSE),"")</f>
        <v/>
      </c>
      <c r="I368" s="42" t="str">
        <f>_xlfn.IFNA(VLOOKUP(D368,Master_Section!$I:$K,2,FALSE),"")</f>
        <v/>
      </c>
      <c r="J368" s="42" t="str">
        <f>_xlfn.IFNA(VLOOKUP(D368,Master_Section!$I:$K,3,FALSE),"")</f>
        <v/>
      </c>
      <c r="P368" s="80" t="str">
        <f t="shared" si="12"/>
        <v/>
      </c>
      <c r="Q368" s="43">
        <f t="shared" si="13"/>
        <v>0</v>
      </c>
    </row>
    <row r="369" spans="2:17" ht="15" customHeight="1">
      <c r="B369" s="26" t="str">
        <f>_xlfn.IFNA(VLOOKUP(C369,Master_Section!$H:$I,2,FALSE),"")</f>
        <v/>
      </c>
      <c r="F369" s="81" t="str">
        <f>_xlfn.IFNA(VLOOKUP(G369,Master!AE:AF,2,FALSE),"")</f>
        <v/>
      </c>
      <c r="I369" s="42" t="str">
        <f>_xlfn.IFNA(VLOOKUP(D369,Master_Section!$I:$K,2,FALSE),"")</f>
        <v/>
      </c>
      <c r="J369" s="42" t="str">
        <f>_xlfn.IFNA(VLOOKUP(D369,Master_Section!$I:$K,3,FALSE),"")</f>
        <v/>
      </c>
      <c r="P369" s="80" t="str">
        <f t="shared" si="12"/>
        <v/>
      </c>
      <c r="Q369" s="43">
        <f t="shared" si="13"/>
        <v>0</v>
      </c>
    </row>
    <row r="370" spans="2:17" ht="15" customHeight="1">
      <c r="B370" s="26" t="str">
        <f>_xlfn.IFNA(VLOOKUP(C370,Master_Section!$H:$I,2,FALSE),"")</f>
        <v/>
      </c>
      <c r="F370" s="81" t="str">
        <f>_xlfn.IFNA(VLOOKUP(G370,Master!AE:AF,2,FALSE),"")</f>
        <v/>
      </c>
      <c r="I370" s="42" t="str">
        <f>_xlfn.IFNA(VLOOKUP(D370,Master_Section!$I:$K,2,FALSE),"")</f>
        <v/>
      </c>
      <c r="J370" s="42" t="str">
        <f>_xlfn.IFNA(VLOOKUP(D370,Master_Section!$I:$K,3,FALSE),"")</f>
        <v/>
      </c>
      <c r="P370" s="80" t="str">
        <f t="shared" si="12"/>
        <v/>
      </c>
      <c r="Q370" s="43">
        <f t="shared" si="13"/>
        <v>0</v>
      </c>
    </row>
    <row r="371" spans="2:17" ht="15" customHeight="1">
      <c r="B371" s="26" t="str">
        <f>_xlfn.IFNA(VLOOKUP(C371,Master_Section!$H:$I,2,FALSE),"")</f>
        <v/>
      </c>
      <c r="F371" s="81" t="str">
        <f>_xlfn.IFNA(VLOOKUP(G371,Master!AE:AF,2,FALSE),"")</f>
        <v/>
      </c>
      <c r="I371" s="42" t="str">
        <f>_xlfn.IFNA(VLOOKUP(D371,Master_Section!$I:$K,2,FALSE),"")</f>
        <v/>
      </c>
      <c r="J371" s="42" t="str">
        <f>_xlfn.IFNA(VLOOKUP(D371,Master_Section!$I:$K,3,FALSE),"")</f>
        <v/>
      </c>
      <c r="P371" s="80" t="str">
        <f t="shared" si="12"/>
        <v/>
      </c>
      <c r="Q371" s="43">
        <f t="shared" si="13"/>
        <v>0</v>
      </c>
    </row>
    <row r="372" spans="2:17" ht="15" customHeight="1">
      <c r="B372" s="26" t="str">
        <f>_xlfn.IFNA(VLOOKUP(C372,Master_Section!$H:$I,2,FALSE),"")</f>
        <v/>
      </c>
      <c r="F372" s="81" t="str">
        <f>_xlfn.IFNA(VLOOKUP(G372,Master!AE:AF,2,FALSE),"")</f>
        <v/>
      </c>
      <c r="I372" s="42" t="str">
        <f>_xlfn.IFNA(VLOOKUP(D372,Master_Section!$I:$K,2,FALSE),"")</f>
        <v/>
      </c>
      <c r="J372" s="42" t="str">
        <f>_xlfn.IFNA(VLOOKUP(D372,Master_Section!$I:$K,3,FALSE),"")</f>
        <v/>
      </c>
      <c r="P372" s="80" t="str">
        <f t="shared" si="12"/>
        <v/>
      </c>
      <c r="Q372" s="43">
        <f t="shared" si="13"/>
        <v>0</v>
      </c>
    </row>
    <row r="373" spans="2:17" ht="15" customHeight="1">
      <c r="B373" s="26" t="str">
        <f>_xlfn.IFNA(VLOOKUP(C373,Master_Section!$H:$I,2,FALSE),"")</f>
        <v/>
      </c>
      <c r="F373" s="81" t="str">
        <f>_xlfn.IFNA(VLOOKUP(G373,Master!AE:AF,2,FALSE),"")</f>
        <v/>
      </c>
      <c r="I373" s="42" t="str">
        <f>_xlfn.IFNA(VLOOKUP(D373,Master_Section!$I:$K,2,FALSE),"")</f>
        <v/>
      </c>
      <c r="J373" s="42" t="str">
        <f>_xlfn.IFNA(VLOOKUP(D373,Master_Section!$I:$K,3,FALSE),"")</f>
        <v/>
      </c>
      <c r="P373" s="80" t="str">
        <f t="shared" si="12"/>
        <v/>
      </c>
      <c r="Q373" s="43">
        <f t="shared" si="13"/>
        <v>0</v>
      </c>
    </row>
    <row r="374" spans="2:17" ht="15" customHeight="1">
      <c r="B374" s="26" t="str">
        <f>_xlfn.IFNA(VLOOKUP(C374,Master_Section!$H:$I,2,FALSE),"")</f>
        <v/>
      </c>
      <c r="F374" s="81" t="str">
        <f>_xlfn.IFNA(VLOOKUP(G374,Master!AE:AF,2,FALSE),"")</f>
        <v/>
      </c>
      <c r="I374" s="42" t="str">
        <f>_xlfn.IFNA(VLOOKUP(D374,Master_Section!$I:$K,2,FALSE),"")</f>
        <v/>
      </c>
      <c r="J374" s="42" t="str">
        <f>_xlfn.IFNA(VLOOKUP(D374,Master_Section!$I:$K,3,FALSE),"")</f>
        <v/>
      </c>
      <c r="P374" s="80" t="str">
        <f t="shared" si="12"/>
        <v/>
      </c>
      <c r="Q374" s="43">
        <f t="shared" si="13"/>
        <v>0</v>
      </c>
    </row>
    <row r="375" spans="2:17" ht="15" customHeight="1">
      <c r="B375" s="26" t="str">
        <f>_xlfn.IFNA(VLOOKUP(C375,Master_Section!$H:$I,2,FALSE),"")</f>
        <v/>
      </c>
      <c r="F375" s="81" t="str">
        <f>_xlfn.IFNA(VLOOKUP(G375,Master!AE:AF,2,FALSE),"")</f>
        <v/>
      </c>
      <c r="I375" s="42" t="str">
        <f>_xlfn.IFNA(VLOOKUP(D375,Master_Section!$I:$K,2,FALSE),"")</f>
        <v/>
      </c>
      <c r="J375" s="42" t="str">
        <f>_xlfn.IFNA(VLOOKUP(D375,Master_Section!$I:$K,3,FALSE),"")</f>
        <v/>
      </c>
      <c r="P375" s="80" t="str">
        <f t="shared" ref="P375:P386" si="14">IF(N375&lt;&gt;"",IF(MONTH(N375)&gt;=4,"FY1"&amp;RIGHT(YEAR(N375)+1,2),"FY1"&amp;RIGHT(YEAR(N375),2)),"")</f>
        <v/>
      </c>
      <c r="Q375" s="43">
        <f t="shared" ref="Q375:Q438" si="15">IF(K375&gt;0&amp;M375&gt;0,K375*M375,"")</f>
        <v>0</v>
      </c>
    </row>
    <row r="376" spans="2:17" ht="15" customHeight="1">
      <c r="B376" s="26" t="str">
        <f>_xlfn.IFNA(VLOOKUP(C376,Master_Section!$H:$I,2,FALSE),"")</f>
        <v/>
      </c>
      <c r="F376" s="81" t="str">
        <f>_xlfn.IFNA(VLOOKUP(G376,Master!AE:AF,2,FALSE),"")</f>
        <v/>
      </c>
      <c r="I376" s="42" t="str">
        <f>_xlfn.IFNA(VLOOKUP(D376,Master_Section!$I:$K,2,FALSE),"")</f>
        <v/>
      </c>
      <c r="J376" s="42" t="str">
        <f>_xlfn.IFNA(VLOOKUP(D376,Master_Section!$I:$K,3,FALSE),"")</f>
        <v/>
      </c>
      <c r="P376" s="80" t="str">
        <f t="shared" si="14"/>
        <v/>
      </c>
      <c r="Q376" s="43">
        <f t="shared" si="15"/>
        <v>0</v>
      </c>
    </row>
    <row r="377" spans="2:17" ht="15" customHeight="1">
      <c r="B377" s="26" t="str">
        <f>_xlfn.IFNA(VLOOKUP(C377,Master_Section!$H:$I,2,FALSE),"")</f>
        <v/>
      </c>
      <c r="F377" s="81" t="str">
        <f>_xlfn.IFNA(VLOOKUP(G377,Master!AE:AF,2,FALSE),"")</f>
        <v/>
      </c>
      <c r="I377" s="42" t="str">
        <f>_xlfn.IFNA(VLOOKUP(D377,Master_Section!$I:$K,2,FALSE),"")</f>
        <v/>
      </c>
      <c r="J377" s="42" t="str">
        <f>_xlfn.IFNA(VLOOKUP(D377,Master_Section!$I:$K,3,FALSE),"")</f>
        <v/>
      </c>
      <c r="P377" s="80" t="str">
        <f t="shared" si="14"/>
        <v/>
      </c>
      <c r="Q377" s="43">
        <f t="shared" si="15"/>
        <v>0</v>
      </c>
    </row>
    <row r="378" spans="2:17" ht="15" customHeight="1">
      <c r="B378" s="26" t="str">
        <f>_xlfn.IFNA(VLOOKUP(C378,Master_Section!$H:$I,2,FALSE),"")</f>
        <v/>
      </c>
      <c r="F378" s="81" t="str">
        <f>_xlfn.IFNA(VLOOKUP(G378,Master!AE:AF,2,FALSE),"")</f>
        <v/>
      </c>
      <c r="I378" s="42" t="str">
        <f>_xlfn.IFNA(VLOOKUP(D378,Master_Section!$I:$K,2,FALSE),"")</f>
        <v/>
      </c>
      <c r="J378" s="42" t="str">
        <f>_xlfn.IFNA(VLOOKUP(D378,Master_Section!$I:$K,3,FALSE),"")</f>
        <v/>
      </c>
      <c r="P378" s="80" t="str">
        <f t="shared" si="14"/>
        <v/>
      </c>
      <c r="Q378" s="43">
        <f t="shared" si="15"/>
        <v>0</v>
      </c>
    </row>
    <row r="379" spans="2:17" ht="15" customHeight="1">
      <c r="B379" s="26" t="str">
        <f>_xlfn.IFNA(VLOOKUP(C379,Master_Section!$H:$I,2,FALSE),"")</f>
        <v/>
      </c>
      <c r="F379" s="81" t="str">
        <f>_xlfn.IFNA(VLOOKUP(G379,Master!AE:AF,2,FALSE),"")</f>
        <v/>
      </c>
      <c r="I379" s="42" t="str">
        <f>_xlfn.IFNA(VLOOKUP(D379,Master_Section!$I:$K,2,FALSE),"")</f>
        <v/>
      </c>
      <c r="J379" s="42" t="str">
        <f>_xlfn.IFNA(VLOOKUP(D379,Master_Section!$I:$K,3,FALSE),"")</f>
        <v/>
      </c>
      <c r="P379" s="80" t="str">
        <f t="shared" si="14"/>
        <v/>
      </c>
      <c r="Q379" s="43">
        <f t="shared" si="15"/>
        <v>0</v>
      </c>
    </row>
    <row r="380" spans="2:17" ht="15" customHeight="1">
      <c r="B380" s="26" t="str">
        <f>_xlfn.IFNA(VLOOKUP(C380,Master_Section!$H:$I,2,FALSE),"")</f>
        <v/>
      </c>
      <c r="F380" s="81" t="str">
        <f>_xlfn.IFNA(VLOOKUP(G380,Master!AE:AF,2,FALSE),"")</f>
        <v/>
      </c>
      <c r="I380" s="42" t="str">
        <f>_xlfn.IFNA(VLOOKUP(D380,Master_Section!$I:$K,2,FALSE),"")</f>
        <v/>
      </c>
      <c r="J380" s="42" t="str">
        <f>_xlfn.IFNA(VLOOKUP(D380,Master_Section!$I:$K,3,FALSE),"")</f>
        <v/>
      </c>
      <c r="P380" s="80" t="str">
        <f t="shared" si="14"/>
        <v/>
      </c>
      <c r="Q380" s="43">
        <f t="shared" si="15"/>
        <v>0</v>
      </c>
    </row>
    <row r="381" spans="2:17" ht="15" customHeight="1">
      <c r="B381" s="26" t="str">
        <f>_xlfn.IFNA(VLOOKUP(C381,Master_Section!$H:$I,2,FALSE),"")</f>
        <v/>
      </c>
      <c r="F381" s="81" t="str">
        <f>_xlfn.IFNA(VLOOKUP(G381,Master!AE:AF,2,FALSE),"")</f>
        <v/>
      </c>
      <c r="I381" s="42" t="str">
        <f>_xlfn.IFNA(VLOOKUP(D381,Master_Section!$I:$K,2,FALSE),"")</f>
        <v/>
      </c>
      <c r="J381" s="42" t="str">
        <f>_xlfn.IFNA(VLOOKUP(D381,Master_Section!$I:$K,3,FALSE),"")</f>
        <v/>
      </c>
      <c r="P381" s="80" t="str">
        <f t="shared" si="14"/>
        <v/>
      </c>
      <c r="Q381" s="43">
        <f t="shared" si="15"/>
        <v>0</v>
      </c>
    </row>
    <row r="382" spans="2:17" ht="15" customHeight="1">
      <c r="B382" s="26" t="str">
        <f>_xlfn.IFNA(VLOOKUP(C382,Master_Section!$H:$I,2,FALSE),"")</f>
        <v/>
      </c>
      <c r="F382" s="81" t="str">
        <f>_xlfn.IFNA(VLOOKUP(G382,Master!AE:AF,2,FALSE),"")</f>
        <v/>
      </c>
      <c r="I382" s="42" t="str">
        <f>_xlfn.IFNA(VLOOKUP(D382,Master_Section!$I:$K,2,FALSE),"")</f>
        <v/>
      </c>
      <c r="J382" s="42" t="str">
        <f>_xlfn.IFNA(VLOOKUP(D382,Master_Section!$I:$K,3,FALSE),"")</f>
        <v/>
      </c>
      <c r="P382" s="80" t="str">
        <f t="shared" si="14"/>
        <v/>
      </c>
      <c r="Q382" s="43">
        <f t="shared" si="15"/>
        <v>0</v>
      </c>
    </row>
    <row r="383" spans="2:17" ht="15" customHeight="1">
      <c r="F383" s="81" t="str">
        <f>_xlfn.IFNA(VLOOKUP(G383,Master!AE:AF,2,FALSE),"")</f>
        <v/>
      </c>
      <c r="I383" s="42" t="str">
        <f>_xlfn.IFNA(VLOOKUP(D383,Master_Section!$I:$K,2,FALSE),"")</f>
        <v/>
      </c>
      <c r="J383" s="42" t="str">
        <f>_xlfn.IFNA(VLOOKUP(D383,Master_Section!$I:$K,3,FALSE),"")</f>
        <v/>
      </c>
      <c r="P383" s="80" t="str">
        <f t="shared" si="14"/>
        <v/>
      </c>
      <c r="Q383" s="43">
        <f t="shared" si="15"/>
        <v>0</v>
      </c>
    </row>
    <row r="384" spans="2:17" ht="15" customHeight="1">
      <c r="F384" s="81" t="str">
        <f>_xlfn.IFNA(VLOOKUP(G384,Master!AE:AF,2,FALSE),"")</f>
        <v/>
      </c>
      <c r="I384" s="42" t="str">
        <f>_xlfn.IFNA(VLOOKUP(D384,Master_Section!$I:$K,2,FALSE),"")</f>
        <v/>
      </c>
      <c r="J384" s="42" t="str">
        <f>_xlfn.IFNA(VLOOKUP(D384,Master_Section!$I:$K,3,FALSE),"")</f>
        <v/>
      </c>
      <c r="P384" s="80" t="str">
        <f t="shared" si="14"/>
        <v/>
      </c>
      <c r="Q384" s="43">
        <f t="shared" si="15"/>
        <v>0</v>
      </c>
    </row>
    <row r="385" spans="16:17" ht="15" customHeight="1">
      <c r="P385" s="80" t="str">
        <f t="shared" si="14"/>
        <v/>
      </c>
      <c r="Q385" s="43">
        <f t="shared" si="15"/>
        <v>0</v>
      </c>
    </row>
    <row r="386" spans="16:17" ht="15" customHeight="1">
      <c r="P386" s="80" t="str">
        <f t="shared" si="14"/>
        <v/>
      </c>
      <c r="Q386" s="43">
        <f t="shared" si="15"/>
        <v>0</v>
      </c>
    </row>
    <row r="387" spans="16:17" ht="15" customHeight="1">
      <c r="Q387" s="43">
        <f t="shared" si="15"/>
        <v>0</v>
      </c>
    </row>
    <row r="388" spans="16:17" ht="15" customHeight="1">
      <c r="Q388" s="43">
        <f t="shared" si="15"/>
        <v>0</v>
      </c>
    </row>
    <row r="389" spans="16:17" ht="15" customHeight="1">
      <c r="Q389" s="43">
        <f t="shared" si="15"/>
        <v>0</v>
      </c>
    </row>
    <row r="390" spans="16:17" ht="15" customHeight="1">
      <c r="Q390" s="43">
        <f t="shared" si="15"/>
        <v>0</v>
      </c>
    </row>
    <row r="391" spans="16:17" ht="15" customHeight="1">
      <c r="Q391" s="43">
        <f t="shared" si="15"/>
        <v>0</v>
      </c>
    </row>
    <row r="392" spans="16:17" ht="15" customHeight="1">
      <c r="Q392" s="43">
        <f t="shared" si="15"/>
        <v>0</v>
      </c>
    </row>
    <row r="393" spans="16:17" ht="15" customHeight="1">
      <c r="Q393" s="43">
        <f t="shared" si="15"/>
        <v>0</v>
      </c>
    </row>
    <row r="394" spans="16:17" ht="15" customHeight="1">
      <c r="Q394" s="43">
        <f t="shared" si="15"/>
        <v>0</v>
      </c>
    </row>
    <row r="395" spans="16:17" ht="15" customHeight="1">
      <c r="Q395" s="43">
        <f t="shared" si="15"/>
        <v>0</v>
      </c>
    </row>
    <row r="396" spans="16:17" ht="15" customHeight="1">
      <c r="Q396" s="43">
        <f t="shared" si="15"/>
        <v>0</v>
      </c>
    </row>
    <row r="397" spans="16:17" ht="15" customHeight="1">
      <c r="Q397" s="43">
        <f t="shared" si="15"/>
        <v>0</v>
      </c>
    </row>
    <row r="398" spans="16:17" ht="15" customHeight="1">
      <c r="Q398" s="43">
        <f t="shared" si="15"/>
        <v>0</v>
      </c>
    </row>
    <row r="399" spans="16:17" ht="15" customHeight="1">
      <c r="Q399" s="43">
        <f t="shared" si="15"/>
        <v>0</v>
      </c>
    </row>
    <row r="400" spans="16:17" ht="15" customHeight="1">
      <c r="Q400" s="43">
        <f t="shared" si="15"/>
        <v>0</v>
      </c>
    </row>
    <row r="401" spans="17:17" ht="15" customHeight="1">
      <c r="Q401" s="43">
        <f t="shared" si="15"/>
        <v>0</v>
      </c>
    </row>
    <row r="402" spans="17:17" ht="15" customHeight="1">
      <c r="Q402" s="43">
        <f t="shared" si="15"/>
        <v>0</v>
      </c>
    </row>
    <row r="403" spans="17:17" ht="15" customHeight="1">
      <c r="Q403" s="43">
        <f t="shared" si="15"/>
        <v>0</v>
      </c>
    </row>
    <row r="404" spans="17:17" ht="15" customHeight="1">
      <c r="Q404" s="43">
        <f t="shared" si="15"/>
        <v>0</v>
      </c>
    </row>
    <row r="405" spans="17:17" ht="15" customHeight="1">
      <c r="Q405" s="43">
        <f t="shared" si="15"/>
        <v>0</v>
      </c>
    </row>
    <row r="406" spans="17:17" ht="15" customHeight="1">
      <c r="Q406" s="43">
        <f t="shared" si="15"/>
        <v>0</v>
      </c>
    </row>
    <row r="407" spans="17:17" ht="15" customHeight="1">
      <c r="Q407" s="43">
        <f t="shared" si="15"/>
        <v>0</v>
      </c>
    </row>
    <row r="408" spans="17:17" ht="15" customHeight="1">
      <c r="Q408" s="43">
        <f t="shared" si="15"/>
        <v>0</v>
      </c>
    </row>
    <row r="409" spans="17:17" ht="15" customHeight="1">
      <c r="Q409" s="43">
        <f t="shared" si="15"/>
        <v>0</v>
      </c>
    </row>
    <row r="410" spans="17:17" ht="15" customHeight="1">
      <c r="Q410" s="43">
        <f t="shared" si="15"/>
        <v>0</v>
      </c>
    </row>
    <row r="411" spans="17:17" ht="15" customHeight="1">
      <c r="Q411" s="43">
        <f t="shared" si="15"/>
        <v>0</v>
      </c>
    </row>
    <row r="412" spans="17:17" ht="15" customHeight="1">
      <c r="Q412" s="43">
        <f t="shared" si="15"/>
        <v>0</v>
      </c>
    </row>
    <row r="413" spans="17:17" ht="15" customHeight="1">
      <c r="Q413" s="43">
        <f t="shared" si="15"/>
        <v>0</v>
      </c>
    </row>
    <row r="414" spans="17:17" ht="15" customHeight="1">
      <c r="Q414" s="43">
        <f t="shared" si="15"/>
        <v>0</v>
      </c>
    </row>
    <row r="415" spans="17:17" ht="15" customHeight="1">
      <c r="Q415" s="43">
        <f t="shared" si="15"/>
        <v>0</v>
      </c>
    </row>
    <row r="416" spans="17:17" ht="15" customHeight="1">
      <c r="Q416" s="43">
        <f t="shared" si="15"/>
        <v>0</v>
      </c>
    </row>
    <row r="417" spans="17:17" ht="15" customHeight="1">
      <c r="Q417" s="43">
        <f t="shared" si="15"/>
        <v>0</v>
      </c>
    </row>
    <row r="418" spans="17:17" ht="15" customHeight="1">
      <c r="Q418" s="43">
        <f t="shared" si="15"/>
        <v>0</v>
      </c>
    </row>
    <row r="419" spans="17:17" ht="15" customHeight="1">
      <c r="Q419" s="43">
        <f t="shared" si="15"/>
        <v>0</v>
      </c>
    </row>
    <row r="420" spans="17:17" ht="15" customHeight="1">
      <c r="Q420" s="43">
        <f t="shared" si="15"/>
        <v>0</v>
      </c>
    </row>
    <row r="421" spans="17:17" ht="15" customHeight="1">
      <c r="Q421" s="43">
        <f t="shared" si="15"/>
        <v>0</v>
      </c>
    </row>
    <row r="422" spans="17:17" ht="15" customHeight="1">
      <c r="Q422" s="43">
        <f t="shared" si="15"/>
        <v>0</v>
      </c>
    </row>
    <row r="423" spans="17:17" ht="15" customHeight="1">
      <c r="Q423" s="43">
        <f t="shared" si="15"/>
        <v>0</v>
      </c>
    </row>
    <row r="424" spans="17:17" ht="15" customHeight="1">
      <c r="Q424" s="43">
        <f t="shared" si="15"/>
        <v>0</v>
      </c>
    </row>
    <row r="425" spans="17:17" ht="15" customHeight="1">
      <c r="Q425" s="43">
        <f t="shared" si="15"/>
        <v>0</v>
      </c>
    </row>
    <row r="426" spans="17:17" ht="15" customHeight="1">
      <c r="Q426" s="43">
        <f t="shared" si="15"/>
        <v>0</v>
      </c>
    </row>
    <row r="427" spans="17:17" ht="15" customHeight="1">
      <c r="Q427" s="43">
        <f t="shared" si="15"/>
        <v>0</v>
      </c>
    </row>
    <row r="428" spans="17:17" ht="15" customHeight="1">
      <c r="Q428" s="43">
        <f t="shared" si="15"/>
        <v>0</v>
      </c>
    </row>
    <row r="429" spans="17:17" ht="15" customHeight="1">
      <c r="Q429" s="43">
        <f t="shared" si="15"/>
        <v>0</v>
      </c>
    </row>
    <row r="430" spans="17:17" ht="15" customHeight="1">
      <c r="Q430" s="43">
        <f t="shared" si="15"/>
        <v>0</v>
      </c>
    </row>
    <row r="431" spans="17:17" ht="15" customHeight="1">
      <c r="Q431" s="43">
        <f t="shared" si="15"/>
        <v>0</v>
      </c>
    </row>
    <row r="432" spans="17:17" ht="15" customHeight="1">
      <c r="Q432" s="43">
        <f t="shared" si="15"/>
        <v>0</v>
      </c>
    </row>
    <row r="433" spans="17:17" ht="15" customHeight="1">
      <c r="Q433" s="43">
        <f t="shared" si="15"/>
        <v>0</v>
      </c>
    </row>
    <row r="434" spans="17:17" ht="15" customHeight="1">
      <c r="Q434" s="43">
        <f t="shared" si="15"/>
        <v>0</v>
      </c>
    </row>
    <row r="435" spans="17:17" ht="15" customHeight="1">
      <c r="Q435" s="43">
        <f t="shared" si="15"/>
        <v>0</v>
      </c>
    </row>
    <row r="436" spans="17:17" ht="15" customHeight="1">
      <c r="Q436" s="43">
        <f t="shared" si="15"/>
        <v>0</v>
      </c>
    </row>
    <row r="437" spans="17:17" ht="15" customHeight="1">
      <c r="Q437" s="43">
        <f t="shared" si="15"/>
        <v>0</v>
      </c>
    </row>
    <row r="438" spans="17:17" ht="15" customHeight="1">
      <c r="Q438" s="43">
        <f t="shared" si="15"/>
        <v>0</v>
      </c>
    </row>
    <row r="439" spans="17:17" ht="15" customHeight="1">
      <c r="Q439" s="43">
        <f t="shared" ref="Q439:Q459" si="16">IF(K439&gt;0&amp;M439&gt;0,K439*M439,"")</f>
        <v>0</v>
      </c>
    </row>
    <row r="440" spans="17:17" ht="15" customHeight="1">
      <c r="Q440" s="43">
        <f t="shared" si="16"/>
        <v>0</v>
      </c>
    </row>
    <row r="441" spans="17:17" ht="15" customHeight="1">
      <c r="Q441" s="43">
        <f t="shared" si="16"/>
        <v>0</v>
      </c>
    </row>
    <row r="442" spans="17:17" ht="15" customHeight="1">
      <c r="Q442" s="43">
        <f t="shared" si="16"/>
        <v>0</v>
      </c>
    </row>
    <row r="443" spans="17:17" ht="15" customHeight="1">
      <c r="Q443" s="43">
        <f t="shared" si="16"/>
        <v>0</v>
      </c>
    </row>
    <row r="444" spans="17:17" ht="15" customHeight="1">
      <c r="Q444" s="43">
        <f t="shared" si="16"/>
        <v>0</v>
      </c>
    </row>
    <row r="445" spans="17:17" ht="15" customHeight="1">
      <c r="Q445" s="43">
        <f t="shared" si="16"/>
        <v>0</v>
      </c>
    </row>
    <row r="446" spans="17:17" ht="15" customHeight="1">
      <c r="Q446" s="43">
        <f t="shared" si="16"/>
        <v>0</v>
      </c>
    </row>
    <row r="447" spans="17:17" ht="15" customHeight="1">
      <c r="Q447" s="43">
        <f t="shared" si="16"/>
        <v>0</v>
      </c>
    </row>
    <row r="448" spans="17:17" ht="15" customHeight="1">
      <c r="Q448" s="43">
        <f t="shared" si="16"/>
        <v>0</v>
      </c>
    </row>
    <row r="449" spans="17:17" ht="15" customHeight="1">
      <c r="Q449" s="43">
        <f t="shared" si="16"/>
        <v>0</v>
      </c>
    </row>
    <row r="450" spans="17:17" ht="15" customHeight="1">
      <c r="Q450" s="43">
        <f t="shared" si="16"/>
        <v>0</v>
      </c>
    </row>
    <row r="451" spans="17:17" ht="15" customHeight="1">
      <c r="Q451" s="43">
        <f t="shared" si="16"/>
        <v>0</v>
      </c>
    </row>
    <row r="452" spans="17:17" ht="15" customHeight="1">
      <c r="Q452" s="43">
        <f t="shared" si="16"/>
        <v>0</v>
      </c>
    </row>
    <row r="453" spans="17:17" ht="15" customHeight="1">
      <c r="Q453" s="43">
        <f t="shared" si="16"/>
        <v>0</v>
      </c>
    </row>
    <row r="454" spans="17:17" ht="15" customHeight="1">
      <c r="Q454" s="43">
        <f t="shared" si="16"/>
        <v>0</v>
      </c>
    </row>
    <row r="455" spans="17:17" ht="15" customHeight="1">
      <c r="Q455" s="43">
        <f t="shared" si="16"/>
        <v>0</v>
      </c>
    </row>
    <row r="456" spans="17:17" ht="15" customHeight="1">
      <c r="Q456" s="43">
        <f t="shared" si="16"/>
        <v>0</v>
      </c>
    </row>
    <row r="457" spans="17:17" ht="15" customHeight="1">
      <c r="Q457" s="43">
        <f t="shared" si="16"/>
        <v>0</v>
      </c>
    </row>
    <row r="458" spans="17:17" ht="15" customHeight="1">
      <c r="Q458" s="43">
        <f t="shared" si="16"/>
        <v>0</v>
      </c>
    </row>
    <row r="459" spans="17:17" ht="15" customHeight="1">
      <c r="Q459" s="43">
        <f t="shared" si="16"/>
        <v>0</v>
      </c>
    </row>
  </sheetData>
  <autoFilter ref="H1:O1" xr:uid="{217A82DE-71A0-4D1C-913B-F16E91CA4E32}"/>
  <phoneticPr fontId="22" type="noConversion"/>
  <conditionalFormatting sqref="A1:A1048576 C1:C1048576 E1:E1048576 K1:O1048576 G1:H1048576">
    <cfRule type="containsBlanks" dxfId="3" priority="4">
      <formula>LEN(TRIM(A1))=0</formula>
    </cfRule>
  </conditionalFormatting>
  <conditionalFormatting sqref="P1:P1048576 I1:J1048576 F1:F1048576 D1:D1048576 B1:B1048576">
    <cfRule type="containsBlanks" dxfId="2" priority="3">
      <formula>LEN(TRIM(B1))=0</formula>
    </cfRule>
  </conditionalFormatting>
  <conditionalFormatting sqref="Q1:Q1048576">
    <cfRule type="cellIs" dxfId="1" priority="1" operator="equal">
      <formula>0</formula>
    </cfRule>
    <cfRule type="containsBlanks" dxfId="0" priority="5">
      <formula>LEN(TRIM(Q1))=0</formula>
    </cfRule>
  </conditionalFormatting>
  <dataValidations count="1">
    <dataValidation type="list" allowBlank="1" showInputMessage="1" showErrorMessage="1" sqref="D2:D7 B2" xr:uid="{7921C08F-A6CF-4012-862A-41497703511B}">
      <formula1>#REF!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A1847A-938A-47A2-870D-94DBA3AD11B6}">
          <x14:formula1>
            <xm:f>Master_Section!$H$2:$H$41</xm:f>
          </x14:formula1>
          <xm:sqref>C8:C1048576 C1 E1 E8:E1048576</xm:sqref>
        </x14:dataValidation>
        <x14:dataValidation type="list" allowBlank="1" showInputMessage="1" showErrorMessage="1" xr:uid="{C5696D0E-E593-48C3-80E5-EAD6DE87C50B}">
          <x14:formula1>
            <xm:f>Master!$AE$2:$AE$6</xm:f>
          </x14:formula1>
          <xm:sqref>G1 G8:G1048576</xm:sqref>
        </x14:dataValidation>
        <x14:dataValidation type="list" allowBlank="1" showInputMessage="1" showErrorMessage="1" xr:uid="{EE71404A-BCF1-48E6-9D6E-FB7CDB9216F4}">
          <x14:formula1>
            <xm:f>Master!$G$6:$G$8</xm:f>
          </x14:formula1>
          <xm:sqref>A1 A8:A1048576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7F5A-1FA7-447A-87B8-BCD1D2EB0411}">
  <dimension ref="A1:AL173"/>
  <sheetViews>
    <sheetView showGridLines="0" zoomScale="90" zoomScaleNormal="90" workbookViewId="0">
      <selection activeCell="G6" sqref="G6"/>
    </sheetView>
  </sheetViews>
  <sheetFormatPr defaultColWidth="8.85546875" defaultRowHeight="18" customHeight="1"/>
  <cols>
    <col min="1" max="1" width="28.42578125" style="4" bestFit="1" customWidth="1"/>
    <col min="2" max="2" width="7.42578125" style="4" customWidth="1"/>
    <col min="3" max="3" width="15" style="4" bestFit="1" customWidth="1"/>
    <col min="4" max="4" width="17" style="4" bestFit="1" customWidth="1"/>
    <col min="5" max="5" width="31.140625" style="4" customWidth="1"/>
    <col min="6" max="6" width="0.85546875" style="4" customWidth="1"/>
    <col min="7" max="7" width="6.42578125" style="4" bestFit="1" customWidth="1"/>
    <col min="8" max="8" width="38" style="4" bestFit="1" customWidth="1"/>
    <col min="9" max="9" width="0.85546875" style="4" customWidth="1"/>
    <col min="10" max="10" width="56.140625" style="56" bestFit="1" customWidth="1"/>
    <col min="11" max="11" width="10.5703125" style="57" bestFit="1" customWidth="1"/>
    <col min="12" max="12" width="12.5703125" style="58" bestFit="1" customWidth="1"/>
    <col min="13" max="13" width="12.42578125" style="58" bestFit="1" customWidth="1"/>
    <col min="14" max="14" width="13.85546875" style="58" bestFit="1" customWidth="1"/>
    <col min="15" max="15" width="50.7109375" style="56" hidden="1" customWidth="1"/>
    <col min="16" max="16" width="0.85546875" style="60" customWidth="1"/>
    <col min="17" max="17" width="28.5703125" style="56" bestFit="1" customWidth="1"/>
    <col min="18" max="18" width="11.42578125" style="57" bestFit="1" customWidth="1"/>
    <col min="19" max="19" width="15.85546875" style="56" bestFit="1" customWidth="1"/>
    <col min="20" max="20" width="19.42578125" style="56" bestFit="1" customWidth="1"/>
    <col min="21" max="21" width="28.5703125" style="56" bestFit="1" customWidth="1"/>
    <col min="22" max="22" width="0.85546875" style="60" customWidth="1"/>
    <col min="23" max="23" width="9.85546875" style="56" bestFit="1" customWidth="1"/>
    <col min="24" max="24" width="19.5703125" style="56" bestFit="1" customWidth="1"/>
    <col min="25" max="25" width="0.85546875" style="60" customWidth="1"/>
    <col min="26" max="26" width="18.42578125" style="31" bestFit="1" customWidth="1"/>
    <col min="27" max="27" width="19" style="32" bestFit="1" customWidth="1"/>
    <col min="28" max="28" width="72.5703125" style="33" bestFit="1" customWidth="1"/>
    <col min="29" max="29" width="8.85546875" style="56"/>
    <col min="30" max="30" width="11.5703125" style="5" bestFit="1" customWidth="1"/>
    <col min="31" max="31" width="30.140625" style="4" bestFit="1" customWidth="1"/>
    <col min="32" max="32" width="11.5703125" style="5" customWidth="1"/>
    <col min="33" max="33" width="11.42578125" style="5" bestFit="1" customWidth="1"/>
    <col min="34" max="34" width="41.42578125" style="4" bestFit="1" customWidth="1"/>
    <col min="35" max="35" width="0.85546875" style="4" customWidth="1"/>
    <col min="36" max="36" width="16.42578125" style="31" bestFit="1" customWidth="1"/>
    <col min="37" max="37" width="17.42578125" style="32" customWidth="1"/>
    <col min="38" max="38" width="51.42578125" style="33" customWidth="1"/>
    <col min="39" max="16384" width="8.85546875" style="4"/>
  </cols>
  <sheetData>
    <row r="1" spans="1:38" ht="18" customHeight="1">
      <c r="A1" s="13" t="s">
        <v>0</v>
      </c>
      <c r="B1" s="13" t="s">
        <v>200</v>
      </c>
      <c r="C1" s="14" t="s">
        <v>201</v>
      </c>
      <c r="D1" s="14" t="s">
        <v>202</v>
      </c>
      <c r="E1" s="13" t="s">
        <v>0</v>
      </c>
      <c r="G1" s="15" t="s">
        <v>203</v>
      </c>
      <c r="H1" s="15" t="s">
        <v>0</v>
      </c>
      <c r="J1" s="46" t="s">
        <v>318</v>
      </c>
      <c r="K1" s="46" t="s">
        <v>1</v>
      </c>
      <c r="L1" s="47" t="s">
        <v>2</v>
      </c>
      <c r="M1" s="47" t="s">
        <v>3</v>
      </c>
      <c r="N1" s="47" t="s">
        <v>4</v>
      </c>
      <c r="O1" s="46" t="s">
        <v>5</v>
      </c>
      <c r="P1" s="48"/>
      <c r="Q1" s="49" t="s">
        <v>0</v>
      </c>
      <c r="R1" s="49" t="s">
        <v>200</v>
      </c>
      <c r="S1" s="50" t="s">
        <v>201</v>
      </c>
      <c r="T1" s="50" t="s">
        <v>202</v>
      </c>
      <c r="U1" s="49" t="s">
        <v>0</v>
      </c>
      <c r="V1" s="51"/>
      <c r="W1" s="52" t="s">
        <v>203</v>
      </c>
      <c r="X1" s="52" t="s">
        <v>0</v>
      </c>
      <c r="Y1" s="51"/>
      <c r="Z1" s="53" t="s">
        <v>315</v>
      </c>
      <c r="AA1" s="53" t="s">
        <v>316</v>
      </c>
      <c r="AB1" s="54" t="s">
        <v>5</v>
      </c>
      <c r="AC1" s="55"/>
      <c r="AD1" s="16" t="s">
        <v>204</v>
      </c>
      <c r="AE1" s="17" t="s">
        <v>205</v>
      </c>
      <c r="AF1" s="16" t="s">
        <v>204</v>
      </c>
      <c r="AG1" s="16" t="s">
        <v>206</v>
      </c>
      <c r="AH1" s="17" t="s">
        <v>207</v>
      </c>
      <c r="AJ1" s="34" t="s">
        <v>315</v>
      </c>
      <c r="AK1" s="34" t="s">
        <v>316</v>
      </c>
      <c r="AL1" s="38" t="s">
        <v>5</v>
      </c>
    </row>
    <row r="2" spans="1:38" ht="32.25" customHeight="1">
      <c r="A2" s="18" t="s">
        <v>208</v>
      </c>
      <c r="B2" s="19" t="s">
        <v>209</v>
      </c>
      <c r="C2" s="20" t="s">
        <v>7</v>
      </c>
      <c r="D2" s="21" t="s">
        <v>210</v>
      </c>
      <c r="E2" s="21" t="str">
        <f>A2</f>
        <v>Top Management</v>
      </c>
      <c r="G2" s="21">
        <v>53450</v>
      </c>
      <c r="H2" s="21" t="s">
        <v>211</v>
      </c>
      <c r="J2" s="56" t="s">
        <v>6</v>
      </c>
      <c r="K2" s="57">
        <v>7511101</v>
      </c>
      <c r="L2" s="58" t="s">
        <v>7</v>
      </c>
      <c r="M2" s="59" t="str">
        <f t="shared" ref="M2:M65" si="0">L2&amp;"-"&amp;K2</f>
        <v>SGA-7511101</v>
      </c>
      <c r="N2" s="58" t="s">
        <v>8</v>
      </c>
      <c r="O2" s="56" t="s">
        <v>6</v>
      </c>
      <c r="Q2" s="18" t="s">
        <v>208</v>
      </c>
      <c r="R2" s="19" t="s">
        <v>209</v>
      </c>
      <c r="S2" s="61" t="s">
        <v>7</v>
      </c>
      <c r="T2" s="62" t="s">
        <v>210</v>
      </c>
      <c r="U2" s="62" t="str">
        <f>Q2</f>
        <v>Top Management</v>
      </c>
      <c r="W2" s="62">
        <v>53450</v>
      </c>
      <c r="X2" s="62" t="s">
        <v>211</v>
      </c>
      <c r="Z2" s="63" t="s">
        <v>306</v>
      </c>
      <c r="AA2" s="64" t="s">
        <v>307</v>
      </c>
      <c r="AB2" s="65" t="s">
        <v>308</v>
      </c>
      <c r="AD2" s="22">
        <v>2111100</v>
      </c>
      <c r="AE2" s="21" t="s">
        <v>212</v>
      </c>
      <c r="AF2" s="22">
        <v>2111100</v>
      </c>
      <c r="AG2" s="29">
        <v>7611100</v>
      </c>
      <c r="AH2" s="30" t="s">
        <v>66</v>
      </c>
      <c r="AJ2" s="36" t="s">
        <v>306</v>
      </c>
      <c r="AK2" s="37" t="s">
        <v>307</v>
      </c>
      <c r="AL2" s="35" t="s">
        <v>308</v>
      </c>
    </row>
    <row r="3" spans="1:38" ht="32.25" customHeight="1">
      <c r="A3" s="18" t="s">
        <v>213</v>
      </c>
      <c r="B3" s="19" t="s">
        <v>214</v>
      </c>
      <c r="C3" s="20" t="s">
        <v>7</v>
      </c>
      <c r="D3" s="21" t="s">
        <v>210</v>
      </c>
      <c r="E3" s="21" t="str">
        <f t="shared" ref="E3:E43" si="1">A3</f>
        <v>Commissioner</v>
      </c>
      <c r="G3" s="21"/>
      <c r="H3" s="21"/>
      <c r="J3" s="56" t="s">
        <v>9</v>
      </c>
      <c r="K3" s="57">
        <v>7511102</v>
      </c>
      <c r="L3" s="58" t="s">
        <v>7</v>
      </c>
      <c r="M3" s="59" t="str">
        <f t="shared" si="0"/>
        <v>SGA-7511102</v>
      </c>
      <c r="N3" s="58" t="s">
        <v>8</v>
      </c>
      <c r="O3" s="56" t="s">
        <v>10</v>
      </c>
      <c r="Q3" s="18" t="s">
        <v>213</v>
      </c>
      <c r="R3" s="19" t="s">
        <v>214</v>
      </c>
      <c r="S3" s="61" t="s">
        <v>7</v>
      </c>
      <c r="T3" s="62" t="s">
        <v>210</v>
      </c>
      <c r="U3" s="62" t="str">
        <f t="shared" ref="U3:U43" si="2">Q3</f>
        <v>Commissioner</v>
      </c>
      <c r="W3" s="62"/>
      <c r="X3" s="62"/>
      <c r="Z3" s="63" t="s">
        <v>309</v>
      </c>
      <c r="AA3" s="64" t="s">
        <v>310</v>
      </c>
      <c r="AB3" s="65" t="s">
        <v>311</v>
      </c>
      <c r="AD3" s="22">
        <v>2121000</v>
      </c>
      <c r="AE3" s="21" t="s">
        <v>215</v>
      </c>
      <c r="AF3" s="22">
        <v>2121000</v>
      </c>
      <c r="AG3" s="22">
        <v>7611300</v>
      </c>
      <c r="AH3" s="21" t="s">
        <v>69</v>
      </c>
      <c r="AJ3" s="36" t="s">
        <v>309</v>
      </c>
      <c r="AK3" s="37" t="s">
        <v>310</v>
      </c>
      <c r="AL3" s="35" t="s">
        <v>311</v>
      </c>
    </row>
    <row r="4" spans="1:38" ht="32.25" customHeight="1">
      <c r="A4" s="18" t="s">
        <v>216</v>
      </c>
      <c r="B4" s="19" t="s">
        <v>217</v>
      </c>
      <c r="C4" s="20" t="s">
        <v>7</v>
      </c>
      <c r="D4" s="21" t="s">
        <v>210</v>
      </c>
      <c r="E4" s="21" t="str">
        <f t="shared" si="1"/>
        <v>Admin &amp; HR</v>
      </c>
      <c r="G4" s="21"/>
      <c r="H4" s="21"/>
      <c r="J4" s="56" t="s">
        <v>11</v>
      </c>
      <c r="K4" s="57">
        <v>7511103</v>
      </c>
      <c r="L4" s="58" t="s">
        <v>7</v>
      </c>
      <c r="M4" s="59" t="str">
        <f t="shared" si="0"/>
        <v>SGA-7511103</v>
      </c>
      <c r="N4" s="58" t="s">
        <v>12</v>
      </c>
      <c r="O4" s="56" t="s">
        <v>13</v>
      </c>
      <c r="Q4" s="18" t="s">
        <v>216</v>
      </c>
      <c r="R4" s="19" t="s">
        <v>217</v>
      </c>
      <c r="S4" s="61" t="s">
        <v>7</v>
      </c>
      <c r="T4" s="62" t="s">
        <v>210</v>
      </c>
      <c r="U4" s="62" t="str">
        <f t="shared" si="2"/>
        <v>Admin &amp; HR</v>
      </c>
      <c r="W4" s="62"/>
      <c r="X4" s="62"/>
      <c r="Z4" s="63" t="s">
        <v>312</v>
      </c>
      <c r="AA4" s="64" t="s">
        <v>313</v>
      </c>
      <c r="AB4" s="65" t="s">
        <v>314</v>
      </c>
      <c r="AD4" s="22">
        <v>2131000</v>
      </c>
      <c r="AE4" s="21" t="s">
        <v>218</v>
      </c>
      <c r="AF4" s="22">
        <v>2131000</v>
      </c>
      <c r="AG4" s="29">
        <v>7611500</v>
      </c>
      <c r="AH4" s="30" t="s">
        <v>71</v>
      </c>
      <c r="AJ4" s="36" t="s">
        <v>312</v>
      </c>
      <c r="AK4" s="37" t="s">
        <v>313</v>
      </c>
      <c r="AL4" s="35" t="s">
        <v>314</v>
      </c>
    </row>
    <row r="5" spans="1:38" ht="18" customHeight="1">
      <c r="A5" s="18" t="s">
        <v>219</v>
      </c>
      <c r="B5" s="19" t="s">
        <v>220</v>
      </c>
      <c r="C5" s="20" t="s">
        <v>7</v>
      </c>
      <c r="D5" s="21" t="s">
        <v>210</v>
      </c>
      <c r="E5" s="21" t="str">
        <f t="shared" si="1"/>
        <v>General Affair</v>
      </c>
      <c r="J5" s="56" t="s">
        <v>14</v>
      </c>
      <c r="K5" s="57">
        <v>7511111</v>
      </c>
      <c r="L5" s="58" t="s">
        <v>7</v>
      </c>
      <c r="M5" s="59" t="str">
        <f t="shared" si="0"/>
        <v>SGA-7511111</v>
      </c>
      <c r="N5" s="58" t="s">
        <v>12</v>
      </c>
      <c r="O5" s="56" t="s">
        <v>15</v>
      </c>
      <c r="Q5" s="18" t="s">
        <v>219</v>
      </c>
      <c r="R5" s="19" t="s">
        <v>220</v>
      </c>
      <c r="S5" s="61" t="s">
        <v>7</v>
      </c>
      <c r="T5" s="62" t="s">
        <v>210</v>
      </c>
      <c r="U5" s="62" t="str">
        <f t="shared" si="2"/>
        <v>General Affair</v>
      </c>
      <c r="AD5" s="22">
        <v>2141000</v>
      </c>
      <c r="AE5" s="21" t="s">
        <v>221</v>
      </c>
      <c r="AF5" s="22">
        <v>2141000</v>
      </c>
      <c r="AG5" s="22">
        <v>7611600</v>
      </c>
      <c r="AH5" s="21" t="s">
        <v>73</v>
      </c>
    </row>
    <row r="6" spans="1:38" ht="18" customHeight="1">
      <c r="A6" s="18" t="s">
        <v>222</v>
      </c>
      <c r="B6" s="19" t="s">
        <v>223</v>
      </c>
      <c r="C6" s="20" t="s">
        <v>7</v>
      </c>
      <c r="D6" s="21" t="s">
        <v>210</v>
      </c>
      <c r="E6" s="21" t="str">
        <f t="shared" si="1"/>
        <v>Human Resource</v>
      </c>
      <c r="G6" s="4" t="s">
        <v>304</v>
      </c>
      <c r="J6" s="56" t="s">
        <v>16</v>
      </c>
      <c r="K6" s="57">
        <v>7511112</v>
      </c>
      <c r="L6" s="58" t="s">
        <v>7</v>
      </c>
      <c r="M6" s="59" t="str">
        <f t="shared" si="0"/>
        <v>SGA-7511112</v>
      </c>
      <c r="N6" s="58" t="s">
        <v>12</v>
      </c>
      <c r="O6" s="56" t="s">
        <v>17</v>
      </c>
      <c r="Q6" s="18" t="s">
        <v>222</v>
      </c>
      <c r="R6" s="19" t="s">
        <v>223</v>
      </c>
      <c r="S6" s="61" t="s">
        <v>7</v>
      </c>
      <c r="T6" s="62" t="s">
        <v>210</v>
      </c>
      <c r="U6" s="62" t="str">
        <f t="shared" si="2"/>
        <v>Human Resource</v>
      </c>
      <c r="AD6" s="22">
        <v>2221101</v>
      </c>
      <c r="AE6" s="21" t="s">
        <v>224</v>
      </c>
      <c r="AF6" s="22">
        <v>2221101</v>
      </c>
      <c r="AG6" s="22">
        <v>7611700</v>
      </c>
      <c r="AH6" s="21" t="s">
        <v>75</v>
      </c>
    </row>
    <row r="7" spans="1:38" ht="18" customHeight="1">
      <c r="A7" s="18" t="s">
        <v>225</v>
      </c>
      <c r="B7" s="19" t="s">
        <v>226</v>
      </c>
      <c r="C7" s="20" t="s">
        <v>7</v>
      </c>
      <c r="D7" s="21" t="s">
        <v>210</v>
      </c>
      <c r="E7" s="21" t="str">
        <f t="shared" si="1"/>
        <v>Health, Safety &amp; Environment</v>
      </c>
      <c r="G7" s="4" t="s">
        <v>305</v>
      </c>
      <c r="J7" s="56" t="s">
        <v>18</v>
      </c>
      <c r="K7" s="57">
        <v>7511121</v>
      </c>
      <c r="L7" s="58" t="s">
        <v>7</v>
      </c>
      <c r="M7" s="59" t="str">
        <f t="shared" si="0"/>
        <v>SGA-7511121</v>
      </c>
      <c r="N7" s="58" t="s">
        <v>12</v>
      </c>
      <c r="O7" s="56" t="s">
        <v>19</v>
      </c>
      <c r="Q7" s="18" t="s">
        <v>225</v>
      </c>
      <c r="R7" s="19" t="s">
        <v>226</v>
      </c>
      <c r="S7" s="61" t="s">
        <v>7</v>
      </c>
      <c r="T7" s="62" t="s">
        <v>210</v>
      </c>
      <c r="U7" s="62" t="str">
        <f t="shared" si="2"/>
        <v>Health, Safety &amp; Environment</v>
      </c>
    </row>
    <row r="8" spans="1:38" ht="18" customHeight="1">
      <c r="A8" s="18" t="s">
        <v>227</v>
      </c>
      <c r="B8" s="19" t="s">
        <v>228</v>
      </c>
      <c r="C8" s="20" t="s">
        <v>7</v>
      </c>
      <c r="D8" s="21" t="s">
        <v>210</v>
      </c>
      <c r="E8" s="21" t="str">
        <f t="shared" si="1"/>
        <v>Accounting &amp; Finance</v>
      </c>
      <c r="G8" s="4" t="s">
        <v>346</v>
      </c>
      <c r="J8" s="56" t="s">
        <v>20</v>
      </c>
      <c r="K8" s="57">
        <v>7511122</v>
      </c>
      <c r="L8" s="58" t="s">
        <v>7</v>
      </c>
      <c r="M8" s="59" t="str">
        <f t="shared" si="0"/>
        <v>SGA-7511122</v>
      </c>
      <c r="N8" s="58" t="s">
        <v>12</v>
      </c>
      <c r="O8" s="56" t="s">
        <v>21</v>
      </c>
      <c r="Q8" s="18" t="s">
        <v>227</v>
      </c>
      <c r="R8" s="19" t="s">
        <v>228</v>
      </c>
      <c r="S8" s="61" t="s">
        <v>7</v>
      </c>
      <c r="T8" s="62" t="s">
        <v>210</v>
      </c>
      <c r="U8" s="62" t="str">
        <f t="shared" si="2"/>
        <v>Accounting &amp; Finance</v>
      </c>
    </row>
    <row r="9" spans="1:38" ht="18" customHeight="1">
      <c r="A9" s="18" t="s">
        <v>229</v>
      </c>
      <c r="B9" s="19" t="s">
        <v>230</v>
      </c>
      <c r="C9" s="20" t="s">
        <v>7</v>
      </c>
      <c r="D9" s="21" t="s">
        <v>210</v>
      </c>
      <c r="E9" s="21" t="str">
        <f t="shared" si="1"/>
        <v>Information Technology</v>
      </c>
      <c r="J9" s="56" t="s">
        <v>22</v>
      </c>
      <c r="K9" s="57">
        <v>7511201</v>
      </c>
      <c r="L9" s="58" t="s">
        <v>7</v>
      </c>
      <c r="M9" s="59" t="str">
        <f t="shared" si="0"/>
        <v>SGA-7511201</v>
      </c>
      <c r="N9" s="58" t="s">
        <v>23</v>
      </c>
      <c r="O9" s="56" t="s">
        <v>24</v>
      </c>
      <c r="Q9" s="18" t="s">
        <v>229</v>
      </c>
      <c r="R9" s="19" t="s">
        <v>230</v>
      </c>
      <c r="S9" s="61" t="s">
        <v>7</v>
      </c>
      <c r="T9" s="62" t="s">
        <v>210</v>
      </c>
      <c r="U9" s="62" t="str">
        <f t="shared" si="2"/>
        <v>Information Technology</v>
      </c>
    </row>
    <row r="10" spans="1:38" ht="18" customHeight="1">
      <c r="A10" s="18" t="s">
        <v>231</v>
      </c>
      <c r="B10" s="19" t="s">
        <v>232</v>
      </c>
      <c r="C10" s="20" t="s">
        <v>7</v>
      </c>
      <c r="D10" s="21" t="s">
        <v>210</v>
      </c>
      <c r="E10" s="21" t="str">
        <f t="shared" si="1"/>
        <v>Sales &amp; MKTG Dept.- Automotive</v>
      </c>
      <c r="J10" s="56" t="s">
        <v>25</v>
      </c>
      <c r="K10" s="57">
        <v>7512111</v>
      </c>
      <c r="L10" s="58" t="s">
        <v>7</v>
      </c>
      <c r="M10" s="59" t="str">
        <f t="shared" si="0"/>
        <v>SGA-7512111</v>
      </c>
      <c r="N10" s="58" t="s">
        <v>26</v>
      </c>
      <c r="O10" s="56" t="s">
        <v>27</v>
      </c>
      <c r="Q10" s="18" t="s">
        <v>231</v>
      </c>
      <c r="R10" s="19" t="s">
        <v>232</v>
      </c>
      <c r="S10" s="61" t="s">
        <v>7</v>
      </c>
      <c r="T10" s="62" t="s">
        <v>210</v>
      </c>
      <c r="U10" s="62" t="str">
        <f t="shared" si="2"/>
        <v>Sales &amp; MKTG Dept.- Automotive</v>
      </c>
    </row>
    <row r="11" spans="1:38" ht="18" customHeight="1">
      <c r="A11" s="18" t="s">
        <v>233</v>
      </c>
      <c r="B11" s="19" t="s">
        <v>234</v>
      </c>
      <c r="C11" s="20" t="s">
        <v>7</v>
      </c>
      <c r="D11" s="21" t="s">
        <v>210</v>
      </c>
      <c r="E11" s="21" t="str">
        <f t="shared" si="1"/>
        <v>Marketing</v>
      </c>
      <c r="J11" s="56" t="s">
        <v>28</v>
      </c>
      <c r="K11" s="57">
        <v>7512112</v>
      </c>
      <c r="L11" s="58" t="s">
        <v>7</v>
      </c>
      <c r="M11" s="59" t="str">
        <f t="shared" si="0"/>
        <v>SGA-7512112</v>
      </c>
      <c r="N11" s="58" t="s">
        <v>26</v>
      </c>
      <c r="O11" s="56" t="s">
        <v>29</v>
      </c>
      <c r="Q11" s="18" t="s">
        <v>233</v>
      </c>
      <c r="R11" s="19" t="s">
        <v>234</v>
      </c>
      <c r="S11" s="61" t="s">
        <v>7</v>
      </c>
      <c r="T11" s="62" t="s">
        <v>210</v>
      </c>
      <c r="U11" s="62" t="str">
        <f t="shared" si="2"/>
        <v>Marketing</v>
      </c>
    </row>
    <row r="12" spans="1:38" ht="18" customHeight="1">
      <c r="A12" s="18" t="s">
        <v>235</v>
      </c>
      <c r="B12" s="19" t="s">
        <v>236</v>
      </c>
      <c r="C12" s="20" t="s">
        <v>7</v>
      </c>
      <c r="D12" s="21" t="s">
        <v>210</v>
      </c>
      <c r="E12" s="21" t="str">
        <f t="shared" si="1"/>
        <v>Sales - OEM</v>
      </c>
      <c r="J12" s="56" t="s">
        <v>30</v>
      </c>
      <c r="K12" s="57">
        <v>7514101</v>
      </c>
      <c r="L12" s="58" t="s">
        <v>7</v>
      </c>
      <c r="M12" s="59" t="str">
        <f t="shared" si="0"/>
        <v>SGA-7514101</v>
      </c>
      <c r="N12" s="58" t="s">
        <v>12</v>
      </c>
      <c r="O12" s="56" t="s">
        <v>31</v>
      </c>
      <c r="Q12" s="18" t="s">
        <v>235</v>
      </c>
      <c r="R12" s="19" t="s">
        <v>236</v>
      </c>
      <c r="S12" s="61" t="s">
        <v>7</v>
      </c>
      <c r="T12" s="62" t="s">
        <v>210</v>
      </c>
      <c r="U12" s="62" t="str">
        <f t="shared" si="2"/>
        <v>Sales - OEM</v>
      </c>
    </row>
    <row r="13" spans="1:38" ht="18" customHeight="1">
      <c r="A13" s="18" t="s">
        <v>237</v>
      </c>
      <c r="B13" s="19" t="s">
        <v>238</v>
      </c>
      <c r="C13" s="20" t="s">
        <v>7</v>
      </c>
      <c r="D13" s="21" t="s">
        <v>210</v>
      </c>
      <c r="E13" s="21" t="str">
        <f t="shared" si="1"/>
        <v>Sales - OES</v>
      </c>
      <c r="J13" s="56" t="s">
        <v>32</v>
      </c>
      <c r="K13" s="57">
        <v>7514102</v>
      </c>
      <c r="L13" s="58" t="s">
        <v>7</v>
      </c>
      <c r="M13" s="59" t="str">
        <f t="shared" si="0"/>
        <v>SGA-7514102</v>
      </c>
      <c r="N13" s="58" t="s">
        <v>12</v>
      </c>
      <c r="O13" s="56" t="s">
        <v>33</v>
      </c>
      <c r="Q13" s="18" t="s">
        <v>237</v>
      </c>
      <c r="R13" s="19" t="s">
        <v>238</v>
      </c>
      <c r="S13" s="61" t="s">
        <v>7</v>
      </c>
      <c r="T13" s="62" t="s">
        <v>210</v>
      </c>
      <c r="U13" s="62" t="str">
        <f t="shared" si="2"/>
        <v>Sales - OES</v>
      </c>
    </row>
    <row r="14" spans="1:38" ht="18" customHeight="1">
      <c r="A14" s="18" t="s">
        <v>239</v>
      </c>
      <c r="B14" s="19" t="s">
        <v>240</v>
      </c>
      <c r="C14" s="20" t="s">
        <v>7</v>
      </c>
      <c r="D14" s="21" t="s">
        <v>210</v>
      </c>
      <c r="E14" s="21" t="str">
        <f t="shared" si="1"/>
        <v>Sales - IAM</v>
      </c>
      <c r="J14" s="56" t="s">
        <v>34</v>
      </c>
      <c r="K14" s="57">
        <v>7515401</v>
      </c>
      <c r="L14" s="58" t="s">
        <v>7</v>
      </c>
      <c r="M14" s="59" t="str">
        <f t="shared" si="0"/>
        <v>SGA-7515401</v>
      </c>
      <c r="N14" s="58" t="s">
        <v>26</v>
      </c>
      <c r="O14" s="56" t="s">
        <v>35</v>
      </c>
      <c r="Q14" s="18" t="s">
        <v>239</v>
      </c>
      <c r="R14" s="19" t="s">
        <v>240</v>
      </c>
      <c r="S14" s="61" t="s">
        <v>7</v>
      </c>
      <c r="T14" s="62" t="s">
        <v>210</v>
      </c>
      <c r="U14" s="62" t="str">
        <f t="shared" si="2"/>
        <v>Sales - IAM</v>
      </c>
    </row>
    <row r="15" spans="1:38" ht="18" customHeight="1">
      <c r="A15" s="18" t="s">
        <v>241</v>
      </c>
      <c r="B15" s="19" t="s">
        <v>242</v>
      </c>
      <c r="C15" s="21" t="s">
        <v>176</v>
      </c>
      <c r="D15" s="21" t="s">
        <v>243</v>
      </c>
      <c r="E15" s="21" t="str">
        <f t="shared" si="1"/>
        <v>SP PD- CF</v>
      </c>
      <c r="J15" s="56" t="s">
        <v>36</v>
      </c>
      <c r="K15" s="57">
        <v>7515402</v>
      </c>
      <c r="L15" s="58" t="s">
        <v>7</v>
      </c>
      <c r="M15" s="59" t="str">
        <f t="shared" si="0"/>
        <v>SGA-7515402</v>
      </c>
      <c r="N15" s="58" t="s">
        <v>26</v>
      </c>
      <c r="O15" s="56" t="s">
        <v>37</v>
      </c>
      <c r="Q15" s="18" t="s">
        <v>241</v>
      </c>
      <c r="R15" s="19" t="s">
        <v>242</v>
      </c>
      <c r="S15" s="62" t="s">
        <v>176</v>
      </c>
      <c r="T15" s="62" t="s">
        <v>243</v>
      </c>
      <c r="U15" s="62" t="str">
        <f t="shared" si="2"/>
        <v>SP PD- CF</v>
      </c>
    </row>
    <row r="16" spans="1:38" ht="18" customHeight="1">
      <c r="A16" s="18" t="s">
        <v>244</v>
      </c>
      <c r="B16" s="19" t="s">
        <v>245</v>
      </c>
      <c r="C16" s="21" t="s">
        <v>176</v>
      </c>
      <c r="D16" s="21" t="s">
        <v>243</v>
      </c>
      <c r="E16" s="21" t="str">
        <f t="shared" si="1"/>
        <v>SP PD- CM</v>
      </c>
      <c r="J16" s="56" t="s">
        <v>38</v>
      </c>
      <c r="K16" s="57">
        <v>7515403</v>
      </c>
      <c r="L16" s="58" t="s">
        <v>7</v>
      </c>
      <c r="M16" s="59" t="str">
        <f t="shared" si="0"/>
        <v>SGA-7515403</v>
      </c>
      <c r="N16" s="58" t="s">
        <v>26</v>
      </c>
      <c r="O16" s="56" t="s">
        <v>39</v>
      </c>
      <c r="Q16" s="18" t="s">
        <v>244</v>
      </c>
      <c r="R16" s="19" t="s">
        <v>245</v>
      </c>
      <c r="S16" s="62" t="s">
        <v>176</v>
      </c>
      <c r="T16" s="62" t="s">
        <v>243</v>
      </c>
      <c r="U16" s="62" t="str">
        <f t="shared" si="2"/>
        <v>SP PD- CM</v>
      </c>
    </row>
    <row r="17" spans="1:21" ht="18" customHeight="1">
      <c r="A17" s="23" t="s">
        <v>246</v>
      </c>
      <c r="B17" s="19" t="s">
        <v>247</v>
      </c>
      <c r="C17" s="21" t="s">
        <v>176</v>
      </c>
      <c r="D17" s="21" t="s">
        <v>243</v>
      </c>
      <c r="E17" s="21" t="str">
        <f t="shared" si="1"/>
        <v>SP PD- WT</v>
      </c>
      <c r="J17" s="56" t="s">
        <v>40</v>
      </c>
      <c r="K17" s="57">
        <v>7515404</v>
      </c>
      <c r="L17" s="58" t="s">
        <v>7</v>
      </c>
      <c r="M17" s="59" t="str">
        <f t="shared" si="0"/>
        <v>SGA-7515404</v>
      </c>
      <c r="N17" s="58" t="s">
        <v>26</v>
      </c>
      <c r="O17" s="56" t="s">
        <v>41</v>
      </c>
      <c r="Q17" s="66" t="s">
        <v>246</v>
      </c>
      <c r="R17" s="19" t="s">
        <v>247</v>
      </c>
      <c r="S17" s="62" t="s">
        <v>176</v>
      </c>
      <c r="T17" s="62" t="s">
        <v>243</v>
      </c>
      <c r="U17" s="62" t="str">
        <f t="shared" si="2"/>
        <v>SP PD- WT</v>
      </c>
    </row>
    <row r="18" spans="1:21" ht="18" customHeight="1">
      <c r="A18" s="23" t="s">
        <v>248</v>
      </c>
      <c r="B18" s="19" t="s">
        <v>249</v>
      </c>
      <c r="C18" s="21" t="s">
        <v>176</v>
      </c>
      <c r="D18" s="21" t="s">
        <v>243</v>
      </c>
      <c r="E18" s="21" t="str">
        <f t="shared" si="1"/>
        <v>SP PD- Plating</v>
      </c>
      <c r="J18" s="56" t="s">
        <v>42</v>
      </c>
      <c r="K18" s="57">
        <v>7515405</v>
      </c>
      <c r="L18" s="58" t="s">
        <v>7</v>
      </c>
      <c r="M18" s="59" t="str">
        <f t="shared" si="0"/>
        <v>SGA-7515405</v>
      </c>
      <c r="N18" s="58" t="s">
        <v>26</v>
      </c>
      <c r="O18" s="56" t="s">
        <v>43</v>
      </c>
      <c r="Q18" s="66" t="s">
        <v>248</v>
      </c>
      <c r="R18" s="19" t="s">
        <v>249</v>
      </c>
      <c r="S18" s="62" t="s">
        <v>176</v>
      </c>
      <c r="T18" s="62" t="s">
        <v>243</v>
      </c>
      <c r="U18" s="62" t="str">
        <f t="shared" si="2"/>
        <v>SP PD- Plating</v>
      </c>
    </row>
    <row r="19" spans="1:21" ht="18" customHeight="1">
      <c r="A19" s="23" t="s">
        <v>250</v>
      </c>
      <c r="B19" s="19" t="s">
        <v>251</v>
      </c>
      <c r="C19" s="21" t="s">
        <v>176</v>
      </c>
      <c r="D19" s="21" t="s">
        <v>243</v>
      </c>
      <c r="E19" s="21" t="str">
        <f t="shared" si="1"/>
        <v>SP PD- MS Insp.</v>
      </c>
      <c r="J19" s="56" t="s">
        <v>44</v>
      </c>
      <c r="K19" s="57">
        <v>7515406</v>
      </c>
      <c r="L19" s="58" t="s">
        <v>7</v>
      </c>
      <c r="M19" s="59" t="str">
        <f t="shared" si="0"/>
        <v>SGA-7515406</v>
      </c>
      <c r="N19" s="58" t="s">
        <v>26</v>
      </c>
      <c r="O19" s="56" t="s">
        <v>45</v>
      </c>
      <c r="Q19" s="66" t="s">
        <v>250</v>
      </c>
      <c r="R19" s="19" t="s">
        <v>251</v>
      </c>
      <c r="S19" s="62" t="s">
        <v>176</v>
      </c>
      <c r="T19" s="62" t="s">
        <v>243</v>
      </c>
      <c r="U19" s="62" t="str">
        <f t="shared" si="2"/>
        <v>SP PD- MS Insp.</v>
      </c>
    </row>
    <row r="20" spans="1:21" ht="18" customHeight="1">
      <c r="A20" s="23" t="s">
        <v>252</v>
      </c>
      <c r="B20" s="19" t="s">
        <v>253</v>
      </c>
      <c r="C20" s="21" t="s">
        <v>176</v>
      </c>
      <c r="D20" s="21" t="s">
        <v>243</v>
      </c>
      <c r="E20" s="21" t="str">
        <f t="shared" si="1"/>
        <v>SP PD- Insulator Sealing</v>
      </c>
      <c r="J20" s="56" t="s">
        <v>319</v>
      </c>
      <c r="K20" s="57">
        <v>7515407</v>
      </c>
      <c r="L20" s="58" t="s">
        <v>7</v>
      </c>
      <c r="M20" s="59" t="str">
        <f t="shared" si="0"/>
        <v>SGA-7515407</v>
      </c>
      <c r="N20" s="58" t="s">
        <v>26</v>
      </c>
      <c r="Q20" s="66"/>
      <c r="R20" s="19"/>
      <c r="S20" s="62"/>
      <c r="T20" s="62"/>
      <c r="U20" s="62"/>
    </row>
    <row r="21" spans="1:21" ht="18" customHeight="1">
      <c r="A21" s="23" t="s">
        <v>254</v>
      </c>
      <c r="B21" s="19" t="s">
        <v>255</v>
      </c>
      <c r="C21" s="21" t="s">
        <v>176</v>
      </c>
      <c r="D21" s="21" t="s">
        <v>243</v>
      </c>
      <c r="E21" s="21" t="str">
        <f t="shared" si="1"/>
        <v>SP PD- Assy</v>
      </c>
      <c r="J21" s="56" t="s">
        <v>46</v>
      </c>
      <c r="K21" s="57">
        <v>7515408</v>
      </c>
      <c r="L21" s="58" t="s">
        <v>7</v>
      </c>
      <c r="M21" s="59" t="str">
        <f t="shared" si="0"/>
        <v>SGA-7515408</v>
      </c>
      <c r="N21" s="58" t="s">
        <v>26</v>
      </c>
      <c r="O21" s="56" t="s">
        <v>47</v>
      </c>
      <c r="Q21" s="66" t="s">
        <v>252</v>
      </c>
      <c r="R21" s="19" t="s">
        <v>253</v>
      </c>
      <c r="S21" s="62" t="s">
        <v>176</v>
      </c>
      <c r="T21" s="62" t="s">
        <v>243</v>
      </c>
      <c r="U21" s="62" t="str">
        <f t="shared" si="2"/>
        <v>SP PD- Insulator Sealing</v>
      </c>
    </row>
    <row r="22" spans="1:21" ht="18" customHeight="1">
      <c r="A22" s="23" t="s">
        <v>256</v>
      </c>
      <c r="B22" s="19" t="s">
        <v>257</v>
      </c>
      <c r="C22" s="21" t="s">
        <v>176</v>
      </c>
      <c r="D22" s="21" t="s">
        <v>243</v>
      </c>
      <c r="E22" s="21" t="str">
        <f t="shared" si="1"/>
        <v>SP-PD-Assy-Auto Assembly</v>
      </c>
      <c r="J22" s="56" t="s">
        <v>48</v>
      </c>
      <c r="K22" s="57">
        <v>7515409</v>
      </c>
      <c r="L22" s="58" t="s">
        <v>7</v>
      </c>
      <c r="M22" s="59" t="str">
        <f t="shared" si="0"/>
        <v>SGA-7515409</v>
      </c>
      <c r="N22" s="58" t="s">
        <v>26</v>
      </c>
      <c r="O22" s="56" t="s">
        <v>49</v>
      </c>
      <c r="Q22" s="66" t="s">
        <v>254</v>
      </c>
      <c r="R22" s="19" t="s">
        <v>255</v>
      </c>
      <c r="S22" s="62" t="s">
        <v>176</v>
      </c>
      <c r="T22" s="62" t="s">
        <v>243</v>
      </c>
      <c r="U22" s="62" t="str">
        <f t="shared" si="2"/>
        <v>SP PD- Assy</v>
      </c>
    </row>
    <row r="23" spans="1:21" ht="18" customHeight="1">
      <c r="A23" s="23" t="s">
        <v>258</v>
      </c>
      <c r="B23" s="19" t="s">
        <v>259</v>
      </c>
      <c r="C23" s="21" t="s">
        <v>176</v>
      </c>
      <c r="D23" s="21" t="s">
        <v>243</v>
      </c>
      <c r="E23" s="21" t="str">
        <f t="shared" si="1"/>
        <v>SP PD- Bending</v>
      </c>
      <c r="J23" s="56" t="s">
        <v>50</v>
      </c>
      <c r="K23" s="57">
        <v>7515410</v>
      </c>
      <c r="L23" s="58" t="s">
        <v>7</v>
      </c>
      <c r="M23" s="59" t="str">
        <f t="shared" si="0"/>
        <v>SGA-7515410</v>
      </c>
      <c r="N23" s="58" t="s">
        <v>26</v>
      </c>
      <c r="O23" s="56" t="s">
        <v>51</v>
      </c>
      <c r="Q23" s="66" t="s">
        <v>256</v>
      </c>
      <c r="R23" s="19" t="s">
        <v>257</v>
      </c>
      <c r="S23" s="62" t="s">
        <v>176</v>
      </c>
      <c r="T23" s="62" t="s">
        <v>243</v>
      </c>
      <c r="U23" s="62" t="str">
        <f t="shared" si="2"/>
        <v>SP-PD-Assy-Auto Assembly</v>
      </c>
    </row>
    <row r="24" spans="1:21" ht="18" customHeight="1">
      <c r="A24" s="23" t="s">
        <v>260</v>
      </c>
      <c r="B24" s="19" t="s">
        <v>261</v>
      </c>
      <c r="C24" s="21" t="s">
        <v>176</v>
      </c>
      <c r="D24" s="21" t="s">
        <v>243</v>
      </c>
      <c r="E24" s="21" t="str">
        <f t="shared" si="1"/>
        <v>SP PD- Final Inspection</v>
      </c>
      <c r="J24" s="56" t="s">
        <v>52</v>
      </c>
      <c r="K24" s="57">
        <v>7515499</v>
      </c>
      <c r="L24" s="58" t="s">
        <v>7</v>
      </c>
      <c r="M24" s="59" t="str">
        <f t="shared" si="0"/>
        <v>SGA-7515499</v>
      </c>
      <c r="N24" s="58" t="s">
        <v>26</v>
      </c>
      <c r="O24" s="56" t="s">
        <v>53</v>
      </c>
      <c r="Q24" s="66" t="s">
        <v>258</v>
      </c>
      <c r="R24" s="19" t="s">
        <v>259</v>
      </c>
      <c r="S24" s="62" t="s">
        <v>176</v>
      </c>
      <c r="T24" s="62" t="s">
        <v>243</v>
      </c>
      <c r="U24" s="62" t="str">
        <f t="shared" si="2"/>
        <v>SP PD- Bending</v>
      </c>
    </row>
    <row r="25" spans="1:21" ht="18" customHeight="1">
      <c r="A25" s="23" t="s">
        <v>262</v>
      </c>
      <c r="B25" s="19" t="s">
        <v>263</v>
      </c>
      <c r="C25" s="21" t="s">
        <v>176</v>
      </c>
      <c r="D25" s="21" t="s">
        <v>243</v>
      </c>
      <c r="E25" s="21" t="str">
        <f t="shared" si="1"/>
        <v>SP PD- QC - OEM</v>
      </c>
      <c r="J25" s="56" t="s">
        <v>54</v>
      </c>
      <c r="K25" s="57">
        <v>7516102</v>
      </c>
      <c r="L25" s="58" t="s">
        <v>7</v>
      </c>
      <c r="M25" s="59" t="str">
        <f t="shared" si="0"/>
        <v>SGA-7516102</v>
      </c>
      <c r="N25" s="58" t="s">
        <v>55</v>
      </c>
      <c r="O25" s="56" t="s">
        <v>56</v>
      </c>
      <c r="Q25" s="66" t="s">
        <v>260</v>
      </c>
      <c r="R25" s="19" t="s">
        <v>261</v>
      </c>
      <c r="S25" s="62" t="s">
        <v>176</v>
      </c>
      <c r="T25" s="62" t="s">
        <v>243</v>
      </c>
      <c r="U25" s="62" t="str">
        <f t="shared" si="2"/>
        <v>SP PD- Final Inspection</v>
      </c>
    </row>
    <row r="26" spans="1:21" ht="18" customHeight="1">
      <c r="A26" s="23" t="s">
        <v>264</v>
      </c>
      <c r="B26" s="19" t="s">
        <v>265</v>
      </c>
      <c r="C26" s="21" t="s">
        <v>176</v>
      </c>
      <c r="D26" s="21" t="s">
        <v>243</v>
      </c>
      <c r="E26" s="21" t="str">
        <f t="shared" si="1"/>
        <v>PC PD- Injection</v>
      </c>
      <c r="J26" s="56" t="s">
        <v>57</v>
      </c>
      <c r="K26" s="57">
        <v>7519101</v>
      </c>
      <c r="L26" s="58" t="s">
        <v>7</v>
      </c>
      <c r="M26" s="59" t="str">
        <f t="shared" si="0"/>
        <v>SGA-7519101</v>
      </c>
      <c r="N26" s="58" t="s">
        <v>8</v>
      </c>
      <c r="O26" s="56" t="s">
        <v>58</v>
      </c>
      <c r="Q26" s="66" t="s">
        <v>262</v>
      </c>
      <c r="R26" s="19" t="s">
        <v>263</v>
      </c>
      <c r="S26" s="62" t="s">
        <v>176</v>
      </c>
      <c r="T26" s="62" t="s">
        <v>243</v>
      </c>
      <c r="U26" s="62" t="str">
        <f t="shared" si="2"/>
        <v>SP PD- QC - OEM</v>
      </c>
    </row>
    <row r="27" spans="1:21" ht="18" customHeight="1">
      <c r="A27" s="23" t="s">
        <v>266</v>
      </c>
      <c r="B27" s="19" t="s">
        <v>267</v>
      </c>
      <c r="C27" s="21" t="s">
        <v>176</v>
      </c>
      <c r="D27" s="21" t="s">
        <v>243</v>
      </c>
      <c r="E27" s="21" t="str">
        <f t="shared" si="1"/>
        <v>PC PD- Assy</v>
      </c>
      <c r="J27" s="56" t="s">
        <v>59</v>
      </c>
      <c r="K27" s="57">
        <v>7521101</v>
      </c>
      <c r="L27" s="58" t="s">
        <v>7</v>
      </c>
      <c r="M27" s="59" t="str">
        <f t="shared" si="0"/>
        <v>SGA-7521101</v>
      </c>
      <c r="N27" s="58" t="s">
        <v>12</v>
      </c>
      <c r="O27" s="56" t="s">
        <v>60</v>
      </c>
      <c r="Q27" s="66" t="s">
        <v>264</v>
      </c>
      <c r="R27" s="19" t="s">
        <v>265</v>
      </c>
      <c r="S27" s="62" t="s">
        <v>176</v>
      </c>
      <c r="T27" s="62" t="s">
        <v>243</v>
      </c>
      <c r="U27" s="62" t="str">
        <f t="shared" si="2"/>
        <v>PC PD- Injection</v>
      </c>
    </row>
    <row r="28" spans="1:21" ht="18" customHeight="1">
      <c r="A28" s="23" t="s">
        <v>268</v>
      </c>
      <c r="B28" s="19" t="s">
        <v>269</v>
      </c>
      <c r="C28" s="21" t="s">
        <v>176</v>
      </c>
      <c r="D28" s="21" t="s">
        <v>243</v>
      </c>
      <c r="E28" s="21" t="str">
        <f t="shared" si="1"/>
        <v>PC PD- QC</v>
      </c>
      <c r="J28" s="56" t="s">
        <v>61</v>
      </c>
      <c r="K28" s="57">
        <v>7521102</v>
      </c>
      <c r="L28" s="58" t="s">
        <v>7</v>
      </c>
      <c r="M28" s="59" t="str">
        <f t="shared" si="0"/>
        <v>SGA-7521102</v>
      </c>
      <c r="N28" s="58" t="s">
        <v>23</v>
      </c>
      <c r="O28" s="56" t="s">
        <v>62</v>
      </c>
      <c r="Q28" s="66" t="s">
        <v>266</v>
      </c>
      <c r="R28" s="19" t="s">
        <v>267</v>
      </c>
      <c r="S28" s="62" t="s">
        <v>176</v>
      </c>
      <c r="T28" s="62" t="s">
        <v>243</v>
      </c>
      <c r="U28" s="62" t="str">
        <f t="shared" si="2"/>
        <v>PC PD- Assy</v>
      </c>
    </row>
    <row r="29" spans="1:21" ht="18" customHeight="1">
      <c r="A29" s="23" t="s">
        <v>270</v>
      </c>
      <c r="B29" s="19" t="s">
        <v>271</v>
      </c>
      <c r="C29" s="21" t="s">
        <v>176</v>
      </c>
      <c r="D29" s="21" t="s">
        <v>272</v>
      </c>
      <c r="E29" s="21" t="str">
        <f t="shared" si="1"/>
        <v>Plant Operation (Indirect Mfg)</v>
      </c>
      <c r="J29" s="56" t="s">
        <v>63</v>
      </c>
      <c r="K29" s="57">
        <v>7571101</v>
      </c>
      <c r="L29" s="58" t="s">
        <v>7</v>
      </c>
      <c r="M29" s="59" t="str">
        <f t="shared" si="0"/>
        <v>SGA-7571101</v>
      </c>
      <c r="N29" s="58" t="s">
        <v>64</v>
      </c>
      <c r="O29" s="56" t="s">
        <v>65</v>
      </c>
      <c r="Q29" s="66" t="s">
        <v>268</v>
      </c>
      <c r="R29" s="19" t="s">
        <v>269</v>
      </c>
      <c r="S29" s="62" t="s">
        <v>176</v>
      </c>
      <c r="T29" s="62" t="s">
        <v>243</v>
      </c>
      <c r="U29" s="62" t="str">
        <f t="shared" si="2"/>
        <v>PC PD- QC</v>
      </c>
    </row>
    <row r="30" spans="1:21" ht="18" customHeight="1">
      <c r="A30" s="23" t="s">
        <v>273</v>
      </c>
      <c r="B30" s="19" t="s">
        <v>274</v>
      </c>
      <c r="C30" s="21" t="s">
        <v>176</v>
      </c>
      <c r="D30" s="21" t="s">
        <v>272</v>
      </c>
      <c r="E30" s="21" t="str">
        <f t="shared" si="1"/>
        <v>Production Office</v>
      </c>
      <c r="J30" s="56" t="s">
        <v>66</v>
      </c>
      <c r="K30" s="57">
        <v>7611100</v>
      </c>
      <c r="L30" s="58" t="s">
        <v>7</v>
      </c>
      <c r="M30" s="59" t="str">
        <f t="shared" si="0"/>
        <v>SGA-7611100</v>
      </c>
      <c r="N30" s="58" t="s">
        <v>67</v>
      </c>
      <c r="O30" s="56" t="s">
        <v>68</v>
      </c>
      <c r="Q30" s="66" t="s">
        <v>270</v>
      </c>
      <c r="R30" s="19" t="s">
        <v>271</v>
      </c>
      <c r="S30" s="62" t="s">
        <v>176</v>
      </c>
      <c r="T30" s="62" t="s">
        <v>272</v>
      </c>
      <c r="U30" s="62" t="str">
        <f t="shared" si="2"/>
        <v>Plant Operation (Indirect Mfg)</v>
      </c>
    </row>
    <row r="31" spans="1:21" ht="18" customHeight="1">
      <c r="A31" s="23" t="s">
        <v>275</v>
      </c>
      <c r="B31" s="19" t="s">
        <v>276</v>
      </c>
      <c r="C31" s="21" t="s">
        <v>176</v>
      </c>
      <c r="D31" s="21" t="s">
        <v>272</v>
      </c>
      <c r="E31" s="21" t="str">
        <f t="shared" si="1"/>
        <v>Production Office (SP)</v>
      </c>
      <c r="J31" s="56" t="s">
        <v>69</v>
      </c>
      <c r="K31" s="57">
        <v>7611300</v>
      </c>
      <c r="L31" s="58" t="s">
        <v>7</v>
      </c>
      <c r="M31" s="59" t="str">
        <f t="shared" si="0"/>
        <v>SGA-7611300</v>
      </c>
      <c r="N31" s="58" t="s">
        <v>67</v>
      </c>
      <c r="O31" s="56" t="s">
        <v>70</v>
      </c>
      <c r="Q31" s="66" t="s">
        <v>273</v>
      </c>
      <c r="R31" s="19" t="s">
        <v>274</v>
      </c>
      <c r="S31" s="62" t="s">
        <v>176</v>
      </c>
      <c r="T31" s="62" t="s">
        <v>272</v>
      </c>
      <c r="U31" s="62" t="str">
        <f t="shared" si="2"/>
        <v>Production Office</v>
      </c>
    </row>
    <row r="32" spans="1:21" ht="18" customHeight="1">
      <c r="A32" s="23" t="s">
        <v>277</v>
      </c>
      <c r="B32" s="19" t="s">
        <v>278</v>
      </c>
      <c r="C32" s="21" t="s">
        <v>176</v>
      </c>
      <c r="D32" s="21" t="s">
        <v>272</v>
      </c>
      <c r="E32" s="21" t="str">
        <f t="shared" si="1"/>
        <v>Production Office (PC)</v>
      </c>
      <c r="J32" s="56" t="s">
        <v>320</v>
      </c>
      <c r="K32" s="57">
        <v>7611400</v>
      </c>
      <c r="L32" s="58" t="s">
        <v>7</v>
      </c>
      <c r="M32" s="59" t="str">
        <f t="shared" si="0"/>
        <v>SGA-7611400</v>
      </c>
      <c r="N32" s="58" t="s">
        <v>67</v>
      </c>
      <c r="O32" s="56" t="s">
        <v>321</v>
      </c>
      <c r="Q32" s="66" t="s">
        <v>275</v>
      </c>
      <c r="R32" s="19" t="s">
        <v>276</v>
      </c>
      <c r="S32" s="62" t="s">
        <v>176</v>
      </c>
      <c r="T32" s="62" t="s">
        <v>272</v>
      </c>
      <c r="U32" s="62" t="str">
        <f t="shared" si="2"/>
        <v>Production Office (SP)</v>
      </c>
    </row>
    <row r="33" spans="1:21" ht="18" customHeight="1">
      <c r="A33" s="23" t="s">
        <v>279</v>
      </c>
      <c r="B33" s="19" t="s">
        <v>280</v>
      </c>
      <c r="C33" s="21" t="s">
        <v>176</v>
      </c>
      <c r="D33" s="21" t="s">
        <v>272</v>
      </c>
      <c r="E33" s="21" t="str">
        <f t="shared" si="1"/>
        <v>Quality Assurance</v>
      </c>
      <c r="J33" s="56" t="s">
        <v>71</v>
      </c>
      <c r="K33" s="57">
        <v>7611500</v>
      </c>
      <c r="L33" s="58" t="s">
        <v>7</v>
      </c>
      <c r="M33" s="59" t="str">
        <f t="shared" si="0"/>
        <v>SGA-7611500</v>
      </c>
      <c r="N33" s="58" t="s">
        <v>67</v>
      </c>
      <c r="O33" s="56" t="s">
        <v>72</v>
      </c>
      <c r="Q33" s="66" t="s">
        <v>277</v>
      </c>
      <c r="R33" s="19" t="s">
        <v>278</v>
      </c>
      <c r="S33" s="62" t="s">
        <v>176</v>
      </c>
      <c r="T33" s="62" t="s">
        <v>272</v>
      </c>
      <c r="U33" s="62" t="str">
        <f t="shared" si="2"/>
        <v>Production Office (PC)</v>
      </c>
    </row>
    <row r="34" spans="1:21" ht="18" customHeight="1">
      <c r="A34" s="23" t="s">
        <v>281</v>
      </c>
      <c r="B34" s="19" t="s">
        <v>282</v>
      </c>
      <c r="C34" s="21" t="s">
        <v>176</v>
      </c>
      <c r="D34" s="21" t="s">
        <v>272</v>
      </c>
      <c r="E34" s="21" t="str">
        <f t="shared" si="1"/>
        <v>Quality Control</v>
      </c>
      <c r="J34" s="56" t="s">
        <v>73</v>
      </c>
      <c r="K34" s="57">
        <v>7611600</v>
      </c>
      <c r="L34" s="58" t="s">
        <v>7</v>
      </c>
      <c r="M34" s="59" t="str">
        <f t="shared" si="0"/>
        <v>SGA-7611600</v>
      </c>
      <c r="N34" s="58" t="s">
        <v>67</v>
      </c>
      <c r="O34" s="56" t="s">
        <v>74</v>
      </c>
      <c r="Q34" s="66" t="s">
        <v>279</v>
      </c>
      <c r="R34" s="19" t="s">
        <v>280</v>
      </c>
      <c r="S34" s="62" t="s">
        <v>176</v>
      </c>
      <c r="T34" s="62" t="s">
        <v>272</v>
      </c>
      <c r="U34" s="62" t="str">
        <f t="shared" si="2"/>
        <v>Quality Assurance</v>
      </c>
    </row>
    <row r="35" spans="1:21" ht="18" customHeight="1">
      <c r="A35" s="23" t="s">
        <v>283</v>
      </c>
      <c r="B35" s="19" t="s">
        <v>284</v>
      </c>
      <c r="C35" s="21" t="s">
        <v>176</v>
      </c>
      <c r="D35" s="21" t="s">
        <v>272</v>
      </c>
      <c r="E35" s="21" t="str">
        <f t="shared" si="1"/>
        <v>Maintenance</v>
      </c>
      <c r="J35" s="56" t="s">
        <v>75</v>
      </c>
      <c r="K35" s="57">
        <v>7611700</v>
      </c>
      <c r="L35" s="58" t="s">
        <v>7</v>
      </c>
      <c r="M35" s="59" t="str">
        <f t="shared" si="0"/>
        <v>SGA-7611700</v>
      </c>
      <c r="N35" s="58" t="s">
        <v>67</v>
      </c>
      <c r="O35" s="56" t="s">
        <v>76</v>
      </c>
      <c r="Q35" s="66" t="s">
        <v>281</v>
      </c>
      <c r="R35" s="19" t="s">
        <v>282</v>
      </c>
      <c r="S35" s="62" t="s">
        <v>176</v>
      </c>
      <c r="T35" s="62" t="s">
        <v>272</v>
      </c>
      <c r="U35" s="62" t="str">
        <f t="shared" si="2"/>
        <v>Quality Control</v>
      </c>
    </row>
    <row r="36" spans="1:21" ht="18" customHeight="1">
      <c r="A36" s="23" t="s">
        <v>285</v>
      </c>
      <c r="B36" s="19" t="s">
        <v>286</v>
      </c>
      <c r="C36" s="21" t="s">
        <v>176</v>
      </c>
      <c r="D36" s="21" t="s">
        <v>272</v>
      </c>
      <c r="E36" s="21" t="str">
        <f t="shared" si="1"/>
        <v>Production Engineering</v>
      </c>
      <c r="J36" s="56" t="s">
        <v>322</v>
      </c>
      <c r="K36" s="57">
        <v>7611800</v>
      </c>
      <c r="L36" s="58" t="s">
        <v>7</v>
      </c>
      <c r="M36" s="59" t="str">
        <f t="shared" si="0"/>
        <v>SGA-7611800</v>
      </c>
      <c r="N36" s="58" t="s">
        <v>67</v>
      </c>
      <c r="O36" s="56" t="s">
        <v>323</v>
      </c>
      <c r="Q36" s="66" t="s">
        <v>283</v>
      </c>
      <c r="R36" s="19" t="s">
        <v>284</v>
      </c>
      <c r="S36" s="62" t="s">
        <v>176</v>
      </c>
      <c r="T36" s="62" t="s">
        <v>272</v>
      </c>
      <c r="U36" s="62" t="str">
        <f t="shared" si="2"/>
        <v>Maintenance</v>
      </c>
    </row>
    <row r="37" spans="1:21" ht="18" customHeight="1">
      <c r="A37" s="18" t="s">
        <v>287</v>
      </c>
      <c r="B37" s="19" t="s">
        <v>288</v>
      </c>
      <c r="C37" s="21" t="s">
        <v>176</v>
      </c>
      <c r="D37" s="21" t="s">
        <v>272</v>
      </c>
      <c r="E37" s="21" t="str">
        <f t="shared" si="1"/>
        <v>Supply Procurement</v>
      </c>
      <c r="J37" s="56" t="s">
        <v>77</v>
      </c>
      <c r="K37" s="57">
        <v>7621101</v>
      </c>
      <c r="L37" s="58" t="s">
        <v>7</v>
      </c>
      <c r="M37" s="59" t="str">
        <f t="shared" si="0"/>
        <v>SGA-7621101</v>
      </c>
      <c r="N37" s="58" t="s">
        <v>78</v>
      </c>
      <c r="O37" s="56" t="s">
        <v>79</v>
      </c>
      <c r="Q37" s="66" t="s">
        <v>285</v>
      </c>
      <c r="R37" s="19" t="s">
        <v>286</v>
      </c>
      <c r="S37" s="62" t="s">
        <v>176</v>
      </c>
      <c r="T37" s="62" t="s">
        <v>272</v>
      </c>
      <c r="U37" s="62" t="str">
        <f t="shared" si="2"/>
        <v>Production Engineering</v>
      </c>
    </row>
    <row r="38" spans="1:21" ht="18" customHeight="1">
      <c r="A38" s="18" t="s">
        <v>289</v>
      </c>
      <c r="B38" s="19" t="s">
        <v>290</v>
      </c>
      <c r="C38" s="21" t="s">
        <v>176</v>
      </c>
      <c r="D38" s="21" t="s">
        <v>272</v>
      </c>
      <c r="E38" s="21" t="str">
        <f t="shared" si="1"/>
        <v>Inventory Control</v>
      </c>
      <c r="J38" s="56" t="s">
        <v>80</v>
      </c>
      <c r="K38" s="57">
        <v>7621199</v>
      </c>
      <c r="L38" s="58" t="s">
        <v>7</v>
      </c>
      <c r="M38" s="59" t="str">
        <f t="shared" si="0"/>
        <v>SGA-7621199</v>
      </c>
      <c r="N38" s="58" t="s">
        <v>81</v>
      </c>
      <c r="O38" s="56" t="s">
        <v>82</v>
      </c>
      <c r="Q38" s="18" t="s">
        <v>287</v>
      </c>
      <c r="R38" s="19" t="s">
        <v>288</v>
      </c>
      <c r="S38" s="62" t="s">
        <v>176</v>
      </c>
      <c r="T38" s="62" t="s">
        <v>272</v>
      </c>
      <c r="U38" s="62" t="str">
        <f t="shared" si="2"/>
        <v>Supply Procurement</v>
      </c>
    </row>
    <row r="39" spans="1:21" ht="18" customHeight="1">
      <c r="A39" s="18" t="s">
        <v>291</v>
      </c>
      <c r="B39" s="19" t="s">
        <v>292</v>
      </c>
      <c r="C39" s="21" t="s">
        <v>176</v>
      </c>
      <c r="D39" s="21" t="s">
        <v>272</v>
      </c>
      <c r="E39" s="21" t="str">
        <f t="shared" si="1"/>
        <v>WH Dept.- KD &amp; RM</v>
      </c>
      <c r="J39" s="56" t="s">
        <v>83</v>
      </c>
      <c r="K39" s="57">
        <v>7631101</v>
      </c>
      <c r="L39" s="58" t="s">
        <v>7</v>
      </c>
      <c r="M39" s="59" t="str">
        <f t="shared" si="0"/>
        <v>SGA-7631101</v>
      </c>
      <c r="N39" s="58" t="s">
        <v>84</v>
      </c>
      <c r="O39" s="56" t="s">
        <v>85</v>
      </c>
      <c r="Q39" s="18" t="s">
        <v>289</v>
      </c>
      <c r="R39" s="19" t="s">
        <v>290</v>
      </c>
      <c r="S39" s="62" t="s">
        <v>176</v>
      </c>
      <c r="T39" s="62" t="s">
        <v>272</v>
      </c>
      <c r="U39" s="62" t="str">
        <f t="shared" si="2"/>
        <v>Inventory Control</v>
      </c>
    </row>
    <row r="40" spans="1:21" ht="18" customHeight="1">
      <c r="A40" s="18" t="s">
        <v>291</v>
      </c>
      <c r="B40" s="19" t="s">
        <v>292</v>
      </c>
      <c r="C40" s="21" t="s">
        <v>176</v>
      </c>
      <c r="D40" s="21" t="s">
        <v>272</v>
      </c>
      <c r="E40" s="21" t="str">
        <f t="shared" si="1"/>
        <v>WH Dept.- KD &amp; RM</v>
      </c>
      <c r="J40" s="56" t="s">
        <v>86</v>
      </c>
      <c r="K40" s="57">
        <v>7631102</v>
      </c>
      <c r="L40" s="58" t="s">
        <v>7</v>
      </c>
      <c r="M40" s="59" t="str">
        <f t="shared" si="0"/>
        <v>SGA-7631102</v>
      </c>
      <c r="N40" s="58" t="s">
        <v>87</v>
      </c>
      <c r="O40" s="56" t="s">
        <v>88</v>
      </c>
      <c r="Q40" s="67" t="s">
        <v>293</v>
      </c>
      <c r="R40" s="68" t="s">
        <v>294</v>
      </c>
      <c r="S40" s="69" t="s">
        <v>7</v>
      </c>
      <c r="T40" s="69" t="s">
        <v>210</v>
      </c>
      <c r="U40" s="69" t="str">
        <f t="shared" si="2"/>
        <v>SCM - FG WH</v>
      </c>
    </row>
    <row r="41" spans="1:21" ht="18" customHeight="1">
      <c r="A41" s="18" t="s">
        <v>293</v>
      </c>
      <c r="B41" s="19" t="s">
        <v>294</v>
      </c>
      <c r="C41" s="20" t="s">
        <v>7</v>
      </c>
      <c r="D41" s="21" t="s">
        <v>210</v>
      </c>
      <c r="E41" s="21" t="str">
        <f t="shared" si="1"/>
        <v>SCM - FG WH</v>
      </c>
      <c r="J41" s="56" t="s">
        <v>89</v>
      </c>
      <c r="K41" s="57">
        <v>7641101</v>
      </c>
      <c r="L41" s="58" t="s">
        <v>7</v>
      </c>
      <c r="M41" s="59" t="str">
        <f t="shared" si="0"/>
        <v>SGA-7641101</v>
      </c>
      <c r="N41" s="58" t="s">
        <v>90</v>
      </c>
      <c r="O41" s="56" t="s">
        <v>91</v>
      </c>
      <c r="Q41" s="18" t="s">
        <v>291</v>
      </c>
      <c r="R41" s="19" t="s">
        <v>292</v>
      </c>
      <c r="S41" s="62" t="s">
        <v>176</v>
      </c>
      <c r="T41" s="62" t="s">
        <v>272</v>
      </c>
      <c r="U41" s="62" t="str">
        <f t="shared" si="2"/>
        <v>WH Dept.- KD &amp; RM</v>
      </c>
    </row>
    <row r="42" spans="1:21" ht="18" customHeight="1">
      <c r="A42" s="18" t="s">
        <v>291</v>
      </c>
      <c r="B42" s="19" t="s">
        <v>292</v>
      </c>
      <c r="C42" s="21" t="s">
        <v>176</v>
      </c>
      <c r="D42" s="21" t="s">
        <v>272</v>
      </c>
      <c r="E42" s="21" t="str">
        <f t="shared" si="1"/>
        <v>WH Dept.- KD &amp; RM</v>
      </c>
      <c r="J42" s="56" t="s">
        <v>92</v>
      </c>
      <c r="K42" s="57">
        <v>7641102</v>
      </c>
      <c r="L42" s="58" t="s">
        <v>7</v>
      </c>
      <c r="M42" s="59" t="str">
        <f t="shared" si="0"/>
        <v>SGA-7641102</v>
      </c>
      <c r="N42" s="58" t="s">
        <v>90</v>
      </c>
      <c r="O42" s="56" t="s">
        <v>93</v>
      </c>
      <c r="Q42" s="18" t="s">
        <v>295</v>
      </c>
      <c r="R42" s="19" t="s">
        <v>296</v>
      </c>
      <c r="S42" s="62" t="s">
        <v>176</v>
      </c>
      <c r="T42" s="62" t="s">
        <v>272</v>
      </c>
      <c r="U42" s="62" t="str">
        <f t="shared" si="2"/>
        <v>Continuous Improvement</v>
      </c>
    </row>
    <row r="43" spans="1:21" ht="18" customHeight="1">
      <c r="A43" s="18" t="s">
        <v>295</v>
      </c>
      <c r="B43" s="19" t="s">
        <v>296</v>
      </c>
      <c r="C43" s="21" t="s">
        <v>176</v>
      </c>
      <c r="D43" s="21" t="s">
        <v>272</v>
      </c>
      <c r="E43" s="21" t="str">
        <f t="shared" si="1"/>
        <v>Continuous Improvement</v>
      </c>
      <c r="J43" s="56" t="s">
        <v>94</v>
      </c>
      <c r="K43" s="57">
        <v>7641103</v>
      </c>
      <c r="L43" s="58" t="s">
        <v>7</v>
      </c>
      <c r="M43" s="59" t="str">
        <f t="shared" si="0"/>
        <v>SGA-7641103</v>
      </c>
      <c r="N43" s="58" t="s">
        <v>95</v>
      </c>
      <c r="O43" s="56" t="s">
        <v>96</v>
      </c>
      <c r="Q43" s="56" t="s">
        <v>324</v>
      </c>
      <c r="R43" s="57" t="s">
        <v>325</v>
      </c>
      <c r="U43" s="56" t="str">
        <f t="shared" si="2"/>
        <v>All</v>
      </c>
    </row>
    <row r="44" spans="1:21" ht="18" customHeight="1">
      <c r="J44" s="56" t="s">
        <v>97</v>
      </c>
      <c r="K44" s="57">
        <v>7641104</v>
      </c>
      <c r="L44" s="58" t="s">
        <v>7</v>
      </c>
      <c r="M44" s="59" t="str">
        <f t="shared" si="0"/>
        <v>SGA-7641104</v>
      </c>
      <c r="N44" s="58" t="s">
        <v>95</v>
      </c>
      <c r="O44" s="56" t="s">
        <v>98</v>
      </c>
    </row>
    <row r="45" spans="1:21" ht="18" customHeight="1">
      <c r="J45" s="56" t="s">
        <v>99</v>
      </c>
      <c r="K45" s="57">
        <v>7651101</v>
      </c>
      <c r="L45" s="58" t="s">
        <v>7</v>
      </c>
      <c r="M45" s="59" t="str">
        <f t="shared" si="0"/>
        <v>SGA-7651101</v>
      </c>
      <c r="N45" s="58" t="s">
        <v>78</v>
      </c>
      <c r="O45" s="56" t="s">
        <v>100</v>
      </c>
    </row>
    <row r="46" spans="1:21" ht="18" customHeight="1">
      <c r="J46" s="56" t="s">
        <v>101</v>
      </c>
      <c r="K46" s="57">
        <v>7651102</v>
      </c>
      <c r="L46" s="58" t="s">
        <v>7</v>
      </c>
      <c r="M46" s="59" t="str">
        <f t="shared" si="0"/>
        <v>SGA-7651102</v>
      </c>
      <c r="N46" s="58" t="s">
        <v>78</v>
      </c>
      <c r="O46" s="56" t="s">
        <v>102</v>
      </c>
    </row>
    <row r="47" spans="1:21" ht="18" customHeight="1">
      <c r="J47" s="56" t="s">
        <v>103</v>
      </c>
      <c r="K47" s="57">
        <v>7651103</v>
      </c>
      <c r="L47" s="58" t="s">
        <v>7</v>
      </c>
      <c r="M47" s="59" t="str">
        <f t="shared" si="0"/>
        <v>SGA-7651103</v>
      </c>
      <c r="N47" s="58" t="s">
        <v>78</v>
      </c>
      <c r="O47" s="56" t="s">
        <v>104</v>
      </c>
    </row>
    <row r="48" spans="1:21" ht="18" customHeight="1">
      <c r="J48" s="56" t="s">
        <v>105</v>
      </c>
      <c r="K48" s="57">
        <v>7661101</v>
      </c>
      <c r="L48" s="58" t="s">
        <v>7</v>
      </c>
      <c r="M48" s="59" t="str">
        <f t="shared" si="0"/>
        <v>SGA-7661101</v>
      </c>
      <c r="N48" s="58" t="s">
        <v>106</v>
      </c>
      <c r="O48" s="56" t="s">
        <v>107</v>
      </c>
    </row>
    <row r="49" spans="10:15" ht="18" customHeight="1">
      <c r="J49" s="56" t="s">
        <v>108</v>
      </c>
      <c r="K49" s="57">
        <v>7671102</v>
      </c>
      <c r="L49" s="58" t="s">
        <v>7</v>
      </c>
      <c r="M49" s="59" t="str">
        <f t="shared" si="0"/>
        <v>SGA-7671102</v>
      </c>
      <c r="N49" s="58" t="s">
        <v>95</v>
      </c>
      <c r="O49" s="56" t="s">
        <v>109</v>
      </c>
    </row>
    <row r="50" spans="10:15" ht="18" customHeight="1">
      <c r="J50" s="56" t="s">
        <v>110</v>
      </c>
      <c r="K50" s="57">
        <v>7671103</v>
      </c>
      <c r="L50" s="58" t="s">
        <v>7</v>
      </c>
      <c r="M50" s="59" t="str">
        <f t="shared" si="0"/>
        <v>SGA-7671103</v>
      </c>
      <c r="N50" s="58" t="s">
        <v>95</v>
      </c>
      <c r="O50" s="56" t="s">
        <v>111</v>
      </c>
    </row>
    <row r="51" spans="10:15" ht="18" customHeight="1">
      <c r="J51" s="56" t="s">
        <v>112</v>
      </c>
      <c r="K51" s="57">
        <v>7681101</v>
      </c>
      <c r="L51" s="58" t="s">
        <v>7</v>
      </c>
      <c r="M51" s="59" t="str">
        <f t="shared" si="0"/>
        <v>SGA-7681101</v>
      </c>
      <c r="N51" s="58" t="s">
        <v>95</v>
      </c>
      <c r="O51" s="56" t="s">
        <v>113</v>
      </c>
    </row>
    <row r="52" spans="10:15" ht="18" customHeight="1">
      <c r="J52" s="56" t="s">
        <v>114</v>
      </c>
      <c r="K52" s="57">
        <v>7691000</v>
      </c>
      <c r="L52" s="58" t="s">
        <v>7</v>
      </c>
      <c r="M52" s="59" t="str">
        <f t="shared" si="0"/>
        <v>SGA-7691000</v>
      </c>
      <c r="N52" s="58" t="s">
        <v>95</v>
      </c>
      <c r="O52" s="56" t="s">
        <v>115</v>
      </c>
    </row>
    <row r="53" spans="10:15" ht="18" customHeight="1">
      <c r="J53" s="56" t="s">
        <v>116</v>
      </c>
      <c r="K53" s="57">
        <v>7711101</v>
      </c>
      <c r="L53" s="58" t="s">
        <v>7</v>
      </c>
      <c r="M53" s="59" t="str">
        <f t="shared" si="0"/>
        <v>SGA-7711101</v>
      </c>
      <c r="N53" s="58" t="s">
        <v>95</v>
      </c>
      <c r="O53" s="56" t="s">
        <v>117</v>
      </c>
    </row>
    <row r="54" spans="10:15" ht="18" customHeight="1">
      <c r="J54" s="56" t="s">
        <v>118</v>
      </c>
      <c r="K54" s="57">
        <v>7711102</v>
      </c>
      <c r="L54" s="58" t="s">
        <v>7</v>
      </c>
      <c r="M54" s="59" t="str">
        <f t="shared" si="0"/>
        <v>SGA-7711102</v>
      </c>
      <c r="N54" s="58" t="s">
        <v>119</v>
      </c>
      <c r="O54" s="56" t="s">
        <v>120</v>
      </c>
    </row>
    <row r="55" spans="10:15" ht="18" customHeight="1">
      <c r="J55" s="56" t="s">
        <v>121</v>
      </c>
      <c r="K55" s="57">
        <v>7711103</v>
      </c>
      <c r="L55" s="58" t="s">
        <v>7</v>
      </c>
      <c r="M55" s="59" t="str">
        <f t="shared" si="0"/>
        <v>SGA-7711103</v>
      </c>
      <c r="N55" s="58" t="s">
        <v>95</v>
      </c>
      <c r="O55" s="56" t="s">
        <v>122</v>
      </c>
    </row>
    <row r="56" spans="10:15" ht="18" customHeight="1">
      <c r="J56" s="56" t="s">
        <v>326</v>
      </c>
      <c r="K56" s="57">
        <v>7721101</v>
      </c>
      <c r="L56" s="58" t="s">
        <v>7</v>
      </c>
      <c r="M56" s="59" t="str">
        <f t="shared" si="0"/>
        <v>SGA-7721101</v>
      </c>
      <c r="N56" s="58" t="s">
        <v>95</v>
      </c>
      <c r="O56" s="56" t="s">
        <v>327</v>
      </c>
    </row>
    <row r="57" spans="10:15" ht="18" customHeight="1">
      <c r="J57" s="56" t="s">
        <v>123</v>
      </c>
      <c r="K57" s="57">
        <v>7729101</v>
      </c>
      <c r="L57" s="58" t="s">
        <v>7</v>
      </c>
      <c r="M57" s="59" t="str">
        <f t="shared" si="0"/>
        <v>SGA-7729101</v>
      </c>
      <c r="N57" s="58" t="s">
        <v>124</v>
      </c>
      <c r="O57" s="56" t="s">
        <v>125</v>
      </c>
    </row>
    <row r="58" spans="10:15" ht="18" customHeight="1">
      <c r="J58" s="56" t="s">
        <v>126</v>
      </c>
      <c r="K58" s="57">
        <v>7729103</v>
      </c>
      <c r="L58" s="58" t="s">
        <v>7</v>
      </c>
      <c r="M58" s="59" t="str">
        <f t="shared" si="0"/>
        <v>SGA-7729103</v>
      </c>
      <c r="N58" s="58" t="s">
        <v>127</v>
      </c>
      <c r="O58" s="56" t="s">
        <v>128</v>
      </c>
    </row>
    <row r="59" spans="10:15" ht="18" customHeight="1">
      <c r="J59" s="56" t="s">
        <v>129</v>
      </c>
      <c r="K59" s="57">
        <v>7729105</v>
      </c>
      <c r="L59" s="58" t="s">
        <v>7</v>
      </c>
      <c r="M59" s="59" t="str">
        <f t="shared" si="0"/>
        <v>SGA-7729105</v>
      </c>
      <c r="N59" s="58" t="s">
        <v>95</v>
      </c>
      <c r="O59" s="56" t="s">
        <v>130</v>
      </c>
    </row>
    <row r="60" spans="10:15" ht="18" customHeight="1">
      <c r="J60" s="56" t="s">
        <v>131</v>
      </c>
      <c r="K60" s="57">
        <v>7781101</v>
      </c>
      <c r="L60" s="58" t="s">
        <v>7</v>
      </c>
      <c r="M60" s="59" t="str">
        <f t="shared" si="0"/>
        <v>SGA-7781101</v>
      </c>
      <c r="N60" s="58" t="s">
        <v>95</v>
      </c>
      <c r="O60" s="56" t="s">
        <v>132</v>
      </c>
    </row>
    <row r="61" spans="10:15" ht="18" customHeight="1">
      <c r="J61" s="56" t="s">
        <v>133</v>
      </c>
      <c r="K61" s="57">
        <v>7781103</v>
      </c>
      <c r="L61" s="58" t="s">
        <v>7</v>
      </c>
      <c r="M61" s="59" t="str">
        <f t="shared" si="0"/>
        <v>SGA-7781103</v>
      </c>
      <c r="N61" s="58" t="s">
        <v>95</v>
      </c>
      <c r="O61" s="56" t="s">
        <v>134</v>
      </c>
    </row>
    <row r="62" spans="10:15" ht="18" customHeight="1">
      <c r="J62" s="56" t="s">
        <v>135</v>
      </c>
      <c r="K62" s="57">
        <v>7781104</v>
      </c>
      <c r="L62" s="58" t="s">
        <v>7</v>
      </c>
      <c r="M62" s="59" t="str">
        <f t="shared" si="0"/>
        <v>SGA-7781104</v>
      </c>
      <c r="N62" s="58" t="s">
        <v>95</v>
      </c>
      <c r="O62" s="56" t="s">
        <v>136</v>
      </c>
    </row>
    <row r="63" spans="10:15" ht="18" customHeight="1">
      <c r="J63" s="56" t="s">
        <v>328</v>
      </c>
      <c r="K63" s="57">
        <v>7781105</v>
      </c>
      <c r="L63" s="58" t="s">
        <v>7</v>
      </c>
      <c r="M63" s="59" t="str">
        <f t="shared" si="0"/>
        <v>SGA-7781105</v>
      </c>
      <c r="N63" s="58" t="s">
        <v>95</v>
      </c>
      <c r="O63" s="56" t="s">
        <v>329</v>
      </c>
    </row>
    <row r="64" spans="10:15" ht="18" customHeight="1">
      <c r="J64" s="56" t="s">
        <v>330</v>
      </c>
      <c r="K64" s="57">
        <v>7781106</v>
      </c>
      <c r="L64" s="58" t="s">
        <v>7</v>
      </c>
      <c r="M64" s="59" t="str">
        <f t="shared" si="0"/>
        <v>SGA-7781106</v>
      </c>
      <c r="N64" s="58" t="s">
        <v>95</v>
      </c>
      <c r="O64" s="56" t="s">
        <v>331</v>
      </c>
    </row>
    <row r="65" spans="10:15" ht="18" customHeight="1">
      <c r="J65" s="56" t="s">
        <v>137</v>
      </c>
      <c r="K65" s="57">
        <v>7781107</v>
      </c>
      <c r="L65" s="58" t="s">
        <v>7</v>
      </c>
      <c r="M65" s="59" t="str">
        <f t="shared" si="0"/>
        <v>SGA-7781107</v>
      </c>
      <c r="N65" s="58" t="s">
        <v>138</v>
      </c>
      <c r="O65" s="56" t="s">
        <v>139</v>
      </c>
    </row>
    <row r="66" spans="10:15" ht="18" customHeight="1">
      <c r="J66" s="56" t="s">
        <v>140</v>
      </c>
      <c r="K66" s="57">
        <v>7781111</v>
      </c>
      <c r="L66" s="58" t="s">
        <v>7</v>
      </c>
      <c r="M66" s="59" t="str">
        <f t="shared" ref="M66:M129" si="3">L66&amp;"-"&amp;K66</f>
        <v>SGA-7781111</v>
      </c>
      <c r="N66" s="58" t="s">
        <v>95</v>
      </c>
      <c r="O66" s="56" t="s">
        <v>141</v>
      </c>
    </row>
    <row r="67" spans="10:15" ht="18" customHeight="1">
      <c r="J67" s="56" t="s">
        <v>142</v>
      </c>
      <c r="K67" s="57">
        <v>7781112</v>
      </c>
      <c r="L67" s="58" t="s">
        <v>7</v>
      </c>
      <c r="M67" s="59" t="str">
        <f t="shared" si="3"/>
        <v>SGA-7781112</v>
      </c>
      <c r="N67" s="58" t="s">
        <v>95</v>
      </c>
      <c r="O67" s="56" t="s">
        <v>143</v>
      </c>
    </row>
    <row r="68" spans="10:15" ht="18" customHeight="1">
      <c r="J68" s="56" t="s">
        <v>144</v>
      </c>
      <c r="K68" s="57">
        <v>7781113</v>
      </c>
      <c r="L68" s="58" t="s">
        <v>7</v>
      </c>
      <c r="M68" s="59" t="str">
        <f t="shared" si="3"/>
        <v>SGA-7781113</v>
      </c>
      <c r="N68" s="58" t="s">
        <v>95</v>
      </c>
      <c r="O68" s="56" t="s">
        <v>145</v>
      </c>
    </row>
    <row r="69" spans="10:15" ht="18" customHeight="1">
      <c r="J69" s="56" t="s">
        <v>146</v>
      </c>
      <c r="K69" s="57">
        <v>7411101</v>
      </c>
      <c r="L69" s="58" t="s">
        <v>7</v>
      </c>
      <c r="M69" s="59" t="str">
        <f t="shared" si="3"/>
        <v>SGA-7411101</v>
      </c>
      <c r="N69" s="58" t="s">
        <v>147</v>
      </c>
      <c r="O69" s="56" t="s">
        <v>148</v>
      </c>
    </row>
    <row r="70" spans="10:15" ht="18" customHeight="1">
      <c r="J70" s="56" t="s">
        <v>149</v>
      </c>
      <c r="K70" s="57">
        <v>7411103</v>
      </c>
      <c r="L70" s="58" t="s">
        <v>7</v>
      </c>
      <c r="M70" s="59" t="str">
        <f t="shared" si="3"/>
        <v>SGA-7411103</v>
      </c>
      <c r="N70" s="58" t="s">
        <v>150</v>
      </c>
      <c r="O70" s="56" t="s">
        <v>151</v>
      </c>
    </row>
    <row r="71" spans="10:15" ht="18" customHeight="1">
      <c r="J71" s="56" t="s">
        <v>152</v>
      </c>
      <c r="K71" s="57">
        <v>7411104</v>
      </c>
      <c r="L71" s="58" t="s">
        <v>7</v>
      </c>
      <c r="M71" s="59" t="str">
        <f t="shared" si="3"/>
        <v>SGA-7411104</v>
      </c>
      <c r="N71" s="58" t="s">
        <v>153</v>
      </c>
      <c r="O71" s="56" t="s">
        <v>154</v>
      </c>
    </row>
    <row r="72" spans="10:15" ht="18" customHeight="1">
      <c r="J72" s="56" t="s">
        <v>155</v>
      </c>
      <c r="K72" s="57">
        <v>7431101</v>
      </c>
      <c r="L72" s="58" t="s">
        <v>7</v>
      </c>
      <c r="M72" s="59" t="str">
        <f t="shared" si="3"/>
        <v>SGA-7431101</v>
      </c>
      <c r="N72" s="58" t="s">
        <v>156</v>
      </c>
      <c r="O72" s="56" t="s">
        <v>157</v>
      </c>
    </row>
    <row r="73" spans="10:15" ht="18" customHeight="1">
      <c r="J73" s="56" t="s">
        <v>158</v>
      </c>
      <c r="K73" s="57">
        <v>7451101</v>
      </c>
      <c r="L73" s="58" t="s">
        <v>7</v>
      </c>
      <c r="M73" s="59" t="str">
        <f t="shared" si="3"/>
        <v>SGA-7451101</v>
      </c>
      <c r="N73" s="58" t="s">
        <v>159</v>
      </c>
      <c r="O73" s="56" t="s">
        <v>160</v>
      </c>
    </row>
    <row r="74" spans="10:15" ht="18" customHeight="1">
      <c r="J74" s="56" t="s">
        <v>161</v>
      </c>
      <c r="K74" s="57">
        <v>7451102</v>
      </c>
      <c r="L74" s="58" t="s">
        <v>7</v>
      </c>
      <c r="M74" s="59" t="str">
        <f t="shared" si="3"/>
        <v>SGA-7451102</v>
      </c>
      <c r="N74" s="58" t="s">
        <v>162</v>
      </c>
      <c r="O74" s="56" t="s">
        <v>163</v>
      </c>
    </row>
    <row r="75" spans="10:15" ht="18" customHeight="1">
      <c r="J75" s="56" t="s">
        <v>164</v>
      </c>
      <c r="K75" s="57">
        <v>7451103</v>
      </c>
      <c r="L75" s="58" t="s">
        <v>7</v>
      </c>
      <c r="M75" s="59" t="str">
        <f t="shared" si="3"/>
        <v>SGA-7451103</v>
      </c>
      <c r="N75" s="58" t="s">
        <v>165</v>
      </c>
      <c r="O75" s="56" t="s">
        <v>166</v>
      </c>
    </row>
    <row r="76" spans="10:15" ht="18" customHeight="1">
      <c r="J76" s="70" t="s">
        <v>167</v>
      </c>
      <c r="K76" s="57">
        <v>7461101</v>
      </c>
      <c r="L76" s="58" t="s">
        <v>7</v>
      </c>
      <c r="M76" s="59" t="str">
        <f t="shared" si="3"/>
        <v>SGA-7461101</v>
      </c>
      <c r="N76" s="58" t="s">
        <v>168</v>
      </c>
      <c r="O76" s="56" t="s">
        <v>169</v>
      </c>
    </row>
    <row r="77" spans="10:15" ht="18" customHeight="1">
      <c r="J77" s="56" t="s">
        <v>170</v>
      </c>
      <c r="K77" s="57">
        <v>7411105</v>
      </c>
      <c r="L77" s="58" t="s">
        <v>7</v>
      </c>
      <c r="M77" s="58" t="str">
        <f t="shared" si="3"/>
        <v>SGA-7411105</v>
      </c>
      <c r="N77" s="71" t="s">
        <v>332</v>
      </c>
    </row>
    <row r="78" spans="10:15" ht="18" customHeight="1">
      <c r="J78" s="56" t="s">
        <v>172</v>
      </c>
      <c r="K78" s="57">
        <v>7471201</v>
      </c>
      <c r="L78" s="58" t="s">
        <v>7</v>
      </c>
      <c r="M78" s="58" t="str">
        <f t="shared" si="3"/>
        <v>SGA-7471201</v>
      </c>
      <c r="N78" s="71" t="s">
        <v>332</v>
      </c>
    </row>
    <row r="79" spans="10:15" ht="18" customHeight="1">
      <c r="J79" s="56" t="s">
        <v>173</v>
      </c>
      <c r="K79" s="57">
        <v>7751101</v>
      </c>
      <c r="L79" s="58" t="s">
        <v>7</v>
      </c>
      <c r="M79" s="58" t="str">
        <f t="shared" si="3"/>
        <v>SGA-7751101</v>
      </c>
    </row>
    <row r="80" spans="10:15" ht="18" customHeight="1">
      <c r="J80" s="56" t="s">
        <v>174</v>
      </c>
      <c r="K80" s="57">
        <v>7751102</v>
      </c>
      <c r="L80" s="58" t="s">
        <v>7</v>
      </c>
      <c r="M80" s="58" t="str">
        <f t="shared" si="3"/>
        <v>SGA-7751102</v>
      </c>
    </row>
    <row r="81" spans="10:15" ht="18" customHeight="1">
      <c r="J81" s="56" t="s">
        <v>175</v>
      </c>
      <c r="K81" s="72">
        <v>7111211</v>
      </c>
      <c r="L81" s="72" t="s">
        <v>176</v>
      </c>
      <c r="M81" s="72" t="str">
        <f t="shared" si="3"/>
        <v>MFG-7111211</v>
      </c>
    </row>
    <row r="82" spans="10:15" ht="18" customHeight="1">
      <c r="J82" s="56" t="s">
        <v>333</v>
      </c>
      <c r="K82" s="72">
        <v>7111212</v>
      </c>
      <c r="L82" s="72" t="s">
        <v>176</v>
      </c>
      <c r="M82" s="72" t="str">
        <f t="shared" si="3"/>
        <v>MFG-7111212</v>
      </c>
    </row>
    <row r="83" spans="10:15" ht="18" customHeight="1">
      <c r="J83" s="56" t="s">
        <v>177</v>
      </c>
      <c r="K83" s="72">
        <v>7111221</v>
      </c>
      <c r="L83" s="72" t="s">
        <v>176</v>
      </c>
      <c r="M83" s="72" t="str">
        <f t="shared" si="3"/>
        <v>MFG-7111221</v>
      </c>
    </row>
    <row r="84" spans="10:15" ht="18" customHeight="1">
      <c r="J84" s="56" t="s">
        <v>178</v>
      </c>
      <c r="K84" s="72">
        <v>7111222</v>
      </c>
      <c r="L84" s="72" t="s">
        <v>176</v>
      </c>
      <c r="M84" s="72" t="str">
        <f t="shared" si="3"/>
        <v>MFG-7111222</v>
      </c>
    </row>
    <row r="85" spans="10:15" ht="18" customHeight="1">
      <c r="J85" s="56" t="s">
        <v>179</v>
      </c>
      <c r="K85" s="72">
        <v>7111223</v>
      </c>
      <c r="L85" s="72" t="s">
        <v>176</v>
      </c>
      <c r="M85" s="72" t="str">
        <f t="shared" si="3"/>
        <v>MFG-7111223</v>
      </c>
    </row>
    <row r="86" spans="10:15" ht="18" customHeight="1">
      <c r="J86" s="56" t="s">
        <v>180</v>
      </c>
      <c r="K86" s="72">
        <v>7111311</v>
      </c>
      <c r="L86" s="72" t="s">
        <v>176</v>
      </c>
      <c r="M86" s="72" t="str">
        <f t="shared" si="3"/>
        <v>MFG-7111311</v>
      </c>
    </row>
    <row r="87" spans="10:15" ht="18" customHeight="1">
      <c r="J87" s="56" t="s">
        <v>334</v>
      </c>
      <c r="K87" s="72">
        <v>7111312</v>
      </c>
      <c r="L87" s="72" t="s">
        <v>176</v>
      </c>
      <c r="M87" s="72" t="str">
        <f t="shared" si="3"/>
        <v>MFG-7111312</v>
      </c>
    </row>
    <row r="88" spans="10:15" ht="18" customHeight="1">
      <c r="J88" s="56" t="s">
        <v>181</v>
      </c>
      <c r="K88" s="72">
        <v>7111321</v>
      </c>
      <c r="L88" s="72" t="s">
        <v>176</v>
      </c>
      <c r="M88" s="72" t="str">
        <f t="shared" si="3"/>
        <v>MFG-7111321</v>
      </c>
    </row>
    <row r="89" spans="10:15" ht="18" customHeight="1">
      <c r="J89" s="56" t="s">
        <v>182</v>
      </c>
      <c r="K89" s="72">
        <v>7111322</v>
      </c>
      <c r="L89" s="72" t="s">
        <v>176</v>
      </c>
      <c r="M89" s="72" t="str">
        <f t="shared" si="3"/>
        <v>MFG-7111322</v>
      </c>
    </row>
    <row r="90" spans="10:15" ht="18" customHeight="1">
      <c r="J90" s="56" t="s">
        <v>183</v>
      </c>
      <c r="K90" s="72">
        <v>7111323</v>
      </c>
      <c r="L90" s="72" t="s">
        <v>176</v>
      </c>
      <c r="M90" s="72" t="str">
        <f t="shared" si="3"/>
        <v>MFG-7111323</v>
      </c>
    </row>
    <row r="91" spans="10:15" ht="18" customHeight="1">
      <c r="J91" s="56" t="s">
        <v>335</v>
      </c>
      <c r="K91" s="72">
        <v>7111411</v>
      </c>
      <c r="L91" s="72" t="s">
        <v>176</v>
      </c>
      <c r="M91" s="72" t="str">
        <f t="shared" si="3"/>
        <v>MFG-7111411</v>
      </c>
    </row>
    <row r="92" spans="10:15" ht="18" customHeight="1">
      <c r="J92" s="56" t="s">
        <v>336</v>
      </c>
      <c r="K92" s="72">
        <v>7151101</v>
      </c>
      <c r="L92" s="72" t="s">
        <v>176</v>
      </c>
      <c r="M92" s="72" t="str">
        <f t="shared" si="3"/>
        <v>MFG-7151101</v>
      </c>
    </row>
    <row r="93" spans="10:15" ht="18" customHeight="1">
      <c r="J93" s="56" t="s">
        <v>337</v>
      </c>
      <c r="K93" s="72">
        <v>7200000</v>
      </c>
      <c r="L93" s="72" t="s">
        <v>176</v>
      </c>
      <c r="M93" s="72" t="str">
        <f t="shared" si="3"/>
        <v>MFG-7200000</v>
      </c>
    </row>
    <row r="94" spans="10:15" ht="18" customHeight="1">
      <c r="J94" s="56" t="s">
        <v>184</v>
      </c>
      <c r="K94" s="72">
        <v>7211101</v>
      </c>
      <c r="L94" s="72" t="s">
        <v>176</v>
      </c>
      <c r="M94" s="72" t="str">
        <f t="shared" si="3"/>
        <v>MFG-7211101</v>
      </c>
    </row>
    <row r="95" spans="10:15" ht="18" customHeight="1">
      <c r="J95" s="56" t="s">
        <v>185</v>
      </c>
      <c r="K95" s="72">
        <v>7211102</v>
      </c>
      <c r="L95" s="72" t="s">
        <v>176</v>
      </c>
      <c r="M95" s="72" t="str">
        <f t="shared" si="3"/>
        <v>MFG-7211102</v>
      </c>
      <c r="N95" s="72">
        <v>901</v>
      </c>
      <c r="O95" s="56" t="s">
        <v>186</v>
      </c>
    </row>
    <row r="96" spans="10:15" ht="18" customHeight="1">
      <c r="J96" s="56" t="s">
        <v>187</v>
      </c>
      <c r="K96" s="72">
        <v>7211103</v>
      </c>
      <c r="L96" s="72" t="s">
        <v>176</v>
      </c>
      <c r="M96" s="72" t="str">
        <f t="shared" si="3"/>
        <v>MFG-7211103</v>
      </c>
      <c r="N96" s="72"/>
    </row>
    <row r="97" spans="10:15" ht="18" customHeight="1">
      <c r="J97" s="56" t="s">
        <v>338</v>
      </c>
      <c r="K97" s="72">
        <v>7211104</v>
      </c>
      <c r="L97" s="72" t="s">
        <v>176</v>
      </c>
      <c r="M97" s="72" t="str">
        <f t="shared" si="3"/>
        <v>MFG-7211104</v>
      </c>
      <c r="N97" s="72">
        <v>302</v>
      </c>
    </row>
    <row r="98" spans="10:15" ht="18" customHeight="1">
      <c r="J98" s="56" t="s">
        <v>188</v>
      </c>
      <c r="K98" s="72">
        <v>7221101</v>
      </c>
      <c r="L98" s="72" t="s">
        <v>176</v>
      </c>
      <c r="M98" s="72" t="str">
        <f t="shared" si="3"/>
        <v>MFG-7221101</v>
      </c>
      <c r="N98" s="72">
        <v>302</v>
      </c>
      <c r="O98" s="56" t="s">
        <v>189</v>
      </c>
    </row>
    <row r="99" spans="10:15" ht="18" customHeight="1">
      <c r="J99" s="56" t="s">
        <v>190</v>
      </c>
      <c r="K99" s="72">
        <v>7221102</v>
      </c>
      <c r="L99" s="72" t="s">
        <v>176</v>
      </c>
      <c r="M99" s="72" t="str">
        <f t="shared" si="3"/>
        <v>MFG-7221102</v>
      </c>
      <c r="N99" s="72">
        <v>301</v>
      </c>
      <c r="O99" s="56" t="s">
        <v>191</v>
      </c>
    </row>
    <row r="100" spans="10:15" ht="18" customHeight="1">
      <c r="J100" s="56" t="s">
        <v>6</v>
      </c>
      <c r="K100" s="72">
        <v>7511101</v>
      </c>
      <c r="L100" s="72" t="s">
        <v>176</v>
      </c>
      <c r="M100" s="72" t="str">
        <f t="shared" si="3"/>
        <v>MFG-7511101</v>
      </c>
      <c r="N100" s="72">
        <v>602</v>
      </c>
      <c r="O100" s="56" t="s">
        <v>6</v>
      </c>
    </row>
    <row r="101" spans="10:15" ht="18" customHeight="1">
      <c r="J101" s="56" t="s">
        <v>9</v>
      </c>
      <c r="K101" s="72">
        <v>7511102</v>
      </c>
      <c r="L101" s="72" t="s">
        <v>176</v>
      </c>
      <c r="M101" s="72" t="str">
        <f t="shared" si="3"/>
        <v>MFG-7511102</v>
      </c>
      <c r="N101" s="72">
        <v>602</v>
      </c>
      <c r="O101" s="56" t="s">
        <v>10</v>
      </c>
    </row>
    <row r="102" spans="10:15" ht="18" customHeight="1">
      <c r="J102" s="56" t="s">
        <v>11</v>
      </c>
      <c r="K102" s="72">
        <v>7511103</v>
      </c>
      <c r="L102" s="72" t="s">
        <v>176</v>
      </c>
      <c r="M102" s="72" t="str">
        <f t="shared" si="3"/>
        <v>MFG-7511103</v>
      </c>
      <c r="N102" s="72">
        <v>601</v>
      </c>
      <c r="O102" s="56" t="s">
        <v>13</v>
      </c>
    </row>
    <row r="103" spans="10:15" ht="18" customHeight="1">
      <c r="J103" s="56" t="s">
        <v>14</v>
      </c>
      <c r="K103" s="72">
        <v>7511111</v>
      </c>
      <c r="L103" s="72" t="s">
        <v>176</v>
      </c>
      <c r="M103" s="72" t="str">
        <f t="shared" si="3"/>
        <v>MFG-7511111</v>
      </c>
      <c r="N103" s="72">
        <v>601</v>
      </c>
      <c r="O103" s="56" t="s">
        <v>15</v>
      </c>
    </row>
    <row r="104" spans="10:15" ht="18" customHeight="1">
      <c r="J104" s="56" t="s">
        <v>16</v>
      </c>
      <c r="K104" s="72">
        <v>7511112</v>
      </c>
      <c r="L104" s="72" t="s">
        <v>176</v>
      </c>
      <c r="M104" s="72" t="str">
        <f t="shared" si="3"/>
        <v>MFG-7511112</v>
      </c>
      <c r="N104" s="72">
        <v>601</v>
      </c>
      <c r="O104" s="56" t="s">
        <v>17</v>
      </c>
    </row>
    <row r="105" spans="10:15" ht="18" customHeight="1">
      <c r="J105" s="56" t="s">
        <v>18</v>
      </c>
      <c r="K105" s="72">
        <v>7511121</v>
      </c>
      <c r="L105" s="72" t="s">
        <v>176</v>
      </c>
      <c r="M105" s="72" t="str">
        <f t="shared" si="3"/>
        <v>MFG-7511121</v>
      </c>
      <c r="N105" s="72">
        <v>601</v>
      </c>
      <c r="O105" s="56" t="s">
        <v>19</v>
      </c>
    </row>
    <row r="106" spans="10:15" ht="18" customHeight="1">
      <c r="J106" s="56" t="s">
        <v>20</v>
      </c>
      <c r="K106" s="72">
        <v>7511122</v>
      </c>
      <c r="L106" s="72" t="s">
        <v>176</v>
      </c>
      <c r="M106" s="72" t="str">
        <f t="shared" si="3"/>
        <v>MFG-7511122</v>
      </c>
      <c r="N106" s="72">
        <v>601</v>
      </c>
      <c r="O106" s="56" t="s">
        <v>21</v>
      </c>
    </row>
    <row r="107" spans="10:15" ht="18" customHeight="1">
      <c r="J107" s="56" t="s">
        <v>22</v>
      </c>
      <c r="K107" s="72">
        <v>7511201</v>
      </c>
      <c r="L107" s="72" t="s">
        <v>176</v>
      </c>
      <c r="M107" s="72" t="str">
        <f t="shared" si="3"/>
        <v>MFG-7511201</v>
      </c>
      <c r="N107" s="72">
        <v>603</v>
      </c>
      <c r="O107" s="56" t="s">
        <v>24</v>
      </c>
    </row>
    <row r="108" spans="10:15" ht="18" customHeight="1">
      <c r="J108" s="56" t="s">
        <v>25</v>
      </c>
      <c r="K108" s="72">
        <v>7512111</v>
      </c>
      <c r="L108" s="72" t="s">
        <v>176</v>
      </c>
      <c r="M108" s="72" t="str">
        <f t="shared" si="3"/>
        <v>MFG-7512111</v>
      </c>
      <c r="N108" s="72">
        <v>604</v>
      </c>
      <c r="O108" s="56" t="s">
        <v>27</v>
      </c>
    </row>
    <row r="109" spans="10:15" ht="18" customHeight="1">
      <c r="J109" s="56" t="s">
        <v>28</v>
      </c>
      <c r="K109" s="72">
        <v>7512112</v>
      </c>
      <c r="L109" s="72" t="s">
        <v>176</v>
      </c>
      <c r="M109" s="72" t="str">
        <f t="shared" si="3"/>
        <v>MFG-7512112</v>
      </c>
      <c r="N109" s="72">
        <v>604</v>
      </c>
      <c r="O109" s="56" t="s">
        <v>29</v>
      </c>
    </row>
    <row r="110" spans="10:15" ht="18" customHeight="1">
      <c r="J110" s="56" t="s">
        <v>30</v>
      </c>
      <c r="K110" s="72">
        <v>7514101</v>
      </c>
      <c r="L110" s="72" t="s">
        <v>176</v>
      </c>
      <c r="M110" s="72" t="str">
        <f t="shared" si="3"/>
        <v>MFG-7514101</v>
      </c>
      <c r="N110" s="72">
        <v>601</v>
      </c>
      <c r="O110" s="56" t="s">
        <v>31</v>
      </c>
    </row>
    <row r="111" spans="10:15" ht="18" customHeight="1">
      <c r="J111" s="56" t="s">
        <v>32</v>
      </c>
      <c r="K111" s="72">
        <v>7514102</v>
      </c>
      <c r="L111" s="72" t="s">
        <v>176</v>
      </c>
      <c r="M111" s="72" t="str">
        <f t="shared" si="3"/>
        <v>MFG-7514102</v>
      </c>
      <c r="N111" s="72">
        <v>601</v>
      </c>
      <c r="O111" s="56" t="s">
        <v>33</v>
      </c>
    </row>
    <row r="112" spans="10:15" ht="18" customHeight="1">
      <c r="J112" s="56" t="s">
        <v>34</v>
      </c>
      <c r="K112" s="72">
        <v>7515401</v>
      </c>
      <c r="L112" s="72" t="s">
        <v>176</v>
      </c>
      <c r="M112" s="72" t="str">
        <f t="shared" si="3"/>
        <v>MFG-7515401</v>
      </c>
      <c r="N112" s="72">
        <v>604</v>
      </c>
      <c r="O112" s="56" t="s">
        <v>35</v>
      </c>
    </row>
    <row r="113" spans="10:15" ht="18" customHeight="1">
      <c r="J113" s="56" t="s">
        <v>36</v>
      </c>
      <c r="K113" s="72">
        <v>7515402</v>
      </c>
      <c r="L113" s="72" t="s">
        <v>176</v>
      </c>
      <c r="M113" s="72" t="str">
        <f t="shared" si="3"/>
        <v>MFG-7515402</v>
      </c>
      <c r="N113" s="72">
        <v>604</v>
      </c>
      <c r="O113" s="56" t="s">
        <v>37</v>
      </c>
    </row>
    <row r="114" spans="10:15" ht="18" customHeight="1">
      <c r="J114" s="56" t="s">
        <v>38</v>
      </c>
      <c r="K114" s="72">
        <v>7515403</v>
      </c>
      <c r="L114" s="72" t="s">
        <v>176</v>
      </c>
      <c r="M114" s="72" t="str">
        <f t="shared" si="3"/>
        <v>MFG-7515403</v>
      </c>
      <c r="N114" s="72">
        <v>604</v>
      </c>
      <c r="O114" s="56" t="s">
        <v>39</v>
      </c>
    </row>
    <row r="115" spans="10:15" ht="18" customHeight="1">
      <c r="J115" s="56" t="s">
        <v>40</v>
      </c>
      <c r="K115" s="72">
        <v>7515404</v>
      </c>
      <c r="L115" s="72" t="s">
        <v>176</v>
      </c>
      <c r="M115" s="72" t="str">
        <f t="shared" si="3"/>
        <v>MFG-7515404</v>
      </c>
      <c r="N115" s="72">
        <v>604</v>
      </c>
      <c r="O115" s="56" t="s">
        <v>41</v>
      </c>
    </row>
    <row r="116" spans="10:15" ht="18" customHeight="1">
      <c r="J116" s="56" t="s">
        <v>42</v>
      </c>
      <c r="K116" s="72">
        <v>7515405</v>
      </c>
      <c r="L116" s="72" t="s">
        <v>176</v>
      </c>
      <c r="M116" s="72" t="str">
        <f t="shared" si="3"/>
        <v>MFG-7515405</v>
      </c>
      <c r="N116" s="72">
        <v>604</v>
      </c>
      <c r="O116" s="56" t="s">
        <v>43</v>
      </c>
    </row>
    <row r="117" spans="10:15" ht="18" customHeight="1">
      <c r="J117" s="56" t="s">
        <v>44</v>
      </c>
      <c r="K117" s="72">
        <v>7515406</v>
      </c>
      <c r="L117" s="72" t="s">
        <v>176</v>
      </c>
      <c r="M117" s="72" t="str">
        <f t="shared" si="3"/>
        <v>MFG-7515406</v>
      </c>
      <c r="N117" s="72">
        <v>604</v>
      </c>
      <c r="O117" s="56" t="s">
        <v>45</v>
      </c>
    </row>
    <row r="118" spans="10:15" ht="18" customHeight="1">
      <c r="J118" s="56" t="s">
        <v>319</v>
      </c>
      <c r="K118" s="72">
        <v>7515407</v>
      </c>
      <c r="L118" s="72" t="s">
        <v>176</v>
      </c>
      <c r="M118" s="72" t="str">
        <f t="shared" si="3"/>
        <v>MFG-7515407</v>
      </c>
      <c r="N118" s="72">
        <v>604</v>
      </c>
    </row>
    <row r="119" spans="10:15" ht="18" customHeight="1">
      <c r="J119" s="56" t="s">
        <v>46</v>
      </c>
      <c r="K119" s="72">
        <v>7515408</v>
      </c>
      <c r="L119" s="72" t="s">
        <v>176</v>
      </c>
      <c r="M119" s="72" t="str">
        <f t="shared" si="3"/>
        <v>MFG-7515408</v>
      </c>
      <c r="N119" s="72">
        <v>604</v>
      </c>
      <c r="O119" s="56" t="s">
        <v>47</v>
      </c>
    </row>
    <row r="120" spans="10:15" ht="18" customHeight="1">
      <c r="J120" s="56" t="s">
        <v>48</v>
      </c>
      <c r="K120" s="72">
        <v>7515409</v>
      </c>
      <c r="L120" s="72" t="s">
        <v>176</v>
      </c>
      <c r="M120" s="72" t="str">
        <f t="shared" si="3"/>
        <v>MFG-7515409</v>
      </c>
      <c r="N120" s="72">
        <v>604</v>
      </c>
      <c r="O120" s="56" t="s">
        <v>49</v>
      </c>
    </row>
    <row r="121" spans="10:15" ht="18" customHeight="1">
      <c r="J121" s="56" t="s">
        <v>50</v>
      </c>
      <c r="K121" s="72">
        <v>7515410</v>
      </c>
      <c r="L121" s="72" t="s">
        <v>176</v>
      </c>
      <c r="M121" s="72" t="str">
        <f t="shared" si="3"/>
        <v>MFG-7515410</v>
      </c>
      <c r="N121" s="72">
        <v>604</v>
      </c>
      <c r="O121" s="56" t="s">
        <v>51</v>
      </c>
    </row>
    <row r="122" spans="10:15" ht="18" customHeight="1">
      <c r="J122" s="56" t="s">
        <v>52</v>
      </c>
      <c r="K122" s="72">
        <v>7515499</v>
      </c>
      <c r="L122" s="72" t="s">
        <v>176</v>
      </c>
      <c r="M122" s="72" t="str">
        <f t="shared" si="3"/>
        <v>MFG-7515499</v>
      </c>
      <c r="N122" s="72">
        <v>604</v>
      </c>
      <c r="O122" s="56" t="s">
        <v>53</v>
      </c>
    </row>
    <row r="123" spans="10:15" ht="18" customHeight="1">
      <c r="J123" s="56" t="s">
        <v>54</v>
      </c>
      <c r="K123" s="72">
        <v>7516102</v>
      </c>
      <c r="L123" s="72" t="s">
        <v>176</v>
      </c>
      <c r="M123" s="72" t="str">
        <f t="shared" si="3"/>
        <v>MFG-7516102</v>
      </c>
      <c r="N123" s="72">
        <v>605</v>
      </c>
      <c r="O123" s="56" t="s">
        <v>56</v>
      </c>
    </row>
    <row r="124" spans="10:15" ht="18" customHeight="1">
      <c r="J124" s="56" t="s">
        <v>57</v>
      </c>
      <c r="K124" s="72">
        <v>7519101</v>
      </c>
      <c r="L124" s="72" t="s">
        <v>176</v>
      </c>
      <c r="M124" s="72" t="str">
        <f t="shared" si="3"/>
        <v>MFG-7519101</v>
      </c>
      <c r="N124" s="72">
        <v>602</v>
      </c>
      <c r="O124" s="56" t="s">
        <v>58</v>
      </c>
    </row>
    <row r="125" spans="10:15" ht="18" customHeight="1">
      <c r="J125" s="56" t="s">
        <v>192</v>
      </c>
      <c r="K125" s="72">
        <v>7521101</v>
      </c>
      <c r="L125" s="72" t="s">
        <v>176</v>
      </c>
      <c r="M125" s="72" t="str">
        <f t="shared" si="3"/>
        <v>MFG-7521101</v>
      </c>
      <c r="N125" s="72">
        <v>601</v>
      </c>
      <c r="O125" s="56" t="s">
        <v>60</v>
      </c>
    </row>
    <row r="126" spans="10:15" ht="18" customHeight="1">
      <c r="J126" s="56" t="s">
        <v>61</v>
      </c>
      <c r="K126" s="72">
        <v>7521102</v>
      </c>
      <c r="L126" s="72" t="s">
        <v>176</v>
      </c>
      <c r="M126" s="72" t="str">
        <f t="shared" si="3"/>
        <v>MFG-7521102</v>
      </c>
      <c r="N126" s="72">
        <v>603</v>
      </c>
      <c r="O126" s="56" t="s">
        <v>62</v>
      </c>
    </row>
    <row r="127" spans="10:15" ht="18" customHeight="1">
      <c r="J127" s="56" t="s">
        <v>63</v>
      </c>
      <c r="K127" s="72">
        <v>7571101</v>
      </c>
      <c r="L127" s="72" t="s">
        <v>176</v>
      </c>
      <c r="M127" s="72" t="str">
        <f t="shared" si="3"/>
        <v>MFG-7571101</v>
      </c>
      <c r="N127" s="72">
        <v>606</v>
      </c>
      <c r="O127" s="56" t="s">
        <v>65</v>
      </c>
    </row>
    <row r="128" spans="10:15" ht="18" customHeight="1">
      <c r="J128" s="56" t="s">
        <v>66</v>
      </c>
      <c r="K128" s="72">
        <v>7611100</v>
      </c>
      <c r="L128" s="72" t="s">
        <v>176</v>
      </c>
      <c r="M128" s="72" t="str">
        <f t="shared" si="3"/>
        <v>MFG-7611100</v>
      </c>
      <c r="N128" s="72">
        <v>701</v>
      </c>
      <c r="O128" s="56" t="s">
        <v>68</v>
      </c>
    </row>
    <row r="129" spans="10:15" ht="18" customHeight="1">
      <c r="J129" s="56" t="s">
        <v>69</v>
      </c>
      <c r="K129" s="72">
        <v>7611300</v>
      </c>
      <c r="L129" s="72" t="s">
        <v>176</v>
      </c>
      <c r="M129" s="72" t="str">
        <f t="shared" si="3"/>
        <v>MFG-7611300</v>
      </c>
      <c r="N129" s="72">
        <v>701</v>
      </c>
      <c r="O129" s="56" t="s">
        <v>70</v>
      </c>
    </row>
    <row r="130" spans="10:15" ht="18" customHeight="1">
      <c r="J130" s="56" t="s">
        <v>320</v>
      </c>
      <c r="K130" s="72">
        <v>7611400</v>
      </c>
      <c r="L130" s="72" t="s">
        <v>176</v>
      </c>
      <c r="M130" s="72" t="str">
        <f t="shared" ref="M130:M172" si="4">L130&amp;"-"&amp;K130</f>
        <v>MFG-7611400</v>
      </c>
      <c r="N130" s="72">
        <v>701</v>
      </c>
      <c r="O130" s="56" t="s">
        <v>321</v>
      </c>
    </row>
    <row r="131" spans="10:15" ht="18" customHeight="1">
      <c r="J131" s="56" t="s">
        <v>71</v>
      </c>
      <c r="K131" s="72">
        <v>7611500</v>
      </c>
      <c r="L131" s="72" t="s">
        <v>176</v>
      </c>
      <c r="M131" s="72" t="str">
        <f t="shared" si="4"/>
        <v>MFG-7611500</v>
      </c>
      <c r="N131" s="72">
        <v>701</v>
      </c>
      <c r="O131" s="56" t="s">
        <v>72</v>
      </c>
    </row>
    <row r="132" spans="10:15" ht="18" customHeight="1">
      <c r="J132" s="56" t="s">
        <v>73</v>
      </c>
      <c r="K132" s="72">
        <v>7611600</v>
      </c>
      <c r="L132" s="72" t="s">
        <v>176</v>
      </c>
      <c r="M132" s="72" t="str">
        <f t="shared" si="4"/>
        <v>MFG-7611600</v>
      </c>
      <c r="N132" s="72">
        <v>701</v>
      </c>
      <c r="O132" s="56" t="s">
        <v>74</v>
      </c>
    </row>
    <row r="133" spans="10:15" ht="18" customHeight="1">
      <c r="J133" s="56" t="s">
        <v>75</v>
      </c>
      <c r="K133" s="72">
        <v>7611700</v>
      </c>
      <c r="L133" s="72" t="s">
        <v>176</v>
      </c>
      <c r="M133" s="72" t="str">
        <f t="shared" si="4"/>
        <v>MFG-7611700</v>
      </c>
      <c r="N133" s="72">
        <v>701</v>
      </c>
      <c r="O133" s="56" t="s">
        <v>76</v>
      </c>
    </row>
    <row r="134" spans="10:15" ht="18" customHeight="1">
      <c r="J134" s="56" t="s">
        <v>322</v>
      </c>
      <c r="K134" s="72">
        <v>7611800</v>
      </c>
      <c r="L134" s="72" t="s">
        <v>176</v>
      </c>
      <c r="M134" s="72" t="str">
        <f t="shared" si="4"/>
        <v>MFG-7611800</v>
      </c>
      <c r="N134" s="72">
        <v>701</v>
      </c>
      <c r="O134" s="56" t="s">
        <v>323</v>
      </c>
    </row>
    <row r="135" spans="10:15" ht="18" customHeight="1">
      <c r="J135" s="56" t="s">
        <v>77</v>
      </c>
      <c r="K135" s="72">
        <v>7621101</v>
      </c>
      <c r="L135" s="72" t="s">
        <v>176</v>
      </c>
      <c r="M135" s="72" t="str">
        <f t="shared" si="4"/>
        <v>MFG-7621101</v>
      </c>
      <c r="N135" s="72">
        <v>903</v>
      </c>
      <c r="O135" s="56" t="s">
        <v>79</v>
      </c>
    </row>
    <row r="136" spans="10:15" ht="18" customHeight="1">
      <c r="J136" s="70" t="s">
        <v>80</v>
      </c>
      <c r="K136" s="73">
        <v>7621199</v>
      </c>
      <c r="L136" s="72" t="s">
        <v>176</v>
      </c>
      <c r="M136" s="72" t="str">
        <f t="shared" si="4"/>
        <v>MFG-7621199</v>
      </c>
      <c r="N136" s="72">
        <v>801</v>
      </c>
      <c r="O136" s="56" t="s">
        <v>82</v>
      </c>
    </row>
    <row r="137" spans="10:15" ht="18" customHeight="1">
      <c r="J137" s="56" t="s">
        <v>83</v>
      </c>
      <c r="K137" s="72">
        <v>7631101</v>
      </c>
      <c r="L137" s="72" t="s">
        <v>176</v>
      </c>
      <c r="M137" s="72" t="str">
        <f t="shared" si="4"/>
        <v>MFG-7631101</v>
      </c>
      <c r="N137" s="72">
        <v>501</v>
      </c>
      <c r="O137" s="56" t="s">
        <v>85</v>
      </c>
    </row>
    <row r="138" spans="10:15" ht="18" customHeight="1">
      <c r="J138" s="56" t="s">
        <v>86</v>
      </c>
      <c r="K138" s="72">
        <v>7631102</v>
      </c>
      <c r="L138" s="72" t="s">
        <v>176</v>
      </c>
      <c r="M138" s="72" t="str">
        <f t="shared" si="4"/>
        <v>MFG-7631102</v>
      </c>
      <c r="N138" s="72">
        <v>502</v>
      </c>
      <c r="O138" s="56" t="s">
        <v>88</v>
      </c>
    </row>
    <row r="139" spans="10:15" ht="18" customHeight="1">
      <c r="J139" s="56" t="s">
        <v>89</v>
      </c>
      <c r="K139" s="72">
        <v>7641101</v>
      </c>
      <c r="L139" s="72" t="s">
        <v>176</v>
      </c>
      <c r="M139" s="72" t="str">
        <f t="shared" si="4"/>
        <v>MFG-7641101</v>
      </c>
      <c r="N139" s="72">
        <v>401</v>
      </c>
      <c r="O139" s="56" t="s">
        <v>91</v>
      </c>
    </row>
    <row r="140" spans="10:15" ht="18" customHeight="1">
      <c r="J140" s="56" t="s">
        <v>92</v>
      </c>
      <c r="K140" s="72">
        <v>7641102</v>
      </c>
      <c r="L140" s="72" t="s">
        <v>176</v>
      </c>
      <c r="M140" s="72" t="str">
        <f t="shared" si="4"/>
        <v>MFG-7641102</v>
      </c>
      <c r="N140" s="72">
        <v>401</v>
      </c>
      <c r="O140" s="56" t="s">
        <v>93</v>
      </c>
    </row>
    <row r="141" spans="10:15" ht="18" customHeight="1">
      <c r="J141" s="56" t="s">
        <v>94</v>
      </c>
      <c r="K141" s="72">
        <v>7641103</v>
      </c>
      <c r="L141" s="72" t="s">
        <v>176</v>
      </c>
      <c r="M141" s="72" t="str">
        <f t="shared" si="4"/>
        <v>MFG-7641103</v>
      </c>
      <c r="N141" s="72">
        <v>902</v>
      </c>
      <c r="O141" s="56" t="s">
        <v>96</v>
      </c>
    </row>
    <row r="142" spans="10:15" ht="18" customHeight="1">
      <c r="J142" s="56" t="s">
        <v>97</v>
      </c>
      <c r="K142" s="72">
        <v>7641104</v>
      </c>
      <c r="L142" s="72" t="s">
        <v>176</v>
      </c>
      <c r="M142" s="72" t="str">
        <f t="shared" si="4"/>
        <v>MFG-7641104</v>
      </c>
      <c r="N142" s="72">
        <v>999</v>
      </c>
      <c r="O142" s="56" t="s">
        <v>98</v>
      </c>
    </row>
    <row r="143" spans="10:15" ht="18" customHeight="1">
      <c r="J143" s="56" t="s">
        <v>99</v>
      </c>
      <c r="K143" s="72">
        <v>7651101</v>
      </c>
      <c r="L143" s="72" t="s">
        <v>176</v>
      </c>
      <c r="M143" s="72" t="str">
        <f t="shared" si="4"/>
        <v>MFG-7651101</v>
      </c>
      <c r="N143" s="72">
        <v>903</v>
      </c>
      <c r="O143" s="56" t="s">
        <v>100</v>
      </c>
    </row>
    <row r="144" spans="10:15" ht="18" customHeight="1">
      <c r="J144" s="56" t="s">
        <v>101</v>
      </c>
      <c r="K144" s="72">
        <v>7651102</v>
      </c>
      <c r="L144" s="72" t="s">
        <v>176</v>
      </c>
      <c r="M144" s="72" t="str">
        <f t="shared" si="4"/>
        <v>MFG-7651102</v>
      </c>
      <c r="N144" s="72">
        <v>903</v>
      </c>
      <c r="O144" s="56" t="s">
        <v>102</v>
      </c>
    </row>
    <row r="145" spans="10:15" ht="18" customHeight="1">
      <c r="J145" s="56" t="s">
        <v>103</v>
      </c>
      <c r="K145" s="72">
        <v>7651103</v>
      </c>
      <c r="L145" s="72" t="s">
        <v>176</v>
      </c>
      <c r="M145" s="72" t="str">
        <f t="shared" si="4"/>
        <v>MFG-7651103</v>
      </c>
      <c r="N145" s="72">
        <v>903</v>
      </c>
      <c r="O145" s="56" t="s">
        <v>104</v>
      </c>
    </row>
    <row r="146" spans="10:15" ht="18" customHeight="1">
      <c r="J146" s="56" t="s">
        <v>105</v>
      </c>
      <c r="K146" s="72">
        <v>7661101</v>
      </c>
      <c r="L146" s="72" t="s">
        <v>176</v>
      </c>
      <c r="M146" s="72" t="str">
        <f t="shared" si="4"/>
        <v>MFG-7661101</v>
      </c>
      <c r="N146" s="72">
        <v>999</v>
      </c>
      <c r="O146" s="56" t="s">
        <v>107</v>
      </c>
    </row>
    <row r="147" spans="10:15" ht="18" customHeight="1">
      <c r="J147" s="56" t="s">
        <v>108</v>
      </c>
      <c r="K147" s="72">
        <v>7671102</v>
      </c>
      <c r="L147" s="72" t="s">
        <v>176</v>
      </c>
      <c r="M147" s="72" t="str">
        <f t="shared" si="4"/>
        <v>MFG-7671102</v>
      </c>
      <c r="N147" s="72">
        <v>999</v>
      </c>
      <c r="O147" s="56" t="s">
        <v>109</v>
      </c>
    </row>
    <row r="148" spans="10:15" ht="18" customHeight="1">
      <c r="J148" s="56" t="s">
        <v>110</v>
      </c>
      <c r="K148" s="72">
        <v>7671103</v>
      </c>
      <c r="L148" s="72" t="s">
        <v>176</v>
      </c>
      <c r="M148" s="72" t="str">
        <f t="shared" si="4"/>
        <v>MFG-7671103</v>
      </c>
      <c r="N148" s="72">
        <v>999</v>
      </c>
      <c r="O148" s="56" t="s">
        <v>111</v>
      </c>
    </row>
    <row r="149" spans="10:15" ht="18" customHeight="1">
      <c r="J149" s="56" t="s">
        <v>112</v>
      </c>
      <c r="K149" s="72">
        <v>7681101</v>
      </c>
      <c r="L149" s="72" t="s">
        <v>176</v>
      </c>
      <c r="M149" s="72" t="str">
        <f t="shared" si="4"/>
        <v>MFG-7681101</v>
      </c>
      <c r="N149" s="72">
        <v>999</v>
      </c>
      <c r="O149" s="56" t="s">
        <v>113</v>
      </c>
    </row>
    <row r="150" spans="10:15" ht="18" customHeight="1">
      <c r="J150" s="56" t="s">
        <v>114</v>
      </c>
      <c r="K150" s="72">
        <v>7691000</v>
      </c>
      <c r="L150" s="72" t="s">
        <v>176</v>
      </c>
      <c r="M150" s="72" t="str">
        <f t="shared" si="4"/>
        <v>MFG-7691000</v>
      </c>
      <c r="N150" s="72">
        <v>999</v>
      </c>
      <c r="O150" s="56" t="s">
        <v>115</v>
      </c>
    </row>
    <row r="151" spans="10:15" ht="18" customHeight="1">
      <c r="J151" s="56" t="s">
        <v>116</v>
      </c>
      <c r="K151" s="72">
        <v>7711101</v>
      </c>
      <c r="L151" s="72" t="s">
        <v>176</v>
      </c>
      <c r="M151" s="72" t="str">
        <f t="shared" si="4"/>
        <v>MFG-7711101</v>
      </c>
      <c r="N151" s="72">
        <v>999</v>
      </c>
      <c r="O151" s="56" t="s">
        <v>117</v>
      </c>
    </row>
    <row r="152" spans="10:15" ht="18" customHeight="1">
      <c r="J152" s="56" t="s">
        <v>118</v>
      </c>
      <c r="K152" s="72">
        <v>7711102</v>
      </c>
      <c r="L152" s="72" t="s">
        <v>176</v>
      </c>
      <c r="M152" s="72" t="str">
        <f t="shared" si="4"/>
        <v>MFG-7711102</v>
      </c>
      <c r="N152" s="72">
        <v>904</v>
      </c>
      <c r="O152" s="56" t="s">
        <v>120</v>
      </c>
    </row>
    <row r="153" spans="10:15" ht="18" customHeight="1">
      <c r="J153" s="56" t="s">
        <v>121</v>
      </c>
      <c r="K153" s="72">
        <v>7711103</v>
      </c>
      <c r="L153" s="72" t="s">
        <v>176</v>
      </c>
      <c r="M153" s="72" t="str">
        <f t="shared" si="4"/>
        <v>MFG-7711103</v>
      </c>
      <c r="N153" s="72">
        <v>999</v>
      </c>
      <c r="O153" s="56" t="s">
        <v>122</v>
      </c>
    </row>
    <row r="154" spans="10:15" ht="18" customHeight="1">
      <c r="J154" s="56" t="s">
        <v>326</v>
      </c>
      <c r="K154" s="72">
        <v>7721101</v>
      </c>
      <c r="L154" s="72" t="s">
        <v>176</v>
      </c>
      <c r="M154" s="72" t="str">
        <f t="shared" si="4"/>
        <v>MFG-7721101</v>
      </c>
      <c r="N154" s="72">
        <v>999</v>
      </c>
      <c r="O154" s="56" t="s">
        <v>327</v>
      </c>
    </row>
    <row r="155" spans="10:15" ht="18" customHeight="1">
      <c r="J155" s="56" t="s">
        <v>123</v>
      </c>
      <c r="K155" s="72">
        <v>7729101</v>
      </c>
      <c r="L155" s="72" t="s">
        <v>176</v>
      </c>
      <c r="M155" s="72" t="str">
        <f t="shared" si="4"/>
        <v>MFG-7729101</v>
      </c>
      <c r="N155" s="72">
        <v>905</v>
      </c>
      <c r="O155" s="56" t="s">
        <v>125</v>
      </c>
    </row>
    <row r="156" spans="10:15" ht="18" customHeight="1">
      <c r="J156" s="56" t="s">
        <v>126</v>
      </c>
      <c r="K156" s="72">
        <v>7729103</v>
      </c>
      <c r="L156" s="72" t="s">
        <v>176</v>
      </c>
      <c r="M156" s="72" t="str">
        <f t="shared" si="4"/>
        <v>MFG-7729103</v>
      </c>
      <c r="N156" s="72">
        <v>907</v>
      </c>
      <c r="O156" s="56" t="s">
        <v>128</v>
      </c>
    </row>
    <row r="157" spans="10:15" ht="18" customHeight="1">
      <c r="J157" s="56" t="s">
        <v>129</v>
      </c>
      <c r="K157" s="72">
        <v>7729105</v>
      </c>
      <c r="L157" s="72" t="s">
        <v>176</v>
      </c>
      <c r="M157" s="72" t="str">
        <f t="shared" si="4"/>
        <v>MFG-7729105</v>
      </c>
      <c r="N157" s="72">
        <v>999</v>
      </c>
      <c r="O157" s="56" t="s">
        <v>130</v>
      </c>
    </row>
    <row r="158" spans="10:15" ht="18" customHeight="1">
      <c r="J158" s="56" t="s">
        <v>131</v>
      </c>
      <c r="K158" s="72">
        <v>7781101</v>
      </c>
      <c r="L158" s="72" t="s">
        <v>176</v>
      </c>
      <c r="M158" s="72" t="str">
        <f t="shared" si="4"/>
        <v>MFG-7781101</v>
      </c>
      <c r="N158" s="72">
        <v>999</v>
      </c>
      <c r="O158" s="56" t="s">
        <v>132</v>
      </c>
    </row>
    <row r="159" spans="10:15" ht="18" customHeight="1">
      <c r="J159" s="56" t="s">
        <v>133</v>
      </c>
      <c r="K159" s="72">
        <v>7781103</v>
      </c>
      <c r="L159" s="72" t="s">
        <v>176</v>
      </c>
      <c r="M159" s="72" t="str">
        <f t="shared" si="4"/>
        <v>MFG-7781103</v>
      </c>
      <c r="N159" s="72">
        <v>999</v>
      </c>
      <c r="O159" s="56" t="s">
        <v>134</v>
      </c>
    </row>
    <row r="160" spans="10:15" ht="18" customHeight="1">
      <c r="J160" s="56" t="s">
        <v>135</v>
      </c>
      <c r="K160" s="72">
        <v>7781104</v>
      </c>
      <c r="L160" s="72" t="s">
        <v>176</v>
      </c>
      <c r="M160" s="72" t="str">
        <f t="shared" si="4"/>
        <v>MFG-7781104</v>
      </c>
      <c r="N160" s="72">
        <v>999</v>
      </c>
      <c r="O160" s="56" t="s">
        <v>136</v>
      </c>
    </row>
    <row r="161" spans="10:15" ht="18" customHeight="1">
      <c r="J161" s="56" t="s">
        <v>328</v>
      </c>
      <c r="K161" s="72">
        <v>7781105</v>
      </c>
      <c r="L161" s="72" t="s">
        <v>176</v>
      </c>
      <c r="M161" s="72" t="str">
        <f t="shared" si="4"/>
        <v>MFG-7781105</v>
      </c>
      <c r="N161" s="72">
        <v>999</v>
      </c>
      <c r="O161" s="56" t="s">
        <v>329</v>
      </c>
    </row>
    <row r="162" spans="10:15" ht="18" customHeight="1">
      <c r="J162" s="56" t="s">
        <v>330</v>
      </c>
      <c r="K162" s="72">
        <v>7781106</v>
      </c>
      <c r="L162" s="72" t="s">
        <v>176</v>
      </c>
      <c r="M162" s="72" t="str">
        <f t="shared" si="4"/>
        <v>MFG-7781106</v>
      </c>
      <c r="N162" s="72">
        <v>999</v>
      </c>
      <c r="O162" s="56" t="s">
        <v>331</v>
      </c>
    </row>
    <row r="163" spans="10:15" ht="18" customHeight="1">
      <c r="J163" s="56" t="s">
        <v>137</v>
      </c>
      <c r="K163" s="72">
        <v>7781107</v>
      </c>
      <c r="L163" s="72" t="s">
        <v>176</v>
      </c>
      <c r="M163" s="72" t="str">
        <f t="shared" si="4"/>
        <v>MFG-7781107</v>
      </c>
      <c r="N163" s="72">
        <v>906</v>
      </c>
      <c r="O163" s="56" t="s">
        <v>139</v>
      </c>
    </row>
    <row r="164" spans="10:15" ht="18" customHeight="1">
      <c r="J164" s="56" t="s">
        <v>140</v>
      </c>
      <c r="K164" s="72">
        <v>7781111</v>
      </c>
      <c r="L164" s="72" t="s">
        <v>176</v>
      </c>
      <c r="M164" s="72" t="str">
        <f t="shared" si="4"/>
        <v>MFG-7781111</v>
      </c>
      <c r="N164" s="72">
        <v>999</v>
      </c>
      <c r="O164" s="56" t="s">
        <v>141</v>
      </c>
    </row>
    <row r="165" spans="10:15" ht="18" customHeight="1">
      <c r="J165" s="56" t="s">
        <v>142</v>
      </c>
      <c r="K165" s="72">
        <v>7781112</v>
      </c>
      <c r="L165" s="72" t="s">
        <v>176</v>
      </c>
      <c r="M165" s="72" t="str">
        <f t="shared" si="4"/>
        <v>MFG-7781112</v>
      </c>
      <c r="N165" s="72">
        <v>999</v>
      </c>
      <c r="O165" s="56" t="s">
        <v>143</v>
      </c>
    </row>
    <row r="166" spans="10:15" ht="18" customHeight="1">
      <c r="J166" s="56" t="s">
        <v>144</v>
      </c>
      <c r="K166" s="72">
        <v>7781113</v>
      </c>
      <c r="L166" s="72" t="s">
        <v>176</v>
      </c>
      <c r="M166" s="72" t="str">
        <f t="shared" si="4"/>
        <v>MFG-7781113</v>
      </c>
      <c r="N166" s="72">
        <v>999</v>
      </c>
      <c r="O166" s="56" t="s">
        <v>145</v>
      </c>
    </row>
    <row r="167" spans="10:15" ht="18" customHeight="1">
      <c r="J167" s="56" t="s">
        <v>193</v>
      </c>
      <c r="K167" s="57">
        <v>8291101</v>
      </c>
      <c r="L167" s="58" t="s">
        <v>194</v>
      </c>
      <c r="M167" s="58" t="str">
        <f t="shared" si="4"/>
        <v>OTH-8291101</v>
      </c>
    </row>
    <row r="168" spans="10:15" ht="18" customHeight="1">
      <c r="J168" s="56" t="s">
        <v>195</v>
      </c>
      <c r="K168" s="57">
        <v>8291102</v>
      </c>
      <c r="L168" s="58" t="s">
        <v>194</v>
      </c>
      <c r="M168" s="58" t="str">
        <f t="shared" si="4"/>
        <v>OTH-8291102</v>
      </c>
    </row>
    <row r="169" spans="10:15" ht="18" customHeight="1">
      <c r="J169" s="56" t="s">
        <v>196</v>
      </c>
      <c r="K169" s="57">
        <v>8291201</v>
      </c>
      <c r="L169" s="58" t="s">
        <v>194</v>
      </c>
      <c r="M169" s="58" t="str">
        <f t="shared" si="4"/>
        <v>OTH-8291201</v>
      </c>
    </row>
    <row r="170" spans="10:15" ht="18" customHeight="1">
      <c r="J170" s="56" t="s">
        <v>197</v>
      </c>
      <c r="K170" s="57">
        <v>8291202</v>
      </c>
      <c r="L170" s="58" t="s">
        <v>194</v>
      </c>
      <c r="M170" s="58" t="str">
        <f t="shared" si="4"/>
        <v>OTH-8291202</v>
      </c>
    </row>
    <row r="171" spans="10:15" ht="18" customHeight="1">
      <c r="J171" s="56" t="s">
        <v>198</v>
      </c>
      <c r="K171" s="57">
        <v>8291203</v>
      </c>
      <c r="L171" s="58" t="s">
        <v>194</v>
      </c>
      <c r="M171" s="58" t="str">
        <f t="shared" si="4"/>
        <v>OTH-8291203</v>
      </c>
    </row>
    <row r="172" spans="10:15" ht="18" customHeight="1">
      <c r="J172" s="56" t="s">
        <v>199</v>
      </c>
      <c r="K172" s="57">
        <v>8191101</v>
      </c>
      <c r="L172" s="58" t="s">
        <v>194</v>
      </c>
      <c r="M172" s="58" t="str">
        <f t="shared" si="4"/>
        <v>OTH-8191101</v>
      </c>
    </row>
    <row r="173" spans="10:15" ht="18" customHeight="1">
      <c r="N173" s="74"/>
    </row>
  </sheetData>
  <phoneticPr fontId="24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1871-B522-4360-BDA4-9BF4A4426FC5}">
  <dimension ref="A1:S173"/>
  <sheetViews>
    <sheetView zoomScale="80" zoomScaleNormal="80" workbookViewId="0">
      <selection activeCell="G6" sqref="G6"/>
    </sheetView>
  </sheetViews>
  <sheetFormatPr defaultColWidth="8.85546875" defaultRowHeight="12.75"/>
  <cols>
    <col min="1" max="1" width="56.140625" style="56" bestFit="1" customWidth="1"/>
    <col min="2" max="2" width="10.5703125" style="57" bestFit="1" customWidth="1"/>
    <col min="3" max="3" width="12.5703125" style="58" bestFit="1" customWidth="1"/>
    <col min="4" max="4" width="12.42578125" style="58" bestFit="1" customWidth="1"/>
    <col min="5" max="5" width="13.85546875" style="58" bestFit="1" customWidth="1"/>
    <col min="6" max="6" width="50.7109375" style="56" hidden="1" customWidth="1"/>
    <col min="7" max="7" width="0.85546875" style="60" customWidth="1"/>
    <col min="8" max="8" width="28.5703125" style="56" bestFit="1" customWidth="1"/>
    <col min="9" max="9" width="11.42578125" style="57" bestFit="1" customWidth="1"/>
    <col min="10" max="10" width="15.85546875" style="56" bestFit="1" customWidth="1"/>
    <col min="11" max="11" width="19.42578125" style="56" bestFit="1" customWidth="1"/>
    <col min="12" max="12" width="28.5703125" style="56" bestFit="1" customWidth="1"/>
    <col min="13" max="13" width="0.85546875" style="60" customWidth="1"/>
    <col min="14" max="14" width="9.85546875" style="56" bestFit="1" customWidth="1"/>
    <col min="15" max="15" width="19.5703125" style="56" bestFit="1" customWidth="1"/>
    <col min="16" max="16" width="0.85546875" style="60" customWidth="1"/>
    <col min="17" max="17" width="18.42578125" style="31" bestFit="1" customWidth="1"/>
    <col min="18" max="18" width="19" style="32" bestFit="1" customWidth="1"/>
    <col min="19" max="19" width="72.5703125" style="33" bestFit="1" customWidth="1"/>
    <col min="20" max="16384" width="8.85546875" style="56"/>
  </cols>
  <sheetData>
    <row r="1" spans="1:19" s="55" customFormat="1" ht="60" customHeight="1">
      <c r="A1" s="46" t="s">
        <v>318</v>
      </c>
      <c r="B1" s="46" t="s">
        <v>1</v>
      </c>
      <c r="C1" s="47" t="s">
        <v>2</v>
      </c>
      <c r="D1" s="47" t="s">
        <v>3</v>
      </c>
      <c r="E1" s="47" t="s">
        <v>4</v>
      </c>
      <c r="F1" s="46" t="s">
        <v>5</v>
      </c>
      <c r="G1" s="48"/>
      <c r="H1" s="49" t="s">
        <v>0</v>
      </c>
      <c r="I1" s="49" t="s">
        <v>200</v>
      </c>
      <c r="J1" s="50" t="s">
        <v>201</v>
      </c>
      <c r="K1" s="50" t="s">
        <v>202</v>
      </c>
      <c r="L1" s="49" t="s">
        <v>0</v>
      </c>
      <c r="M1" s="51"/>
      <c r="N1" s="52" t="s">
        <v>203</v>
      </c>
      <c r="O1" s="52" t="s">
        <v>0</v>
      </c>
      <c r="P1" s="51"/>
      <c r="Q1" s="53" t="s">
        <v>315</v>
      </c>
      <c r="R1" s="53" t="s">
        <v>316</v>
      </c>
      <c r="S1" s="54" t="s">
        <v>5</v>
      </c>
    </row>
    <row r="2" spans="1:19" ht="18" customHeight="1">
      <c r="A2" s="56" t="s">
        <v>6</v>
      </c>
      <c r="B2" s="57">
        <v>7511101</v>
      </c>
      <c r="C2" s="58" t="s">
        <v>7</v>
      </c>
      <c r="D2" s="59" t="str">
        <f t="shared" ref="D2:D65" si="0">C2&amp;"-"&amp;B2</f>
        <v>SGA-7511101</v>
      </c>
      <c r="E2" s="58" t="s">
        <v>8</v>
      </c>
      <c r="F2" s="56" t="s">
        <v>6</v>
      </c>
      <c r="H2" s="18" t="s">
        <v>208</v>
      </c>
      <c r="I2" s="19" t="s">
        <v>209</v>
      </c>
      <c r="J2" s="61" t="s">
        <v>7</v>
      </c>
      <c r="K2" s="62" t="s">
        <v>210</v>
      </c>
      <c r="L2" s="62" t="str">
        <f>H2</f>
        <v>Top Management</v>
      </c>
      <c r="N2" s="62">
        <v>53450</v>
      </c>
      <c r="O2" s="62" t="s">
        <v>211</v>
      </c>
      <c r="Q2" s="63" t="s">
        <v>306</v>
      </c>
      <c r="R2" s="64" t="s">
        <v>307</v>
      </c>
      <c r="S2" s="65" t="s">
        <v>308</v>
      </c>
    </row>
    <row r="3" spans="1:19" ht="18" customHeight="1">
      <c r="A3" s="56" t="s">
        <v>9</v>
      </c>
      <c r="B3" s="57">
        <v>7511102</v>
      </c>
      <c r="C3" s="58" t="s">
        <v>7</v>
      </c>
      <c r="D3" s="59" t="str">
        <f t="shared" si="0"/>
        <v>SGA-7511102</v>
      </c>
      <c r="E3" s="58" t="s">
        <v>8</v>
      </c>
      <c r="F3" s="56" t="s">
        <v>10</v>
      </c>
      <c r="H3" s="18" t="s">
        <v>213</v>
      </c>
      <c r="I3" s="19" t="s">
        <v>214</v>
      </c>
      <c r="J3" s="61" t="s">
        <v>7</v>
      </c>
      <c r="K3" s="62" t="s">
        <v>210</v>
      </c>
      <c r="L3" s="62" t="str">
        <f t="shared" ref="L3:L42" si="1">H3</f>
        <v>Commissioner</v>
      </c>
      <c r="N3" s="62"/>
      <c r="O3" s="62"/>
      <c r="Q3" s="63" t="s">
        <v>309</v>
      </c>
      <c r="R3" s="64" t="s">
        <v>310</v>
      </c>
      <c r="S3" s="65" t="s">
        <v>311</v>
      </c>
    </row>
    <row r="4" spans="1:19" ht="18" customHeight="1">
      <c r="A4" s="56" t="s">
        <v>11</v>
      </c>
      <c r="B4" s="57">
        <v>7511103</v>
      </c>
      <c r="C4" s="58" t="s">
        <v>7</v>
      </c>
      <c r="D4" s="59" t="str">
        <f t="shared" si="0"/>
        <v>SGA-7511103</v>
      </c>
      <c r="E4" s="58" t="s">
        <v>12</v>
      </c>
      <c r="F4" s="56" t="s">
        <v>13</v>
      </c>
      <c r="H4" s="18" t="s">
        <v>216</v>
      </c>
      <c r="I4" s="19" t="s">
        <v>217</v>
      </c>
      <c r="J4" s="61" t="s">
        <v>7</v>
      </c>
      <c r="K4" s="62" t="s">
        <v>210</v>
      </c>
      <c r="L4" s="62" t="str">
        <f t="shared" si="1"/>
        <v>Admin &amp; HR</v>
      </c>
      <c r="N4" s="62"/>
      <c r="O4" s="62"/>
      <c r="Q4" s="63" t="s">
        <v>312</v>
      </c>
      <c r="R4" s="64" t="s">
        <v>313</v>
      </c>
      <c r="S4" s="65" t="s">
        <v>314</v>
      </c>
    </row>
    <row r="5" spans="1:19" ht="18" customHeight="1">
      <c r="A5" s="56" t="s">
        <v>14</v>
      </c>
      <c r="B5" s="57">
        <v>7511111</v>
      </c>
      <c r="C5" s="58" t="s">
        <v>7</v>
      </c>
      <c r="D5" s="59" t="str">
        <f t="shared" si="0"/>
        <v>SGA-7511111</v>
      </c>
      <c r="E5" s="58" t="s">
        <v>12</v>
      </c>
      <c r="F5" s="56" t="s">
        <v>15</v>
      </c>
      <c r="H5" s="18" t="s">
        <v>219</v>
      </c>
      <c r="I5" s="19" t="s">
        <v>220</v>
      </c>
      <c r="J5" s="61" t="s">
        <v>7</v>
      </c>
      <c r="K5" s="62" t="s">
        <v>210</v>
      </c>
      <c r="L5" s="62" t="str">
        <f t="shared" si="1"/>
        <v>General Affair</v>
      </c>
    </row>
    <row r="6" spans="1:19" ht="18" customHeight="1">
      <c r="A6" s="56" t="s">
        <v>16</v>
      </c>
      <c r="B6" s="57">
        <v>7511112</v>
      </c>
      <c r="C6" s="58" t="s">
        <v>7</v>
      </c>
      <c r="D6" s="59" t="str">
        <f t="shared" si="0"/>
        <v>SGA-7511112</v>
      </c>
      <c r="E6" s="58" t="s">
        <v>12</v>
      </c>
      <c r="F6" s="56" t="s">
        <v>17</v>
      </c>
      <c r="H6" s="18" t="s">
        <v>222</v>
      </c>
      <c r="I6" s="19" t="s">
        <v>223</v>
      </c>
      <c r="J6" s="61" t="s">
        <v>7</v>
      </c>
      <c r="K6" s="62" t="s">
        <v>210</v>
      </c>
      <c r="L6" s="62" t="str">
        <f t="shared" si="1"/>
        <v>Human Resource</v>
      </c>
    </row>
    <row r="7" spans="1:19" ht="18" customHeight="1">
      <c r="A7" s="56" t="s">
        <v>18</v>
      </c>
      <c r="B7" s="57">
        <v>7511121</v>
      </c>
      <c r="C7" s="58" t="s">
        <v>7</v>
      </c>
      <c r="D7" s="59" t="str">
        <f t="shared" si="0"/>
        <v>SGA-7511121</v>
      </c>
      <c r="E7" s="58" t="s">
        <v>12</v>
      </c>
      <c r="F7" s="56" t="s">
        <v>19</v>
      </c>
      <c r="H7" s="18" t="s">
        <v>225</v>
      </c>
      <c r="I7" s="19" t="s">
        <v>226</v>
      </c>
      <c r="J7" s="61" t="s">
        <v>7</v>
      </c>
      <c r="K7" s="62" t="s">
        <v>210</v>
      </c>
      <c r="L7" s="62" t="str">
        <f t="shared" si="1"/>
        <v>Health, Safety &amp; Environment</v>
      </c>
    </row>
    <row r="8" spans="1:19" ht="18" customHeight="1">
      <c r="A8" s="56" t="s">
        <v>20</v>
      </c>
      <c r="B8" s="57">
        <v>7511122</v>
      </c>
      <c r="C8" s="58" t="s">
        <v>7</v>
      </c>
      <c r="D8" s="59" t="str">
        <f t="shared" si="0"/>
        <v>SGA-7511122</v>
      </c>
      <c r="E8" s="58" t="s">
        <v>12</v>
      </c>
      <c r="F8" s="56" t="s">
        <v>21</v>
      </c>
      <c r="H8" s="18" t="s">
        <v>227</v>
      </c>
      <c r="I8" s="19" t="s">
        <v>228</v>
      </c>
      <c r="J8" s="61" t="s">
        <v>7</v>
      </c>
      <c r="K8" s="62" t="s">
        <v>210</v>
      </c>
      <c r="L8" s="62" t="str">
        <f t="shared" si="1"/>
        <v>Accounting &amp; Finance</v>
      </c>
    </row>
    <row r="9" spans="1:19" ht="18" customHeight="1">
      <c r="A9" s="56" t="s">
        <v>22</v>
      </c>
      <c r="B9" s="57">
        <v>7511201</v>
      </c>
      <c r="C9" s="58" t="s">
        <v>7</v>
      </c>
      <c r="D9" s="59" t="str">
        <f t="shared" si="0"/>
        <v>SGA-7511201</v>
      </c>
      <c r="E9" s="58" t="s">
        <v>23</v>
      </c>
      <c r="F9" s="56" t="s">
        <v>24</v>
      </c>
      <c r="H9" s="18" t="s">
        <v>229</v>
      </c>
      <c r="I9" s="19" t="s">
        <v>230</v>
      </c>
      <c r="J9" s="61" t="s">
        <v>7</v>
      </c>
      <c r="K9" s="62" t="s">
        <v>210</v>
      </c>
      <c r="L9" s="62" t="str">
        <f t="shared" si="1"/>
        <v>Information Technology</v>
      </c>
    </row>
    <row r="10" spans="1:19" ht="18" customHeight="1">
      <c r="A10" s="56" t="s">
        <v>25</v>
      </c>
      <c r="B10" s="57">
        <v>7512111</v>
      </c>
      <c r="C10" s="58" t="s">
        <v>7</v>
      </c>
      <c r="D10" s="59" t="str">
        <f t="shared" si="0"/>
        <v>SGA-7512111</v>
      </c>
      <c r="E10" s="58" t="s">
        <v>26</v>
      </c>
      <c r="F10" s="56" t="s">
        <v>27</v>
      </c>
      <c r="H10" s="18" t="s">
        <v>231</v>
      </c>
      <c r="I10" s="19" t="s">
        <v>232</v>
      </c>
      <c r="J10" s="61" t="s">
        <v>7</v>
      </c>
      <c r="K10" s="62" t="s">
        <v>210</v>
      </c>
      <c r="L10" s="62" t="str">
        <f t="shared" si="1"/>
        <v>Sales &amp; MKTG Dept.- Automotive</v>
      </c>
    </row>
    <row r="11" spans="1:19" ht="18" customHeight="1">
      <c r="A11" s="56" t="s">
        <v>28</v>
      </c>
      <c r="B11" s="57">
        <v>7512112</v>
      </c>
      <c r="C11" s="58" t="s">
        <v>7</v>
      </c>
      <c r="D11" s="59" t="str">
        <f t="shared" si="0"/>
        <v>SGA-7512112</v>
      </c>
      <c r="E11" s="58" t="s">
        <v>26</v>
      </c>
      <c r="F11" s="56" t="s">
        <v>29</v>
      </c>
      <c r="H11" s="18" t="s">
        <v>233</v>
      </c>
      <c r="I11" s="19" t="s">
        <v>234</v>
      </c>
      <c r="J11" s="61" t="s">
        <v>7</v>
      </c>
      <c r="K11" s="62" t="s">
        <v>210</v>
      </c>
      <c r="L11" s="62" t="str">
        <f t="shared" si="1"/>
        <v>Marketing</v>
      </c>
    </row>
    <row r="12" spans="1:19" ht="18" customHeight="1">
      <c r="A12" s="56" t="s">
        <v>30</v>
      </c>
      <c r="B12" s="57">
        <v>7514101</v>
      </c>
      <c r="C12" s="58" t="s">
        <v>7</v>
      </c>
      <c r="D12" s="59" t="str">
        <f t="shared" si="0"/>
        <v>SGA-7514101</v>
      </c>
      <c r="E12" s="58" t="s">
        <v>12</v>
      </c>
      <c r="F12" s="56" t="s">
        <v>31</v>
      </c>
      <c r="H12" s="18" t="s">
        <v>235</v>
      </c>
      <c r="I12" s="19" t="s">
        <v>236</v>
      </c>
      <c r="J12" s="61" t="s">
        <v>7</v>
      </c>
      <c r="K12" s="62" t="s">
        <v>210</v>
      </c>
      <c r="L12" s="62" t="str">
        <f t="shared" si="1"/>
        <v>Sales - OEM</v>
      </c>
    </row>
    <row r="13" spans="1:19" ht="18" customHeight="1">
      <c r="A13" s="56" t="s">
        <v>32</v>
      </c>
      <c r="B13" s="57">
        <v>7514102</v>
      </c>
      <c r="C13" s="58" t="s">
        <v>7</v>
      </c>
      <c r="D13" s="59" t="str">
        <f t="shared" si="0"/>
        <v>SGA-7514102</v>
      </c>
      <c r="E13" s="58" t="s">
        <v>12</v>
      </c>
      <c r="F13" s="56" t="s">
        <v>33</v>
      </c>
      <c r="H13" s="18" t="s">
        <v>237</v>
      </c>
      <c r="I13" s="19" t="s">
        <v>238</v>
      </c>
      <c r="J13" s="61" t="s">
        <v>7</v>
      </c>
      <c r="K13" s="62" t="s">
        <v>210</v>
      </c>
      <c r="L13" s="62" t="str">
        <f t="shared" si="1"/>
        <v>Sales - OES</v>
      </c>
    </row>
    <row r="14" spans="1:19" ht="18" customHeight="1">
      <c r="A14" s="56" t="s">
        <v>34</v>
      </c>
      <c r="B14" s="57">
        <v>7515401</v>
      </c>
      <c r="C14" s="58" t="s">
        <v>7</v>
      </c>
      <c r="D14" s="59" t="str">
        <f t="shared" si="0"/>
        <v>SGA-7515401</v>
      </c>
      <c r="E14" s="58" t="s">
        <v>26</v>
      </c>
      <c r="F14" s="56" t="s">
        <v>35</v>
      </c>
      <c r="H14" s="18" t="s">
        <v>239</v>
      </c>
      <c r="I14" s="19" t="s">
        <v>240</v>
      </c>
      <c r="J14" s="61" t="s">
        <v>7</v>
      </c>
      <c r="K14" s="62" t="s">
        <v>210</v>
      </c>
      <c r="L14" s="62" t="str">
        <f t="shared" si="1"/>
        <v>Sales - IAM</v>
      </c>
    </row>
    <row r="15" spans="1:19" ht="18" customHeight="1">
      <c r="A15" s="56" t="s">
        <v>36</v>
      </c>
      <c r="B15" s="57">
        <v>7515402</v>
      </c>
      <c r="C15" s="58" t="s">
        <v>7</v>
      </c>
      <c r="D15" s="59" t="str">
        <f t="shared" si="0"/>
        <v>SGA-7515402</v>
      </c>
      <c r="E15" s="58" t="s">
        <v>26</v>
      </c>
      <c r="F15" s="56" t="s">
        <v>37</v>
      </c>
      <c r="H15" s="18" t="s">
        <v>241</v>
      </c>
      <c r="I15" s="19" t="s">
        <v>242</v>
      </c>
      <c r="J15" s="62" t="s">
        <v>176</v>
      </c>
      <c r="K15" s="62" t="s">
        <v>243</v>
      </c>
      <c r="L15" s="62" t="str">
        <f t="shared" si="1"/>
        <v>SP PD- CF</v>
      </c>
    </row>
    <row r="16" spans="1:19" ht="18" customHeight="1">
      <c r="A16" s="56" t="s">
        <v>38</v>
      </c>
      <c r="B16" s="57">
        <v>7515403</v>
      </c>
      <c r="C16" s="58" t="s">
        <v>7</v>
      </c>
      <c r="D16" s="59" t="str">
        <f t="shared" si="0"/>
        <v>SGA-7515403</v>
      </c>
      <c r="E16" s="58" t="s">
        <v>26</v>
      </c>
      <c r="F16" s="56" t="s">
        <v>39</v>
      </c>
      <c r="H16" s="18" t="s">
        <v>244</v>
      </c>
      <c r="I16" s="19" t="s">
        <v>245</v>
      </c>
      <c r="J16" s="62" t="s">
        <v>176</v>
      </c>
      <c r="K16" s="62" t="s">
        <v>243</v>
      </c>
      <c r="L16" s="62" t="str">
        <f t="shared" si="1"/>
        <v>SP PD- CM</v>
      </c>
    </row>
    <row r="17" spans="1:12" ht="18" customHeight="1">
      <c r="A17" s="56" t="s">
        <v>40</v>
      </c>
      <c r="B17" s="57">
        <v>7515404</v>
      </c>
      <c r="C17" s="58" t="s">
        <v>7</v>
      </c>
      <c r="D17" s="59" t="str">
        <f t="shared" si="0"/>
        <v>SGA-7515404</v>
      </c>
      <c r="E17" s="58" t="s">
        <v>26</v>
      </c>
      <c r="F17" s="56" t="s">
        <v>41</v>
      </c>
      <c r="H17" s="66" t="s">
        <v>246</v>
      </c>
      <c r="I17" s="19" t="s">
        <v>247</v>
      </c>
      <c r="J17" s="62" t="s">
        <v>176</v>
      </c>
      <c r="K17" s="62" t="s">
        <v>243</v>
      </c>
      <c r="L17" s="62" t="str">
        <f t="shared" si="1"/>
        <v>SP PD- WT</v>
      </c>
    </row>
    <row r="18" spans="1:12" ht="18" customHeight="1">
      <c r="A18" s="56" t="s">
        <v>42</v>
      </c>
      <c r="B18" s="57">
        <v>7515405</v>
      </c>
      <c r="C18" s="58" t="s">
        <v>7</v>
      </c>
      <c r="D18" s="59" t="str">
        <f t="shared" si="0"/>
        <v>SGA-7515405</v>
      </c>
      <c r="E18" s="58" t="s">
        <v>26</v>
      </c>
      <c r="F18" s="56" t="s">
        <v>43</v>
      </c>
      <c r="H18" s="66" t="s">
        <v>248</v>
      </c>
      <c r="I18" s="19" t="s">
        <v>249</v>
      </c>
      <c r="J18" s="62" t="s">
        <v>176</v>
      </c>
      <c r="K18" s="62" t="s">
        <v>243</v>
      </c>
      <c r="L18" s="62" t="str">
        <f t="shared" si="1"/>
        <v>SP PD- Plating</v>
      </c>
    </row>
    <row r="19" spans="1:12" ht="18" customHeight="1">
      <c r="A19" s="56" t="s">
        <v>44</v>
      </c>
      <c r="B19" s="57">
        <v>7515406</v>
      </c>
      <c r="C19" s="58" t="s">
        <v>7</v>
      </c>
      <c r="D19" s="59" t="str">
        <f t="shared" si="0"/>
        <v>SGA-7515406</v>
      </c>
      <c r="E19" s="58" t="s">
        <v>26</v>
      </c>
      <c r="F19" s="56" t="s">
        <v>45</v>
      </c>
      <c r="H19" s="66" t="s">
        <v>250</v>
      </c>
      <c r="I19" s="19" t="s">
        <v>251</v>
      </c>
      <c r="J19" s="62" t="s">
        <v>176</v>
      </c>
      <c r="K19" s="62" t="s">
        <v>243</v>
      </c>
      <c r="L19" s="62" t="str">
        <f t="shared" si="1"/>
        <v>SP PD- MS Insp.</v>
      </c>
    </row>
    <row r="20" spans="1:12" ht="18" customHeight="1">
      <c r="A20" s="56" t="s">
        <v>319</v>
      </c>
      <c r="B20" s="57">
        <v>7515407</v>
      </c>
      <c r="C20" s="58" t="s">
        <v>7</v>
      </c>
      <c r="D20" s="59" t="str">
        <f t="shared" si="0"/>
        <v>SGA-7515407</v>
      </c>
      <c r="E20" s="58" t="s">
        <v>26</v>
      </c>
      <c r="H20" s="66" t="s">
        <v>252</v>
      </c>
      <c r="I20" s="19" t="s">
        <v>253</v>
      </c>
      <c r="J20" s="62" t="s">
        <v>176</v>
      </c>
      <c r="K20" s="62" t="s">
        <v>243</v>
      </c>
      <c r="L20" s="62" t="str">
        <f t="shared" si="1"/>
        <v>SP PD- Insulator Sealing</v>
      </c>
    </row>
    <row r="21" spans="1:12" ht="18" customHeight="1">
      <c r="A21" s="56" t="s">
        <v>46</v>
      </c>
      <c r="B21" s="57">
        <v>7515408</v>
      </c>
      <c r="C21" s="58" t="s">
        <v>7</v>
      </c>
      <c r="D21" s="59" t="str">
        <f t="shared" si="0"/>
        <v>SGA-7515408</v>
      </c>
      <c r="E21" s="58" t="s">
        <v>26</v>
      </c>
      <c r="F21" s="56" t="s">
        <v>47</v>
      </c>
      <c r="H21" s="66" t="s">
        <v>254</v>
      </c>
      <c r="I21" s="19" t="s">
        <v>255</v>
      </c>
      <c r="J21" s="62" t="s">
        <v>176</v>
      </c>
      <c r="K21" s="62" t="s">
        <v>243</v>
      </c>
      <c r="L21" s="62" t="str">
        <f t="shared" si="1"/>
        <v>SP PD- Assy</v>
      </c>
    </row>
    <row r="22" spans="1:12" ht="18" customHeight="1">
      <c r="A22" s="56" t="s">
        <v>48</v>
      </c>
      <c r="B22" s="57">
        <v>7515409</v>
      </c>
      <c r="C22" s="58" t="s">
        <v>7</v>
      </c>
      <c r="D22" s="59" t="str">
        <f t="shared" si="0"/>
        <v>SGA-7515409</v>
      </c>
      <c r="E22" s="58" t="s">
        <v>26</v>
      </c>
      <c r="F22" s="56" t="s">
        <v>49</v>
      </c>
      <c r="H22" s="66" t="s">
        <v>256</v>
      </c>
      <c r="I22" s="19" t="s">
        <v>257</v>
      </c>
      <c r="J22" s="62" t="s">
        <v>176</v>
      </c>
      <c r="K22" s="62" t="s">
        <v>243</v>
      </c>
      <c r="L22" s="62" t="str">
        <f t="shared" si="1"/>
        <v>SP-PD-Assy-Auto Assembly</v>
      </c>
    </row>
    <row r="23" spans="1:12" ht="18" customHeight="1">
      <c r="A23" s="56" t="s">
        <v>50</v>
      </c>
      <c r="B23" s="57">
        <v>7515410</v>
      </c>
      <c r="C23" s="58" t="s">
        <v>7</v>
      </c>
      <c r="D23" s="59" t="str">
        <f t="shared" si="0"/>
        <v>SGA-7515410</v>
      </c>
      <c r="E23" s="58" t="s">
        <v>26</v>
      </c>
      <c r="F23" s="56" t="s">
        <v>51</v>
      </c>
      <c r="H23" s="66" t="s">
        <v>258</v>
      </c>
      <c r="I23" s="19" t="s">
        <v>259</v>
      </c>
      <c r="J23" s="62" t="s">
        <v>176</v>
      </c>
      <c r="K23" s="62" t="s">
        <v>243</v>
      </c>
      <c r="L23" s="62" t="str">
        <f t="shared" si="1"/>
        <v>SP PD- Bending</v>
      </c>
    </row>
    <row r="24" spans="1:12" ht="18" customHeight="1">
      <c r="A24" s="56" t="s">
        <v>52</v>
      </c>
      <c r="B24" s="57">
        <v>7515499</v>
      </c>
      <c r="C24" s="58" t="s">
        <v>7</v>
      </c>
      <c r="D24" s="59" t="str">
        <f t="shared" si="0"/>
        <v>SGA-7515499</v>
      </c>
      <c r="E24" s="58" t="s">
        <v>26</v>
      </c>
      <c r="F24" s="56" t="s">
        <v>53</v>
      </c>
      <c r="H24" s="66" t="s">
        <v>260</v>
      </c>
      <c r="I24" s="19" t="s">
        <v>261</v>
      </c>
      <c r="J24" s="62" t="s">
        <v>176</v>
      </c>
      <c r="K24" s="62" t="s">
        <v>243</v>
      </c>
      <c r="L24" s="62" t="str">
        <f t="shared" si="1"/>
        <v>SP PD- Final Inspection</v>
      </c>
    </row>
    <row r="25" spans="1:12" ht="18" customHeight="1">
      <c r="A25" s="56" t="s">
        <v>54</v>
      </c>
      <c r="B25" s="57">
        <v>7516102</v>
      </c>
      <c r="C25" s="58" t="s">
        <v>7</v>
      </c>
      <c r="D25" s="59" t="str">
        <f t="shared" si="0"/>
        <v>SGA-7516102</v>
      </c>
      <c r="E25" s="58" t="s">
        <v>55</v>
      </c>
      <c r="F25" s="56" t="s">
        <v>56</v>
      </c>
      <c r="H25" s="66" t="s">
        <v>262</v>
      </c>
      <c r="I25" s="19" t="s">
        <v>263</v>
      </c>
      <c r="J25" s="62" t="s">
        <v>176</v>
      </c>
      <c r="K25" s="62" t="s">
        <v>243</v>
      </c>
      <c r="L25" s="62" t="str">
        <f t="shared" si="1"/>
        <v>SP PD- QC - OEM</v>
      </c>
    </row>
    <row r="26" spans="1:12" ht="18" customHeight="1">
      <c r="A26" s="56" t="s">
        <v>57</v>
      </c>
      <c r="B26" s="57">
        <v>7519101</v>
      </c>
      <c r="C26" s="58" t="s">
        <v>7</v>
      </c>
      <c r="D26" s="59" t="str">
        <f t="shared" si="0"/>
        <v>SGA-7519101</v>
      </c>
      <c r="E26" s="58" t="s">
        <v>8</v>
      </c>
      <c r="F26" s="56" t="s">
        <v>58</v>
      </c>
      <c r="H26" s="66" t="s">
        <v>264</v>
      </c>
      <c r="I26" s="19" t="s">
        <v>265</v>
      </c>
      <c r="J26" s="62" t="s">
        <v>176</v>
      </c>
      <c r="K26" s="62" t="s">
        <v>243</v>
      </c>
      <c r="L26" s="62" t="str">
        <f t="shared" si="1"/>
        <v>PC PD- Injection</v>
      </c>
    </row>
    <row r="27" spans="1:12" ht="18" customHeight="1">
      <c r="A27" s="56" t="s">
        <v>59</v>
      </c>
      <c r="B27" s="57">
        <v>7521101</v>
      </c>
      <c r="C27" s="58" t="s">
        <v>7</v>
      </c>
      <c r="D27" s="59" t="str">
        <f t="shared" si="0"/>
        <v>SGA-7521101</v>
      </c>
      <c r="E27" s="58" t="s">
        <v>12</v>
      </c>
      <c r="F27" s="56" t="s">
        <v>60</v>
      </c>
      <c r="H27" s="66" t="s">
        <v>266</v>
      </c>
      <c r="I27" s="19" t="s">
        <v>267</v>
      </c>
      <c r="J27" s="62" t="s">
        <v>176</v>
      </c>
      <c r="K27" s="62" t="s">
        <v>243</v>
      </c>
      <c r="L27" s="62" t="str">
        <f t="shared" si="1"/>
        <v>PC PD- Assy</v>
      </c>
    </row>
    <row r="28" spans="1:12" ht="18" customHeight="1">
      <c r="A28" s="56" t="s">
        <v>61</v>
      </c>
      <c r="B28" s="57">
        <v>7521102</v>
      </c>
      <c r="C28" s="58" t="s">
        <v>7</v>
      </c>
      <c r="D28" s="59" t="str">
        <f t="shared" si="0"/>
        <v>SGA-7521102</v>
      </c>
      <c r="E28" s="58" t="s">
        <v>23</v>
      </c>
      <c r="F28" s="56" t="s">
        <v>62</v>
      </c>
      <c r="H28" s="66" t="s">
        <v>268</v>
      </c>
      <c r="I28" s="19" t="s">
        <v>269</v>
      </c>
      <c r="J28" s="62" t="s">
        <v>176</v>
      </c>
      <c r="K28" s="62" t="s">
        <v>243</v>
      </c>
      <c r="L28" s="62" t="str">
        <f t="shared" si="1"/>
        <v>PC PD- QC</v>
      </c>
    </row>
    <row r="29" spans="1:12" ht="18" customHeight="1">
      <c r="A29" s="56" t="s">
        <v>63</v>
      </c>
      <c r="B29" s="57">
        <v>7571101</v>
      </c>
      <c r="C29" s="58" t="s">
        <v>7</v>
      </c>
      <c r="D29" s="59" t="str">
        <f t="shared" si="0"/>
        <v>SGA-7571101</v>
      </c>
      <c r="E29" s="58" t="s">
        <v>64</v>
      </c>
      <c r="F29" s="56" t="s">
        <v>65</v>
      </c>
      <c r="H29" s="66" t="s">
        <v>270</v>
      </c>
      <c r="I29" s="19" t="s">
        <v>271</v>
      </c>
      <c r="J29" s="62" t="s">
        <v>176</v>
      </c>
      <c r="K29" s="62" t="s">
        <v>272</v>
      </c>
      <c r="L29" s="62" t="str">
        <f t="shared" si="1"/>
        <v>Plant Operation (Indirect Mfg)</v>
      </c>
    </row>
    <row r="30" spans="1:12" ht="18" customHeight="1">
      <c r="A30" s="56" t="s">
        <v>66</v>
      </c>
      <c r="B30" s="57">
        <v>7611100</v>
      </c>
      <c r="C30" s="58" t="s">
        <v>7</v>
      </c>
      <c r="D30" s="59" t="str">
        <f t="shared" si="0"/>
        <v>SGA-7611100</v>
      </c>
      <c r="E30" s="58" t="s">
        <v>67</v>
      </c>
      <c r="F30" s="56" t="s">
        <v>68</v>
      </c>
      <c r="H30" s="66" t="s">
        <v>273</v>
      </c>
      <c r="I30" s="19" t="s">
        <v>274</v>
      </c>
      <c r="J30" s="62" t="s">
        <v>176</v>
      </c>
      <c r="K30" s="62" t="s">
        <v>272</v>
      </c>
      <c r="L30" s="62" t="str">
        <f t="shared" si="1"/>
        <v>Production Office</v>
      </c>
    </row>
    <row r="31" spans="1:12" ht="18" customHeight="1">
      <c r="A31" s="56" t="s">
        <v>69</v>
      </c>
      <c r="B31" s="57">
        <v>7611300</v>
      </c>
      <c r="C31" s="58" t="s">
        <v>7</v>
      </c>
      <c r="D31" s="59" t="str">
        <f t="shared" si="0"/>
        <v>SGA-7611300</v>
      </c>
      <c r="E31" s="58" t="s">
        <v>67</v>
      </c>
      <c r="F31" s="56" t="s">
        <v>70</v>
      </c>
      <c r="H31" s="66" t="s">
        <v>275</v>
      </c>
      <c r="I31" s="19" t="s">
        <v>276</v>
      </c>
      <c r="J31" s="62" t="s">
        <v>176</v>
      </c>
      <c r="K31" s="62" t="s">
        <v>272</v>
      </c>
      <c r="L31" s="62" t="str">
        <f t="shared" si="1"/>
        <v>Production Office (SP)</v>
      </c>
    </row>
    <row r="32" spans="1:12" ht="18" customHeight="1">
      <c r="A32" s="56" t="s">
        <v>320</v>
      </c>
      <c r="B32" s="57">
        <v>7611400</v>
      </c>
      <c r="C32" s="58" t="s">
        <v>7</v>
      </c>
      <c r="D32" s="59" t="str">
        <f t="shared" si="0"/>
        <v>SGA-7611400</v>
      </c>
      <c r="E32" s="58" t="s">
        <v>67</v>
      </c>
      <c r="F32" s="56" t="s">
        <v>321</v>
      </c>
      <c r="H32" s="66" t="s">
        <v>277</v>
      </c>
      <c r="I32" s="19" t="s">
        <v>278</v>
      </c>
      <c r="J32" s="62" t="s">
        <v>176</v>
      </c>
      <c r="K32" s="62" t="s">
        <v>272</v>
      </c>
      <c r="L32" s="62" t="str">
        <f t="shared" si="1"/>
        <v>Production Office (PC)</v>
      </c>
    </row>
    <row r="33" spans="1:12" ht="18" customHeight="1">
      <c r="A33" s="56" t="s">
        <v>71</v>
      </c>
      <c r="B33" s="57">
        <v>7611500</v>
      </c>
      <c r="C33" s="58" t="s">
        <v>7</v>
      </c>
      <c r="D33" s="59" t="str">
        <f t="shared" si="0"/>
        <v>SGA-7611500</v>
      </c>
      <c r="E33" s="58" t="s">
        <v>67</v>
      </c>
      <c r="F33" s="56" t="s">
        <v>72</v>
      </c>
      <c r="H33" s="66" t="s">
        <v>279</v>
      </c>
      <c r="I33" s="19" t="s">
        <v>280</v>
      </c>
      <c r="J33" s="62" t="s">
        <v>176</v>
      </c>
      <c r="K33" s="62" t="s">
        <v>272</v>
      </c>
      <c r="L33" s="62" t="str">
        <f t="shared" si="1"/>
        <v>Quality Assurance</v>
      </c>
    </row>
    <row r="34" spans="1:12" ht="18" customHeight="1">
      <c r="A34" s="56" t="s">
        <v>73</v>
      </c>
      <c r="B34" s="57">
        <v>7611600</v>
      </c>
      <c r="C34" s="58" t="s">
        <v>7</v>
      </c>
      <c r="D34" s="59" t="str">
        <f t="shared" si="0"/>
        <v>SGA-7611600</v>
      </c>
      <c r="E34" s="58" t="s">
        <v>67</v>
      </c>
      <c r="F34" s="56" t="s">
        <v>74</v>
      </c>
      <c r="H34" s="66" t="s">
        <v>281</v>
      </c>
      <c r="I34" s="19" t="s">
        <v>282</v>
      </c>
      <c r="J34" s="62" t="s">
        <v>176</v>
      </c>
      <c r="K34" s="62" t="s">
        <v>272</v>
      </c>
      <c r="L34" s="62" t="str">
        <f t="shared" si="1"/>
        <v>Quality Control</v>
      </c>
    </row>
    <row r="35" spans="1:12" ht="18" customHeight="1">
      <c r="A35" s="56" t="s">
        <v>75</v>
      </c>
      <c r="B35" s="57">
        <v>7611700</v>
      </c>
      <c r="C35" s="58" t="s">
        <v>7</v>
      </c>
      <c r="D35" s="59" t="str">
        <f t="shared" si="0"/>
        <v>SGA-7611700</v>
      </c>
      <c r="E35" s="58" t="s">
        <v>67</v>
      </c>
      <c r="F35" s="56" t="s">
        <v>76</v>
      </c>
      <c r="H35" s="66" t="s">
        <v>283</v>
      </c>
      <c r="I35" s="19" t="s">
        <v>284</v>
      </c>
      <c r="J35" s="62" t="s">
        <v>176</v>
      </c>
      <c r="K35" s="62" t="s">
        <v>272</v>
      </c>
      <c r="L35" s="62" t="str">
        <f t="shared" si="1"/>
        <v>Maintenance</v>
      </c>
    </row>
    <row r="36" spans="1:12" ht="18" customHeight="1">
      <c r="A36" s="56" t="s">
        <v>322</v>
      </c>
      <c r="B36" s="57">
        <v>7611800</v>
      </c>
      <c r="C36" s="58" t="s">
        <v>7</v>
      </c>
      <c r="D36" s="59" t="str">
        <f t="shared" si="0"/>
        <v>SGA-7611800</v>
      </c>
      <c r="E36" s="58" t="s">
        <v>67</v>
      </c>
      <c r="F36" s="56" t="s">
        <v>323</v>
      </c>
      <c r="H36" s="66" t="s">
        <v>285</v>
      </c>
      <c r="I36" s="19" t="s">
        <v>286</v>
      </c>
      <c r="J36" s="62" t="s">
        <v>176</v>
      </c>
      <c r="K36" s="62" t="s">
        <v>272</v>
      </c>
      <c r="L36" s="62" t="str">
        <f t="shared" si="1"/>
        <v>Production Engineering</v>
      </c>
    </row>
    <row r="37" spans="1:12" ht="18" customHeight="1">
      <c r="A37" s="56" t="s">
        <v>77</v>
      </c>
      <c r="B37" s="57">
        <v>7621101</v>
      </c>
      <c r="C37" s="58" t="s">
        <v>7</v>
      </c>
      <c r="D37" s="59" t="str">
        <f t="shared" si="0"/>
        <v>SGA-7621101</v>
      </c>
      <c r="E37" s="58" t="s">
        <v>78</v>
      </c>
      <c r="F37" s="56" t="s">
        <v>79</v>
      </c>
      <c r="H37" s="18" t="s">
        <v>287</v>
      </c>
      <c r="I37" s="19" t="s">
        <v>288</v>
      </c>
      <c r="J37" s="62" t="s">
        <v>176</v>
      </c>
      <c r="K37" s="62" t="s">
        <v>272</v>
      </c>
      <c r="L37" s="62" t="str">
        <f t="shared" si="1"/>
        <v>Supply Procurement</v>
      </c>
    </row>
    <row r="38" spans="1:12" ht="18" customHeight="1">
      <c r="A38" s="56" t="s">
        <v>80</v>
      </c>
      <c r="B38" s="57">
        <v>7621199</v>
      </c>
      <c r="C38" s="58" t="s">
        <v>7</v>
      </c>
      <c r="D38" s="59" t="str">
        <f t="shared" si="0"/>
        <v>SGA-7621199</v>
      </c>
      <c r="E38" s="58" t="s">
        <v>81</v>
      </c>
      <c r="F38" s="56" t="s">
        <v>82</v>
      </c>
      <c r="H38" s="18" t="s">
        <v>289</v>
      </c>
      <c r="I38" s="19" t="s">
        <v>290</v>
      </c>
      <c r="J38" s="62" t="s">
        <v>176</v>
      </c>
      <c r="K38" s="62" t="s">
        <v>272</v>
      </c>
      <c r="L38" s="62" t="str">
        <f t="shared" si="1"/>
        <v>Inventory Control</v>
      </c>
    </row>
    <row r="39" spans="1:12" ht="18" customHeight="1">
      <c r="A39" s="56" t="s">
        <v>83</v>
      </c>
      <c r="B39" s="57">
        <v>7631101</v>
      </c>
      <c r="C39" s="58" t="s">
        <v>7</v>
      </c>
      <c r="D39" s="59" t="str">
        <f t="shared" si="0"/>
        <v>SGA-7631101</v>
      </c>
      <c r="E39" s="58" t="s">
        <v>84</v>
      </c>
      <c r="F39" s="56" t="s">
        <v>85</v>
      </c>
      <c r="H39" s="67" t="s">
        <v>293</v>
      </c>
      <c r="I39" s="68" t="s">
        <v>294</v>
      </c>
      <c r="J39" s="69" t="s">
        <v>7</v>
      </c>
      <c r="K39" s="69" t="s">
        <v>210</v>
      </c>
      <c r="L39" s="69" t="str">
        <f t="shared" si="1"/>
        <v>SCM - FG WH</v>
      </c>
    </row>
    <row r="40" spans="1:12" ht="18" customHeight="1">
      <c r="A40" s="56" t="s">
        <v>86</v>
      </c>
      <c r="B40" s="57">
        <v>7631102</v>
      </c>
      <c r="C40" s="58" t="s">
        <v>7</v>
      </c>
      <c r="D40" s="59" t="str">
        <f t="shared" si="0"/>
        <v>SGA-7631102</v>
      </c>
      <c r="E40" s="58" t="s">
        <v>87</v>
      </c>
      <c r="F40" s="56" t="s">
        <v>88</v>
      </c>
      <c r="H40" s="18" t="s">
        <v>291</v>
      </c>
      <c r="I40" s="19" t="s">
        <v>292</v>
      </c>
      <c r="J40" s="62" t="s">
        <v>176</v>
      </c>
      <c r="K40" s="62" t="s">
        <v>272</v>
      </c>
      <c r="L40" s="62" t="str">
        <f t="shared" si="1"/>
        <v>WH Dept.- KD &amp; RM</v>
      </c>
    </row>
    <row r="41" spans="1:12" ht="18" customHeight="1">
      <c r="A41" s="56" t="s">
        <v>89</v>
      </c>
      <c r="B41" s="57">
        <v>7641101</v>
      </c>
      <c r="C41" s="58" t="s">
        <v>7</v>
      </c>
      <c r="D41" s="59" t="str">
        <f t="shared" si="0"/>
        <v>SGA-7641101</v>
      </c>
      <c r="E41" s="58" t="s">
        <v>90</v>
      </c>
      <c r="F41" s="56" t="s">
        <v>91</v>
      </c>
      <c r="H41" s="18" t="s">
        <v>295</v>
      </c>
      <c r="I41" s="19" t="s">
        <v>296</v>
      </c>
      <c r="J41" s="62" t="s">
        <v>176</v>
      </c>
      <c r="K41" s="62" t="s">
        <v>272</v>
      </c>
      <c r="L41" s="62" t="str">
        <f t="shared" si="1"/>
        <v>Continuous Improvement</v>
      </c>
    </row>
    <row r="42" spans="1:12" ht="18" customHeight="1">
      <c r="A42" s="56" t="s">
        <v>92</v>
      </c>
      <c r="B42" s="57">
        <v>7641102</v>
      </c>
      <c r="C42" s="58" t="s">
        <v>7</v>
      </c>
      <c r="D42" s="59" t="str">
        <f t="shared" si="0"/>
        <v>SGA-7641102</v>
      </c>
      <c r="E42" s="58" t="s">
        <v>90</v>
      </c>
      <c r="F42" s="56" t="s">
        <v>93</v>
      </c>
      <c r="H42" s="56" t="s">
        <v>324</v>
      </c>
      <c r="I42" s="57" t="s">
        <v>325</v>
      </c>
      <c r="L42" s="56" t="str">
        <f t="shared" si="1"/>
        <v>All</v>
      </c>
    </row>
    <row r="43" spans="1:12" ht="18" customHeight="1">
      <c r="A43" s="56" t="s">
        <v>94</v>
      </c>
      <c r="B43" s="57">
        <v>7641103</v>
      </c>
      <c r="C43" s="58" t="s">
        <v>7</v>
      </c>
      <c r="D43" s="59" t="str">
        <f t="shared" si="0"/>
        <v>SGA-7641103</v>
      </c>
      <c r="E43" s="58" t="s">
        <v>95</v>
      </c>
      <c r="F43" s="56" t="s">
        <v>96</v>
      </c>
    </row>
    <row r="44" spans="1:12" ht="18" customHeight="1">
      <c r="A44" s="56" t="s">
        <v>97</v>
      </c>
      <c r="B44" s="57">
        <v>7641104</v>
      </c>
      <c r="C44" s="58" t="s">
        <v>7</v>
      </c>
      <c r="D44" s="59" t="str">
        <f t="shared" si="0"/>
        <v>SGA-7641104</v>
      </c>
      <c r="E44" s="58" t="s">
        <v>95</v>
      </c>
      <c r="F44" s="56" t="s">
        <v>98</v>
      </c>
    </row>
    <row r="45" spans="1:12" ht="18" customHeight="1">
      <c r="A45" s="56" t="s">
        <v>99</v>
      </c>
      <c r="B45" s="57">
        <v>7651101</v>
      </c>
      <c r="C45" s="58" t="s">
        <v>7</v>
      </c>
      <c r="D45" s="59" t="str">
        <f t="shared" si="0"/>
        <v>SGA-7651101</v>
      </c>
      <c r="E45" s="58" t="s">
        <v>78</v>
      </c>
      <c r="F45" s="56" t="s">
        <v>100</v>
      </c>
    </row>
    <row r="46" spans="1:12" ht="18" customHeight="1">
      <c r="A46" s="56" t="s">
        <v>101</v>
      </c>
      <c r="B46" s="57">
        <v>7651102</v>
      </c>
      <c r="C46" s="58" t="s">
        <v>7</v>
      </c>
      <c r="D46" s="59" t="str">
        <f t="shared" si="0"/>
        <v>SGA-7651102</v>
      </c>
      <c r="E46" s="58" t="s">
        <v>78</v>
      </c>
      <c r="F46" s="56" t="s">
        <v>102</v>
      </c>
    </row>
    <row r="47" spans="1:12" ht="18" customHeight="1">
      <c r="A47" s="56" t="s">
        <v>103</v>
      </c>
      <c r="B47" s="57">
        <v>7651103</v>
      </c>
      <c r="C47" s="58" t="s">
        <v>7</v>
      </c>
      <c r="D47" s="59" t="str">
        <f t="shared" si="0"/>
        <v>SGA-7651103</v>
      </c>
      <c r="E47" s="58" t="s">
        <v>78</v>
      </c>
      <c r="F47" s="56" t="s">
        <v>104</v>
      </c>
    </row>
    <row r="48" spans="1:12" ht="18" customHeight="1">
      <c r="A48" s="56" t="s">
        <v>105</v>
      </c>
      <c r="B48" s="57">
        <v>7661101</v>
      </c>
      <c r="C48" s="58" t="s">
        <v>7</v>
      </c>
      <c r="D48" s="59" t="str">
        <f t="shared" si="0"/>
        <v>SGA-7661101</v>
      </c>
      <c r="E48" s="58" t="s">
        <v>106</v>
      </c>
      <c r="F48" s="56" t="s">
        <v>107</v>
      </c>
    </row>
    <row r="49" spans="1:6" ht="18" customHeight="1">
      <c r="A49" s="56" t="s">
        <v>108</v>
      </c>
      <c r="B49" s="57">
        <v>7671102</v>
      </c>
      <c r="C49" s="58" t="s">
        <v>7</v>
      </c>
      <c r="D49" s="59" t="str">
        <f t="shared" si="0"/>
        <v>SGA-7671102</v>
      </c>
      <c r="E49" s="58" t="s">
        <v>95</v>
      </c>
      <c r="F49" s="56" t="s">
        <v>109</v>
      </c>
    </row>
    <row r="50" spans="1:6" ht="18" customHeight="1">
      <c r="A50" s="56" t="s">
        <v>110</v>
      </c>
      <c r="B50" s="57">
        <v>7671103</v>
      </c>
      <c r="C50" s="58" t="s">
        <v>7</v>
      </c>
      <c r="D50" s="59" t="str">
        <f t="shared" si="0"/>
        <v>SGA-7671103</v>
      </c>
      <c r="E50" s="58" t="s">
        <v>95</v>
      </c>
      <c r="F50" s="56" t="s">
        <v>111</v>
      </c>
    </row>
    <row r="51" spans="1:6" ht="18" customHeight="1">
      <c r="A51" s="56" t="s">
        <v>112</v>
      </c>
      <c r="B51" s="57">
        <v>7681101</v>
      </c>
      <c r="C51" s="58" t="s">
        <v>7</v>
      </c>
      <c r="D51" s="59" t="str">
        <f t="shared" si="0"/>
        <v>SGA-7681101</v>
      </c>
      <c r="E51" s="58" t="s">
        <v>95</v>
      </c>
      <c r="F51" s="56" t="s">
        <v>113</v>
      </c>
    </row>
    <row r="52" spans="1:6" ht="18" customHeight="1">
      <c r="A52" s="56" t="s">
        <v>114</v>
      </c>
      <c r="B52" s="57">
        <v>7691000</v>
      </c>
      <c r="C52" s="58" t="s">
        <v>7</v>
      </c>
      <c r="D52" s="59" t="str">
        <f t="shared" si="0"/>
        <v>SGA-7691000</v>
      </c>
      <c r="E52" s="58" t="s">
        <v>95</v>
      </c>
      <c r="F52" s="56" t="s">
        <v>115</v>
      </c>
    </row>
    <row r="53" spans="1:6" ht="18" customHeight="1">
      <c r="A53" s="56" t="s">
        <v>116</v>
      </c>
      <c r="B53" s="57">
        <v>7711101</v>
      </c>
      <c r="C53" s="58" t="s">
        <v>7</v>
      </c>
      <c r="D53" s="59" t="str">
        <f t="shared" si="0"/>
        <v>SGA-7711101</v>
      </c>
      <c r="E53" s="58" t="s">
        <v>95</v>
      </c>
      <c r="F53" s="56" t="s">
        <v>117</v>
      </c>
    </row>
    <row r="54" spans="1:6" ht="18" customHeight="1">
      <c r="A54" s="56" t="s">
        <v>118</v>
      </c>
      <c r="B54" s="57">
        <v>7711102</v>
      </c>
      <c r="C54" s="58" t="s">
        <v>7</v>
      </c>
      <c r="D54" s="59" t="str">
        <f t="shared" si="0"/>
        <v>SGA-7711102</v>
      </c>
      <c r="E54" s="58" t="s">
        <v>119</v>
      </c>
      <c r="F54" s="56" t="s">
        <v>120</v>
      </c>
    </row>
    <row r="55" spans="1:6" ht="18" customHeight="1">
      <c r="A55" s="56" t="s">
        <v>121</v>
      </c>
      <c r="B55" s="57">
        <v>7711103</v>
      </c>
      <c r="C55" s="58" t="s">
        <v>7</v>
      </c>
      <c r="D55" s="59" t="str">
        <f t="shared" si="0"/>
        <v>SGA-7711103</v>
      </c>
      <c r="E55" s="58" t="s">
        <v>95</v>
      </c>
      <c r="F55" s="56" t="s">
        <v>122</v>
      </c>
    </row>
    <row r="56" spans="1:6" ht="18" customHeight="1">
      <c r="A56" s="56" t="s">
        <v>326</v>
      </c>
      <c r="B56" s="57">
        <v>7721101</v>
      </c>
      <c r="C56" s="58" t="s">
        <v>7</v>
      </c>
      <c r="D56" s="59" t="str">
        <f t="shared" si="0"/>
        <v>SGA-7721101</v>
      </c>
      <c r="E56" s="58" t="s">
        <v>95</v>
      </c>
      <c r="F56" s="56" t="s">
        <v>327</v>
      </c>
    </row>
    <row r="57" spans="1:6" ht="18" customHeight="1">
      <c r="A57" s="56" t="s">
        <v>123</v>
      </c>
      <c r="B57" s="57">
        <v>7729101</v>
      </c>
      <c r="C57" s="58" t="s">
        <v>7</v>
      </c>
      <c r="D57" s="59" t="str">
        <f t="shared" si="0"/>
        <v>SGA-7729101</v>
      </c>
      <c r="E57" s="58" t="s">
        <v>124</v>
      </c>
      <c r="F57" s="56" t="s">
        <v>125</v>
      </c>
    </row>
    <row r="58" spans="1:6" ht="18" customHeight="1">
      <c r="A58" s="56" t="s">
        <v>126</v>
      </c>
      <c r="B58" s="57">
        <v>7729103</v>
      </c>
      <c r="C58" s="58" t="s">
        <v>7</v>
      </c>
      <c r="D58" s="59" t="str">
        <f t="shared" si="0"/>
        <v>SGA-7729103</v>
      </c>
      <c r="E58" s="58" t="s">
        <v>127</v>
      </c>
      <c r="F58" s="56" t="s">
        <v>128</v>
      </c>
    </row>
    <row r="59" spans="1:6" ht="18" customHeight="1">
      <c r="A59" s="56" t="s">
        <v>129</v>
      </c>
      <c r="B59" s="57">
        <v>7729105</v>
      </c>
      <c r="C59" s="58" t="s">
        <v>7</v>
      </c>
      <c r="D59" s="59" t="str">
        <f t="shared" si="0"/>
        <v>SGA-7729105</v>
      </c>
      <c r="E59" s="58" t="s">
        <v>95</v>
      </c>
      <c r="F59" s="56" t="s">
        <v>130</v>
      </c>
    </row>
    <row r="60" spans="1:6" ht="18" customHeight="1">
      <c r="A60" s="56" t="s">
        <v>131</v>
      </c>
      <c r="B60" s="57">
        <v>7781101</v>
      </c>
      <c r="C60" s="58" t="s">
        <v>7</v>
      </c>
      <c r="D60" s="59" t="str">
        <f t="shared" si="0"/>
        <v>SGA-7781101</v>
      </c>
      <c r="E60" s="58" t="s">
        <v>95</v>
      </c>
      <c r="F60" s="56" t="s">
        <v>132</v>
      </c>
    </row>
    <row r="61" spans="1:6" ht="18" customHeight="1">
      <c r="A61" s="56" t="s">
        <v>133</v>
      </c>
      <c r="B61" s="57">
        <v>7781103</v>
      </c>
      <c r="C61" s="58" t="s">
        <v>7</v>
      </c>
      <c r="D61" s="59" t="str">
        <f t="shared" si="0"/>
        <v>SGA-7781103</v>
      </c>
      <c r="E61" s="58" t="s">
        <v>95</v>
      </c>
      <c r="F61" s="56" t="s">
        <v>134</v>
      </c>
    </row>
    <row r="62" spans="1:6" ht="18" customHeight="1">
      <c r="A62" s="56" t="s">
        <v>135</v>
      </c>
      <c r="B62" s="57">
        <v>7781104</v>
      </c>
      <c r="C62" s="58" t="s">
        <v>7</v>
      </c>
      <c r="D62" s="59" t="str">
        <f t="shared" si="0"/>
        <v>SGA-7781104</v>
      </c>
      <c r="E62" s="58" t="s">
        <v>95</v>
      </c>
      <c r="F62" s="56" t="s">
        <v>136</v>
      </c>
    </row>
    <row r="63" spans="1:6" ht="18" customHeight="1">
      <c r="A63" s="56" t="s">
        <v>328</v>
      </c>
      <c r="B63" s="57">
        <v>7781105</v>
      </c>
      <c r="C63" s="58" t="s">
        <v>7</v>
      </c>
      <c r="D63" s="59" t="str">
        <f t="shared" si="0"/>
        <v>SGA-7781105</v>
      </c>
      <c r="E63" s="58" t="s">
        <v>95</v>
      </c>
      <c r="F63" s="56" t="s">
        <v>329</v>
      </c>
    </row>
    <row r="64" spans="1:6" ht="18" customHeight="1">
      <c r="A64" s="56" t="s">
        <v>330</v>
      </c>
      <c r="B64" s="57">
        <v>7781106</v>
      </c>
      <c r="C64" s="58" t="s">
        <v>7</v>
      </c>
      <c r="D64" s="59" t="str">
        <f t="shared" si="0"/>
        <v>SGA-7781106</v>
      </c>
      <c r="E64" s="58" t="s">
        <v>95</v>
      </c>
      <c r="F64" s="56" t="s">
        <v>331</v>
      </c>
    </row>
    <row r="65" spans="1:6" ht="18" customHeight="1">
      <c r="A65" s="56" t="s">
        <v>137</v>
      </c>
      <c r="B65" s="57">
        <v>7781107</v>
      </c>
      <c r="C65" s="58" t="s">
        <v>7</v>
      </c>
      <c r="D65" s="59" t="str">
        <f t="shared" si="0"/>
        <v>SGA-7781107</v>
      </c>
      <c r="E65" s="58" t="s">
        <v>138</v>
      </c>
      <c r="F65" s="56" t="s">
        <v>139</v>
      </c>
    </row>
    <row r="66" spans="1:6" ht="18" customHeight="1">
      <c r="A66" s="56" t="s">
        <v>140</v>
      </c>
      <c r="B66" s="57">
        <v>7781111</v>
      </c>
      <c r="C66" s="58" t="s">
        <v>7</v>
      </c>
      <c r="D66" s="59" t="str">
        <f t="shared" ref="D66:D129" si="2">C66&amp;"-"&amp;B66</f>
        <v>SGA-7781111</v>
      </c>
      <c r="E66" s="58" t="s">
        <v>95</v>
      </c>
      <c r="F66" s="56" t="s">
        <v>141</v>
      </c>
    </row>
    <row r="67" spans="1:6" ht="18" customHeight="1">
      <c r="A67" s="56" t="s">
        <v>142</v>
      </c>
      <c r="B67" s="57">
        <v>7781112</v>
      </c>
      <c r="C67" s="58" t="s">
        <v>7</v>
      </c>
      <c r="D67" s="59" t="str">
        <f t="shared" si="2"/>
        <v>SGA-7781112</v>
      </c>
      <c r="E67" s="58" t="s">
        <v>95</v>
      </c>
      <c r="F67" s="56" t="s">
        <v>143</v>
      </c>
    </row>
    <row r="68" spans="1:6" ht="18" customHeight="1">
      <c r="A68" s="56" t="s">
        <v>144</v>
      </c>
      <c r="B68" s="57">
        <v>7781113</v>
      </c>
      <c r="C68" s="58" t="s">
        <v>7</v>
      </c>
      <c r="D68" s="59" t="str">
        <f t="shared" si="2"/>
        <v>SGA-7781113</v>
      </c>
      <c r="E68" s="58" t="s">
        <v>95</v>
      </c>
      <c r="F68" s="56" t="s">
        <v>145</v>
      </c>
    </row>
    <row r="69" spans="1:6" ht="18" customHeight="1">
      <c r="A69" s="56" t="s">
        <v>146</v>
      </c>
      <c r="B69" s="57">
        <v>7411101</v>
      </c>
      <c r="C69" s="58" t="s">
        <v>7</v>
      </c>
      <c r="D69" s="59" t="str">
        <f t="shared" si="2"/>
        <v>SGA-7411101</v>
      </c>
      <c r="E69" s="58" t="s">
        <v>147</v>
      </c>
      <c r="F69" s="56" t="s">
        <v>148</v>
      </c>
    </row>
    <row r="70" spans="1:6" ht="18" customHeight="1">
      <c r="A70" s="56" t="s">
        <v>149</v>
      </c>
      <c r="B70" s="57">
        <v>7411103</v>
      </c>
      <c r="C70" s="58" t="s">
        <v>7</v>
      </c>
      <c r="D70" s="59" t="str">
        <f t="shared" si="2"/>
        <v>SGA-7411103</v>
      </c>
      <c r="E70" s="58" t="s">
        <v>150</v>
      </c>
      <c r="F70" s="56" t="s">
        <v>151</v>
      </c>
    </row>
    <row r="71" spans="1:6" ht="18" customHeight="1">
      <c r="A71" s="56" t="s">
        <v>152</v>
      </c>
      <c r="B71" s="57">
        <v>7411104</v>
      </c>
      <c r="C71" s="58" t="s">
        <v>7</v>
      </c>
      <c r="D71" s="59" t="str">
        <f t="shared" si="2"/>
        <v>SGA-7411104</v>
      </c>
      <c r="E71" s="58" t="s">
        <v>153</v>
      </c>
      <c r="F71" s="56" t="s">
        <v>154</v>
      </c>
    </row>
    <row r="72" spans="1:6" ht="18" customHeight="1">
      <c r="A72" s="56" t="s">
        <v>155</v>
      </c>
      <c r="B72" s="57">
        <v>7431101</v>
      </c>
      <c r="C72" s="58" t="s">
        <v>7</v>
      </c>
      <c r="D72" s="59" t="str">
        <f t="shared" si="2"/>
        <v>SGA-7431101</v>
      </c>
      <c r="E72" s="58" t="s">
        <v>156</v>
      </c>
      <c r="F72" s="56" t="s">
        <v>157</v>
      </c>
    </row>
    <row r="73" spans="1:6" ht="18" customHeight="1">
      <c r="A73" s="56" t="s">
        <v>158</v>
      </c>
      <c r="B73" s="57">
        <v>7451101</v>
      </c>
      <c r="C73" s="58" t="s">
        <v>7</v>
      </c>
      <c r="D73" s="59" t="str">
        <f t="shared" si="2"/>
        <v>SGA-7451101</v>
      </c>
      <c r="E73" s="58" t="s">
        <v>159</v>
      </c>
      <c r="F73" s="56" t="s">
        <v>160</v>
      </c>
    </row>
    <row r="74" spans="1:6" ht="18" customHeight="1">
      <c r="A74" s="56" t="s">
        <v>161</v>
      </c>
      <c r="B74" s="57">
        <v>7451102</v>
      </c>
      <c r="C74" s="58" t="s">
        <v>7</v>
      </c>
      <c r="D74" s="59" t="str">
        <f t="shared" si="2"/>
        <v>SGA-7451102</v>
      </c>
      <c r="E74" s="58" t="s">
        <v>162</v>
      </c>
      <c r="F74" s="56" t="s">
        <v>163</v>
      </c>
    </row>
    <row r="75" spans="1:6" ht="18" customHeight="1">
      <c r="A75" s="56" t="s">
        <v>164</v>
      </c>
      <c r="B75" s="57">
        <v>7451103</v>
      </c>
      <c r="C75" s="58" t="s">
        <v>7</v>
      </c>
      <c r="D75" s="59" t="str">
        <f t="shared" si="2"/>
        <v>SGA-7451103</v>
      </c>
      <c r="E75" s="58" t="s">
        <v>165</v>
      </c>
      <c r="F75" s="56" t="s">
        <v>166</v>
      </c>
    </row>
    <row r="76" spans="1:6" ht="18" customHeight="1">
      <c r="A76" s="70" t="s">
        <v>167</v>
      </c>
      <c r="B76" s="57">
        <v>7461101</v>
      </c>
      <c r="C76" s="58" t="s">
        <v>7</v>
      </c>
      <c r="D76" s="59" t="str">
        <f t="shared" si="2"/>
        <v>SGA-7461101</v>
      </c>
      <c r="E76" s="58" t="s">
        <v>168</v>
      </c>
      <c r="F76" s="56" t="s">
        <v>169</v>
      </c>
    </row>
    <row r="77" spans="1:6" ht="18" customHeight="1">
      <c r="A77" s="56" t="s">
        <v>170</v>
      </c>
      <c r="B77" s="57">
        <v>7411105</v>
      </c>
      <c r="C77" s="58" t="s">
        <v>7</v>
      </c>
      <c r="D77" s="58" t="str">
        <f t="shared" si="2"/>
        <v>SGA-7411105</v>
      </c>
      <c r="E77" s="71" t="s">
        <v>332</v>
      </c>
    </row>
    <row r="78" spans="1:6" ht="18" customHeight="1">
      <c r="A78" s="56" t="s">
        <v>172</v>
      </c>
      <c r="B78" s="57">
        <v>7471201</v>
      </c>
      <c r="C78" s="58" t="s">
        <v>7</v>
      </c>
      <c r="D78" s="58" t="str">
        <f t="shared" si="2"/>
        <v>SGA-7471201</v>
      </c>
      <c r="E78" s="71" t="s">
        <v>332</v>
      </c>
    </row>
    <row r="79" spans="1:6" ht="18" customHeight="1">
      <c r="A79" s="56" t="s">
        <v>173</v>
      </c>
      <c r="B79" s="57">
        <v>7751101</v>
      </c>
      <c r="C79" s="58" t="s">
        <v>7</v>
      </c>
      <c r="D79" s="58" t="str">
        <f t="shared" si="2"/>
        <v>SGA-7751101</v>
      </c>
    </row>
    <row r="80" spans="1:6" ht="18" customHeight="1">
      <c r="A80" s="56" t="s">
        <v>174</v>
      </c>
      <c r="B80" s="57">
        <v>7751102</v>
      </c>
      <c r="C80" s="58" t="s">
        <v>7</v>
      </c>
      <c r="D80" s="58" t="str">
        <f t="shared" si="2"/>
        <v>SGA-7751102</v>
      </c>
    </row>
    <row r="81" spans="1:6" ht="18" customHeight="1">
      <c r="A81" s="56" t="s">
        <v>175</v>
      </c>
      <c r="B81" s="72">
        <v>7111211</v>
      </c>
      <c r="C81" s="72" t="s">
        <v>176</v>
      </c>
      <c r="D81" s="72" t="str">
        <f t="shared" si="2"/>
        <v>MFG-7111211</v>
      </c>
    </row>
    <row r="82" spans="1:6" ht="18" customHeight="1">
      <c r="A82" s="56" t="s">
        <v>333</v>
      </c>
      <c r="B82" s="72">
        <v>7111212</v>
      </c>
      <c r="C82" s="72" t="s">
        <v>176</v>
      </c>
      <c r="D82" s="72" t="str">
        <f t="shared" si="2"/>
        <v>MFG-7111212</v>
      </c>
    </row>
    <row r="83" spans="1:6" ht="18" customHeight="1">
      <c r="A83" s="56" t="s">
        <v>177</v>
      </c>
      <c r="B83" s="72">
        <v>7111221</v>
      </c>
      <c r="C83" s="72" t="s">
        <v>176</v>
      </c>
      <c r="D83" s="72" t="str">
        <f t="shared" si="2"/>
        <v>MFG-7111221</v>
      </c>
    </row>
    <row r="84" spans="1:6" ht="18" customHeight="1">
      <c r="A84" s="56" t="s">
        <v>178</v>
      </c>
      <c r="B84" s="72">
        <v>7111222</v>
      </c>
      <c r="C84" s="72" t="s">
        <v>176</v>
      </c>
      <c r="D84" s="72" t="str">
        <f t="shared" si="2"/>
        <v>MFG-7111222</v>
      </c>
    </row>
    <row r="85" spans="1:6" ht="18" customHeight="1">
      <c r="A85" s="56" t="s">
        <v>179</v>
      </c>
      <c r="B85" s="72">
        <v>7111223</v>
      </c>
      <c r="C85" s="72" t="s">
        <v>176</v>
      </c>
      <c r="D85" s="72" t="str">
        <f t="shared" si="2"/>
        <v>MFG-7111223</v>
      </c>
    </row>
    <row r="86" spans="1:6" ht="18" customHeight="1">
      <c r="A86" s="56" t="s">
        <v>180</v>
      </c>
      <c r="B86" s="72">
        <v>7111311</v>
      </c>
      <c r="C86" s="72" t="s">
        <v>176</v>
      </c>
      <c r="D86" s="72" t="str">
        <f t="shared" si="2"/>
        <v>MFG-7111311</v>
      </c>
    </row>
    <row r="87" spans="1:6" ht="18" customHeight="1">
      <c r="A87" s="56" t="s">
        <v>334</v>
      </c>
      <c r="B87" s="72">
        <v>7111312</v>
      </c>
      <c r="C87" s="72" t="s">
        <v>176</v>
      </c>
      <c r="D87" s="72" t="str">
        <f t="shared" si="2"/>
        <v>MFG-7111312</v>
      </c>
    </row>
    <row r="88" spans="1:6" ht="18" customHeight="1">
      <c r="A88" s="56" t="s">
        <v>181</v>
      </c>
      <c r="B88" s="72">
        <v>7111321</v>
      </c>
      <c r="C88" s="72" t="s">
        <v>176</v>
      </c>
      <c r="D88" s="72" t="str">
        <f t="shared" si="2"/>
        <v>MFG-7111321</v>
      </c>
    </row>
    <row r="89" spans="1:6" ht="18" customHeight="1">
      <c r="A89" s="56" t="s">
        <v>182</v>
      </c>
      <c r="B89" s="72">
        <v>7111322</v>
      </c>
      <c r="C89" s="72" t="s">
        <v>176</v>
      </c>
      <c r="D89" s="72" t="str">
        <f t="shared" si="2"/>
        <v>MFG-7111322</v>
      </c>
    </row>
    <row r="90" spans="1:6" ht="18" customHeight="1">
      <c r="A90" s="56" t="s">
        <v>183</v>
      </c>
      <c r="B90" s="72">
        <v>7111323</v>
      </c>
      <c r="C90" s="72" t="s">
        <v>176</v>
      </c>
      <c r="D90" s="72" t="str">
        <f t="shared" si="2"/>
        <v>MFG-7111323</v>
      </c>
    </row>
    <row r="91" spans="1:6" ht="18" customHeight="1">
      <c r="A91" s="56" t="s">
        <v>335</v>
      </c>
      <c r="B91" s="72">
        <v>7111411</v>
      </c>
      <c r="C91" s="72" t="s">
        <v>176</v>
      </c>
      <c r="D91" s="72" t="str">
        <f t="shared" si="2"/>
        <v>MFG-7111411</v>
      </c>
    </row>
    <row r="92" spans="1:6" ht="18" customHeight="1">
      <c r="A92" s="56" t="s">
        <v>336</v>
      </c>
      <c r="B92" s="72">
        <v>7151101</v>
      </c>
      <c r="C92" s="72" t="s">
        <v>176</v>
      </c>
      <c r="D92" s="72" t="str">
        <f t="shared" si="2"/>
        <v>MFG-7151101</v>
      </c>
    </row>
    <row r="93" spans="1:6" ht="18" customHeight="1">
      <c r="A93" s="56" t="s">
        <v>337</v>
      </c>
      <c r="B93" s="72">
        <v>7200000</v>
      </c>
      <c r="C93" s="72" t="s">
        <v>176</v>
      </c>
      <c r="D93" s="72" t="str">
        <f t="shared" si="2"/>
        <v>MFG-7200000</v>
      </c>
    </row>
    <row r="94" spans="1:6" ht="18" customHeight="1">
      <c r="A94" s="56" t="s">
        <v>184</v>
      </c>
      <c r="B94" s="72">
        <v>7211101</v>
      </c>
      <c r="C94" s="72" t="s">
        <v>176</v>
      </c>
      <c r="D94" s="72" t="str">
        <f t="shared" si="2"/>
        <v>MFG-7211101</v>
      </c>
    </row>
    <row r="95" spans="1:6" ht="18" customHeight="1">
      <c r="A95" s="56" t="s">
        <v>185</v>
      </c>
      <c r="B95" s="72">
        <v>7211102</v>
      </c>
      <c r="C95" s="72" t="s">
        <v>176</v>
      </c>
      <c r="D95" s="72" t="str">
        <f t="shared" si="2"/>
        <v>MFG-7211102</v>
      </c>
      <c r="E95" s="72">
        <v>901</v>
      </c>
      <c r="F95" s="56" t="s">
        <v>186</v>
      </c>
    </row>
    <row r="96" spans="1:6" ht="18" customHeight="1">
      <c r="A96" s="56" t="s">
        <v>187</v>
      </c>
      <c r="B96" s="72">
        <v>7211103</v>
      </c>
      <c r="C96" s="72" t="s">
        <v>176</v>
      </c>
      <c r="D96" s="72" t="str">
        <f t="shared" si="2"/>
        <v>MFG-7211103</v>
      </c>
      <c r="E96" s="72"/>
    </row>
    <row r="97" spans="1:6" ht="18" customHeight="1">
      <c r="A97" s="56" t="s">
        <v>338</v>
      </c>
      <c r="B97" s="72">
        <v>7211104</v>
      </c>
      <c r="C97" s="72" t="s">
        <v>176</v>
      </c>
      <c r="D97" s="72" t="str">
        <f t="shared" si="2"/>
        <v>MFG-7211104</v>
      </c>
      <c r="E97" s="72">
        <v>302</v>
      </c>
    </row>
    <row r="98" spans="1:6" ht="18" customHeight="1">
      <c r="A98" s="56" t="s">
        <v>188</v>
      </c>
      <c r="B98" s="72">
        <v>7221101</v>
      </c>
      <c r="C98" s="72" t="s">
        <v>176</v>
      </c>
      <c r="D98" s="72" t="str">
        <f t="shared" si="2"/>
        <v>MFG-7221101</v>
      </c>
      <c r="E98" s="72">
        <v>302</v>
      </c>
      <c r="F98" s="56" t="s">
        <v>189</v>
      </c>
    </row>
    <row r="99" spans="1:6" ht="18" customHeight="1">
      <c r="A99" s="56" t="s">
        <v>190</v>
      </c>
      <c r="B99" s="72">
        <v>7221102</v>
      </c>
      <c r="C99" s="72" t="s">
        <v>176</v>
      </c>
      <c r="D99" s="72" t="str">
        <f t="shared" si="2"/>
        <v>MFG-7221102</v>
      </c>
      <c r="E99" s="72">
        <v>301</v>
      </c>
      <c r="F99" s="56" t="s">
        <v>191</v>
      </c>
    </row>
    <row r="100" spans="1:6" ht="18" customHeight="1">
      <c r="A100" s="56" t="s">
        <v>6</v>
      </c>
      <c r="B100" s="72">
        <v>7511101</v>
      </c>
      <c r="C100" s="72" t="s">
        <v>176</v>
      </c>
      <c r="D100" s="72" t="str">
        <f t="shared" si="2"/>
        <v>MFG-7511101</v>
      </c>
      <c r="E100" s="72">
        <v>602</v>
      </c>
      <c r="F100" s="56" t="s">
        <v>6</v>
      </c>
    </row>
    <row r="101" spans="1:6" ht="18" customHeight="1">
      <c r="A101" s="56" t="s">
        <v>9</v>
      </c>
      <c r="B101" s="72">
        <v>7511102</v>
      </c>
      <c r="C101" s="72" t="s">
        <v>176</v>
      </c>
      <c r="D101" s="72" t="str">
        <f t="shared" si="2"/>
        <v>MFG-7511102</v>
      </c>
      <c r="E101" s="72">
        <v>602</v>
      </c>
      <c r="F101" s="56" t="s">
        <v>10</v>
      </c>
    </row>
    <row r="102" spans="1:6" ht="18" customHeight="1">
      <c r="A102" s="56" t="s">
        <v>11</v>
      </c>
      <c r="B102" s="72">
        <v>7511103</v>
      </c>
      <c r="C102" s="72" t="s">
        <v>176</v>
      </c>
      <c r="D102" s="72" t="str">
        <f t="shared" si="2"/>
        <v>MFG-7511103</v>
      </c>
      <c r="E102" s="72">
        <v>601</v>
      </c>
      <c r="F102" s="56" t="s">
        <v>13</v>
      </c>
    </row>
    <row r="103" spans="1:6" ht="18" customHeight="1">
      <c r="A103" s="56" t="s">
        <v>14</v>
      </c>
      <c r="B103" s="72">
        <v>7511111</v>
      </c>
      <c r="C103" s="72" t="s">
        <v>176</v>
      </c>
      <c r="D103" s="72" t="str">
        <f t="shared" si="2"/>
        <v>MFG-7511111</v>
      </c>
      <c r="E103" s="72">
        <v>601</v>
      </c>
      <c r="F103" s="56" t="s">
        <v>15</v>
      </c>
    </row>
    <row r="104" spans="1:6" ht="18" customHeight="1">
      <c r="A104" s="56" t="s">
        <v>16</v>
      </c>
      <c r="B104" s="72">
        <v>7511112</v>
      </c>
      <c r="C104" s="72" t="s">
        <v>176</v>
      </c>
      <c r="D104" s="72" t="str">
        <f t="shared" si="2"/>
        <v>MFG-7511112</v>
      </c>
      <c r="E104" s="72">
        <v>601</v>
      </c>
      <c r="F104" s="56" t="s">
        <v>17</v>
      </c>
    </row>
    <row r="105" spans="1:6" ht="18" customHeight="1">
      <c r="A105" s="56" t="s">
        <v>18</v>
      </c>
      <c r="B105" s="72">
        <v>7511121</v>
      </c>
      <c r="C105" s="72" t="s">
        <v>176</v>
      </c>
      <c r="D105" s="72" t="str">
        <f t="shared" si="2"/>
        <v>MFG-7511121</v>
      </c>
      <c r="E105" s="72">
        <v>601</v>
      </c>
      <c r="F105" s="56" t="s">
        <v>19</v>
      </c>
    </row>
    <row r="106" spans="1:6" ht="18" customHeight="1">
      <c r="A106" s="56" t="s">
        <v>20</v>
      </c>
      <c r="B106" s="72">
        <v>7511122</v>
      </c>
      <c r="C106" s="72" t="s">
        <v>176</v>
      </c>
      <c r="D106" s="72" t="str">
        <f t="shared" si="2"/>
        <v>MFG-7511122</v>
      </c>
      <c r="E106" s="72">
        <v>601</v>
      </c>
      <c r="F106" s="56" t="s">
        <v>21</v>
      </c>
    </row>
    <row r="107" spans="1:6" ht="18" customHeight="1">
      <c r="A107" s="56" t="s">
        <v>22</v>
      </c>
      <c r="B107" s="72">
        <v>7511201</v>
      </c>
      <c r="C107" s="72" t="s">
        <v>176</v>
      </c>
      <c r="D107" s="72" t="str">
        <f t="shared" si="2"/>
        <v>MFG-7511201</v>
      </c>
      <c r="E107" s="72">
        <v>603</v>
      </c>
      <c r="F107" s="56" t="s">
        <v>24</v>
      </c>
    </row>
    <row r="108" spans="1:6" ht="18" customHeight="1">
      <c r="A108" s="56" t="s">
        <v>25</v>
      </c>
      <c r="B108" s="72">
        <v>7512111</v>
      </c>
      <c r="C108" s="72" t="s">
        <v>176</v>
      </c>
      <c r="D108" s="72" t="str">
        <f t="shared" si="2"/>
        <v>MFG-7512111</v>
      </c>
      <c r="E108" s="72">
        <v>604</v>
      </c>
      <c r="F108" s="56" t="s">
        <v>27</v>
      </c>
    </row>
    <row r="109" spans="1:6" ht="18" customHeight="1">
      <c r="A109" s="56" t="s">
        <v>28</v>
      </c>
      <c r="B109" s="72">
        <v>7512112</v>
      </c>
      <c r="C109" s="72" t="s">
        <v>176</v>
      </c>
      <c r="D109" s="72" t="str">
        <f t="shared" si="2"/>
        <v>MFG-7512112</v>
      </c>
      <c r="E109" s="72">
        <v>604</v>
      </c>
      <c r="F109" s="56" t="s">
        <v>29</v>
      </c>
    </row>
    <row r="110" spans="1:6" ht="18" customHeight="1">
      <c r="A110" s="56" t="s">
        <v>30</v>
      </c>
      <c r="B110" s="72">
        <v>7514101</v>
      </c>
      <c r="C110" s="72" t="s">
        <v>176</v>
      </c>
      <c r="D110" s="72" t="str">
        <f t="shared" si="2"/>
        <v>MFG-7514101</v>
      </c>
      <c r="E110" s="72">
        <v>601</v>
      </c>
      <c r="F110" s="56" t="s">
        <v>31</v>
      </c>
    </row>
    <row r="111" spans="1:6" ht="18" customHeight="1">
      <c r="A111" s="56" t="s">
        <v>32</v>
      </c>
      <c r="B111" s="72">
        <v>7514102</v>
      </c>
      <c r="C111" s="72" t="s">
        <v>176</v>
      </c>
      <c r="D111" s="72" t="str">
        <f t="shared" si="2"/>
        <v>MFG-7514102</v>
      </c>
      <c r="E111" s="72">
        <v>601</v>
      </c>
      <c r="F111" s="56" t="s">
        <v>33</v>
      </c>
    </row>
    <row r="112" spans="1:6" ht="18" customHeight="1">
      <c r="A112" s="56" t="s">
        <v>34</v>
      </c>
      <c r="B112" s="72">
        <v>7515401</v>
      </c>
      <c r="C112" s="72" t="s">
        <v>176</v>
      </c>
      <c r="D112" s="72" t="str">
        <f t="shared" si="2"/>
        <v>MFG-7515401</v>
      </c>
      <c r="E112" s="72">
        <v>604</v>
      </c>
      <c r="F112" s="56" t="s">
        <v>35</v>
      </c>
    </row>
    <row r="113" spans="1:6" ht="18" customHeight="1">
      <c r="A113" s="56" t="s">
        <v>36</v>
      </c>
      <c r="B113" s="72">
        <v>7515402</v>
      </c>
      <c r="C113" s="72" t="s">
        <v>176</v>
      </c>
      <c r="D113" s="72" t="str">
        <f t="shared" si="2"/>
        <v>MFG-7515402</v>
      </c>
      <c r="E113" s="72">
        <v>604</v>
      </c>
      <c r="F113" s="56" t="s">
        <v>37</v>
      </c>
    </row>
    <row r="114" spans="1:6" ht="18" customHeight="1">
      <c r="A114" s="56" t="s">
        <v>38</v>
      </c>
      <c r="B114" s="72">
        <v>7515403</v>
      </c>
      <c r="C114" s="72" t="s">
        <v>176</v>
      </c>
      <c r="D114" s="72" t="str">
        <f t="shared" si="2"/>
        <v>MFG-7515403</v>
      </c>
      <c r="E114" s="72">
        <v>604</v>
      </c>
      <c r="F114" s="56" t="s">
        <v>39</v>
      </c>
    </row>
    <row r="115" spans="1:6" ht="18" customHeight="1">
      <c r="A115" s="56" t="s">
        <v>40</v>
      </c>
      <c r="B115" s="72">
        <v>7515404</v>
      </c>
      <c r="C115" s="72" t="s">
        <v>176</v>
      </c>
      <c r="D115" s="72" t="str">
        <f t="shared" si="2"/>
        <v>MFG-7515404</v>
      </c>
      <c r="E115" s="72">
        <v>604</v>
      </c>
      <c r="F115" s="56" t="s">
        <v>41</v>
      </c>
    </row>
    <row r="116" spans="1:6" ht="18" customHeight="1">
      <c r="A116" s="56" t="s">
        <v>42</v>
      </c>
      <c r="B116" s="72">
        <v>7515405</v>
      </c>
      <c r="C116" s="72" t="s">
        <v>176</v>
      </c>
      <c r="D116" s="72" t="str">
        <f t="shared" si="2"/>
        <v>MFG-7515405</v>
      </c>
      <c r="E116" s="72">
        <v>604</v>
      </c>
      <c r="F116" s="56" t="s">
        <v>43</v>
      </c>
    </row>
    <row r="117" spans="1:6" ht="18" customHeight="1">
      <c r="A117" s="56" t="s">
        <v>44</v>
      </c>
      <c r="B117" s="72">
        <v>7515406</v>
      </c>
      <c r="C117" s="72" t="s">
        <v>176</v>
      </c>
      <c r="D117" s="72" t="str">
        <f t="shared" si="2"/>
        <v>MFG-7515406</v>
      </c>
      <c r="E117" s="72">
        <v>604</v>
      </c>
      <c r="F117" s="56" t="s">
        <v>45</v>
      </c>
    </row>
    <row r="118" spans="1:6" ht="18" customHeight="1">
      <c r="A118" s="56" t="s">
        <v>319</v>
      </c>
      <c r="B118" s="72">
        <v>7515407</v>
      </c>
      <c r="C118" s="72" t="s">
        <v>176</v>
      </c>
      <c r="D118" s="72" t="str">
        <f t="shared" si="2"/>
        <v>MFG-7515407</v>
      </c>
      <c r="E118" s="72">
        <v>604</v>
      </c>
    </row>
    <row r="119" spans="1:6" ht="18" customHeight="1">
      <c r="A119" s="56" t="s">
        <v>46</v>
      </c>
      <c r="B119" s="72">
        <v>7515408</v>
      </c>
      <c r="C119" s="72" t="s">
        <v>176</v>
      </c>
      <c r="D119" s="72" t="str">
        <f t="shared" si="2"/>
        <v>MFG-7515408</v>
      </c>
      <c r="E119" s="72">
        <v>604</v>
      </c>
      <c r="F119" s="56" t="s">
        <v>47</v>
      </c>
    </row>
    <row r="120" spans="1:6" ht="18" customHeight="1">
      <c r="A120" s="56" t="s">
        <v>48</v>
      </c>
      <c r="B120" s="72">
        <v>7515409</v>
      </c>
      <c r="C120" s="72" t="s">
        <v>176</v>
      </c>
      <c r="D120" s="72" t="str">
        <f t="shared" si="2"/>
        <v>MFG-7515409</v>
      </c>
      <c r="E120" s="72">
        <v>604</v>
      </c>
      <c r="F120" s="56" t="s">
        <v>49</v>
      </c>
    </row>
    <row r="121" spans="1:6" ht="18" customHeight="1">
      <c r="A121" s="56" t="s">
        <v>50</v>
      </c>
      <c r="B121" s="72">
        <v>7515410</v>
      </c>
      <c r="C121" s="72" t="s">
        <v>176</v>
      </c>
      <c r="D121" s="72" t="str">
        <f t="shared" si="2"/>
        <v>MFG-7515410</v>
      </c>
      <c r="E121" s="72">
        <v>604</v>
      </c>
      <c r="F121" s="56" t="s">
        <v>51</v>
      </c>
    </row>
    <row r="122" spans="1:6" ht="18" customHeight="1">
      <c r="A122" s="56" t="s">
        <v>52</v>
      </c>
      <c r="B122" s="72">
        <v>7515499</v>
      </c>
      <c r="C122" s="72" t="s">
        <v>176</v>
      </c>
      <c r="D122" s="72" t="str">
        <f t="shared" si="2"/>
        <v>MFG-7515499</v>
      </c>
      <c r="E122" s="72">
        <v>604</v>
      </c>
      <c r="F122" s="56" t="s">
        <v>53</v>
      </c>
    </row>
    <row r="123" spans="1:6" ht="18" customHeight="1">
      <c r="A123" s="56" t="s">
        <v>54</v>
      </c>
      <c r="B123" s="72">
        <v>7516102</v>
      </c>
      <c r="C123" s="72" t="s">
        <v>176</v>
      </c>
      <c r="D123" s="72" t="str">
        <f t="shared" si="2"/>
        <v>MFG-7516102</v>
      </c>
      <c r="E123" s="72">
        <v>605</v>
      </c>
      <c r="F123" s="56" t="s">
        <v>56</v>
      </c>
    </row>
    <row r="124" spans="1:6" ht="18" customHeight="1">
      <c r="A124" s="56" t="s">
        <v>57</v>
      </c>
      <c r="B124" s="72">
        <v>7519101</v>
      </c>
      <c r="C124" s="72" t="s">
        <v>176</v>
      </c>
      <c r="D124" s="72" t="str">
        <f t="shared" si="2"/>
        <v>MFG-7519101</v>
      </c>
      <c r="E124" s="72">
        <v>602</v>
      </c>
      <c r="F124" s="56" t="s">
        <v>58</v>
      </c>
    </row>
    <row r="125" spans="1:6" ht="18" customHeight="1">
      <c r="A125" s="56" t="s">
        <v>192</v>
      </c>
      <c r="B125" s="72">
        <v>7521101</v>
      </c>
      <c r="C125" s="72" t="s">
        <v>176</v>
      </c>
      <c r="D125" s="72" t="str">
        <f t="shared" si="2"/>
        <v>MFG-7521101</v>
      </c>
      <c r="E125" s="72">
        <v>601</v>
      </c>
      <c r="F125" s="56" t="s">
        <v>60</v>
      </c>
    </row>
    <row r="126" spans="1:6" ht="18" customHeight="1">
      <c r="A126" s="56" t="s">
        <v>61</v>
      </c>
      <c r="B126" s="72">
        <v>7521102</v>
      </c>
      <c r="C126" s="72" t="s">
        <v>176</v>
      </c>
      <c r="D126" s="72" t="str">
        <f t="shared" si="2"/>
        <v>MFG-7521102</v>
      </c>
      <c r="E126" s="72">
        <v>603</v>
      </c>
      <c r="F126" s="56" t="s">
        <v>62</v>
      </c>
    </row>
    <row r="127" spans="1:6" ht="18" customHeight="1">
      <c r="A127" s="56" t="s">
        <v>63</v>
      </c>
      <c r="B127" s="72">
        <v>7571101</v>
      </c>
      <c r="C127" s="72" t="s">
        <v>176</v>
      </c>
      <c r="D127" s="72" t="str">
        <f t="shared" si="2"/>
        <v>MFG-7571101</v>
      </c>
      <c r="E127" s="72">
        <v>606</v>
      </c>
      <c r="F127" s="56" t="s">
        <v>65</v>
      </c>
    </row>
    <row r="128" spans="1:6" ht="18" customHeight="1">
      <c r="A128" s="56" t="s">
        <v>66</v>
      </c>
      <c r="B128" s="72">
        <v>7611100</v>
      </c>
      <c r="C128" s="72" t="s">
        <v>176</v>
      </c>
      <c r="D128" s="72" t="str">
        <f t="shared" si="2"/>
        <v>MFG-7611100</v>
      </c>
      <c r="E128" s="72">
        <v>701</v>
      </c>
      <c r="F128" s="56" t="s">
        <v>68</v>
      </c>
    </row>
    <row r="129" spans="1:6" ht="18" customHeight="1">
      <c r="A129" s="56" t="s">
        <v>69</v>
      </c>
      <c r="B129" s="72">
        <v>7611300</v>
      </c>
      <c r="C129" s="72" t="s">
        <v>176</v>
      </c>
      <c r="D129" s="72" t="str">
        <f t="shared" si="2"/>
        <v>MFG-7611300</v>
      </c>
      <c r="E129" s="72">
        <v>701</v>
      </c>
      <c r="F129" s="56" t="s">
        <v>70</v>
      </c>
    </row>
    <row r="130" spans="1:6" ht="18" customHeight="1">
      <c r="A130" s="56" t="s">
        <v>320</v>
      </c>
      <c r="B130" s="72">
        <v>7611400</v>
      </c>
      <c r="C130" s="72" t="s">
        <v>176</v>
      </c>
      <c r="D130" s="72" t="str">
        <f t="shared" ref="D130:D172" si="3">C130&amp;"-"&amp;B130</f>
        <v>MFG-7611400</v>
      </c>
      <c r="E130" s="72">
        <v>701</v>
      </c>
      <c r="F130" s="56" t="s">
        <v>321</v>
      </c>
    </row>
    <row r="131" spans="1:6" ht="18" customHeight="1">
      <c r="A131" s="56" t="s">
        <v>71</v>
      </c>
      <c r="B131" s="72">
        <v>7611500</v>
      </c>
      <c r="C131" s="72" t="s">
        <v>176</v>
      </c>
      <c r="D131" s="72" t="str">
        <f t="shared" si="3"/>
        <v>MFG-7611500</v>
      </c>
      <c r="E131" s="72">
        <v>701</v>
      </c>
      <c r="F131" s="56" t="s">
        <v>72</v>
      </c>
    </row>
    <row r="132" spans="1:6" ht="18" customHeight="1">
      <c r="A132" s="56" t="s">
        <v>73</v>
      </c>
      <c r="B132" s="72">
        <v>7611600</v>
      </c>
      <c r="C132" s="72" t="s">
        <v>176</v>
      </c>
      <c r="D132" s="72" t="str">
        <f t="shared" si="3"/>
        <v>MFG-7611600</v>
      </c>
      <c r="E132" s="72">
        <v>701</v>
      </c>
      <c r="F132" s="56" t="s">
        <v>74</v>
      </c>
    </row>
    <row r="133" spans="1:6" ht="18" customHeight="1">
      <c r="A133" s="56" t="s">
        <v>75</v>
      </c>
      <c r="B133" s="72">
        <v>7611700</v>
      </c>
      <c r="C133" s="72" t="s">
        <v>176</v>
      </c>
      <c r="D133" s="72" t="str">
        <f t="shared" si="3"/>
        <v>MFG-7611700</v>
      </c>
      <c r="E133" s="72">
        <v>701</v>
      </c>
      <c r="F133" s="56" t="s">
        <v>76</v>
      </c>
    </row>
    <row r="134" spans="1:6" ht="18" customHeight="1">
      <c r="A134" s="56" t="s">
        <v>322</v>
      </c>
      <c r="B134" s="72">
        <v>7611800</v>
      </c>
      <c r="C134" s="72" t="s">
        <v>176</v>
      </c>
      <c r="D134" s="72" t="str">
        <f t="shared" si="3"/>
        <v>MFG-7611800</v>
      </c>
      <c r="E134" s="72">
        <v>701</v>
      </c>
      <c r="F134" s="56" t="s">
        <v>323</v>
      </c>
    </row>
    <row r="135" spans="1:6" ht="18" customHeight="1">
      <c r="A135" s="56" t="s">
        <v>77</v>
      </c>
      <c r="B135" s="72">
        <v>7621101</v>
      </c>
      <c r="C135" s="72" t="s">
        <v>176</v>
      </c>
      <c r="D135" s="72" t="str">
        <f t="shared" si="3"/>
        <v>MFG-7621101</v>
      </c>
      <c r="E135" s="72">
        <v>903</v>
      </c>
      <c r="F135" s="56" t="s">
        <v>79</v>
      </c>
    </row>
    <row r="136" spans="1:6" ht="18" customHeight="1">
      <c r="A136" s="70" t="s">
        <v>80</v>
      </c>
      <c r="B136" s="73">
        <v>7621199</v>
      </c>
      <c r="C136" s="72" t="s">
        <v>176</v>
      </c>
      <c r="D136" s="72" t="str">
        <f t="shared" si="3"/>
        <v>MFG-7621199</v>
      </c>
      <c r="E136" s="72">
        <v>801</v>
      </c>
      <c r="F136" s="56" t="s">
        <v>82</v>
      </c>
    </row>
    <row r="137" spans="1:6" ht="18" customHeight="1">
      <c r="A137" s="56" t="s">
        <v>83</v>
      </c>
      <c r="B137" s="72">
        <v>7631101</v>
      </c>
      <c r="C137" s="72" t="s">
        <v>176</v>
      </c>
      <c r="D137" s="72" t="str">
        <f t="shared" si="3"/>
        <v>MFG-7631101</v>
      </c>
      <c r="E137" s="72">
        <v>501</v>
      </c>
      <c r="F137" s="56" t="s">
        <v>85</v>
      </c>
    </row>
    <row r="138" spans="1:6" ht="18" customHeight="1">
      <c r="A138" s="56" t="s">
        <v>86</v>
      </c>
      <c r="B138" s="72">
        <v>7631102</v>
      </c>
      <c r="C138" s="72" t="s">
        <v>176</v>
      </c>
      <c r="D138" s="72" t="str">
        <f t="shared" si="3"/>
        <v>MFG-7631102</v>
      </c>
      <c r="E138" s="72">
        <v>502</v>
      </c>
      <c r="F138" s="56" t="s">
        <v>88</v>
      </c>
    </row>
    <row r="139" spans="1:6" ht="18" customHeight="1">
      <c r="A139" s="56" t="s">
        <v>89</v>
      </c>
      <c r="B139" s="72">
        <v>7641101</v>
      </c>
      <c r="C139" s="72" t="s">
        <v>176</v>
      </c>
      <c r="D139" s="72" t="str">
        <f t="shared" si="3"/>
        <v>MFG-7641101</v>
      </c>
      <c r="E139" s="72">
        <v>401</v>
      </c>
      <c r="F139" s="56" t="s">
        <v>91</v>
      </c>
    </row>
    <row r="140" spans="1:6" ht="18" customHeight="1">
      <c r="A140" s="56" t="s">
        <v>92</v>
      </c>
      <c r="B140" s="72">
        <v>7641102</v>
      </c>
      <c r="C140" s="72" t="s">
        <v>176</v>
      </c>
      <c r="D140" s="72" t="str">
        <f t="shared" si="3"/>
        <v>MFG-7641102</v>
      </c>
      <c r="E140" s="72">
        <v>401</v>
      </c>
      <c r="F140" s="56" t="s">
        <v>93</v>
      </c>
    </row>
    <row r="141" spans="1:6" ht="18" customHeight="1">
      <c r="A141" s="56" t="s">
        <v>94</v>
      </c>
      <c r="B141" s="72">
        <v>7641103</v>
      </c>
      <c r="C141" s="72" t="s">
        <v>176</v>
      </c>
      <c r="D141" s="72" t="str">
        <f t="shared" si="3"/>
        <v>MFG-7641103</v>
      </c>
      <c r="E141" s="72">
        <v>902</v>
      </c>
      <c r="F141" s="56" t="s">
        <v>96</v>
      </c>
    </row>
    <row r="142" spans="1:6" ht="18" customHeight="1">
      <c r="A142" s="56" t="s">
        <v>97</v>
      </c>
      <c r="B142" s="72">
        <v>7641104</v>
      </c>
      <c r="C142" s="72" t="s">
        <v>176</v>
      </c>
      <c r="D142" s="72" t="str">
        <f t="shared" si="3"/>
        <v>MFG-7641104</v>
      </c>
      <c r="E142" s="72">
        <v>999</v>
      </c>
      <c r="F142" s="56" t="s">
        <v>98</v>
      </c>
    </row>
    <row r="143" spans="1:6" ht="18" customHeight="1">
      <c r="A143" s="56" t="s">
        <v>99</v>
      </c>
      <c r="B143" s="72">
        <v>7651101</v>
      </c>
      <c r="C143" s="72" t="s">
        <v>176</v>
      </c>
      <c r="D143" s="72" t="str">
        <f t="shared" si="3"/>
        <v>MFG-7651101</v>
      </c>
      <c r="E143" s="72">
        <v>903</v>
      </c>
      <c r="F143" s="56" t="s">
        <v>100</v>
      </c>
    </row>
    <row r="144" spans="1:6" ht="18" customHeight="1">
      <c r="A144" s="56" t="s">
        <v>101</v>
      </c>
      <c r="B144" s="72">
        <v>7651102</v>
      </c>
      <c r="C144" s="72" t="s">
        <v>176</v>
      </c>
      <c r="D144" s="72" t="str">
        <f t="shared" si="3"/>
        <v>MFG-7651102</v>
      </c>
      <c r="E144" s="72">
        <v>903</v>
      </c>
      <c r="F144" s="56" t="s">
        <v>102</v>
      </c>
    </row>
    <row r="145" spans="1:6" ht="18" customHeight="1">
      <c r="A145" s="56" t="s">
        <v>103</v>
      </c>
      <c r="B145" s="72">
        <v>7651103</v>
      </c>
      <c r="C145" s="72" t="s">
        <v>176</v>
      </c>
      <c r="D145" s="72" t="str">
        <f t="shared" si="3"/>
        <v>MFG-7651103</v>
      </c>
      <c r="E145" s="72">
        <v>903</v>
      </c>
      <c r="F145" s="56" t="s">
        <v>104</v>
      </c>
    </row>
    <row r="146" spans="1:6" ht="18" customHeight="1">
      <c r="A146" s="56" t="s">
        <v>105</v>
      </c>
      <c r="B146" s="72">
        <v>7661101</v>
      </c>
      <c r="C146" s="72" t="s">
        <v>176</v>
      </c>
      <c r="D146" s="72" t="str">
        <f t="shared" si="3"/>
        <v>MFG-7661101</v>
      </c>
      <c r="E146" s="72">
        <v>999</v>
      </c>
      <c r="F146" s="56" t="s">
        <v>107</v>
      </c>
    </row>
    <row r="147" spans="1:6" ht="18" customHeight="1">
      <c r="A147" s="56" t="s">
        <v>108</v>
      </c>
      <c r="B147" s="72">
        <v>7671102</v>
      </c>
      <c r="C147" s="72" t="s">
        <v>176</v>
      </c>
      <c r="D147" s="72" t="str">
        <f t="shared" si="3"/>
        <v>MFG-7671102</v>
      </c>
      <c r="E147" s="72">
        <v>999</v>
      </c>
      <c r="F147" s="56" t="s">
        <v>109</v>
      </c>
    </row>
    <row r="148" spans="1:6" ht="18" customHeight="1">
      <c r="A148" s="56" t="s">
        <v>110</v>
      </c>
      <c r="B148" s="72">
        <v>7671103</v>
      </c>
      <c r="C148" s="72" t="s">
        <v>176</v>
      </c>
      <c r="D148" s="72" t="str">
        <f t="shared" si="3"/>
        <v>MFG-7671103</v>
      </c>
      <c r="E148" s="72">
        <v>999</v>
      </c>
      <c r="F148" s="56" t="s">
        <v>111</v>
      </c>
    </row>
    <row r="149" spans="1:6" ht="18" customHeight="1">
      <c r="A149" s="56" t="s">
        <v>112</v>
      </c>
      <c r="B149" s="72">
        <v>7681101</v>
      </c>
      <c r="C149" s="72" t="s">
        <v>176</v>
      </c>
      <c r="D149" s="72" t="str">
        <f t="shared" si="3"/>
        <v>MFG-7681101</v>
      </c>
      <c r="E149" s="72">
        <v>999</v>
      </c>
      <c r="F149" s="56" t="s">
        <v>113</v>
      </c>
    </row>
    <row r="150" spans="1:6" ht="18" customHeight="1">
      <c r="A150" s="56" t="s">
        <v>114</v>
      </c>
      <c r="B150" s="72">
        <v>7691000</v>
      </c>
      <c r="C150" s="72" t="s">
        <v>176</v>
      </c>
      <c r="D150" s="72" t="str">
        <f t="shared" si="3"/>
        <v>MFG-7691000</v>
      </c>
      <c r="E150" s="72">
        <v>999</v>
      </c>
      <c r="F150" s="56" t="s">
        <v>115</v>
      </c>
    </row>
    <row r="151" spans="1:6" ht="18" customHeight="1">
      <c r="A151" s="56" t="s">
        <v>116</v>
      </c>
      <c r="B151" s="72">
        <v>7711101</v>
      </c>
      <c r="C151" s="72" t="s">
        <v>176</v>
      </c>
      <c r="D151" s="72" t="str">
        <f t="shared" si="3"/>
        <v>MFG-7711101</v>
      </c>
      <c r="E151" s="72">
        <v>999</v>
      </c>
      <c r="F151" s="56" t="s">
        <v>117</v>
      </c>
    </row>
    <row r="152" spans="1:6" ht="18" customHeight="1">
      <c r="A152" s="56" t="s">
        <v>118</v>
      </c>
      <c r="B152" s="72">
        <v>7711102</v>
      </c>
      <c r="C152" s="72" t="s">
        <v>176</v>
      </c>
      <c r="D152" s="72" t="str">
        <f t="shared" si="3"/>
        <v>MFG-7711102</v>
      </c>
      <c r="E152" s="72">
        <v>904</v>
      </c>
      <c r="F152" s="56" t="s">
        <v>120</v>
      </c>
    </row>
    <row r="153" spans="1:6" ht="18" customHeight="1">
      <c r="A153" s="56" t="s">
        <v>121</v>
      </c>
      <c r="B153" s="72">
        <v>7711103</v>
      </c>
      <c r="C153" s="72" t="s">
        <v>176</v>
      </c>
      <c r="D153" s="72" t="str">
        <f t="shared" si="3"/>
        <v>MFG-7711103</v>
      </c>
      <c r="E153" s="72">
        <v>999</v>
      </c>
      <c r="F153" s="56" t="s">
        <v>122</v>
      </c>
    </row>
    <row r="154" spans="1:6" ht="18" customHeight="1">
      <c r="A154" s="56" t="s">
        <v>326</v>
      </c>
      <c r="B154" s="72">
        <v>7721101</v>
      </c>
      <c r="C154" s="72" t="s">
        <v>176</v>
      </c>
      <c r="D154" s="72" t="str">
        <f t="shared" si="3"/>
        <v>MFG-7721101</v>
      </c>
      <c r="E154" s="72">
        <v>999</v>
      </c>
      <c r="F154" s="56" t="s">
        <v>327</v>
      </c>
    </row>
    <row r="155" spans="1:6" ht="18" customHeight="1">
      <c r="A155" s="56" t="s">
        <v>123</v>
      </c>
      <c r="B155" s="72">
        <v>7729101</v>
      </c>
      <c r="C155" s="72" t="s">
        <v>176</v>
      </c>
      <c r="D155" s="72" t="str">
        <f t="shared" si="3"/>
        <v>MFG-7729101</v>
      </c>
      <c r="E155" s="72">
        <v>905</v>
      </c>
      <c r="F155" s="56" t="s">
        <v>125</v>
      </c>
    </row>
    <row r="156" spans="1:6" ht="18" customHeight="1">
      <c r="A156" s="56" t="s">
        <v>126</v>
      </c>
      <c r="B156" s="72">
        <v>7729103</v>
      </c>
      <c r="C156" s="72" t="s">
        <v>176</v>
      </c>
      <c r="D156" s="72" t="str">
        <f t="shared" si="3"/>
        <v>MFG-7729103</v>
      </c>
      <c r="E156" s="72">
        <v>907</v>
      </c>
      <c r="F156" s="56" t="s">
        <v>128</v>
      </c>
    </row>
    <row r="157" spans="1:6" ht="18" customHeight="1">
      <c r="A157" s="56" t="s">
        <v>129</v>
      </c>
      <c r="B157" s="72">
        <v>7729105</v>
      </c>
      <c r="C157" s="72" t="s">
        <v>176</v>
      </c>
      <c r="D157" s="72" t="str">
        <f t="shared" si="3"/>
        <v>MFG-7729105</v>
      </c>
      <c r="E157" s="72">
        <v>999</v>
      </c>
      <c r="F157" s="56" t="s">
        <v>130</v>
      </c>
    </row>
    <row r="158" spans="1:6" ht="18" customHeight="1">
      <c r="A158" s="56" t="s">
        <v>131</v>
      </c>
      <c r="B158" s="72">
        <v>7781101</v>
      </c>
      <c r="C158" s="72" t="s">
        <v>176</v>
      </c>
      <c r="D158" s="72" t="str">
        <f t="shared" si="3"/>
        <v>MFG-7781101</v>
      </c>
      <c r="E158" s="72">
        <v>999</v>
      </c>
      <c r="F158" s="56" t="s">
        <v>132</v>
      </c>
    </row>
    <row r="159" spans="1:6" ht="18" customHeight="1">
      <c r="A159" s="56" t="s">
        <v>133</v>
      </c>
      <c r="B159" s="72">
        <v>7781103</v>
      </c>
      <c r="C159" s="72" t="s">
        <v>176</v>
      </c>
      <c r="D159" s="72" t="str">
        <f t="shared" si="3"/>
        <v>MFG-7781103</v>
      </c>
      <c r="E159" s="72">
        <v>999</v>
      </c>
      <c r="F159" s="56" t="s">
        <v>134</v>
      </c>
    </row>
    <row r="160" spans="1:6" ht="18" customHeight="1">
      <c r="A160" s="56" t="s">
        <v>135</v>
      </c>
      <c r="B160" s="72">
        <v>7781104</v>
      </c>
      <c r="C160" s="72" t="s">
        <v>176</v>
      </c>
      <c r="D160" s="72" t="str">
        <f t="shared" si="3"/>
        <v>MFG-7781104</v>
      </c>
      <c r="E160" s="72">
        <v>999</v>
      </c>
      <c r="F160" s="56" t="s">
        <v>136</v>
      </c>
    </row>
    <row r="161" spans="1:6" ht="18" customHeight="1">
      <c r="A161" s="56" t="s">
        <v>328</v>
      </c>
      <c r="B161" s="72">
        <v>7781105</v>
      </c>
      <c r="C161" s="72" t="s">
        <v>176</v>
      </c>
      <c r="D161" s="72" t="str">
        <f t="shared" si="3"/>
        <v>MFG-7781105</v>
      </c>
      <c r="E161" s="72">
        <v>999</v>
      </c>
      <c r="F161" s="56" t="s">
        <v>329</v>
      </c>
    </row>
    <row r="162" spans="1:6" ht="18" customHeight="1">
      <c r="A162" s="56" t="s">
        <v>330</v>
      </c>
      <c r="B162" s="72">
        <v>7781106</v>
      </c>
      <c r="C162" s="72" t="s">
        <v>176</v>
      </c>
      <c r="D162" s="72" t="str">
        <f t="shared" si="3"/>
        <v>MFG-7781106</v>
      </c>
      <c r="E162" s="72">
        <v>999</v>
      </c>
      <c r="F162" s="56" t="s">
        <v>331</v>
      </c>
    </row>
    <row r="163" spans="1:6" ht="18" customHeight="1">
      <c r="A163" s="56" t="s">
        <v>137</v>
      </c>
      <c r="B163" s="72">
        <v>7781107</v>
      </c>
      <c r="C163" s="72" t="s">
        <v>176</v>
      </c>
      <c r="D163" s="72" t="str">
        <f t="shared" si="3"/>
        <v>MFG-7781107</v>
      </c>
      <c r="E163" s="72">
        <v>906</v>
      </c>
      <c r="F163" s="56" t="s">
        <v>139</v>
      </c>
    </row>
    <row r="164" spans="1:6" ht="18" customHeight="1">
      <c r="A164" s="56" t="s">
        <v>140</v>
      </c>
      <c r="B164" s="72">
        <v>7781111</v>
      </c>
      <c r="C164" s="72" t="s">
        <v>176</v>
      </c>
      <c r="D164" s="72" t="str">
        <f t="shared" si="3"/>
        <v>MFG-7781111</v>
      </c>
      <c r="E164" s="72">
        <v>999</v>
      </c>
      <c r="F164" s="56" t="s">
        <v>141</v>
      </c>
    </row>
    <row r="165" spans="1:6" ht="18" customHeight="1">
      <c r="A165" s="56" t="s">
        <v>142</v>
      </c>
      <c r="B165" s="72">
        <v>7781112</v>
      </c>
      <c r="C165" s="72" t="s">
        <v>176</v>
      </c>
      <c r="D165" s="72" t="str">
        <f t="shared" si="3"/>
        <v>MFG-7781112</v>
      </c>
      <c r="E165" s="72">
        <v>999</v>
      </c>
      <c r="F165" s="56" t="s">
        <v>143</v>
      </c>
    </row>
    <row r="166" spans="1:6" ht="18" customHeight="1">
      <c r="A166" s="56" t="s">
        <v>144</v>
      </c>
      <c r="B166" s="72">
        <v>7781113</v>
      </c>
      <c r="C166" s="72" t="s">
        <v>176</v>
      </c>
      <c r="D166" s="72" t="str">
        <f t="shared" si="3"/>
        <v>MFG-7781113</v>
      </c>
      <c r="E166" s="72">
        <v>999</v>
      </c>
      <c r="F166" s="56" t="s">
        <v>145</v>
      </c>
    </row>
    <row r="167" spans="1:6" ht="18" customHeight="1">
      <c r="A167" s="56" t="s">
        <v>193</v>
      </c>
      <c r="B167" s="57">
        <v>8291101</v>
      </c>
      <c r="C167" s="58" t="s">
        <v>194</v>
      </c>
      <c r="D167" s="58" t="str">
        <f t="shared" si="3"/>
        <v>OTH-8291101</v>
      </c>
    </row>
    <row r="168" spans="1:6" ht="18" customHeight="1">
      <c r="A168" s="56" t="s">
        <v>195</v>
      </c>
      <c r="B168" s="57">
        <v>8291102</v>
      </c>
      <c r="C168" s="58" t="s">
        <v>194</v>
      </c>
      <c r="D168" s="58" t="str">
        <f t="shared" si="3"/>
        <v>OTH-8291102</v>
      </c>
    </row>
    <row r="169" spans="1:6" ht="18" customHeight="1">
      <c r="A169" s="56" t="s">
        <v>196</v>
      </c>
      <c r="B169" s="57">
        <v>8291201</v>
      </c>
      <c r="C169" s="58" t="s">
        <v>194</v>
      </c>
      <c r="D169" s="58" t="str">
        <f t="shared" si="3"/>
        <v>OTH-8291201</v>
      </c>
    </row>
    <row r="170" spans="1:6" ht="18" customHeight="1">
      <c r="A170" s="56" t="s">
        <v>197</v>
      </c>
      <c r="B170" s="57">
        <v>8291202</v>
      </c>
      <c r="C170" s="58" t="s">
        <v>194</v>
      </c>
      <c r="D170" s="58" t="str">
        <f t="shared" si="3"/>
        <v>OTH-8291202</v>
      </c>
    </row>
    <row r="171" spans="1:6" ht="18" customHeight="1">
      <c r="A171" s="56" t="s">
        <v>198</v>
      </c>
      <c r="B171" s="57">
        <v>8291203</v>
      </c>
      <c r="C171" s="58" t="s">
        <v>194</v>
      </c>
      <c r="D171" s="58" t="str">
        <f t="shared" si="3"/>
        <v>OTH-8291203</v>
      </c>
    </row>
    <row r="172" spans="1:6" ht="18" customHeight="1">
      <c r="A172" s="56" t="s">
        <v>199</v>
      </c>
      <c r="B172" s="57">
        <v>8191101</v>
      </c>
      <c r="C172" s="58" t="s">
        <v>194</v>
      </c>
      <c r="D172" s="58" t="str">
        <f t="shared" si="3"/>
        <v>OTH-8191101</v>
      </c>
    </row>
    <row r="173" spans="1:6" ht="18" customHeight="1">
      <c r="E173" s="74"/>
    </row>
  </sheetData>
  <phoneticPr fontId="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6C78-A7C3-4058-9DEC-53815F5CD0C1}">
  <sheetPr>
    <pageSetUpPr fitToPage="1"/>
  </sheetPr>
  <dimension ref="A1:F155"/>
  <sheetViews>
    <sheetView zoomScale="80" zoomScaleNormal="80" workbookViewId="0">
      <pane xSplit="1" ySplit="1" topLeftCell="B2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8.85546875" defaultRowHeight="18" customHeight="1"/>
  <cols>
    <col min="1" max="1" width="44.42578125" style="4" bestFit="1" customWidth="1"/>
    <col min="2" max="2" width="8.42578125" style="5" customWidth="1"/>
    <col min="3" max="3" width="8.5703125" style="6" customWidth="1"/>
    <col min="4" max="4" width="12.140625" style="6" bestFit="1" customWidth="1"/>
    <col min="5" max="5" width="10.5703125" style="6" customWidth="1"/>
    <col min="6" max="6" width="163.42578125" style="4" bestFit="1" customWidth="1"/>
    <col min="7" max="16384" width="8.85546875" style="4"/>
  </cols>
  <sheetData>
    <row r="1" spans="1:6" s="3" customFormat="1" ht="6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8" customHeight="1">
      <c r="A2" s="4" t="s">
        <v>6</v>
      </c>
      <c r="B2" s="5">
        <v>7511101</v>
      </c>
      <c r="C2" s="6" t="s">
        <v>7</v>
      </c>
      <c r="D2" s="7" t="str">
        <f t="shared" ref="D2:D65" si="0">C2&amp;"-"&amp;B2</f>
        <v>SGA-7511101</v>
      </c>
      <c r="E2" s="6" t="s">
        <v>8</v>
      </c>
      <c r="F2" s="4" t="s">
        <v>6</v>
      </c>
    </row>
    <row r="3" spans="1:6" ht="18" customHeight="1">
      <c r="A3" s="4" t="s">
        <v>9</v>
      </c>
      <c r="B3" s="5">
        <v>7511102</v>
      </c>
      <c r="C3" s="6" t="s">
        <v>7</v>
      </c>
      <c r="D3" s="7" t="str">
        <f t="shared" si="0"/>
        <v>SGA-7511102</v>
      </c>
      <c r="E3" s="6" t="s">
        <v>8</v>
      </c>
      <c r="F3" s="4" t="s">
        <v>10</v>
      </c>
    </row>
    <row r="4" spans="1:6" ht="18" customHeight="1">
      <c r="A4" s="4" t="s">
        <v>11</v>
      </c>
      <c r="B4" s="5">
        <v>7511103</v>
      </c>
      <c r="C4" s="6" t="s">
        <v>7</v>
      </c>
      <c r="D4" s="7" t="str">
        <f t="shared" si="0"/>
        <v>SGA-7511103</v>
      </c>
      <c r="E4" s="6" t="s">
        <v>12</v>
      </c>
      <c r="F4" s="4" t="s">
        <v>13</v>
      </c>
    </row>
    <row r="5" spans="1:6" ht="18" customHeight="1">
      <c r="A5" s="4" t="s">
        <v>14</v>
      </c>
      <c r="B5" s="5">
        <v>7511111</v>
      </c>
      <c r="C5" s="6" t="s">
        <v>7</v>
      </c>
      <c r="D5" s="7" t="str">
        <f t="shared" si="0"/>
        <v>SGA-7511111</v>
      </c>
      <c r="E5" s="6" t="s">
        <v>12</v>
      </c>
      <c r="F5" s="4" t="s">
        <v>15</v>
      </c>
    </row>
    <row r="6" spans="1:6" ht="18" customHeight="1">
      <c r="A6" s="4" t="s">
        <v>16</v>
      </c>
      <c r="B6" s="5">
        <v>7511112</v>
      </c>
      <c r="C6" s="6" t="s">
        <v>7</v>
      </c>
      <c r="D6" s="7" t="str">
        <f t="shared" si="0"/>
        <v>SGA-7511112</v>
      </c>
      <c r="E6" s="6" t="s">
        <v>12</v>
      </c>
      <c r="F6" s="4" t="s">
        <v>17</v>
      </c>
    </row>
    <row r="7" spans="1:6" ht="18" customHeight="1">
      <c r="A7" s="4" t="s">
        <v>18</v>
      </c>
      <c r="B7" s="5">
        <v>7511121</v>
      </c>
      <c r="C7" s="6" t="s">
        <v>7</v>
      </c>
      <c r="D7" s="7" t="str">
        <f t="shared" si="0"/>
        <v>SGA-7511121</v>
      </c>
      <c r="E7" s="6" t="s">
        <v>12</v>
      </c>
      <c r="F7" s="4" t="s">
        <v>19</v>
      </c>
    </row>
    <row r="8" spans="1:6" ht="18" customHeight="1">
      <c r="A8" s="4" t="s">
        <v>20</v>
      </c>
      <c r="B8" s="5">
        <v>7511122</v>
      </c>
      <c r="C8" s="6" t="s">
        <v>7</v>
      </c>
      <c r="D8" s="7" t="str">
        <f t="shared" si="0"/>
        <v>SGA-7511122</v>
      </c>
      <c r="E8" s="6" t="s">
        <v>12</v>
      </c>
      <c r="F8" s="4" t="s">
        <v>21</v>
      </c>
    </row>
    <row r="9" spans="1:6" ht="18" customHeight="1">
      <c r="A9" s="4" t="s">
        <v>22</v>
      </c>
      <c r="B9" s="5">
        <v>7511201</v>
      </c>
      <c r="C9" s="6" t="s">
        <v>7</v>
      </c>
      <c r="D9" s="7" t="str">
        <f t="shared" si="0"/>
        <v>SGA-7511201</v>
      </c>
      <c r="E9" s="6" t="s">
        <v>23</v>
      </c>
      <c r="F9" s="4" t="s">
        <v>24</v>
      </c>
    </row>
    <row r="10" spans="1:6" ht="18" customHeight="1">
      <c r="A10" s="4" t="s">
        <v>25</v>
      </c>
      <c r="B10" s="5">
        <v>7512111</v>
      </c>
      <c r="C10" s="6" t="s">
        <v>7</v>
      </c>
      <c r="D10" s="7" t="str">
        <f t="shared" si="0"/>
        <v>SGA-7512111</v>
      </c>
      <c r="E10" s="6" t="s">
        <v>26</v>
      </c>
      <c r="F10" s="4" t="s">
        <v>27</v>
      </c>
    </row>
    <row r="11" spans="1:6" ht="18" customHeight="1">
      <c r="A11" s="4" t="s">
        <v>28</v>
      </c>
      <c r="B11" s="5">
        <v>7512112</v>
      </c>
      <c r="C11" s="6" t="s">
        <v>7</v>
      </c>
      <c r="D11" s="7" t="str">
        <f t="shared" si="0"/>
        <v>SGA-7512112</v>
      </c>
      <c r="E11" s="6" t="s">
        <v>26</v>
      </c>
      <c r="F11" s="4" t="s">
        <v>29</v>
      </c>
    </row>
    <row r="12" spans="1:6" ht="18" customHeight="1">
      <c r="A12" s="4" t="s">
        <v>30</v>
      </c>
      <c r="B12" s="5">
        <v>7514101</v>
      </c>
      <c r="C12" s="6" t="s">
        <v>7</v>
      </c>
      <c r="D12" s="7" t="str">
        <f t="shared" si="0"/>
        <v>SGA-7514101</v>
      </c>
      <c r="E12" s="6" t="s">
        <v>12</v>
      </c>
      <c r="F12" s="4" t="s">
        <v>31</v>
      </c>
    </row>
    <row r="13" spans="1:6" ht="18" customHeight="1">
      <c r="A13" s="4" t="s">
        <v>32</v>
      </c>
      <c r="B13" s="5">
        <v>7514102</v>
      </c>
      <c r="C13" s="6" t="s">
        <v>7</v>
      </c>
      <c r="D13" s="7" t="str">
        <f t="shared" si="0"/>
        <v>SGA-7514102</v>
      </c>
      <c r="E13" s="6" t="s">
        <v>12</v>
      </c>
      <c r="F13" s="4" t="s">
        <v>33</v>
      </c>
    </row>
    <row r="14" spans="1:6" ht="18" customHeight="1">
      <c r="A14" s="4" t="s">
        <v>34</v>
      </c>
      <c r="B14" s="5">
        <v>7515401</v>
      </c>
      <c r="C14" s="6" t="s">
        <v>7</v>
      </c>
      <c r="D14" s="7" t="str">
        <f t="shared" si="0"/>
        <v>SGA-7515401</v>
      </c>
      <c r="E14" s="6" t="s">
        <v>26</v>
      </c>
      <c r="F14" s="4" t="s">
        <v>35</v>
      </c>
    </row>
    <row r="15" spans="1:6" ht="18" customHeight="1">
      <c r="A15" s="4" t="s">
        <v>36</v>
      </c>
      <c r="B15" s="5">
        <v>7515402</v>
      </c>
      <c r="C15" s="6" t="s">
        <v>7</v>
      </c>
      <c r="D15" s="7" t="str">
        <f t="shared" si="0"/>
        <v>SGA-7515402</v>
      </c>
      <c r="E15" s="6" t="s">
        <v>26</v>
      </c>
      <c r="F15" s="4" t="s">
        <v>37</v>
      </c>
    </row>
    <row r="16" spans="1:6" ht="18" customHeight="1">
      <c r="A16" s="4" t="s">
        <v>38</v>
      </c>
      <c r="B16" s="5">
        <v>7515403</v>
      </c>
      <c r="C16" s="6" t="s">
        <v>7</v>
      </c>
      <c r="D16" s="7" t="str">
        <f t="shared" si="0"/>
        <v>SGA-7515403</v>
      </c>
      <c r="E16" s="6" t="s">
        <v>26</v>
      </c>
      <c r="F16" s="4" t="s">
        <v>39</v>
      </c>
    </row>
    <row r="17" spans="1:6" ht="18" customHeight="1">
      <c r="A17" s="4" t="s">
        <v>40</v>
      </c>
      <c r="B17" s="5">
        <v>7515404</v>
      </c>
      <c r="C17" s="6" t="s">
        <v>7</v>
      </c>
      <c r="D17" s="7" t="str">
        <f t="shared" si="0"/>
        <v>SGA-7515404</v>
      </c>
      <c r="E17" s="6" t="s">
        <v>26</v>
      </c>
      <c r="F17" s="4" t="s">
        <v>41</v>
      </c>
    </row>
    <row r="18" spans="1:6" ht="18" customHeight="1">
      <c r="A18" s="4" t="s">
        <v>42</v>
      </c>
      <c r="B18" s="5">
        <v>7515405</v>
      </c>
      <c r="C18" s="6" t="s">
        <v>7</v>
      </c>
      <c r="D18" s="7" t="str">
        <f t="shared" si="0"/>
        <v>SGA-7515405</v>
      </c>
      <c r="E18" s="6" t="s">
        <v>26</v>
      </c>
      <c r="F18" s="4" t="s">
        <v>43</v>
      </c>
    </row>
    <row r="19" spans="1:6" ht="18" customHeight="1">
      <c r="A19" s="4" t="s">
        <v>44</v>
      </c>
      <c r="B19" s="5">
        <v>7515406</v>
      </c>
      <c r="C19" s="6" t="s">
        <v>7</v>
      </c>
      <c r="D19" s="7" t="str">
        <f t="shared" si="0"/>
        <v>SGA-7515406</v>
      </c>
      <c r="E19" s="6" t="s">
        <v>26</v>
      </c>
      <c r="F19" s="4" t="s">
        <v>45</v>
      </c>
    </row>
    <row r="20" spans="1:6" ht="18" customHeight="1">
      <c r="A20" s="4" t="s">
        <v>46</v>
      </c>
      <c r="B20" s="5">
        <v>7515408</v>
      </c>
      <c r="C20" s="6" t="s">
        <v>7</v>
      </c>
      <c r="D20" s="7" t="str">
        <f t="shared" si="0"/>
        <v>SGA-7515408</v>
      </c>
      <c r="E20" s="6" t="s">
        <v>26</v>
      </c>
      <c r="F20" s="4" t="s">
        <v>47</v>
      </c>
    </row>
    <row r="21" spans="1:6" ht="18" customHeight="1">
      <c r="A21" s="4" t="s">
        <v>48</v>
      </c>
      <c r="B21" s="5">
        <v>7515409</v>
      </c>
      <c r="C21" s="6" t="s">
        <v>7</v>
      </c>
      <c r="D21" s="7" t="str">
        <f t="shared" si="0"/>
        <v>SGA-7515409</v>
      </c>
      <c r="E21" s="6" t="s">
        <v>26</v>
      </c>
      <c r="F21" s="4" t="s">
        <v>49</v>
      </c>
    </row>
    <row r="22" spans="1:6" ht="18" customHeight="1">
      <c r="A22" s="4" t="s">
        <v>50</v>
      </c>
      <c r="B22" s="5">
        <v>7515410</v>
      </c>
      <c r="C22" s="6" t="s">
        <v>7</v>
      </c>
      <c r="D22" s="7" t="str">
        <f t="shared" si="0"/>
        <v>SGA-7515410</v>
      </c>
      <c r="E22" s="6" t="s">
        <v>26</v>
      </c>
      <c r="F22" s="4" t="s">
        <v>51</v>
      </c>
    </row>
    <row r="23" spans="1:6" ht="18" customHeight="1">
      <c r="A23" s="4" t="s">
        <v>52</v>
      </c>
      <c r="B23" s="5">
        <v>7515499</v>
      </c>
      <c r="C23" s="6" t="s">
        <v>7</v>
      </c>
      <c r="D23" s="7" t="str">
        <f t="shared" si="0"/>
        <v>SGA-7515499</v>
      </c>
      <c r="E23" s="6" t="s">
        <v>26</v>
      </c>
      <c r="F23" s="4" t="s">
        <v>53</v>
      </c>
    </row>
    <row r="24" spans="1:6" ht="18" customHeight="1">
      <c r="A24" s="4" t="s">
        <v>54</v>
      </c>
      <c r="B24" s="5">
        <v>7516102</v>
      </c>
      <c r="C24" s="6" t="s">
        <v>7</v>
      </c>
      <c r="D24" s="7" t="str">
        <f t="shared" si="0"/>
        <v>SGA-7516102</v>
      </c>
      <c r="E24" s="6" t="s">
        <v>55</v>
      </c>
      <c r="F24" s="4" t="s">
        <v>56</v>
      </c>
    </row>
    <row r="25" spans="1:6" ht="18" customHeight="1">
      <c r="A25" s="4" t="s">
        <v>57</v>
      </c>
      <c r="B25" s="5">
        <v>7519101</v>
      </c>
      <c r="C25" s="6" t="s">
        <v>7</v>
      </c>
      <c r="D25" s="7" t="str">
        <f t="shared" si="0"/>
        <v>SGA-7519101</v>
      </c>
      <c r="E25" s="6" t="s">
        <v>8</v>
      </c>
      <c r="F25" s="4" t="s">
        <v>58</v>
      </c>
    </row>
    <row r="26" spans="1:6" ht="18" customHeight="1">
      <c r="A26" s="4" t="s">
        <v>59</v>
      </c>
      <c r="B26" s="5">
        <v>7521101</v>
      </c>
      <c r="C26" s="6" t="s">
        <v>7</v>
      </c>
      <c r="D26" s="7" t="str">
        <f t="shared" si="0"/>
        <v>SGA-7521101</v>
      </c>
      <c r="E26" s="6" t="s">
        <v>12</v>
      </c>
      <c r="F26" s="4" t="s">
        <v>60</v>
      </c>
    </row>
    <row r="27" spans="1:6" ht="18" customHeight="1">
      <c r="A27" s="4" t="s">
        <v>61</v>
      </c>
      <c r="B27" s="5">
        <v>7521102</v>
      </c>
      <c r="C27" s="6" t="s">
        <v>7</v>
      </c>
      <c r="D27" s="7" t="str">
        <f t="shared" si="0"/>
        <v>SGA-7521102</v>
      </c>
      <c r="E27" s="6" t="s">
        <v>23</v>
      </c>
      <c r="F27" s="4" t="s">
        <v>62</v>
      </c>
    </row>
    <row r="28" spans="1:6" ht="18" customHeight="1">
      <c r="A28" s="4" t="s">
        <v>63</v>
      </c>
      <c r="B28" s="5">
        <v>7571101</v>
      </c>
      <c r="C28" s="6" t="s">
        <v>7</v>
      </c>
      <c r="D28" s="7" t="str">
        <f t="shared" si="0"/>
        <v>SGA-7571101</v>
      </c>
      <c r="E28" s="6" t="s">
        <v>64</v>
      </c>
      <c r="F28" s="4" t="s">
        <v>65</v>
      </c>
    </row>
    <row r="29" spans="1:6" ht="18" customHeight="1">
      <c r="A29" s="4" t="s">
        <v>66</v>
      </c>
      <c r="B29" s="5">
        <v>7611100</v>
      </c>
      <c r="C29" s="6" t="s">
        <v>7</v>
      </c>
      <c r="D29" s="7" t="str">
        <f t="shared" si="0"/>
        <v>SGA-7611100</v>
      </c>
      <c r="E29" s="6" t="s">
        <v>67</v>
      </c>
      <c r="F29" s="4" t="s">
        <v>68</v>
      </c>
    </row>
    <row r="30" spans="1:6" ht="18" customHeight="1">
      <c r="A30" s="4" t="s">
        <v>69</v>
      </c>
      <c r="B30" s="5">
        <v>7611300</v>
      </c>
      <c r="C30" s="6" t="s">
        <v>7</v>
      </c>
      <c r="D30" s="7" t="str">
        <f t="shared" si="0"/>
        <v>SGA-7611300</v>
      </c>
      <c r="E30" s="6" t="s">
        <v>67</v>
      </c>
      <c r="F30" s="4" t="s">
        <v>70</v>
      </c>
    </row>
    <row r="31" spans="1:6" ht="18" customHeight="1">
      <c r="A31" s="4" t="s">
        <v>71</v>
      </c>
      <c r="B31" s="5">
        <v>7611500</v>
      </c>
      <c r="C31" s="6" t="s">
        <v>7</v>
      </c>
      <c r="D31" s="7" t="str">
        <f t="shared" si="0"/>
        <v>SGA-7611500</v>
      </c>
      <c r="E31" s="6" t="s">
        <v>67</v>
      </c>
      <c r="F31" s="4" t="s">
        <v>72</v>
      </c>
    </row>
    <row r="32" spans="1:6" ht="18" customHeight="1">
      <c r="A32" s="4" t="s">
        <v>73</v>
      </c>
      <c r="B32" s="5">
        <v>7611600</v>
      </c>
      <c r="C32" s="6" t="s">
        <v>7</v>
      </c>
      <c r="D32" s="7" t="str">
        <f t="shared" si="0"/>
        <v>SGA-7611600</v>
      </c>
      <c r="E32" s="6" t="s">
        <v>67</v>
      </c>
      <c r="F32" s="4" t="s">
        <v>74</v>
      </c>
    </row>
    <row r="33" spans="1:6" ht="18" customHeight="1">
      <c r="A33" s="4" t="s">
        <v>75</v>
      </c>
      <c r="B33" s="5">
        <v>7611700</v>
      </c>
      <c r="C33" s="6" t="s">
        <v>7</v>
      </c>
      <c r="D33" s="7" t="str">
        <f t="shared" si="0"/>
        <v>SGA-7611700</v>
      </c>
      <c r="E33" s="6" t="s">
        <v>67</v>
      </c>
      <c r="F33" s="4" t="s">
        <v>76</v>
      </c>
    </row>
    <row r="34" spans="1:6" ht="18" customHeight="1">
      <c r="A34" s="4" t="s">
        <v>77</v>
      </c>
      <c r="B34" s="5">
        <v>7621101</v>
      </c>
      <c r="C34" s="6" t="s">
        <v>7</v>
      </c>
      <c r="D34" s="7" t="str">
        <f t="shared" si="0"/>
        <v>SGA-7621101</v>
      </c>
      <c r="E34" s="6" t="s">
        <v>78</v>
      </c>
      <c r="F34" s="4" t="s">
        <v>79</v>
      </c>
    </row>
    <row r="35" spans="1:6" ht="18" customHeight="1">
      <c r="A35" s="4" t="s">
        <v>80</v>
      </c>
      <c r="B35" s="5">
        <v>7621199</v>
      </c>
      <c r="C35" s="6" t="s">
        <v>7</v>
      </c>
      <c r="D35" s="7" t="str">
        <f t="shared" si="0"/>
        <v>SGA-7621199</v>
      </c>
      <c r="E35" s="6" t="s">
        <v>81</v>
      </c>
      <c r="F35" s="4" t="s">
        <v>82</v>
      </c>
    </row>
    <row r="36" spans="1:6" ht="18" customHeight="1">
      <c r="A36" s="4" t="s">
        <v>83</v>
      </c>
      <c r="B36" s="5">
        <v>7631101</v>
      </c>
      <c r="C36" s="6" t="s">
        <v>7</v>
      </c>
      <c r="D36" s="7" t="str">
        <f t="shared" si="0"/>
        <v>SGA-7631101</v>
      </c>
      <c r="E36" s="6" t="s">
        <v>84</v>
      </c>
      <c r="F36" s="4" t="s">
        <v>85</v>
      </c>
    </row>
    <row r="37" spans="1:6" ht="18" customHeight="1">
      <c r="A37" s="4" t="s">
        <v>86</v>
      </c>
      <c r="B37" s="5">
        <v>7631102</v>
      </c>
      <c r="C37" s="6" t="s">
        <v>7</v>
      </c>
      <c r="D37" s="7" t="str">
        <f t="shared" si="0"/>
        <v>SGA-7631102</v>
      </c>
      <c r="E37" s="6" t="s">
        <v>87</v>
      </c>
      <c r="F37" s="4" t="s">
        <v>88</v>
      </c>
    </row>
    <row r="38" spans="1:6" ht="18" customHeight="1">
      <c r="A38" s="4" t="s">
        <v>89</v>
      </c>
      <c r="B38" s="5">
        <v>7641101</v>
      </c>
      <c r="C38" s="6" t="s">
        <v>7</v>
      </c>
      <c r="D38" s="7" t="str">
        <f t="shared" si="0"/>
        <v>SGA-7641101</v>
      </c>
      <c r="E38" s="6" t="s">
        <v>90</v>
      </c>
      <c r="F38" s="4" t="s">
        <v>91</v>
      </c>
    </row>
    <row r="39" spans="1:6" ht="18" customHeight="1">
      <c r="A39" s="4" t="s">
        <v>92</v>
      </c>
      <c r="B39" s="5">
        <v>7641102</v>
      </c>
      <c r="C39" s="6" t="s">
        <v>7</v>
      </c>
      <c r="D39" s="7" t="str">
        <f t="shared" si="0"/>
        <v>SGA-7641102</v>
      </c>
      <c r="E39" s="6" t="s">
        <v>90</v>
      </c>
      <c r="F39" s="4" t="s">
        <v>93</v>
      </c>
    </row>
    <row r="40" spans="1:6" ht="18" customHeight="1">
      <c r="A40" s="4" t="s">
        <v>94</v>
      </c>
      <c r="B40" s="5">
        <v>7641103</v>
      </c>
      <c r="C40" s="6" t="s">
        <v>7</v>
      </c>
      <c r="D40" s="7" t="str">
        <f t="shared" si="0"/>
        <v>SGA-7641103</v>
      </c>
      <c r="E40" s="6" t="s">
        <v>95</v>
      </c>
      <c r="F40" s="4" t="s">
        <v>96</v>
      </c>
    </row>
    <row r="41" spans="1:6" ht="18" customHeight="1">
      <c r="A41" s="4" t="s">
        <v>97</v>
      </c>
      <c r="B41" s="5">
        <v>7641104</v>
      </c>
      <c r="C41" s="6" t="s">
        <v>7</v>
      </c>
      <c r="D41" s="7" t="str">
        <f t="shared" si="0"/>
        <v>SGA-7641104</v>
      </c>
      <c r="E41" s="6" t="s">
        <v>95</v>
      </c>
      <c r="F41" s="4" t="s">
        <v>98</v>
      </c>
    </row>
    <row r="42" spans="1:6" ht="18" customHeight="1">
      <c r="A42" s="4" t="s">
        <v>99</v>
      </c>
      <c r="B42" s="5">
        <v>7651101</v>
      </c>
      <c r="C42" s="6" t="s">
        <v>7</v>
      </c>
      <c r="D42" s="7" t="str">
        <f t="shared" si="0"/>
        <v>SGA-7651101</v>
      </c>
      <c r="E42" s="6" t="s">
        <v>78</v>
      </c>
      <c r="F42" s="4" t="s">
        <v>100</v>
      </c>
    </row>
    <row r="43" spans="1:6" ht="18" customHeight="1">
      <c r="A43" s="4" t="s">
        <v>101</v>
      </c>
      <c r="B43" s="5">
        <v>7651102</v>
      </c>
      <c r="C43" s="6" t="s">
        <v>7</v>
      </c>
      <c r="D43" s="7" t="str">
        <f t="shared" si="0"/>
        <v>SGA-7651102</v>
      </c>
      <c r="E43" s="6" t="s">
        <v>78</v>
      </c>
      <c r="F43" s="4" t="s">
        <v>102</v>
      </c>
    </row>
    <row r="44" spans="1:6" ht="18" customHeight="1">
      <c r="A44" s="4" t="s">
        <v>103</v>
      </c>
      <c r="B44" s="5">
        <v>7651103</v>
      </c>
      <c r="C44" s="6" t="s">
        <v>7</v>
      </c>
      <c r="D44" s="7" t="str">
        <f t="shared" si="0"/>
        <v>SGA-7651103</v>
      </c>
      <c r="E44" s="6" t="s">
        <v>78</v>
      </c>
      <c r="F44" s="4" t="s">
        <v>104</v>
      </c>
    </row>
    <row r="45" spans="1:6" ht="18" customHeight="1">
      <c r="A45" s="4" t="s">
        <v>105</v>
      </c>
      <c r="B45" s="5">
        <v>7661101</v>
      </c>
      <c r="C45" s="6" t="s">
        <v>7</v>
      </c>
      <c r="D45" s="7" t="str">
        <f t="shared" si="0"/>
        <v>SGA-7661101</v>
      </c>
      <c r="E45" s="6" t="s">
        <v>106</v>
      </c>
      <c r="F45" s="4" t="s">
        <v>107</v>
      </c>
    </row>
    <row r="46" spans="1:6" ht="18" customHeight="1">
      <c r="A46" s="4" t="s">
        <v>108</v>
      </c>
      <c r="B46" s="5">
        <v>7671102</v>
      </c>
      <c r="C46" s="6" t="s">
        <v>7</v>
      </c>
      <c r="D46" s="7" t="str">
        <f t="shared" si="0"/>
        <v>SGA-7671102</v>
      </c>
      <c r="E46" s="6" t="s">
        <v>95</v>
      </c>
      <c r="F46" s="4" t="s">
        <v>109</v>
      </c>
    </row>
    <row r="47" spans="1:6" ht="18" customHeight="1">
      <c r="A47" s="4" t="s">
        <v>110</v>
      </c>
      <c r="B47" s="5">
        <v>7671103</v>
      </c>
      <c r="C47" s="6" t="s">
        <v>7</v>
      </c>
      <c r="D47" s="7" t="str">
        <f t="shared" si="0"/>
        <v>SGA-7671103</v>
      </c>
      <c r="E47" s="6" t="s">
        <v>95</v>
      </c>
      <c r="F47" s="4" t="s">
        <v>111</v>
      </c>
    </row>
    <row r="48" spans="1:6" ht="18" customHeight="1">
      <c r="A48" s="4" t="s">
        <v>112</v>
      </c>
      <c r="B48" s="5">
        <v>7681101</v>
      </c>
      <c r="C48" s="6" t="s">
        <v>7</v>
      </c>
      <c r="D48" s="7" t="str">
        <f t="shared" si="0"/>
        <v>SGA-7681101</v>
      </c>
      <c r="E48" s="6" t="s">
        <v>95</v>
      </c>
      <c r="F48" s="4" t="s">
        <v>113</v>
      </c>
    </row>
    <row r="49" spans="1:6" ht="18" customHeight="1">
      <c r="A49" s="4" t="s">
        <v>114</v>
      </c>
      <c r="B49" s="5">
        <v>7691000</v>
      </c>
      <c r="C49" s="6" t="s">
        <v>7</v>
      </c>
      <c r="D49" s="7" t="str">
        <f t="shared" si="0"/>
        <v>SGA-7691000</v>
      </c>
      <c r="E49" s="6" t="s">
        <v>95</v>
      </c>
      <c r="F49" s="4" t="s">
        <v>115</v>
      </c>
    </row>
    <row r="50" spans="1:6" ht="18" customHeight="1">
      <c r="A50" s="4" t="s">
        <v>116</v>
      </c>
      <c r="B50" s="5">
        <v>7711101</v>
      </c>
      <c r="C50" s="6" t="s">
        <v>7</v>
      </c>
      <c r="D50" s="7" t="str">
        <f t="shared" si="0"/>
        <v>SGA-7711101</v>
      </c>
      <c r="E50" s="6" t="s">
        <v>95</v>
      </c>
      <c r="F50" s="4" t="s">
        <v>117</v>
      </c>
    </row>
    <row r="51" spans="1:6" ht="18" customHeight="1">
      <c r="A51" s="4" t="s">
        <v>118</v>
      </c>
      <c r="B51" s="5">
        <v>7711102</v>
      </c>
      <c r="C51" s="6" t="s">
        <v>7</v>
      </c>
      <c r="D51" s="7" t="str">
        <f t="shared" si="0"/>
        <v>SGA-7711102</v>
      </c>
      <c r="E51" s="6" t="s">
        <v>119</v>
      </c>
      <c r="F51" s="4" t="s">
        <v>120</v>
      </c>
    </row>
    <row r="52" spans="1:6" ht="18" customHeight="1">
      <c r="A52" s="4" t="s">
        <v>121</v>
      </c>
      <c r="B52" s="5">
        <v>7711103</v>
      </c>
      <c r="C52" s="6" t="s">
        <v>7</v>
      </c>
      <c r="D52" s="7" t="str">
        <f t="shared" si="0"/>
        <v>SGA-7711103</v>
      </c>
      <c r="E52" s="6" t="s">
        <v>95</v>
      </c>
      <c r="F52" s="4" t="s">
        <v>122</v>
      </c>
    </row>
    <row r="53" spans="1:6" ht="18" customHeight="1">
      <c r="A53" s="4" t="s">
        <v>123</v>
      </c>
      <c r="B53" s="5">
        <v>7729101</v>
      </c>
      <c r="C53" s="6" t="s">
        <v>7</v>
      </c>
      <c r="D53" s="7" t="str">
        <f t="shared" si="0"/>
        <v>SGA-7729101</v>
      </c>
      <c r="E53" s="6" t="s">
        <v>124</v>
      </c>
      <c r="F53" s="4" t="s">
        <v>125</v>
      </c>
    </row>
    <row r="54" spans="1:6" ht="18" customHeight="1">
      <c r="A54" s="4" t="s">
        <v>126</v>
      </c>
      <c r="B54" s="5">
        <v>7729103</v>
      </c>
      <c r="C54" s="6" t="s">
        <v>7</v>
      </c>
      <c r="D54" s="7" t="str">
        <f t="shared" si="0"/>
        <v>SGA-7729103</v>
      </c>
      <c r="E54" s="6" t="s">
        <v>127</v>
      </c>
      <c r="F54" s="4" t="s">
        <v>128</v>
      </c>
    </row>
    <row r="55" spans="1:6" ht="18" customHeight="1">
      <c r="A55" s="4" t="s">
        <v>129</v>
      </c>
      <c r="B55" s="5">
        <v>7729105</v>
      </c>
      <c r="C55" s="6" t="s">
        <v>7</v>
      </c>
      <c r="D55" s="7" t="str">
        <f t="shared" si="0"/>
        <v>SGA-7729105</v>
      </c>
      <c r="E55" s="6" t="s">
        <v>95</v>
      </c>
      <c r="F55" s="4" t="s">
        <v>130</v>
      </c>
    </row>
    <row r="56" spans="1:6" ht="18" customHeight="1">
      <c r="A56" s="4" t="s">
        <v>131</v>
      </c>
      <c r="B56" s="5">
        <v>7781101</v>
      </c>
      <c r="C56" s="6" t="s">
        <v>7</v>
      </c>
      <c r="D56" s="7" t="str">
        <f t="shared" si="0"/>
        <v>SGA-7781101</v>
      </c>
      <c r="E56" s="6" t="s">
        <v>95</v>
      </c>
      <c r="F56" s="4" t="s">
        <v>132</v>
      </c>
    </row>
    <row r="57" spans="1:6" ht="18" customHeight="1">
      <c r="A57" s="4" t="s">
        <v>133</v>
      </c>
      <c r="B57" s="5">
        <v>7781103</v>
      </c>
      <c r="C57" s="6" t="s">
        <v>7</v>
      </c>
      <c r="D57" s="7" t="str">
        <f t="shared" si="0"/>
        <v>SGA-7781103</v>
      </c>
      <c r="E57" s="6" t="s">
        <v>95</v>
      </c>
      <c r="F57" s="4" t="s">
        <v>134</v>
      </c>
    </row>
    <row r="58" spans="1:6" ht="18" customHeight="1">
      <c r="A58" s="4" t="s">
        <v>135</v>
      </c>
      <c r="B58" s="5">
        <v>7781104</v>
      </c>
      <c r="C58" s="6" t="s">
        <v>7</v>
      </c>
      <c r="D58" s="7" t="str">
        <f t="shared" si="0"/>
        <v>SGA-7781104</v>
      </c>
      <c r="E58" s="6" t="s">
        <v>95</v>
      </c>
      <c r="F58" s="4" t="s">
        <v>136</v>
      </c>
    </row>
    <row r="59" spans="1:6" ht="18" customHeight="1">
      <c r="A59" s="4" t="s">
        <v>137</v>
      </c>
      <c r="B59" s="5">
        <v>7781107</v>
      </c>
      <c r="C59" s="6" t="s">
        <v>7</v>
      </c>
      <c r="D59" s="7" t="str">
        <f t="shared" si="0"/>
        <v>SGA-7781107</v>
      </c>
      <c r="E59" s="6" t="s">
        <v>138</v>
      </c>
      <c r="F59" s="4" t="s">
        <v>139</v>
      </c>
    </row>
    <row r="60" spans="1:6" ht="18" customHeight="1">
      <c r="A60" s="4" t="s">
        <v>140</v>
      </c>
      <c r="B60" s="5">
        <v>7781111</v>
      </c>
      <c r="C60" s="6" t="s">
        <v>7</v>
      </c>
      <c r="D60" s="7" t="str">
        <f t="shared" si="0"/>
        <v>SGA-7781111</v>
      </c>
      <c r="E60" s="6" t="s">
        <v>95</v>
      </c>
      <c r="F60" s="4" t="s">
        <v>141</v>
      </c>
    </row>
    <row r="61" spans="1:6" ht="18" customHeight="1">
      <c r="A61" s="4" t="s">
        <v>142</v>
      </c>
      <c r="B61" s="5">
        <v>7781112</v>
      </c>
      <c r="C61" s="6" t="s">
        <v>7</v>
      </c>
      <c r="D61" s="7" t="str">
        <f t="shared" si="0"/>
        <v>SGA-7781112</v>
      </c>
      <c r="E61" s="6" t="s">
        <v>95</v>
      </c>
      <c r="F61" s="4" t="s">
        <v>143</v>
      </c>
    </row>
    <row r="62" spans="1:6" ht="18" customHeight="1">
      <c r="A62" s="4" t="s">
        <v>144</v>
      </c>
      <c r="B62" s="5">
        <v>7781113</v>
      </c>
      <c r="C62" s="6" t="s">
        <v>7</v>
      </c>
      <c r="D62" s="7" t="str">
        <f t="shared" si="0"/>
        <v>SGA-7781113</v>
      </c>
      <c r="E62" s="6" t="s">
        <v>95</v>
      </c>
      <c r="F62" s="4" t="s">
        <v>145</v>
      </c>
    </row>
    <row r="63" spans="1:6" ht="18" customHeight="1">
      <c r="A63" s="4" t="s">
        <v>146</v>
      </c>
      <c r="B63" s="5">
        <v>7411101</v>
      </c>
      <c r="C63" s="6" t="s">
        <v>7</v>
      </c>
      <c r="D63" s="7" t="str">
        <f t="shared" si="0"/>
        <v>SGA-7411101</v>
      </c>
      <c r="E63" s="6" t="s">
        <v>147</v>
      </c>
      <c r="F63" s="4" t="s">
        <v>148</v>
      </c>
    </row>
    <row r="64" spans="1:6" ht="18" customHeight="1">
      <c r="A64" s="4" t="s">
        <v>149</v>
      </c>
      <c r="B64" s="5">
        <v>7411103</v>
      </c>
      <c r="C64" s="6" t="s">
        <v>7</v>
      </c>
      <c r="D64" s="7" t="str">
        <f t="shared" si="0"/>
        <v>SGA-7411103</v>
      </c>
      <c r="E64" s="6" t="s">
        <v>150</v>
      </c>
      <c r="F64" s="4" t="s">
        <v>151</v>
      </c>
    </row>
    <row r="65" spans="1:6" ht="18" customHeight="1">
      <c r="A65" s="4" t="s">
        <v>152</v>
      </c>
      <c r="B65" s="5">
        <v>7411104</v>
      </c>
      <c r="C65" s="6" t="s">
        <v>7</v>
      </c>
      <c r="D65" s="7" t="str">
        <f t="shared" si="0"/>
        <v>SGA-7411104</v>
      </c>
      <c r="E65" s="6" t="s">
        <v>153</v>
      </c>
      <c r="F65" s="4" t="s">
        <v>154</v>
      </c>
    </row>
    <row r="66" spans="1:6" ht="18" customHeight="1">
      <c r="A66" s="4" t="s">
        <v>155</v>
      </c>
      <c r="B66" s="5">
        <v>7431101</v>
      </c>
      <c r="C66" s="6" t="s">
        <v>7</v>
      </c>
      <c r="D66" s="7" t="str">
        <f t="shared" ref="D66:D129" si="1">C66&amp;"-"&amp;B66</f>
        <v>SGA-7431101</v>
      </c>
      <c r="E66" s="6" t="s">
        <v>156</v>
      </c>
      <c r="F66" s="4" t="s">
        <v>157</v>
      </c>
    </row>
    <row r="67" spans="1:6" ht="18" customHeight="1">
      <c r="A67" s="4" t="s">
        <v>158</v>
      </c>
      <c r="B67" s="5">
        <v>7451101</v>
      </c>
      <c r="C67" s="6" t="s">
        <v>7</v>
      </c>
      <c r="D67" s="7" t="str">
        <f t="shared" si="1"/>
        <v>SGA-7451101</v>
      </c>
      <c r="E67" s="6" t="s">
        <v>159</v>
      </c>
      <c r="F67" s="4" t="s">
        <v>160</v>
      </c>
    </row>
    <row r="68" spans="1:6" ht="18" customHeight="1">
      <c r="A68" s="4" t="s">
        <v>161</v>
      </c>
      <c r="B68" s="5">
        <v>7451102</v>
      </c>
      <c r="C68" s="6" t="s">
        <v>7</v>
      </c>
      <c r="D68" s="7" t="str">
        <f t="shared" si="1"/>
        <v>SGA-7451102</v>
      </c>
      <c r="E68" s="6" t="s">
        <v>162</v>
      </c>
      <c r="F68" s="4" t="s">
        <v>163</v>
      </c>
    </row>
    <row r="69" spans="1:6" ht="18" customHeight="1">
      <c r="A69" s="4" t="s">
        <v>164</v>
      </c>
      <c r="B69" s="5">
        <v>7451103</v>
      </c>
      <c r="C69" s="6" t="s">
        <v>7</v>
      </c>
      <c r="D69" s="7" t="str">
        <f t="shared" si="1"/>
        <v>SGA-7451103</v>
      </c>
      <c r="E69" s="6" t="s">
        <v>165</v>
      </c>
      <c r="F69" s="4" t="s">
        <v>166</v>
      </c>
    </row>
    <row r="70" spans="1:6" ht="18" customHeight="1">
      <c r="A70" s="8" t="s">
        <v>167</v>
      </c>
      <c r="B70" s="5">
        <v>7461101</v>
      </c>
      <c r="C70" s="6" t="s">
        <v>7</v>
      </c>
      <c r="D70" s="7" t="str">
        <f t="shared" si="1"/>
        <v>SGA-7461101</v>
      </c>
      <c r="E70" s="6" t="s">
        <v>168</v>
      </c>
      <c r="F70" s="4" t="s">
        <v>169</v>
      </c>
    </row>
    <row r="71" spans="1:6" ht="18" customHeight="1">
      <c r="A71" s="4" t="s">
        <v>170</v>
      </c>
      <c r="B71" s="5">
        <v>7411105</v>
      </c>
      <c r="C71" s="6" t="s">
        <v>7</v>
      </c>
      <c r="D71" s="6" t="str">
        <f t="shared" si="1"/>
        <v>SGA-7411105</v>
      </c>
      <c r="E71" s="9" t="s">
        <v>171</v>
      </c>
    </row>
    <row r="72" spans="1:6" ht="18" customHeight="1">
      <c r="A72" s="4" t="s">
        <v>172</v>
      </c>
      <c r="B72" s="5">
        <v>7471201</v>
      </c>
      <c r="C72" s="6" t="s">
        <v>7</v>
      </c>
      <c r="D72" s="6" t="str">
        <f t="shared" si="1"/>
        <v>SGA-7471201</v>
      </c>
      <c r="E72" s="9" t="s">
        <v>171</v>
      </c>
    </row>
    <row r="73" spans="1:6" ht="18" customHeight="1">
      <c r="A73" s="4" t="s">
        <v>173</v>
      </c>
      <c r="B73" s="5">
        <v>7751101</v>
      </c>
      <c r="C73" s="6" t="s">
        <v>7</v>
      </c>
      <c r="D73" s="6" t="str">
        <f t="shared" si="1"/>
        <v>SGA-7751101</v>
      </c>
    </row>
    <row r="74" spans="1:6" ht="18" customHeight="1">
      <c r="A74" s="4" t="s">
        <v>174</v>
      </c>
      <c r="B74" s="5">
        <v>7751102</v>
      </c>
      <c r="C74" s="6" t="s">
        <v>7</v>
      </c>
      <c r="D74" s="6" t="str">
        <f t="shared" si="1"/>
        <v>SGA-7751102</v>
      </c>
    </row>
    <row r="75" spans="1:6" ht="18" customHeight="1">
      <c r="A75" s="4" t="s">
        <v>175</v>
      </c>
      <c r="B75" s="10">
        <v>7111211</v>
      </c>
      <c r="C75" s="10" t="s">
        <v>176</v>
      </c>
      <c r="D75" s="10" t="str">
        <f t="shared" si="1"/>
        <v>MFG-7111211</v>
      </c>
    </row>
    <row r="76" spans="1:6" ht="18" customHeight="1">
      <c r="A76" s="4" t="s">
        <v>177</v>
      </c>
      <c r="B76" s="10">
        <v>7111221</v>
      </c>
      <c r="C76" s="10" t="s">
        <v>176</v>
      </c>
      <c r="D76" s="10" t="str">
        <f t="shared" si="1"/>
        <v>MFG-7111221</v>
      </c>
    </row>
    <row r="77" spans="1:6" ht="18" customHeight="1">
      <c r="A77" s="4" t="s">
        <v>178</v>
      </c>
      <c r="B77" s="10">
        <v>7111222</v>
      </c>
      <c r="C77" s="10" t="s">
        <v>176</v>
      </c>
      <c r="D77" s="10" t="str">
        <f t="shared" si="1"/>
        <v>MFG-7111222</v>
      </c>
    </row>
    <row r="78" spans="1:6" ht="18" customHeight="1">
      <c r="A78" s="4" t="s">
        <v>179</v>
      </c>
      <c r="B78" s="10">
        <v>7111223</v>
      </c>
      <c r="C78" s="10" t="s">
        <v>176</v>
      </c>
      <c r="D78" s="10" t="str">
        <f t="shared" si="1"/>
        <v>MFG-7111223</v>
      </c>
    </row>
    <row r="79" spans="1:6" ht="18" customHeight="1">
      <c r="A79" s="4" t="s">
        <v>180</v>
      </c>
      <c r="B79" s="10">
        <v>7111311</v>
      </c>
      <c r="C79" s="10" t="s">
        <v>176</v>
      </c>
      <c r="D79" s="10" t="str">
        <f t="shared" si="1"/>
        <v>MFG-7111311</v>
      </c>
    </row>
    <row r="80" spans="1:6" ht="18" customHeight="1">
      <c r="A80" s="4" t="s">
        <v>181</v>
      </c>
      <c r="B80" s="10">
        <v>7111321</v>
      </c>
      <c r="C80" s="10" t="s">
        <v>176</v>
      </c>
      <c r="D80" s="10" t="str">
        <f t="shared" si="1"/>
        <v>MFG-7111321</v>
      </c>
    </row>
    <row r="81" spans="1:6" ht="18" customHeight="1">
      <c r="A81" s="4" t="s">
        <v>182</v>
      </c>
      <c r="B81" s="10">
        <v>7111322</v>
      </c>
      <c r="C81" s="10" t="s">
        <v>176</v>
      </c>
      <c r="D81" s="10" t="str">
        <f t="shared" si="1"/>
        <v>MFG-7111322</v>
      </c>
    </row>
    <row r="82" spans="1:6" ht="18" customHeight="1">
      <c r="A82" s="4" t="s">
        <v>183</v>
      </c>
      <c r="B82" s="10">
        <v>7111323</v>
      </c>
      <c r="C82" s="10" t="s">
        <v>176</v>
      </c>
      <c r="D82" s="10" t="str">
        <f t="shared" si="1"/>
        <v>MFG-7111323</v>
      </c>
    </row>
    <row r="83" spans="1:6" ht="18" customHeight="1">
      <c r="A83" s="4" t="s">
        <v>184</v>
      </c>
      <c r="B83" s="10">
        <v>7211101</v>
      </c>
      <c r="C83" s="10" t="s">
        <v>176</v>
      </c>
      <c r="D83" s="10" t="str">
        <f t="shared" si="1"/>
        <v>MFG-7211101</v>
      </c>
    </row>
    <row r="84" spans="1:6" ht="18" customHeight="1">
      <c r="A84" s="4" t="s">
        <v>185</v>
      </c>
      <c r="B84" s="10">
        <v>7211102</v>
      </c>
      <c r="C84" s="10" t="s">
        <v>176</v>
      </c>
      <c r="D84" s="10" t="str">
        <f t="shared" si="1"/>
        <v>MFG-7211102</v>
      </c>
      <c r="E84" s="10">
        <v>901</v>
      </c>
      <c r="F84" s="4" t="s">
        <v>186</v>
      </c>
    </row>
    <row r="85" spans="1:6" ht="18" customHeight="1">
      <c r="A85" s="4" t="s">
        <v>187</v>
      </c>
      <c r="B85" s="10">
        <v>7211103</v>
      </c>
      <c r="C85" s="10" t="s">
        <v>176</v>
      </c>
      <c r="D85" s="10" t="str">
        <f t="shared" si="1"/>
        <v>MFG-7211103</v>
      </c>
      <c r="E85" s="10"/>
    </row>
    <row r="86" spans="1:6" ht="18" customHeight="1">
      <c r="A86" s="4" t="s">
        <v>188</v>
      </c>
      <c r="B86" s="10">
        <v>7221101</v>
      </c>
      <c r="C86" s="10" t="s">
        <v>176</v>
      </c>
      <c r="D86" s="10" t="str">
        <f t="shared" si="1"/>
        <v>MFG-7221101</v>
      </c>
      <c r="E86" s="10">
        <v>302</v>
      </c>
      <c r="F86" s="4" t="s">
        <v>189</v>
      </c>
    </row>
    <row r="87" spans="1:6" ht="18" customHeight="1">
      <c r="A87" s="4" t="s">
        <v>190</v>
      </c>
      <c r="B87" s="10">
        <v>7221102</v>
      </c>
      <c r="C87" s="10" t="s">
        <v>176</v>
      </c>
      <c r="D87" s="10" t="str">
        <f t="shared" si="1"/>
        <v>MFG-7221102</v>
      </c>
      <c r="E87" s="10">
        <v>301</v>
      </c>
      <c r="F87" s="4" t="s">
        <v>191</v>
      </c>
    </row>
    <row r="88" spans="1:6" ht="18" customHeight="1">
      <c r="A88" s="4" t="s">
        <v>6</v>
      </c>
      <c r="B88" s="10">
        <v>7511101</v>
      </c>
      <c r="C88" s="10" t="s">
        <v>176</v>
      </c>
      <c r="D88" s="10" t="str">
        <f t="shared" si="1"/>
        <v>MFG-7511101</v>
      </c>
      <c r="E88" s="10">
        <v>602</v>
      </c>
      <c r="F88" s="4" t="s">
        <v>6</v>
      </c>
    </row>
    <row r="89" spans="1:6" ht="18" customHeight="1">
      <c r="A89" s="4" t="s">
        <v>9</v>
      </c>
      <c r="B89" s="10">
        <v>7511102</v>
      </c>
      <c r="C89" s="10" t="s">
        <v>176</v>
      </c>
      <c r="D89" s="10" t="str">
        <f t="shared" si="1"/>
        <v>MFG-7511102</v>
      </c>
      <c r="E89" s="10">
        <v>602</v>
      </c>
      <c r="F89" s="4" t="s">
        <v>10</v>
      </c>
    </row>
    <row r="90" spans="1:6" ht="18" customHeight="1">
      <c r="A90" s="4" t="s">
        <v>11</v>
      </c>
      <c r="B90" s="10">
        <v>7511103</v>
      </c>
      <c r="C90" s="10" t="s">
        <v>176</v>
      </c>
      <c r="D90" s="10" t="str">
        <f t="shared" si="1"/>
        <v>MFG-7511103</v>
      </c>
      <c r="E90" s="10">
        <v>601</v>
      </c>
      <c r="F90" s="4" t="s">
        <v>13</v>
      </c>
    </row>
    <row r="91" spans="1:6" ht="18" customHeight="1">
      <c r="A91" s="4" t="s">
        <v>14</v>
      </c>
      <c r="B91" s="10">
        <v>7511111</v>
      </c>
      <c r="C91" s="10" t="s">
        <v>176</v>
      </c>
      <c r="D91" s="10" t="str">
        <f t="shared" si="1"/>
        <v>MFG-7511111</v>
      </c>
      <c r="E91" s="10">
        <v>601</v>
      </c>
      <c r="F91" s="4" t="s">
        <v>15</v>
      </c>
    </row>
    <row r="92" spans="1:6" ht="18" customHeight="1">
      <c r="A92" s="4" t="s">
        <v>16</v>
      </c>
      <c r="B92" s="10">
        <v>7511112</v>
      </c>
      <c r="C92" s="10" t="s">
        <v>176</v>
      </c>
      <c r="D92" s="10" t="str">
        <f t="shared" si="1"/>
        <v>MFG-7511112</v>
      </c>
      <c r="E92" s="10">
        <v>601</v>
      </c>
      <c r="F92" s="4" t="s">
        <v>17</v>
      </c>
    </row>
    <row r="93" spans="1:6" ht="18" customHeight="1">
      <c r="A93" s="4" t="s">
        <v>18</v>
      </c>
      <c r="B93" s="10">
        <v>7511121</v>
      </c>
      <c r="C93" s="10" t="s">
        <v>176</v>
      </c>
      <c r="D93" s="10" t="str">
        <f t="shared" si="1"/>
        <v>MFG-7511121</v>
      </c>
      <c r="E93" s="10">
        <v>601</v>
      </c>
      <c r="F93" s="4" t="s">
        <v>19</v>
      </c>
    </row>
    <row r="94" spans="1:6" ht="18" customHeight="1">
      <c r="A94" s="4" t="s">
        <v>20</v>
      </c>
      <c r="B94" s="10">
        <v>7511122</v>
      </c>
      <c r="C94" s="10" t="s">
        <v>176</v>
      </c>
      <c r="D94" s="10" t="str">
        <f t="shared" si="1"/>
        <v>MFG-7511122</v>
      </c>
      <c r="E94" s="10">
        <v>601</v>
      </c>
      <c r="F94" s="4" t="s">
        <v>21</v>
      </c>
    </row>
    <row r="95" spans="1:6" ht="18" customHeight="1">
      <c r="A95" s="4" t="s">
        <v>22</v>
      </c>
      <c r="B95" s="10">
        <v>7511201</v>
      </c>
      <c r="C95" s="10" t="s">
        <v>176</v>
      </c>
      <c r="D95" s="10" t="str">
        <f t="shared" si="1"/>
        <v>MFG-7511201</v>
      </c>
      <c r="E95" s="10">
        <v>603</v>
      </c>
      <c r="F95" s="4" t="s">
        <v>24</v>
      </c>
    </row>
    <row r="96" spans="1:6" ht="18" customHeight="1">
      <c r="A96" s="4" t="s">
        <v>25</v>
      </c>
      <c r="B96" s="10">
        <v>7512111</v>
      </c>
      <c r="C96" s="10" t="s">
        <v>176</v>
      </c>
      <c r="D96" s="10" t="str">
        <f t="shared" si="1"/>
        <v>MFG-7512111</v>
      </c>
      <c r="E96" s="10">
        <v>604</v>
      </c>
      <c r="F96" s="4" t="s">
        <v>27</v>
      </c>
    </row>
    <row r="97" spans="1:6" ht="18" customHeight="1">
      <c r="A97" s="4" t="s">
        <v>28</v>
      </c>
      <c r="B97" s="10">
        <v>7512112</v>
      </c>
      <c r="C97" s="10" t="s">
        <v>176</v>
      </c>
      <c r="D97" s="10" t="str">
        <f t="shared" si="1"/>
        <v>MFG-7512112</v>
      </c>
      <c r="E97" s="10">
        <v>604</v>
      </c>
      <c r="F97" s="4" t="s">
        <v>29</v>
      </c>
    </row>
    <row r="98" spans="1:6" ht="18" customHeight="1">
      <c r="A98" s="4" t="s">
        <v>30</v>
      </c>
      <c r="B98" s="10">
        <v>7514101</v>
      </c>
      <c r="C98" s="10" t="s">
        <v>176</v>
      </c>
      <c r="D98" s="10" t="str">
        <f t="shared" si="1"/>
        <v>MFG-7514101</v>
      </c>
      <c r="E98" s="10">
        <v>601</v>
      </c>
      <c r="F98" s="4" t="s">
        <v>31</v>
      </c>
    </row>
    <row r="99" spans="1:6" ht="18" customHeight="1">
      <c r="A99" s="4" t="s">
        <v>32</v>
      </c>
      <c r="B99" s="10">
        <v>7514102</v>
      </c>
      <c r="C99" s="10" t="s">
        <v>176</v>
      </c>
      <c r="D99" s="10" t="str">
        <f t="shared" si="1"/>
        <v>MFG-7514102</v>
      </c>
      <c r="E99" s="10">
        <v>601</v>
      </c>
      <c r="F99" s="4" t="s">
        <v>33</v>
      </c>
    </row>
    <row r="100" spans="1:6" ht="18" customHeight="1">
      <c r="A100" s="4" t="s">
        <v>34</v>
      </c>
      <c r="B100" s="10">
        <v>7515401</v>
      </c>
      <c r="C100" s="10" t="s">
        <v>176</v>
      </c>
      <c r="D100" s="10" t="str">
        <f t="shared" si="1"/>
        <v>MFG-7515401</v>
      </c>
      <c r="E100" s="10">
        <v>604</v>
      </c>
      <c r="F100" s="4" t="s">
        <v>35</v>
      </c>
    </row>
    <row r="101" spans="1:6" ht="18" customHeight="1">
      <c r="A101" s="4" t="s">
        <v>36</v>
      </c>
      <c r="B101" s="10">
        <v>7515402</v>
      </c>
      <c r="C101" s="10" t="s">
        <v>176</v>
      </c>
      <c r="D101" s="10" t="str">
        <f t="shared" si="1"/>
        <v>MFG-7515402</v>
      </c>
      <c r="E101" s="10">
        <v>604</v>
      </c>
      <c r="F101" s="4" t="s">
        <v>37</v>
      </c>
    </row>
    <row r="102" spans="1:6" ht="18" customHeight="1">
      <c r="A102" s="4" t="s">
        <v>38</v>
      </c>
      <c r="B102" s="10">
        <v>7515403</v>
      </c>
      <c r="C102" s="10" t="s">
        <v>176</v>
      </c>
      <c r="D102" s="10" t="str">
        <f t="shared" si="1"/>
        <v>MFG-7515403</v>
      </c>
      <c r="E102" s="10">
        <v>604</v>
      </c>
      <c r="F102" s="4" t="s">
        <v>39</v>
      </c>
    </row>
    <row r="103" spans="1:6" ht="18" customHeight="1">
      <c r="A103" s="4" t="s">
        <v>40</v>
      </c>
      <c r="B103" s="10">
        <v>7515404</v>
      </c>
      <c r="C103" s="10" t="s">
        <v>176</v>
      </c>
      <c r="D103" s="10" t="str">
        <f t="shared" si="1"/>
        <v>MFG-7515404</v>
      </c>
      <c r="E103" s="10">
        <v>604</v>
      </c>
      <c r="F103" s="4" t="s">
        <v>41</v>
      </c>
    </row>
    <row r="104" spans="1:6" ht="18" customHeight="1">
      <c r="A104" s="4" t="s">
        <v>42</v>
      </c>
      <c r="B104" s="10">
        <v>7515405</v>
      </c>
      <c r="C104" s="10" t="s">
        <v>176</v>
      </c>
      <c r="D104" s="10" t="str">
        <f t="shared" si="1"/>
        <v>MFG-7515405</v>
      </c>
      <c r="E104" s="10">
        <v>604</v>
      </c>
      <c r="F104" s="4" t="s">
        <v>43</v>
      </c>
    </row>
    <row r="105" spans="1:6" ht="18" customHeight="1">
      <c r="A105" s="4" t="s">
        <v>44</v>
      </c>
      <c r="B105" s="10">
        <v>7515406</v>
      </c>
      <c r="C105" s="10" t="s">
        <v>176</v>
      </c>
      <c r="D105" s="10" t="str">
        <f t="shared" si="1"/>
        <v>MFG-7515406</v>
      </c>
      <c r="E105" s="10">
        <v>604</v>
      </c>
      <c r="F105" s="4" t="s">
        <v>45</v>
      </c>
    </row>
    <row r="106" spans="1:6" ht="18" customHeight="1">
      <c r="A106" s="4" t="s">
        <v>46</v>
      </c>
      <c r="B106" s="10">
        <v>7515408</v>
      </c>
      <c r="C106" s="10" t="s">
        <v>176</v>
      </c>
      <c r="D106" s="10" t="str">
        <f t="shared" si="1"/>
        <v>MFG-7515408</v>
      </c>
      <c r="E106" s="10">
        <v>604</v>
      </c>
      <c r="F106" s="4" t="s">
        <v>47</v>
      </c>
    </row>
    <row r="107" spans="1:6" ht="18" customHeight="1">
      <c r="A107" s="4" t="s">
        <v>48</v>
      </c>
      <c r="B107" s="10">
        <v>7515409</v>
      </c>
      <c r="C107" s="10" t="s">
        <v>176</v>
      </c>
      <c r="D107" s="10" t="str">
        <f t="shared" si="1"/>
        <v>MFG-7515409</v>
      </c>
      <c r="E107" s="10">
        <v>604</v>
      </c>
      <c r="F107" s="4" t="s">
        <v>49</v>
      </c>
    </row>
    <row r="108" spans="1:6" ht="18" customHeight="1">
      <c r="A108" s="4" t="s">
        <v>50</v>
      </c>
      <c r="B108" s="10">
        <v>7515410</v>
      </c>
      <c r="C108" s="10" t="s">
        <v>176</v>
      </c>
      <c r="D108" s="10" t="str">
        <f t="shared" si="1"/>
        <v>MFG-7515410</v>
      </c>
      <c r="E108" s="10">
        <v>604</v>
      </c>
      <c r="F108" s="4" t="s">
        <v>51</v>
      </c>
    </row>
    <row r="109" spans="1:6" ht="18" customHeight="1">
      <c r="A109" s="4" t="s">
        <v>52</v>
      </c>
      <c r="B109" s="10">
        <v>7515499</v>
      </c>
      <c r="C109" s="10" t="s">
        <v>176</v>
      </c>
      <c r="D109" s="10" t="str">
        <f t="shared" si="1"/>
        <v>MFG-7515499</v>
      </c>
      <c r="E109" s="10">
        <v>604</v>
      </c>
      <c r="F109" s="4" t="s">
        <v>53</v>
      </c>
    </row>
    <row r="110" spans="1:6" ht="18" customHeight="1">
      <c r="A110" s="4" t="s">
        <v>54</v>
      </c>
      <c r="B110" s="10">
        <v>7516102</v>
      </c>
      <c r="C110" s="10" t="s">
        <v>176</v>
      </c>
      <c r="D110" s="10" t="str">
        <f t="shared" si="1"/>
        <v>MFG-7516102</v>
      </c>
      <c r="E110" s="10">
        <v>605</v>
      </c>
      <c r="F110" s="4" t="s">
        <v>56</v>
      </c>
    </row>
    <row r="111" spans="1:6" ht="18" customHeight="1">
      <c r="A111" s="4" t="s">
        <v>57</v>
      </c>
      <c r="B111" s="10">
        <v>7519101</v>
      </c>
      <c r="C111" s="10" t="s">
        <v>176</v>
      </c>
      <c r="D111" s="10" t="str">
        <f t="shared" si="1"/>
        <v>MFG-7519101</v>
      </c>
      <c r="E111" s="10">
        <v>602</v>
      </c>
      <c r="F111" s="4" t="s">
        <v>58</v>
      </c>
    </row>
    <row r="112" spans="1:6" ht="18" customHeight="1">
      <c r="A112" s="4" t="s">
        <v>192</v>
      </c>
      <c r="B112" s="10">
        <v>7521101</v>
      </c>
      <c r="C112" s="10" t="s">
        <v>176</v>
      </c>
      <c r="D112" s="10" t="str">
        <f t="shared" si="1"/>
        <v>MFG-7521101</v>
      </c>
      <c r="E112" s="10">
        <v>601</v>
      </c>
      <c r="F112" s="4" t="s">
        <v>60</v>
      </c>
    </row>
    <row r="113" spans="1:6" ht="18" customHeight="1">
      <c r="A113" s="4" t="s">
        <v>61</v>
      </c>
      <c r="B113" s="10">
        <v>7521102</v>
      </c>
      <c r="C113" s="10" t="s">
        <v>176</v>
      </c>
      <c r="D113" s="10" t="str">
        <f t="shared" si="1"/>
        <v>MFG-7521102</v>
      </c>
      <c r="E113" s="10">
        <v>603</v>
      </c>
      <c r="F113" s="4" t="s">
        <v>62</v>
      </c>
    </row>
    <row r="114" spans="1:6" ht="18" customHeight="1">
      <c r="A114" s="4" t="s">
        <v>63</v>
      </c>
      <c r="B114" s="10">
        <v>7571101</v>
      </c>
      <c r="C114" s="10" t="s">
        <v>176</v>
      </c>
      <c r="D114" s="10" t="str">
        <f t="shared" si="1"/>
        <v>MFG-7571101</v>
      </c>
      <c r="E114" s="10">
        <v>606</v>
      </c>
      <c r="F114" s="4" t="s">
        <v>65</v>
      </c>
    </row>
    <row r="115" spans="1:6" ht="18" customHeight="1">
      <c r="A115" s="4" t="s">
        <v>66</v>
      </c>
      <c r="B115" s="10">
        <v>7611100</v>
      </c>
      <c r="C115" s="10" t="s">
        <v>176</v>
      </c>
      <c r="D115" s="10" t="str">
        <f t="shared" si="1"/>
        <v>MFG-7611100</v>
      </c>
      <c r="E115" s="10">
        <v>701</v>
      </c>
      <c r="F115" s="4" t="s">
        <v>68</v>
      </c>
    </row>
    <row r="116" spans="1:6" ht="18" customHeight="1">
      <c r="A116" s="4" t="s">
        <v>69</v>
      </c>
      <c r="B116" s="10">
        <v>7611300</v>
      </c>
      <c r="C116" s="10" t="s">
        <v>176</v>
      </c>
      <c r="D116" s="10" t="str">
        <f t="shared" si="1"/>
        <v>MFG-7611300</v>
      </c>
      <c r="E116" s="10">
        <v>701</v>
      </c>
      <c r="F116" s="4" t="s">
        <v>70</v>
      </c>
    </row>
    <row r="117" spans="1:6" ht="18" customHeight="1">
      <c r="A117" s="4" t="s">
        <v>71</v>
      </c>
      <c r="B117" s="10">
        <v>7611500</v>
      </c>
      <c r="C117" s="10" t="s">
        <v>176</v>
      </c>
      <c r="D117" s="10" t="str">
        <f t="shared" si="1"/>
        <v>MFG-7611500</v>
      </c>
      <c r="E117" s="10">
        <v>701</v>
      </c>
      <c r="F117" s="4" t="s">
        <v>72</v>
      </c>
    </row>
    <row r="118" spans="1:6" ht="18" customHeight="1">
      <c r="A118" s="4" t="s">
        <v>73</v>
      </c>
      <c r="B118" s="10">
        <v>7611600</v>
      </c>
      <c r="C118" s="10" t="s">
        <v>176</v>
      </c>
      <c r="D118" s="10" t="str">
        <f t="shared" si="1"/>
        <v>MFG-7611600</v>
      </c>
      <c r="E118" s="10">
        <v>701</v>
      </c>
      <c r="F118" s="4" t="s">
        <v>74</v>
      </c>
    </row>
    <row r="119" spans="1:6" ht="18" customHeight="1">
      <c r="A119" s="4" t="s">
        <v>75</v>
      </c>
      <c r="B119" s="10">
        <v>7611700</v>
      </c>
      <c r="C119" s="10" t="s">
        <v>176</v>
      </c>
      <c r="D119" s="10" t="str">
        <f t="shared" si="1"/>
        <v>MFG-7611700</v>
      </c>
      <c r="E119" s="10">
        <v>701</v>
      </c>
      <c r="F119" s="4" t="s">
        <v>76</v>
      </c>
    </row>
    <row r="120" spans="1:6" ht="18" customHeight="1">
      <c r="A120" s="4" t="s">
        <v>77</v>
      </c>
      <c r="B120" s="10">
        <v>7621101</v>
      </c>
      <c r="C120" s="10" t="s">
        <v>176</v>
      </c>
      <c r="D120" s="10" t="str">
        <f t="shared" si="1"/>
        <v>MFG-7621101</v>
      </c>
      <c r="E120" s="10">
        <v>903</v>
      </c>
      <c r="F120" s="4" t="s">
        <v>79</v>
      </c>
    </row>
    <row r="121" spans="1:6" ht="18" customHeight="1">
      <c r="A121" s="8" t="s">
        <v>80</v>
      </c>
      <c r="B121" s="11">
        <v>7621199</v>
      </c>
      <c r="C121" s="10" t="s">
        <v>176</v>
      </c>
      <c r="D121" s="10" t="str">
        <f t="shared" si="1"/>
        <v>MFG-7621199</v>
      </c>
      <c r="E121" s="10">
        <v>801</v>
      </c>
      <c r="F121" s="4" t="s">
        <v>82</v>
      </c>
    </row>
    <row r="122" spans="1:6" ht="18" customHeight="1">
      <c r="A122" s="4" t="s">
        <v>83</v>
      </c>
      <c r="B122" s="10">
        <v>7631101</v>
      </c>
      <c r="C122" s="10" t="s">
        <v>176</v>
      </c>
      <c r="D122" s="10" t="str">
        <f t="shared" si="1"/>
        <v>MFG-7631101</v>
      </c>
      <c r="E122" s="10">
        <v>501</v>
      </c>
      <c r="F122" s="4" t="s">
        <v>85</v>
      </c>
    </row>
    <row r="123" spans="1:6" ht="18" customHeight="1">
      <c r="A123" s="4" t="s">
        <v>86</v>
      </c>
      <c r="B123" s="10">
        <v>7631102</v>
      </c>
      <c r="C123" s="10" t="s">
        <v>176</v>
      </c>
      <c r="D123" s="10" t="str">
        <f t="shared" si="1"/>
        <v>MFG-7631102</v>
      </c>
      <c r="E123" s="10">
        <v>502</v>
      </c>
      <c r="F123" s="4" t="s">
        <v>88</v>
      </c>
    </row>
    <row r="124" spans="1:6" ht="18" customHeight="1">
      <c r="A124" s="4" t="s">
        <v>89</v>
      </c>
      <c r="B124" s="10">
        <v>7641101</v>
      </c>
      <c r="C124" s="10" t="s">
        <v>176</v>
      </c>
      <c r="D124" s="10" t="str">
        <f t="shared" si="1"/>
        <v>MFG-7641101</v>
      </c>
      <c r="E124" s="10">
        <v>401</v>
      </c>
      <c r="F124" s="4" t="s">
        <v>91</v>
      </c>
    </row>
    <row r="125" spans="1:6" ht="18" customHeight="1">
      <c r="A125" s="4" t="s">
        <v>92</v>
      </c>
      <c r="B125" s="10">
        <v>7641102</v>
      </c>
      <c r="C125" s="10" t="s">
        <v>176</v>
      </c>
      <c r="D125" s="10" t="str">
        <f t="shared" si="1"/>
        <v>MFG-7641102</v>
      </c>
      <c r="E125" s="10">
        <v>401</v>
      </c>
      <c r="F125" s="4" t="s">
        <v>93</v>
      </c>
    </row>
    <row r="126" spans="1:6" ht="18" customHeight="1">
      <c r="A126" s="4" t="s">
        <v>94</v>
      </c>
      <c r="B126" s="10">
        <v>7641103</v>
      </c>
      <c r="C126" s="10" t="s">
        <v>176</v>
      </c>
      <c r="D126" s="10" t="str">
        <f t="shared" si="1"/>
        <v>MFG-7641103</v>
      </c>
      <c r="E126" s="10">
        <v>902</v>
      </c>
      <c r="F126" s="4" t="s">
        <v>96</v>
      </c>
    </row>
    <row r="127" spans="1:6" ht="18" customHeight="1">
      <c r="A127" s="4" t="s">
        <v>97</v>
      </c>
      <c r="B127" s="10">
        <v>7641104</v>
      </c>
      <c r="C127" s="10" t="s">
        <v>176</v>
      </c>
      <c r="D127" s="10" t="str">
        <f t="shared" si="1"/>
        <v>MFG-7641104</v>
      </c>
      <c r="E127" s="10">
        <v>999</v>
      </c>
      <c r="F127" s="4" t="s">
        <v>98</v>
      </c>
    </row>
    <row r="128" spans="1:6" ht="18" customHeight="1">
      <c r="A128" s="4" t="s">
        <v>99</v>
      </c>
      <c r="B128" s="10">
        <v>7651101</v>
      </c>
      <c r="C128" s="10" t="s">
        <v>176</v>
      </c>
      <c r="D128" s="10" t="str">
        <f t="shared" si="1"/>
        <v>MFG-7651101</v>
      </c>
      <c r="E128" s="10">
        <v>903</v>
      </c>
      <c r="F128" s="4" t="s">
        <v>100</v>
      </c>
    </row>
    <row r="129" spans="1:6" ht="18" customHeight="1">
      <c r="A129" s="4" t="s">
        <v>101</v>
      </c>
      <c r="B129" s="10">
        <v>7651102</v>
      </c>
      <c r="C129" s="10" t="s">
        <v>176</v>
      </c>
      <c r="D129" s="10" t="str">
        <f t="shared" si="1"/>
        <v>MFG-7651102</v>
      </c>
      <c r="E129" s="10">
        <v>903</v>
      </c>
      <c r="F129" s="4" t="s">
        <v>102</v>
      </c>
    </row>
    <row r="130" spans="1:6" ht="18" customHeight="1">
      <c r="A130" s="4" t="s">
        <v>103</v>
      </c>
      <c r="B130" s="10">
        <v>7651103</v>
      </c>
      <c r="C130" s="10" t="s">
        <v>176</v>
      </c>
      <c r="D130" s="10" t="str">
        <f t="shared" ref="D130:D154" si="2">C130&amp;"-"&amp;B130</f>
        <v>MFG-7651103</v>
      </c>
      <c r="E130" s="10">
        <v>903</v>
      </c>
      <c r="F130" s="4" t="s">
        <v>104</v>
      </c>
    </row>
    <row r="131" spans="1:6" ht="18" customHeight="1">
      <c r="A131" s="4" t="s">
        <v>105</v>
      </c>
      <c r="B131" s="10">
        <v>7661101</v>
      </c>
      <c r="C131" s="10" t="s">
        <v>176</v>
      </c>
      <c r="D131" s="10" t="str">
        <f t="shared" si="2"/>
        <v>MFG-7661101</v>
      </c>
      <c r="E131" s="10">
        <v>999</v>
      </c>
      <c r="F131" s="4" t="s">
        <v>107</v>
      </c>
    </row>
    <row r="132" spans="1:6" ht="18" customHeight="1">
      <c r="A132" s="4" t="s">
        <v>108</v>
      </c>
      <c r="B132" s="10">
        <v>7671102</v>
      </c>
      <c r="C132" s="10" t="s">
        <v>176</v>
      </c>
      <c r="D132" s="10" t="str">
        <f t="shared" si="2"/>
        <v>MFG-7671102</v>
      </c>
      <c r="E132" s="10">
        <v>999</v>
      </c>
      <c r="F132" s="4" t="s">
        <v>109</v>
      </c>
    </row>
    <row r="133" spans="1:6" ht="18" customHeight="1">
      <c r="A133" s="4" t="s">
        <v>110</v>
      </c>
      <c r="B133" s="10">
        <v>7671103</v>
      </c>
      <c r="C133" s="10" t="s">
        <v>176</v>
      </c>
      <c r="D133" s="10" t="str">
        <f t="shared" si="2"/>
        <v>MFG-7671103</v>
      </c>
      <c r="E133" s="10">
        <v>999</v>
      </c>
      <c r="F133" s="4" t="s">
        <v>111</v>
      </c>
    </row>
    <row r="134" spans="1:6" ht="18" customHeight="1">
      <c r="A134" s="4" t="s">
        <v>112</v>
      </c>
      <c r="B134" s="10">
        <v>7681101</v>
      </c>
      <c r="C134" s="10" t="s">
        <v>176</v>
      </c>
      <c r="D134" s="10" t="str">
        <f t="shared" si="2"/>
        <v>MFG-7681101</v>
      </c>
      <c r="E134" s="10">
        <v>999</v>
      </c>
      <c r="F134" s="4" t="s">
        <v>113</v>
      </c>
    </row>
    <row r="135" spans="1:6" ht="18" customHeight="1">
      <c r="A135" s="4" t="s">
        <v>114</v>
      </c>
      <c r="B135" s="10">
        <v>7691000</v>
      </c>
      <c r="C135" s="10" t="s">
        <v>176</v>
      </c>
      <c r="D135" s="10" t="str">
        <f t="shared" si="2"/>
        <v>MFG-7691000</v>
      </c>
      <c r="E135" s="10">
        <v>999</v>
      </c>
      <c r="F135" s="4" t="s">
        <v>115</v>
      </c>
    </row>
    <row r="136" spans="1:6" ht="18" customHeight="1">
      <c r="A136" s="4" t="s">
        <v>116</v>
      </c>
      <c r="B136" s="10">
        <v>7711101</v>
      </c>
      <c r="C136" s="10" t="s">
        <v>176</v>
      </c>
      <c r="D136" s="10" t="str">
        <f t="shared" si="2"/>
        <v>MFG-7711101</v>
      </c>
      <c r="E136" s="10">
        <v>999</v>
      </c>
      <c r="F136" s="4" t="s">
        <v>117</v>
      </c>
    </row>
    <row r="137" spans="1:6" ht="18" customHeight="1">
      <c r="A137" s="4" t="s">
        <v>118</v>
      </c>
      <c r="B137" s="10">
        <v>7711102</v>
      </c>
      <c r="C137" s="10" t="s">
        <v>176</v>
      </c>
      <c r="D137" s="10" t="str">
        <f t="shared" si="2"/>
        <v>MFG-7711102</v>
      </c>
      <c r="E137" s="10">
        <v>904</v>
      </c>
      <c r="F137" s="4" t="s">
        <v>120</v>
      </c>
    </row>
    <row r="138" spans="1:6" ht="18" customHeight="1">
      <c r="A138" s="4" t="s">
        <v>121</v>
      </c>
      <c r="B138" s="10">
        <v>7711103</v>
      </c>
      <c r="C138" s="10" t="s">
        <v>176</v>
      </c>
      <c r="D138" s="10" t="str">
        <f t="shared" si="2"/>
        <v>MFG-7711103</v>
      </c>
      <c r="E138" s="10">
        <v>999</v>
      </c>
      <c r="F138" s="4" t="s">
        <v>122</v>
      </c>
    </row>
    <row r="139" spans="1:6" ht="18" customHeight="1">
      <c r="A139" s="4" t="s">
        <v>123</v>
      </c>
      <c r="B139" s="10">
        <v>7729101</v>
      </c>
      <c r="C139" s="10" t="s">
        <v>176</v>
      </c>
      <c r="D139" s="10" t="str">
        <f t="shared" si="2"/>
        <v>MFG-7729101</v>
      </c>
      <c r="E139" s="10">
        <v>905</v>
      </c>
      <c r="F139" s="4" t="s">
        <v>125</v>
      </c>
    </row>
    <row r="140" spans="1:6" ht="18" customHeight="1">
      <c r="A140" s="4" t="s">
        <v>126</v>
      </c>
      <c r="B140" s="10">
        <v>7729103</v>
      </c>
      <c r="C140" s="10" t="s">
        <v>176</v>
      </c>
      <c r="D140" s="10" t="str">
        <f t="shared" si="2"/>
        <v>MFG-7729103</v>
      </c>
      <c r="E140" s="10">
        <v>907</v>
      </c>
      <c r="F140" s="4" t="s">
        <v>128</v>
      </c>
    </row>
    <row r="141" spans="1:6" ht="18" customHeight="1">
      <c r="A141" s="4" t="s">
        <v>129</v>
      </c>
      <c r="B141" s="10">
        <v>7729105</v>
      </c>
      <c r="C141" s="10" t="s">
        <v>176</v>
      </c>
      <c r="D141" s="10" t="str">
        <f t="shared" si="2"/>
        <v>MFG-7729105</v>
      </c>
      <c r="E141" s="10">
        <v>999</v>
      </c>
      <c r="F141" s="4" t="s">
        <v>130</v>
      </c>
    </row>
    <row r="142" spans="1:6" ht="18" customHeight="1">
      <c r="A142" s="4" t="s">
        <v>131</v>
      </c>
      <c r="B142" s="10">
        <v>7781101</v>
      </c>
      <c r="C142" s="10" t="s">
        <v>176</v>
      </c>
      <c r="D142" s="10" t="str">
        <f t="shared" si="2"/>
        <v>MFG-7781101</v>
      </c>
      <c r="E142" s="10">
        <v>999</v>
      </c>
      <c r="F142" s="4" t="s">
        <v>132</v>
      </c>
    </row>
    <row r="143" spans="1:6" ht="18" customHeight="1">
      <c r="A143" s="4" t="s">
        <v>133</v>
      </c>
      <c r="B143" s="10">
        <v>7781103</v>
      </c>
      <c r="C143" s="10" t="s">
        <v>176</v>
      </c>
      <c r="D143" s="10" t="str">
        <f t="shared" si="2"/>
        <v>MFG-7781103</v>
      </c>
      <c r="E143" s="10">
        <v>999</v>
      </c>
      <c r="F143" s="4" t="s">
        <v>134</v>
      </c>
    </row>
    <row r="144" spans="1:6" ht="18" customHeight="1">
      <c r="A144" s="4" t="s">
        <v>135</v>
      </c>
      <c r="B144" s="10">
        <v>7781104</v>
      </c>
      <c r="C144" s="10" t="s">
        <v>176</v>
      </c>
      <c r="D144" s="10" t="str">
        <f t="shared" si="2"/>
        <v>MFG-7781104</v>
      </c>
      <c r="E144" s="10">
        <v>999</v>
      </c>
      <c r="F144" s="4" t="s">
        <v>136</v>
      </c>
    </row>
    <row r="145" spans="1:6" ht="18" customHeight="1">
      <c r="A145" s="4" t="s">
        <v>137</v>
      </c>
      <c r="B145" s="10">
        <v>7781107</v>
      </c>
      <c r="C145" s="10" t="s">
        <v>176</v>
      </c>
      <c r="D145" s="10" t="str">
        <f t="shared" si="2"/>
        <v>MFG-7781107</v>
      </c>
      <c r="E145" s="10">
        <v>906</v>
      </c>
      <c r="F145" s="4" t="s">
        <v>139</v>
      </c>
    </row>
    <row r="146" spans="1:6" ht="18" customHeight="1">
      <c r="A146" s="4" t="s">
        <v>140</v>
      </c>
      <c r="B146" s="10">
        <v>7781111</v>
      </c>
      <c r="C146" s="10" t="s">
        <v>176</v>
      </c>
      <c r="D146" s="10" t="str">
        <f t="shared" si="2"/>
        <v>MFG-7781111</v>
      </c>
      <c r="E146" s="10">
        <v>999</v>
      </c>
      <c r="F146" s="4" t="s">
        <v>141</v>
      </c>
    </row>
    <row r="147" spans="1:6" ht="18" customHeight="1">
      <c r="A147" s="4" t="s">
        <v>142</v>
      </c>
      <c r="B147" s="10">
        <v>7781112</v>
      </c>
      <c r="C147" s="10" t="s">
        <v>176</v>
      </c>
      <c r="D147" s="10" t="str">
        <f t="shared" si="2"/>
        <v>MFG-7781112</v>
      </c>
      <c r="E147" s="10">
        <v>999</v>
      </c>
      <c r="F147" s="4" t="s">
        <v>143</v>
      </c>
    </row>
    <row r="148" spans="1:6" ht="18" customHeight="1">
      <c r="A148" s="4" t="s">
        <v>144</v>
      </c>
      <c r="B148" s="10">
        <v>7781113</v>
      </c>
      <c r="C148" s="10" t="s">
        <v>176</v>
      </c>
      <c r="D148" s="10" t="str">
        <f t="shared" si="2"/>
        <v>MFG-7781113</v>
      </c>
      <c r="E148" s="10">
        <v>999</v>
      </c>
      <c r="F148" s="4" t="s">
        <v>145</v>
      </c>
    </row>
    <row r="149" spans="1:6" ht="18" customHeight="1">
      <c r="A149" s="4" t="s">
        <v>193</v>
      </c>
      <c r="B149" s="5">
        <v>8291101</v>
      </c>
      <c r="C149" s="6" t="s">
        <v>194</v>
      </c>
      <c r="D149" s="6" t="str">
        <f t="shared" si="2"/>
        <v>OTH-8291101</v>
      </c>
    </row>
    <row r="150" spans="1:6" ht="18" customHeight="1">
      <c r="A150" s="4" t="s">
        <v>195</v>
      </c>
      <c r="B150" s="5">
        <v>8291102</v>
      </c>
      <c r="C150" s="6" t="s">
        <v>194</v>
      </c>
      <c r="D150" s="6" t="str">
        <f t="shared" si="2"/>
        <v>OTH-8291102</v>
      </c>
    </row>
    <row r="151" spans="1:6" ht="18" customHeight="1">
      <c r="A151" s="4" t="s">
        <v>196</v>
      </c>
      <c r="B151" s="5">
        <v>8291201</v>
      </c>
      <c r="C151" s="6" t="s">
        <v>194</v>
      </c>
      <c r="D151" s="6" t="str">
        <f t="shared" si="2"/>
        <v>OTH-8291201</v>
      </c>
    </row>
    <row r="152" spans="1:6" ht="18" customHeight="1">
      <c r="A152" s="4" t="s">
        <v>197</v>
      </c>
      <c r="B152" s="5">
        <v>8291202</v>
      </c>
      <c r="C152" s="6" t="s">
        <v>194</v>
      </c>
      <c r="D152" s="6" t="str">
        <f t="shared" si="2"/>
        <v>OTH-8291202</v>
      </c>
    </row>
    <row r="153" spans="1:6" ht="18" customHeight="1">
      <c r="A153" s="4" t="s">
        <v>198</v>
      </c>
      <c r="B153" s="5">
        <v>8291203</v>
      </c>
      <c r="C153" s="6" t="s">
        <v>194</v>
      </c>
      <c r="D153" s="6" t="str">
        <f t="shared" si="2"/>
        <v>OTH-8291203</v>
      </c>
    </row>
    <row r="154" spans="1:6" ht="18" customHeight="1">
      <c r="A154" s="4" t="s">
        <v>199</v>
      </c>
      <c r="B154" s="5">
        <v>8191101</v>
      </c>
      <c r="C154" s="6" t="s">
        <v>194</v>
      </c>
      <c r="D154" s="6" t="str">
        <f t="shared" si="2"/>
        <v>OTH-8191101</v>
      </c>
    </row>
    <row r="155" spans="1:6" ht="18" customHeight="1">
      <c r="E155" s="12"/>
    </row>
  </sheetData>
  <phoneticPr fontId="24"/>
  <pageMargins left="0.25" right="0.25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</vt:lpstr>
      <vt:lpstr>Master</vt:lpstr>
      <vt:lpstr>Master_Section</vt:lpstr>
      <vt:lpstr>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Dolly Indra</cp:lastModifiedBy>
  <dcterms:created xsi:type="dcterms:W3CDTF">2020-10-12T08:41:42Z</dcterms:created>
  <dcterms:modified xsi:type="dcterms:W3CDTF">2021-11-18T09:47:41Z</dcterms:modified>
</cp:coreProperties>
</file>
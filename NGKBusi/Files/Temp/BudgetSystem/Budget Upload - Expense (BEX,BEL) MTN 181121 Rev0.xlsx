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45. Maintenance\10. Lain-lain\02. Harjanto Agung\MTC\ACCT\FY123\Expenses\"/>
    </mc:Choice>
  </mc:AlternateContent>
  <xr:revisionPtr revIDLastSave="0" documentId="13_ncr:1_{446CF8D9-5E42-42B9-A05B-71ABCBAD1937}" xr6:coauthVersionLast="47" xr6:coauthVersionMax="47" xr10:uidLastSave="{00000000-0000-0000-0000-000000000000}"/>
  <bookViews>
    <workbookView xWindow="-110" yWindow="-110" windowWidth="19420" windowHeight="10420" xr2:uid="{C53FDC34-7892-4F4E-9408-2EF96F6145C2}"/>
  </bookViews>
  <sheets>
    <sheet name="Upload" sheetId="1" r:id="rId1"/>
    <sheet name="Master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j102" localSheetId="1">#REF!</definedName>
    <definedName name="__j102">#REF!</definedName>
    <definedName name="_1">#N/A</definedName>
    <definedName name="_Fill" localSheetId="1" hidden="1">#REF!</definedName>
    <definedName name="_Fill" hidden="1">#REF!</definedName>
    <definedName name="_xlnm._FilterDatabase" localSheetId="0" hidden="1">Upload!$A$1:$AH$1</definedName>
    <definedName name="_xlnm._FilterDatabase" hidden="1">[1]金具工程見出し!$A$9:$K$9</definedName>
    <definedName name="_j102" localSheetId="1">#REF!</definedName>
    <definedName name="_j102">#REF!</definedName>
    <definedName name="_Key1" localSheetId="1" hidden="1">#REF!</definedName>
    <definedName name="_Key1" hidden="1">#REF!</definedName>
    <definedName name="_Order1" hidden="1">255</definedName>
    <definedName name="_Sort" localSheetId="1" hidden="1">#REF!</definedName>
    <definedName name="_Sort" hidden="1">#REF!</definedName>
    <definedName name="aa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>#REF!</definedName>
    <definedName name="kissakei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_xlnm.Print_Titles" localSheetId="1">#REF!</definedName>
    <definedName name="_xlnm.Print_Titles">#REF!</definedName>
    <definedName name="PRINT_TITLES_MI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>#REF!</definedName>
    <definedName name="tgll" localSheetId="1">#REF!</definedName>
    <definedName name="tgll">#REF!</definedName>
    <definedName name="tr" localSheetId="1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>#REF!</definedName>
    <definedName name="予算ﾚｰﾄ" localSheetId="1">#REF!</definedName>
    <definedName name="予算ﾚｰﾄ">#REF!</definedName>
    <definedName name="今" localSheetId="1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>[6]支援計画・０４!$G$4:$G$171</definedName>
    <definedName name="到着">[6]支援計画・０４!$F$4:$F$171</definedName>
    <definedName name="印刷領域" localSheetId="1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>#REF!</definedName>
    <definedName name="商品群">[7]テーブル!$B$2:$B$7</definedName>
    <definedName name="実績レート" localSheetId="1">#REF!</definedName>
    <definedName name="実績レート">#REF!</definedName>
    <definedName name="対象日数" localSheetId="1">#REF!</definedName>
    <definedName name="対象日数">#REF!</definedName>
    <definedName name="技術開発経費181" localSheetId="1">#REF!</definedName>
    <definedName name="技術開発経費181">#REF!</definedName>
    <definedName name="技術開発経費182">#REF!</definedName>
    <definedName name="担当者">[7]テーブル!$F$2:$F$24</definedName>
    <definedName name="支援まとめ">'[8]予定日別1-6'!$U$4:$GV$4</definedName>
    <definedName name="日付">[6]支援計画・０４!$J$4:$CW$4</definedName>
    <definedName name="日数" localSheetId="1">#REF!</definedName>
    <definedName name="日数">#REF!</definedName>
    <definedName name="期" localSheetId="1">#REF!</definedName>
    <definedName name="期">#REF!</definedName>
    <definedName name="梱包_Ｍ３">'[9]KB,MOLD ESTIMATE.00'!$F$13:$X$13</definedName>
    <definedName name="機能分類リスト">[10]開発計画品番リスト!#REF!</definedName>
    <definedName name="比率">[11]調達計画!#REF!</definedName>
    <definedName name="決算期区分" localSheetId="1">#REF!</definedName>
    <definedName name="決算期区分">#REF!</definedName>
    <definedName name="為替" localSheetId="1">#REF!</definedName>
    <definedName name="為替">#REF!</definedName>
    <definedName name="為替レートEU" localSheetId="1">#REF!</definedName>
    <definedName name="為替レートEU">#REF!</definedName>
    <definedName name="為替レートUS">#REF!</definedName>
    <definedName name="生産拠点">[7]テーブル!$C$2:$C$6</definedName>
    <definedName name="直販ｺｰﾄﾞ">'[4]ｺﾋﾟｰ用（直セ）'!$F$1:$AN$263</definedName>
    <definedName name="立上年">[7]テーブル!$A$2:$A$11</definedName>
    <definedName name="立上月">[7]テーブル!$D$2:$D$13</definedName>
    <definedName name="補助部門比率" localSheetId="1">#REF!</definedName>
    <definedName name="補助部門比率">#REF!</definedName>
    <definedName name="補助部門費_設計以外181" localSheetId="1">#REF!</definedName>
    <definedName name="補助部門費_設計以外181">#REF!</definedName>
    <definedName name="補助部門費_設計以外182" localSheetId="1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5" i="1" l="1"/>
  <c r="AE185" i="1" s="1"/>
  <c r="AF185" i="1" s="1"/>
  <c r="AC185" i="1"/>
  <c r="J185" i="1"/>
  <c r="I185" i="1"/>
  <c r="F185" i="1"/>
  <c r="D185" i="1"/>
  <c r="B185" i="1"/>
  <c r="AC184" i="1"/>
  <c r="U184" i="1"/>
  <c r="AD184" i="1" s="1"/>
  <c r="AE184" i="1" s="1"/>
  <c r="AF184" i="1" s="1"/>
  <c r="J184" i="1"/>
  <c r="I184" i="1"/>
  <c r="F184" i="1"/>
  <c r="D184" i="1"/>
  <c r="B184" i="1"/>
  <c r="AC183" i="1"/>
  <c r="U183" i="1"/>
  <c r="AD183" i="1" s="1"/>
  <c r="AE183" i="1" s="1"/>
  <c r="AF183" i="1" s="1"/>
  <c r="J183" i="1"/>
  <c r="I183" i="1"/>
  <c r="F183" i="1"/>
  <c r="D183" i="1"/>
  <c r="B183" i="1"/>
  <c r="AD182" i="1"/>
  <c r="AE182" i="1" s="1"/>
  <c r="AF182" i="1" s="1"/>
  <c r="AC182" i="1"/>
  <c r="U182" i="1"/>
  <c r="J182" i="1"/>
  <c r="I182" i="1"/>
  <c r="F182" i="1"/>
  <c r="D182" i="1"/>
  <c r="B182" i="1"/>
  <c r="AF181" i="1"/>
  <c r="AE181" i="1"/>
  <c r="AD181" i="1"/>
  <c r="AC181" i="1"/>
  <c r="J181" i="1"/>
  <c r="I181" i="1"/>
  <c r="F181" i="1"/>
  <c r="D181" i="1"/>
  <c r="B181" i="1"/>
  <c r="AC180" i="1"/>
  <c r="U180" i="1"/>
  <c r="AD180" i="1" s="1"/>
  <c r="AE180" i="1" s="1"/>
  <c r="AF180" i="1" s="1"/>
  <c r="J180" i="1"/>
  <c r="I180" i="1"/>
  <c r="F180" i="1"/>
  <c r="D180" i="1"/>
  <c r="B180" i="1"/>
  <c r="AD179" i="1"/>
  <c r="AE179" i="1" s="1"/>
  <c r="AF179" i="1" s="1"/>
  <c r="AC179" i="1"/>
  <c r="J179" i="1"/>
  <c r="I179" i="1"/>
  <c r="F179" i="1"/>
  <c r="D179" i="1"/>
  <c r="B179" i="1"/>
  <c r="AD178" i="1"/>
  <c r="AE178" i="1" s="1"/>
  <c r="AF178" i="1" s="1"/>
  <c r="AC178" i="1"/>
  <c r="J178" i="1"/>
  <c r="I178" i="1"/>
  <c r="F178" i="1"/>
  <c r="D178" i="1"/>
  <c r="B178" i="1"/>
  <c r="AD177" i="1"/>
  <c r="AE177" i="1" s="1"/>
  <c r="AF177" i="1" s="1"/>
  <c r="AC177" i="1"/>
  <c r="J177" i="1"/>
  <c r="I177" i="1"/>
  <c r="F177" i="1"/>
  <c r="D177" i="1"/>
  <c r="B177" i="1"/>
  <c r="AD176" i="1"/>
  <c r="AE176" i="1" s="1"/>
  <c r="AF176" i="1" s="1"/>
  <c r="AC176" i="1"/>
  <c r="J176" i="1"/>
  <c r="I176" i="1"/>
  <c r="F176" i="1"/>
  <c r="D176" i="1"/>
  <c r="B176" i="1"/>
  <c r="AE175" i="1"/>
  <c r="AF175" i="1" s="1"/>
  <c r="AD175" i="1"/>
  <c r="AC175" i="1"/>
  <c r="J175" i="1"/>
  <c r="I175" i="1"/>
  <c r="F175" i="1"/>
  <c r="D175" i="1"/>
  <c r="B175" i="1"/>
  <c r="AF174" i="1"/>
  <c r="AE174" i="1"/>
  <c r="AD174" i="1"/>
  <c r="AC174" i="1"/>
  <c r="J174" i="1"/>
  <c r="I174" i="1"/>
  <c r="F174" i="1"/>
  <c r="D174" i="1"/>
  <c r="B174" i="1"/>
  <c r="AD173" i="1"/>
  <c r="AE173" i="1" s="1"/>
  <c r="AF173" i="1" s="1"/>
  <c r="AC173" i="1"/>
  <c r="J173" i="1"/>
  <c r="I173" i="1"/>
  <c r="F173" i="1"/>
  <c r="D173" i="1"/>
  <c r="B173" i="1"/>
  <c r="AE172" i="1"/>
  <c r="AF172" i="1" s="1"/>
  <c r="AD172" i="1"/>
  <c r="AC172" i="1"/>
  <c r="J172" i="1"/>
  <c r="I172" i="1"/>
  <c r="F172" i="1"/>
  <c r="D172" i="1"/>
  <c r="B172" i="1"/>
  <c r="AD171" i="1"/>
  <c r="AE171" i="1" s="1"/>
  <c r="AF171" i="1" s="1"/>
  <c r="AC171" i="1"/>
  <c r="J171" i="1"/>
  <c r="I171" i="1"/>
  <c r="F171" i="1"/>
  <c r="D171" i="1"/>
  <c r="B171" i="1"/>
  <c r="AE170" i="1"/>
  <c r="AF170" i="1" s="1"/>
  <c r="AD170" i="1"/>
  <c r="AC170" i="1"/>
  <c r="J170" i="1"/>
  <c r="I170" i="1"/>
  <c r="F170" i="1"/>
  <c r="D170" i="1"/>
  <c r="B170" i="1"/>
  <c r="AD169" i="1"/>
  <c r="AE169" i="1" s="1"/>
  <c r="AF169" i="1" s="1"/>
  <c r="AC169" i="1"/>
  <c r="J169" i="1"/>
  <c r="I169" i="1"/>
  <c r="F169" i="1"/>
  <c r="D169" i="1"/>
  <c r="B169" i="1"/>
  <c r="AD168" i="1"/>
  <c r="AE168" i="1" s="1"/>
  <c r="AF168" i="1" s="1"/>
  <c r="AC168" i="1"/>
  <c r="J168" i="1"/>
  <c r="I168" i="1"/>
  <c r="F168" i="1"/>
  <c r="D168" i="1"/>
  <c r="B168" i="1"/>
  <c r="AE167" i="1"/>
  <c r="AF167" i="1" s="1"/>
  <c r="AD167" i="1"/>
  <c r="AC167" i="1"/>
  <c r="J167" i="1"/>
  <c r="I167" i="1"/>
  <c r="F167" i="1"/>
  <c r="D167" i="1"/>
  <c r="B167" i="1"/>
  <c r="AF166" i="1"/>
  <c r="AE166" i="1"/>
  <c r="AD166" i="1"/>
  <c r="AC166" i="1"/>
  <c r="J166" i="1"/>
  <c r="I166" i="1"/>
  <c r="F166" i="1"/>
  <c r="D166" i="1"/>
  <c r="B166" i="1"/>
  <c r="AD165" i="1"/>
  <c r="AE165" i="1" s="1"/>
  <c r="AF165" i="1" s="1"/>
  <c r="AC165" i="1"/>
  <c r="J165" i="1"/>
  <c r="I165" i="1"/>
  <c r="F165" i="1"/>
  <c r="D165" i="1"/>
  <c r="B165" i="1"/>
  <c r="AE164" i="1"/>
  <c r="AF164" i="1" s="1"/>
  <c r="AD164" i="1"/>
  <c r="AC164" i="1"/>
  <c r="J164" i="1"/>
  <c r="I164" i="1"/>
  <c r="F164" i="1"/>
  <c r="D164" i="1"/>
  <c r="B164" i="1"/>
  <c r="AD163" i="1"/>
  <c r="AE163" i="1" s="1"/>
  <c r="AF163" i="1" s="1"/>
  <c r="AC163" i="1"/>
  <c r="J163" i="1"/>
  <c r="I163" i="1"/>
  <c r="F163" i="1"/>
  <c r="D163" i="1"/>
  <c r="B163" i="1"/>
  <c r="AD162" i="1"/>
  <c r="AE162" i="1" s="1"/>
  <c r="AF162" i="1" s="1"/>
  <c r="AC162" i="1"/>
  <c r="J162" i="1"/>
  <c r="I162" i="1"/>
  <c r="F162" i="1"/>
  <c r="D162" i="1"/>
  <c r="B162" i="1"/>
  <c r="AD161" i="1"/>
  <c r="AE161" i="1" s="1"/>
  <c r="AF161" i="1" s="1"/>
  <c r="AC161" i="1"/>
  <c r="J161" i="1"/>
  <c r="I161" i="1"/>
  <c r="F161" i="1"/>
  <c r="D161" i="1"/>
  <c r="B161" i="1"/>
  <c r="AD160" i="1"/>
  <c r="AE160" i="1" s="1"/>
  <c r="AF160" i="1" s="1"/>
  <c r="AC160" i="1"/>
  <c r="J160" i="1"/>
  <c r="I160" i="1"/>
  <c r="F160" i="1"/>
  <c r="D160" i="1"/>
  <c r="B160" i="1"/>
  <c r="AE159" i="1"/>
  <c r="AF159" i="1" s="1"/>
  <c r="AD159" i="1"/>
  <c r="AC159" i="1"/>
  <c r="J159" i="1"/>
  <c r="I159" i="1"/>
  <c r="F159" i="1"/>
  <c r="D159" i="1"/>
  <c r="B159" i="1"/>
  <c r="AF158" i="1"/>
  <c r="AE158" i="1"/>
  <c r="AD158" i="1"/>
  <c r="AC158" i="1"/>
  <c r="J158" i="1"/>
  <c r="I158" i="1"/>
  <c r="F158" i="1"/>
  <c r="D158" i="1"/>
  <c r="B158" i="1"/>
  <c r="AD157" i="1"/>
  <c r="AC157" i="1"/>
  <c r="J157" i="1"/>
  <c r="I157" i="1"/>
  <c r="F157" i="1"/>
  <c r="D157" i="1"/>
  <c r="AD156" i="1"/>
  <c r="AC156" i="1"/>
  <c r="J156" i="1"/>
  <c r="I156" i="1"/>
  <c r="F156" i="1"/>
  <c r="D156" i="1"/>
  <c r="AD155" i="1"/>
  <c r="AC155" i="1"/>
  <c r="J155" i="1"/>
  <c r="I155" i="1"/>
  <c r="F155" i="1"/>
  <c r="D155" i="1"/>
  <c r="AD154" i="1"/>
  <c r="AC154" i="1"/>
  <c r="J154" i="1"/>
  <c r="I154" i="1"/>
  <c r="F154" i="1"/>
  <c r="D154" i="1"/>
  <c r="AD153" i="1"/>
  <c r="AC153" i="1"/>
  <c r="J153" i="1"/>
  <c r="I153" i="1"/>
  <c r="F153" i="1"/>
  <c r="D153" i="1"/>
  <c r="AD152" i="1"/>
  <c r="AC152" i="1"/>
  <c r="J152" i="1"/>
  <c r="I152" i="1"/>
  <c r="F152" i="1"/>
  <c r="D152" i="1"/>
  <c r="AD151" i="1"/>
  <c r="AC151" i="1"/>
  <c r="J151" i="1"/>
  <c r="I151" i="1"/>
  <c r="F151" i="1"/>
  <c r="D151" i="1"/>
  <c r="AD150" i="1"/>
  <c r="AC150" i="1"/>
  <c r="J150" i="1"/>
  <c r="I150" i="1"/>
  <c r="F150" i="1"/>
  <c r="D150" i="1"/>
  <c r="AD149" i="1"/>
  <c r="AC149" i="1"/>
  <c r="J149" i="1"/>
  <c r="I149" i="1"/>
  <c r="F149" i="1"/>
  <c r="D149" i="1"/>
  <c r="AD148" i="1"/>
  <c r="AC148" i="1"/>
  <c r="J148" i="1"/>
  <c r="I148" i="1"/>
  <c r="F148" i="1"/>
  <c r="D148" i="1"/>
  <c r="AD147" i="1"/>
  <c r="AC147" i="1"/>
  <c r="J147" i="1"/>
  <c r="I147" i="1"/>
  <c r="F147" i="1"/>
  <c r="D147" i="1"/>
  <c r="AD146" i="1"/>
  <c r="AC146" i="1"/>
  <c r="J146" i="1"/>
  <c r="I146" i="1"/>
  <c r="F146" i="1"/>
  <c r="D146" i="1"/>
  <c r="AD145" i="1"/>
  <c r="AC145" i="1"/>
  <c r="J145" i="1"/>
  <c r="I145" i="1"/>
  <c r="F145" i="1"/>
  <c r="D145" i="1"/>
  <c r="AD144" i="1"/>
  <c r="AC144" i="1"/>
  <c r="J144" i="1"/>
  <c r="I144" i="1"/>
  <c r="F144" i="1"/>
  <c r="D144" i="1"/>
  <c r="AD143" i="1"/>
  <c r="AC143" i="1"/>
  <c r="J143" i="1"/>
  <c r="I143" i="1"/>
  <c r="F143" i="1"/>
  <c r="D143" i="1"/>
  <c r="AD142" i="1"/>
  <c r="AC142" i="1"/>
  <c r="J142" i="1"/>
  <c r="I142" i="1"/>
  <c r="F142" i="1"/>
  <c r="D142" i="1"/>
  <c r="AD141" i="1"/>
  <c r="AC141" i="1"/>
  <c r="J141" i="1"/>
  <c r="I141" i="1"/>
  <c r="F141" i="1"/>
  <c r="D141" i="1"/>
  <c r="AD140" i="1"/>
  <c r="AC140" i="1"/>
  <c r="J140" i="1"/>
  <c r="I140" i="1"/>
  <c r="F140" i="1"/>
  <c r="D140" i="1"/>
  <c r="AD139" i="1"/>
  <c r="AC139" i="1"/>
  <c r="J139" i="1"/>
  <c r="I139" i="1"/>
  <c r="F139" i="1"/>
  <c r="D139" i="1"/>
  <c r="AD138" i="1"/>
  <c r="AC138" i="1"/>
  <c r="J138" i="1"/>
  <c r="I138" i="1"/>
  <c r="F138" i="1"/>
  <c r="D138" i="1"/>
  <c r="AD137" i="1"/>
  <c r="AC137" i="1"/>
  <c r="J137" i="1"/>
  <c r="I137" i="1"/>
  <c r="F137" i="1"/>
  <c r="D137" i="1"/>
  <c r="AD136" i="1"/>
  <c r="AC136" i="1"/>
  <c r="J136" i="1"/>
  <c r="I136" i="1"/>
  <c r="F136" i="1"/>
  <c r="D136" i="1"/>
  <c r="AD135" i="1"/>
  <c r="AC135" i="1"/>
  <c r="J135" i="1"/>
  <c r="I135" i="1"/>
  <c r="F135" i="1"/>
  <c r="D135" i="1"/>
  <c r="AD134" i="1"/>
  <c r="AC134" i="1"/>
  <c r="J134" i="1"/>
  <c r="I134" i="1"/>
  <c r="F134" i="1"/>
  <c r="D134" i="1"/>
  <c r="AD133" i="1"/>
  <c r="AC133" i="1"/>
  <c r="J133" i="1"/>
  <c r="I133" i="1"/>
  <c r="F133" i="1"/>
  <c r="D133" i="1"/>
  <c r="AD132" i="1"/>
  <c r="AC132" i="1"/>
  <c r="J132" i="1"/>
  <c r="I132" i="1"/>
  <c r="F132" i="1"/>
  <c r="D132" i="1"/>
  <c r="AD131" i="1"/>
  <c r="AC131" i="1"/>
  <c r="J131" i="1"/>
  <c r="I131" i="1"/>
  <c r="F131" i="1"/>
  <c r="D131" i="1"/>
  <c r="AD130" i="1"/>
  <c r="AC130" i="1"/>
  <c r="J130" i="1"/>
  <c r="I130" i="1"/>
  <c r="F130" i="1"/>
  <c r="D130" i="1"/>
  <c r="AD129" i="1"/>
  <c r="AC129" i="1"/>
  <c r="J129" i="1"/>
  <c r="I129" i="1"/>
  <c r="F129" i="1"/>
  <c r="D129" i="1"/>
  <c r="AD128" i="1"/>
  <c r="AC128" i="1"/>
  <c r="J128" i="1"/>
  <c r="I128" i="1"/>
  <c r="F128" i="1"/>
  <c r="D128" i="1"/>
  <c r="AD127" i="1"/>
  <c r="AC127" i="1"/>
  <c r="J127" i="1"/>
  <c r="I127" i="1"/>
  <c r="F127" i="1"/>
  <c r="D127" i="1"/>
  <c r="AD126" i="1"/>
  <c r="AC126" i="1"/>
  <c r="J126" i="1"/>
  <c r="I126" i="1"/>
  <c r="F126" i="1"/>
  <c r="D126" i="1"/>
  <c r="AD125" i="1"/>
  <c r="AC125" i="1"/>
  <c r="J125" i="1"/>
  <c r="I125" i="1"/>
  <c r="F125" i="1"/>
  <c r="D125" i="1"/>
  <c r="AD124" i="1"/>
  <c r="AC124" i="1"/>
  <c r="J124" i="1"/>
  <c r="I124" i="1"/>
  <c r="F124" i="1"/>
  <c r="D124" i="1"/>
  <c r="AD123" i="1"/>
  <c r="AC123" i="1"/>
  <c r="J123" i="1"/>
  <c r="I123" i="1"/>
  <c r="F123" i="1"/>
  <c r="D123" i="1"/>
  <c r="AD122" i="1"/>
  <c r="AC122" i="1"/>
  <c r="J122" i="1"/>
  <c r="I122" i="1"/>
  <c r="F122" i="1"/>
  <c r="D122" i="1"/>
  <c r="AD121" i="1"/>
  <c r="AC121" i="1"/>
  <c r="J121" i="1"/>
  <c r="I121" i="1"/>
  <c r="F121" i="1"/>
  <c r="D121" i="1"/>
  <c r="AD120" i="1"/>
  <c r="AC120" i="1"/>
  <c r="J120" i="1"/>
  <c r="I120" i="1"/>
  <c r="F120" i="1"/>
  <c r="D120" i="1"/>
  <c r="AD119" i="1"/>
  <c r="AC119" i="1"/>
  <c r="J119" i="1"/>
  <c r="I119" i="1"/>
  <c r="F119" i="1"/>
  <c r="D119" i="1"/>
  <c r="AD118" i="1"/>
  <c r="AC118" i="1"/>
  <c r="J118" i="1"/>
  <c r="I118" i="1"/>
  <c r="F118" i="1"/>
  <c r="D118" i="1"/>
  <c r="AD117" i="1"/>
  <c r="AC117" i="1"/>
  <c r="J117" i="1"/>
  <c r="I117" i="1"/>
  <c r="F117" i="1"/>
  <c r="D117" i="1"/>
  <c r="AD116" i="1"/>
  <c r="AC116" i="1"/>
  <c r="J116" i="1"/>
  <c r="I116" i="1"/>
  <c r="F116" i="1"/>
  <c r="D116" i="1"/>
  <c r="AD115" i="1"/>
  <c r="AC115" i="1"/>
  <c r="J115" i="1"/>
  <c r="I115" i="1"/>
  <c r="F115" i="1"/>
  <c r="D115" i="1"/>
  <c r="AD114" i="1"/>
  <c r="AC114" i="1"/>
  <c r="J114" i="1"/>
  <c r="I114" i="1"/>
  <c r="F114" i="1"/>
  <c r="D114" i="1"/>
  <c r="AD113" i="1"/>
  <c r="AC113" i="1"/>
  <c r="J113" i="1"/>
  <c r="I113" i="1"/>
  <c r="F113" i="1"/>
  <c r="D113" i="1"/>
  <c r="AD112" i="1"/>
  <c r="AC112" i="1"/>
  <c r="J112" i="1"/>
  <c r="I112" i="1"/>
  <c r="F112" i="1"/>
  <c r="D112" i="1"/>
  <c r="AD111" i="1"/>
  <c r="AC111" i="1"/>
  <c r="J111" i="1"/>
  <c r="I111" i="1"/>
  <c r="F111" i="1"/>
  <c r="D111" i="1"/>
  <c r="AD110" i="1"/>
  <c r="AC110" i="1"/>
  <c r="J110" i="1"/>
  <c r="I110" i="1"/>
  <c r="F110" i="1"/>
  <c r="D110" i="1"/>
  <c r="AD109" i="1"/>
  <c r="AC109" i="1"/>
  <c r="J109" i="1"/>
  <c r="I109" i="1"/>
  <c r="F109" i="1"/>
  <c r="D109" i="1"/>
  <c r="AD108" i="1"/>
  <c r="AC108" i="1"/>
  <c r="J108" i="1"/>
  <c r="I108" i="1"/>
  <c r="F108" i="1"/>
  <c r="D108" i="1"/>
  <c r="AD107" i="1"/>
  <c r="AC107" i="1"/>
  <c r="J107" i="1"/>
  <c r="I107" i="1"/>
  <c r="F107" i="1"/>
  <c r="D107" i="1"/>
  <c r="AD106" i="1"/>
  <c r="AC106" i="1"/>
  <c r="J106" i="1"/>
  <c r="I106" i="1"/>
  <c r="F106" i="1"/>
  <c r="D106" i="1"/>
  <c r="AD105" i="1"/>
  <c r="AC105" i="1"/>
  <c r="J105" i="1"/>
  <c r="I105" i="1"/>
  <c r="F105" i="1"/>
  <c r="D105" i="1"/>
  <c r="AD104" i="1"/>
  <c r="AC104" i="1"/>
  <c r="J104" i="1"/>
  <c r="I104" i="1"/>
  <c r="F104" i="1"/>
  <c r="D104" i="1"/>
  <c r="AD103" i="1"/>
  <c r="AC103" i="1"/>
  <c r="J103" i="1"/>
  <c r="I103" i="1"/>
  <c r="F103" i="1"/>
  <c r="D103" i="1"/>
  <c r="AD102" i="1"/>
  <c r="AC102" i="1"/>
  <c r="J102" i="1"/>
  <c r="I102" i="1"/>
  <c r="F102" i="1"/>
  <c r="D102" i="1"/>
  <c r="AD101" i="1"/>
  <c r="AC101" i="1"/>
  <c r="J101" i="1"/>
  <c r="I101" i="1"/>
  <c r="F101" i="1"/>
  <c r="D101" i="1"/>
  <c r="AD100" i="1"/>
  <c r="AC100" i="1"/>
  <c r="J100" i="1"/>
  <c r="I100" i="1"/>
  <c r="F100" i="1"/>
  <c r="D100" i="1"/>
  <c r="AD99" i="1"/>
  <c r="AC99" i="1"/>
  <c r="J99" i="1"/>
  <c r="I99" i="1"/>
  <c r="F99" i="1"/>
  <c r="D99" i="1"/>
  <c r="AD98" i="1"/>
  <c r="AC98" i="1"/>
  <c r="J98" i="1"/>
  <c r="I98" i="1"/>
  <c r="F98" i="1"/>
  <c r="D98" i="1"/>
  <c r="AD97" i="1"/>
  <c r="AC97" i="1"/>
  <c r="J97" i="1"/>
  <c r="I97" i="1"/>
  <c r="F97" i="1"/>
  <c r="D97" i="1"/>
  <c r="AD96" i="1"/>
  <c r="AC96" i="1"/>
  <c r="J96" i="1"/>
  <c r="I96" i="1"/>
  <c r="F96" i="1"/>
  <c r="D96" i="1"/>
  <c r="AD95" i="1"/>
  <c r="AC95" i="1"/>
  <c r="J95" i="1"/>
  <c r="I95" i="1"/>
  <c r="F95" i="1"/>
  <c r="D95" i="1"/>
  <c r="AD94" i="1"/>
  <c r="AC94" i="1"/>
  <c r="J94" i="1"/>
  <c r="I94" i="1"/>
  <c r="F94" i="1"/>
  <c r="D94" i="1"/>
  <c r="AD93" i="1"/>
  <c r="AC93" i="1"/>
  <c r="J93" i="1"/>
  <c r="I93" i="1"/>
  <c r="F93" i="1"/>
  <c r="D93" i="1"/>
  <c r="AD92" i="1"/>
  <c r="AC92" i="1"/>
  <c r="J92" i="1"/>
  <c r="I92" i="1"/>
  <c r="F92" i="1"/>
  <c r="D92" i="1"/>
  <c r="AD91" i="1"/>
  <c r="AC91" i="1"/>
  <c r="J91" i="1"/>
  <c r="I91" i="1"/>
  <c r="F91" i="1"/>
  <c r="D91" i="1"/>
  <c r="AD90" i="1"/>
  <c r="AC90" i="1"/>
  <c r="J90" i="1"/>
  <c r="I90" i="1"/>
  <c r="F90" i="1"/>
  <c r="D90" i="1"/>
  <c r="AD89" i="1"/>
  <c r="AC89" i="1"/>
  <c r="J89" i="1"/>
  <c r="I89" i="1"/>
  <c r="F89" i="1"/>
  <c r="D89" i="1"/>
  <c r="AD88" i="1"/>
  <c r="AC88" i="1"/>
  <c r="J88" i="1"/>
  <c r="I88" i="1"/>
  <c r="F88" i="1"/>
  <c r="D88" i="1"/>
  <c r="AD87" i="1"/>
  <c r="AC87" i="1"/>
  <c r="J87" i="1"/>
  <c r="I87" i="1"/>
  <c r="F87" i="1"/>
  <c r="D87" i="1"/>
  <c r="AD86" i="1"/>
  <c r="AC86" i="1"/>
  <c r="J86" i="1"/>
  <c r="I86" i="1"/>
  <c r="F86" i="1"/>
  <c r="D86" i="1"/>
  <c r="AD85" i="1"/>
  <c r="AC85" i="1"/>
  <c r="J85" i="1"/>
  <c r="I85" i="1"/>
  <c r="F85" i="1"/>
  <c r="D85" i="1"/>
  <c r="AD84" i="1"/>
  <c r="AC84" i="1"/>
  <c r="J84" i="1"/>
  <c r="I84" i="1"/>
  <c r="F84" i="1"/>
  <c r="D84" i="1"/>
  <c r="AD83" i="1"/>
  <c r="AC83" i="1"/>
  <c r="J83" i="1"/>
  <c r="I83" i="1"/>
  <c r="F83" i="1"/>
  <c r="D83" i="1"/>
  <c r="AD82" i="1"/>
  <c r="AC82" i="1"/>
  <c r="J82" i="1"/>
  <c r="I82" i="1"/>
  <c r="F82" i="1"/>
  <c r="D82" i="1"/>
  <c r="AD81" i="1"/>
  <c r="AC81" i="1"/>
  <c r="J81" i="1"/>
  <c r="I81" i="1"/>
  <c r="F81" i="1"/>
  <c r="D81" i="1"/>
  <c r="AD80" i="1"/>
  <c r="AC80" i="1"/>
  <c r="J80" i="1"/>
  <c r="I80" i="1"/>
  <c r="F80" i="1"/>
  <c r="D80" i="1"/>
  <c r="AD79" i="1"/>
  <c r="AC79" i="1"/>
  <c r="J79" i="1"/>
  <c r="I79" i="1"/>
  <c r="F79" i="1"/>
  <c r="D79" i="1"/>
  <c r="AD78" i="1"/>
  <c r="AC78" i="1"/>
  <c r="J78" i="1"/>
  <c r="I78" i="1"/>
  <c r="F78" i="1"/>
  <c r="D78" i="1"/>
  <c r="AD77" i="1"/>
  <c r="AC77" i="1"/>
  <c r="J77" i="1"/>
  <c r="I77" i="1"/>
  <c r="F77" i="1"/>
  <c r="D77" i="1"/>
  <c r="AD76" i="1"/>
  <c r="AC76" i="1"/>
  <c r="J76" i="1"/>
  <c r="I76" i="1"/>
  <c r="F76" i="1"/>
  <c r="D76" i="1"/>
  <c r="AD75" i="1"/>
  <c r="AC75" i="1"/>
  <c r="J75" i="1"/>
  <c r="I75" i="1"/>
  <c r="F75" i="1"/>
  <c r="D75" i="1"/>
  <c r="AD74" i="1"/>
  <c r="AC74" i="1"/>
  <c r="J74" i="1"/>
  <c r="I74" i="1"/>
  <c r="F74" i="1"/>
  <c r="D74" i="1"/>
  <c r="AD73" i="1"/>
  <c r="AC73" i="1"/>
  <c r="J73" i="1"/>
  <c r="I73" i="1"/>
  <c r="F73" i="1"/>
  <c r="D73" i="1"/>
  <c r="AD72" i="1"/>
  <c r="AC72" i="1"/>
  <c r="J72" i="1"/>
  <c r="I72" i="1"/>
  <c r="F72" i="1"/>
  <c r="D72" i="1"/>
  <c r="AD71" i="1"/>
  <c r="AC71" i="1"/>
  <c r="J71" i="1"/>
  <c r="I71" i="1"/>
  <c r="F71" i="1"/>
  <c r="D71" i="1"/>
  <c r="AD70" i="1"/>
  <c r="AC70" i="1"/>
  <c r="J70" i="1"/>
  <c r="I70" i="1"/>
  <c r="F70" i="1"/>
  <c r="D70" i="1"/>
  <c r="AD69" i="1"/>
  <c r="AC69" i="1"/>
  <c r="J69" i="1"/>
  <c r="I69" i="1"/>
  <c r="F69" i="1"/>
  <c r="D69" i="1"/>
  <c r="AD68" i="1"/>
  <c r="AC68" i="1"/>
  <c r="J68" i="1"/>
  <c r="I68" i="1"/>
  <c r="F68" i="1"/>
  <c r="D68" i="1"/>
  <c r="AD67" i="1"/>
  <c r="AC67" i="1"/>
  <c r="J67" i="1"/>
  <c r="I67" i="1"/>
  <c r="F67" i="1"/>
  <c r="D67" i="1"/>
  <c r="AD66" i="1"/>
  <c r="AC66" i="1"/>
  <c r="J66" i="1"/>
  <c r="I66" i="1"/>
  <c r="F66" i="1"/>
  <c r="D66" i="1"/>
  <c r="AD65" i="1"/>
  <c r="AC65" i="1"/>
  <c r="J65" i="1"/>
  <c r="I65" i="1"/>
  <c r="F65" i="1"/>
  <c r="D65" i="1"/>
  <c r="AD64" i="1"/>
  <c r="AC64" i="1"/>
  <c r="J64" i="1"/>
  <c r="I64" i="1"/>
  <c r="F64" i="1"/>
  <c r="D64" i="1"/>
  <c r="AD63" i="1"/>
  <c r="AC63" i="1"/>
  <c r="J63" i="1"/>
  <c r="I63" i="1"/>
  <c r="F63" i="1"/>
  <c r="D63" i="1"/>
  <c r="AD62" i="1"/>
  <c r="AC62" i="1"/>
  <c r="J62" i="1"/>
  <c r="I62" i="1"/>
  <c r="F62" i="1"/>
  <c r="D62" i="1"/>
  <c r="AD61" i="1"/>
  <c r="AC61" i="1"/>
  <c r="J61" i="1"/>
  <c r="I61" i="1"/>
  <c r="F61" i="1"/>
  <c r="D61" i="1"/>
  <c r="AD60" i="1"/>
  <c r="AC60" i="1"/>
  <c r="J60" i="1"/>
  <c r="I60" i="1"/>
  <c r="F60" i="1"/>
  <c r="D60" i="1"/>
  <c r="AD59" i="1"/>
  <c r="AC59" i="1"/>
  <c r="J59" i="1"/>
  <c r="I59" i="1"/>
  <c r="F59" i="1"/>
  <c r="D59" i="1"/>
  <c r="AD58" i="1"/>
  <c r="AC58" i="1"/>
  <c r="J58" i="1"/>
  <c r="I58" i="1"/>
  <c r="F58" i="1"/>
  <c r="D58" i="1"/>
  <c r="AD57" i="1"/>
  <c r="AC57" i="1"/>
  <c r="J57" i="1"/>
  <c r="I57" i="1"/>
  <c r="F57" i="1"/>
  <c r="D57" i="1"/>
  <c r="AD56" i="1"/>
  <c r="AC56" i="1"/>
  <c r="J56" i="1"/>
  <c r="I56" i="1"/>
  <c r="F56" i="1"/>
  <c r="D56" i="1"/>
  <c r="AD55" i="1"/>
  <c r="AC55" i="1"/>
  <c r="J55" i="1"/>
  <c r="I55" i="1"/>
  <c r="F55" i="1"/>
  <c r="D55" i="1"/>
  <c r="AD54" i="1"/>
  <c r="AC54" i="1"/>
  <c r="J54" i="1"/>
  <c r="I54" i="1"/>
  <c r="F54" i="1"/>
  <c r="D54" i="1"/>
  <c r="AD53" i="1"/>
  <c r="AC53" i="1"/>
  <c r="J53" i="1"/>
  <c r="I53" i="1"/>
  <c r="F53" i="1"/>
  <c r="D53" i="1"/>
  <c r="AD52" i="1"/>
  <c r="AC52" i="1"/>
  <c r="J52" i="1"/>
  <c r="I52" i="1"/>
  <c r="F52" i="1"/>
  <c r="D52" i="1"/>
  <c r="AD51" i="1"/>
  <c r="AC51" i="1"/>
  <c r="J51" i="1"/>
  <c r="I51" i="1"/>
  <c r="F51" i="1"/>
  <c r="D51" i="1"/>
  <c r="AD50" i="1"/>
  <c r="AC50" i="1"/>
  <c r="J50" i="1"/>
  <c r="I50" i="1"/>
  <c r="F50" i="1"/>
  <c r="D50" i="1"/>
  <c r="AD49" i="1"/>
  <c r="AC49" i="1"/>
  <c r="J49" i="1"/>
  <c r="I49" i="1"/>
  <c r="F49" i="1"/>
  <c r="D49" i="1"/>
  <c r="AD48" i="1"/>
  <c r="AC48" i="1"/>
  <c r="J48" i="1"/>
  <c r="I48" i="1"/>
  <c r="F48" i="1"/>
  <c r="D48" i="1"/>
  <c r="AD47" i="1"/>
  <c r="AC47" i="1"/>
  <c r="J47" i="1"/>
  <c r="I47" i="1"/>
  <c r="F47" i="1"/>
  <c r="D47" i="1"/>
  <c r="AD46" i="1"/>
  <c r="AC46" i="1"/>
  <c r="J46" i="1"/>
  <c r="I46" i="1"/>
  <c r="F46" i="1"/>
  <c r="D46" i="1"/>
  <c r="AD45" i="1"/>
  <c r="AC45" i="1"/>
  <c r="J45" i="1"/>
  <c r="I45" i="1"/>
  <c r="F45" i="1"/>
  <c r="D45" i="1"/>
  <c r="AD44" i="1"/>
  <c r="AC44" i="1"/>
  <c r="J44" i="1"/>
  <c r="I44" i="1"/>
  <c r="F44" i="1"/>
  <c r="D44" i="1"/>
  <c r="AD43" i="1"/>
  <c r="AC43" i="1"/>
  <c r="J43" i="1"/>
  <c r="I43" i="1"/>
  <c r="F43" i="1"/>
  <c r="D43" i="1"/>
  <c r="AD42" i="1"/>
  <c r="AC42" i="1"/>
  <c r="J42" i="1"/>
  <c r="I42" i="1"/>
  <c r="F42" i="1"/>
  <c r="D42" i="1"/>
  <c r="AD41" i="1"/>
  <c r="AC41" i="1"/>
  <c r="J41" i="1"/>
  <c r="I41" i="1"/>
  <c r="F41" i="1"/>
  <c r="D41" i="1"/>
  <c r="AD40" i="1"/>
  <c r="AC40" i="1"/>
  <c r="J40" i="1"/>
  <c r="I40" i="1"/>
  <c r="F40" i="1"/>
  <c r="D40" i="1"/>
  <c r="B40" i="1"/>
  <c r="AD39" i="1"/>
  <c r="AC39" i="1"/>
  <c r="J39" i="1"/>
  <c r="I39" i="1"/>
  <c r="F39" i="1"/>
  <c r="D39" i="1"/>
  <c r="B39" i="1"/>
  <c r="AD38" i="1"/>
  <c r="AC38" i="1"/>
  <c r="J38" i="1"/>
  <c r="I38" i="1"/>
  <c r="F38" i="1"/>
  <c r="D38" i="1"/>
  <c r="B38" i="1"/>
  <c r="AD37" i="1"/>
  <c r="AC37" i="1"/>
  <c r="J37" i="1"/>
  <c r="I37" i="1"/>
  <c r="F37" i="1"/>
  <c r="D37" i="1"/>
  <c r="B37" i="1"/>
  <c r="AD36" i="1"/>
  <c r="AC36" i="1"/>
  <c r="J36" i="1"/>
  <c r="I36" i="1"/>
  <c r="F36" i="1"/>
  <c r="D36" i="1"/>
  <c r="B36" i="1"/>
  <c r="AD35" i="1"/>
  <c r="AC35" i="1"/>
  <c r="J35" i="1"/>
  <c r="I35" i="1"/>
  <c r="F35" i="1"/>
  <c r="D35" i="1"/>
  <c r="B35" i="1"/>
  <c r="AD34" i="1"/>
  <c r="AC34" i="1"/>
  <c r="J34" i="1"/>
  <c r="I34" i="1"/>
  <c r="F34" i="1"/>
  <c r="D34" i="1"/>
  <c r="B34" i="1"/>
  <c r="AE33" i="1"/>
  <c r="AD33" i="1"/>
  <c r="AC33" i="1"/>
  <c r="J33" i="1"/>
  <c r="I33" i="1"/>
  <c r="F33" i="1"/>
  <c r="D33" i="1"/>
  <c r="B33" i="1"/>
  <c r="AD32" i="1"/>
  <c r="AC32" i="1"/>
  <c r="J32" i="1"/>
  <c r="I32" i="1"/>
  <c r="F32" i="1"/>
  <c r="D32" i="1"/>
  <c r="B32" i="1"/>
  <c r="AD31" i="1"/>
  <c r="AC31" i="1"/>
  <c r="J31" i="1"/>
  <c r="I31" i="1"/>
  <c r="F31" i="1"/>
  <c r="D31" i="1"/>
  <c r="B31" i="1"/>
  <c r="AD30" i="1"/>
  <c r="AC30" i="1"/>
  <c r="J30" i="1"/>
  <c r="I30" i="1"/>
  <c r="F30" i="1"/>
  <c r="D30" i="1"/>
  <c r="B30" i="1"/>
  <c r="AD29" i="1"/>
  <c r="AC29" i="1"/>
  <c r="J29" i="1"/>
  <c r="I29" i="1"/>
  <c r="F29" i="1"/>
  <c r="D29" i="1"/>
  <c r="B29" i="1"/>
  <c r="AD28" i="1"/>
  <c r="AC28" i="1"/>
  <c r="J28" i="1"/>
  <c r="I28" i="1"/>
  <c r="F28" i="1"/>
  <c r="D28" i="1"/>
  <c r="B28" i="1"/>
  <c r="AD27" i="1"/>
  <c r="AC27" i="1"/>
  <c r="J27" i="1"/>
  <c r="I27" i="1"/>
  <c r="F27" i="1"/>
  <c r="D27" i="1"/>
  <c r="B27" i="1"/>
  <c r="AD26" i="1"/>
  <c r="AC26" i="1"/>
  <c r="J26" i="1"/>
  <c r="I26" i="1"/>
  <c r="F26" i="1"/>
  <c r="D26" i="1"/>
  <c r="B26" i="1"/>
  <c r="AD25" i="1"/>
  <c r="AC25" i="1"/>
  <c r="J25" i="1"/>
  <c r="I25" i="1"/>
  <c r="F25" i="1"/>
  <c r="D25" i="1"/>
  <c r="B25" i="1"/>
  <c r="AD24" i="1"/>
  <c r="AC24" i="1"/>
  <c r="J24" i="1"/>
  <c r="I24" i="1"/>
  <c r="F24" i="1"/>
  <c r="D24" i="1"/>
  <c r="B24" i="1"/>
  <c r="AD23" i="1"/>
  <c r="AC23" i="1"/>
  <c r="J23" i="1"/>
  <c r="I23" i="1"/>
  <c r="F23" i="1"/>
  <c r="D23" i="1"/>
  <c r="B23" i="1"/>
  <c r="AD22" i="1"/>
  <c r="AC22" i="1"/>
  <c r="J22" i="1"/>
  <c r="I22" i="1"/>
  <c r="F22" i="1"/>
  <c r="D22" i="1"/>
  <c r="B22" i="1"/>
  <c r="AD21" i="1"/>
  <c r="AC21" i="1"/>
  <c r="J21" i="1"/>
  <c r="I21" i="1"/>
  <c r="F21" i="1"/>
  <c r="D21" i="1"/>
  <c r="B21" i="1"/>
  <c r="AD20" i="1"/>
  <c r="AC20" i="1"/>
  <c r="J20" i="1"/>
  <c r="I20" i="1"/>
  <c r="F20" i="1"/>
  <c r="D20" i="1"/>
  <c r="B20" i="1"/>
  <c r="AD19" i="1"/>
  <c r="AC19" i="1"/>
  <c r="J19" i="1"/>
  <c r="I19" i="1"/>
  <c r="F19" i="1"/>
  <c r="D19" i="1"/>
  <c r="B19" i="1"/>
  <c r="AD18" i="1"/>
  <c r="AC18" i="1"/>
  <c r="J18" i="1"/>
  <c r="I18" i="1"/>
  <c r="F18" i="1"/>
  <c r="D18" i="1"/>
  <c r="B18" i="1"/>
  <c r="AD17" i="1"/>
  <c r="AC17" i="1"/>
  <c r="J17" i="1"/>
  <c r="I17" i="1"/>
  <c r="F17" i="1"/>
  <c r="D17" i="1"/>
  <c r="B17" i="1"/>
  <c r="AD16" i="1"/>
  <c r="AC16" i="1"/>
  <c r="J16" i="1"/>
  <c r="I16" i="1"/>
  <c r="F16" i="1"/>
  <c r="D16" i="1"/>
  <c r="B16" i="1"/>
  <c r="AD15" i="1"/>
  <c r="AC15" i="1"/>
  <c r="J15" i="1"/>
  <c r="I15" i="1"/>
  <c r="F15" i="1"/>
  <c r="D15" i="1"/>
  <c r="B15" i="1"/>
  <c r="AD14" i="1"/>
  <c r="AC14" i="1"/>
  <c r="J14" i="1"/>
  <c r="I14" i="1"/>
  <c r="F14" i="1"/>
  <c r="D14" i="1"/>
  <c r="B14" i="1"/>
  <c r="AD13" i="1"/>
  <c r="AC13" i="1"/>
  <c r="J13" i="1"/>
  <c r="I13" i="1"/>
  <c r="F13" i="1"/>
  <c r="D13" i="1"/>
  <c r="B13" i="1"/>
  <c r="AD12" i="1"/>
  <c r="AC12" i="1"/>
  <c r="J12" i="1"/>
  <c r="I12" i="1"/>
  <c r="F12" i="1"/>
  <c r="D12" i="1"/>
  <c r="B12" i="1"/>
  <c r="AD11" i="1"/>
  <c r="AC11" i="1"/>
  <c r="J11" i="1"/>
  <c r="I11" i="1"/>
  <c r="F11" i="1"/>
  <c r="D11" i="1"/>
  <c r="B11" i="1"/>
  <c r="AD10" i="1"/>
  <c r="AC10" i="1"/>
  <c r="J10" i="1"/>
  <c r="I10" i="1"/>
  <c r="F10" i="1"/>
  <c r="D10" i="1"/>
  <c r="B10" i="1"/>
  <c r="AD9" i="1"/>
  <c r="AC9" i="1"/>
  <c r="J9" i="1"/>
  <c r="I9" i="1"/>
  <c r="F9" i="1"/>
  <c r="D9" i="1"/>
  <c r="B9" i="1"/>
  <c r="AD8" i="1"/>
  <c r="AC8" i="1"/>
  <c r="J8" i="1"/>
  <c r="I8" i="1"/>
  <c r="F8" i="1"/>
  <c r="D8" i="1"/>
  <c r="B8" i="1"/>
  <c r="AD7" i="1"/>
  <c r="AC7" i="1"/>
  <c r="J7" i="1"/>
  <c r="I7" i="1"/>
  <c r="F7" i="1"/>
  <c r="D7" i="1"/>
  <c r="B7" i="1"/>
  <c r="AD6" i="1"/>
  <c r="AC6" i="1"/>
  <c r="J6" i="1"/>
  <c r="I6" i="1"/>
  <c r="F6" i="1"/>
  <c r="D6" i="1"/>
  <c r="B6" i="1"/>
  <c r="AD5" i="1"/>
  <c r="AC5" i="1"/>
  <c r="J5" i="1"/>
  <c r="I5" i="1"/>
  <c r="F5" i="1"/>
  <c r="D5" i="1"/>
  <c r="B5" i="1"/>
  <c r="AD4" i="1"/>
  <c r="AC4" i="1"/>
  <c r="J4" i="1"/>
  <c r="I4" i="1"/>
  <c r="F4" i="1"/>
  <c r="D4" i="1"/>
  <c r="B4" i="1"/>
  <c r="AD3" i="1"/>
  <c r="AC3" i="1"/>
  <c r="J3" i="1"/>
  <c r="I3" i="1"/>
  <c r="F3" i="1"/>
  <c r="D3" i="1"/>
  <c r="B3" i="1"/>
  <c r="AD2" i="1"/>
  <c r="AC2" i="1"/>
  <c r="J2" i="1"/>
  <c r="I2" i="1"/>
  <c r="F2" i="1"/>
  <c r="D2" i="1"/>
  <c r="B2" i="1"/>
  <c r="AD1001" i="1"/>
  <c r="AC1001" i="1"/>
  <c r="AD1000" i="1"/>
  <c r="AC1000" i="1"/>
  <c r="AD999" i="1"/>
  <c r="AC999" i="1"/>
  <c r="AD998" i="1"/>
  <c r="AC998" i="1"/>
  <c r="AD997" i="1"/>
  <c r="AC997" i="1"/>
  <c r="AD996" i="1"/>
  <c r="AC996" i="1"/>
  <c r="AD995" i="1"/>
  <c r="AC995" i="1"/>
  <c r="AD994" i="1"/>
  <c r="AC994" i="1"/>
  <c r="AD993" i="1"/>
  <c r="AC993" i="1"/>
  <c r="AD992" i="1"/>
  <c r="AC992" i="1"/>
  <c r="AD991" i="1"/>
  <c r="AC991" i="1"/>
  <c r="AD990" i="1"/>
  <c r="AC990" i="1"/>
  <c r="AD989" i="1"/>
  <c r="AC989" i="1"/>
  <c r="AD988" i="1"/>
  <c r="AC988" i="1"/>
  <c r="AD987" i="1"/>
  <c r="AC987" i="1"/>
  <c r="AD986" i="1"/>
  <c r="AC986" i="1"/>
  <c r="AD985" i="1"/>
  <c r="AC985" i="1"/>
  <c r="AD984" i="1"/>
  <c r="AC984" i="1"/>
  <c r="AD983" i="1"/>
  <c r="AC983" i="1"/>
  <c r="AD982" i="1"/>
  <c r="AC982" i="1"/>
  <c r="AD981" i="1"/>
  <c r="AC981" i="1"/>
  <c r="AD980" i="1"/>
  <c r="AC980" i="1"/>
  <c r="AD979" i="1"/>
  <c r="AC979" i="1"/>
  <c r="AD978" i="1"/>
  <c r="AC978" i="1"/>
  <c r="AD977" i="1"/>
  <c r="AC977" i="1"/>
  <c r="AD976" i="1"/>
  <c r="AC976" i="1"/>
  <c r="AD975" i="1"/>
  <c r="AC975" i="1"/>
  <c r="AD974" i="1"/>
  <c r="AC974" i="1"/>
  <c r="AD973" i="1"/>
  <c r="AC973" i="1"/>
  <c r="AD972" i="1"/>
  <c r="AC972" i="1"/>
  <c r="AD971" i="1"/>
  <c r="AC971" i="1"/>
  <c r="AD970" i="1"/>
  <c r="AC970" i="1"/>
  <c r="AD969" i="1"/>
  <c r="AC969" i="1"/>
  <c r="AD968" i="1"/>
  <c r="AC968" i="1"/>
  <c r="AD967" i="1"/>
  <c r="AC967" i="1"/>
  <c r="AD966" i="1"/>
  <c r="AC966" i="1"/>
  <c r="AD965" i="1"/>
  <c r="AC965" i="1"/>
  <c r="AD964" i="1"/>
  <c r="AC964" i="1"/>
  <c r="AD963" i="1"/>
  <c r="AC963" i="1"/>
  <c r="AD962" i="1"/>
  <c r="AC962" i="1"/>
  <c r="AD961" i="1"/>
  <c r="AC961" i="1"/>
  <c r="AD960" i="1"/>
  <c r="AC960" i="1"/>
  <c r="AD959" i="1"/>
  <c r="AC959" i="1"/>
  <c r="AD958" i="1"/>
  <c r="AC958" i="1"/>
  <c r="AD957" i="1"/>
  <c r="AC957" i="1"/>
  <c r="AD956" i="1"/>
  <c r="AC956" i="1"/>
  <c r="AD955" i="1"/>
  <c r="AC955" i="1"/>
  <c r="AD954" i="1"/>
  <c r="AC954" i="1"/>
  <c r="AD953" i="1"/>
  <c r="AC953" i="1"/>
  <c r="AD952" i="1"/>
  <c r="AC952" i="1"/>
  <c r="AD951" i="1"/>
  <c r="AC951" i="1"/>
  <c r="AD950" i="1"/>
  <c r="AC950" i="1"/>
  <c r="AD949" i="1"/>
  <c r="AC949" i="1"/>
  <c r="AD948" i="1"/>
  <c r="AC948" i="1"/>
  <c r="AD947" i="1"/>
  <c r="AC947" i="1"/>
  <c r="AD946" i="1"/>
  <c r="AC946" i="1"/>
  <c r="AD945" i="1"/>
  <c r="AC945" i="1"/>
  <c r="AD944" i="1"/>
  <c r="AC944" i="1"/>
  <c r="AD943" i="1"/>
  <c r="AC943" i="1"/>
  <c r="AD942" i="1"/>
  <c r="AC942" i="1"/>
  <c r="AD941" i="1"/>
  <c r="AC941" i="1"/>
  <c r="AD940" i="1"/>
  <c r="AC940" i="1"/>
  <c r="AD939" i="1"/>
  <c r="AC939" i="1"/>
  <c r="AD938" i="1"/>
  <c r="AC938" i="1"/>
  <c r="AD937" i="1"/>
  <c r="AC937" i="1"/>
  <c r="AD936" i="1"/>
  <c r="AC936" i="1"/>
  <c r="AD935" i="1"/>
  <c r="AC935" i="1"/>
  <c r="AD934" i="1"/>
  <c r="AC934" i="1"/>
  <c r="AD933" i="1"/>
  <c r="AC933" i="1"/>
  <c r="AD932" i="1"/>
  <c r="AC932" i="1"/>
  <c r="AD931" i="1"/>
  <c r="AC931" i="1"/>
  <c r="AD930" i="1"/>
  <c r="AC930" i="1"/>
  <c r="AD929" i="1"/>
  <c r="AC929" i="1"/>
  <c r="AD928" i="1"/>
  <c r="AC928" i="1"/>
  <c r="AD927" i="1"/>
  <c r="AC927" i="1"/>
  <c r="AD926" i="1"/>
  <c r="AC926" i="1"/>
  <c r="AD925" i="1"/>
  <c r="AC925" i="1"/>
  <c r="AD924" i="1"/>
  <c r="AC924" i="1"/>
  <c r="AD923" i="1"/>
  <c r="AC923" i="1"/>
  <c r="AD922" i="1"/>
  <c r="AC922" i="1"/>
  <c r="AD921" i="1"/>
  <c r="AC921" i="1"/>
  <c r="AD920" i="1"/>
  <c r="AC920" i="1"/>
  <c r="AD919" i="1"/>
  <c r="AC919" i="1"/>
  <c r="AD918" i="1"/>
  <c r="AC918" i="1"/>
  <c r="AD917" i="1"/>
  <c r="AC917" i="1"/>
  <c r="AD916" i="1"/>
  <c r="AC916" i="1"/>
  <c r="AD915" i="1"/>
  <c r="AC915" i="1"/>
  <c r="AD914" i="1"/>
  <c r="AC914" i="1"/>
  <c r="AD913" i="1"/>
  <c r="AC913" i="1"/>
  <c r="AD912" i="1"/>
  <c r="AC912" i="1"/>
  <c r="AD911" i="1"/>
  <c r="AC911" i="1"/>
  <c r="AD910" i="1"/>
  <c r="AC910" i="1"/>
  <c r="AD909" i="1"/>
  <c r="AC909" i="1"/>
  <c r="AD908" i="1"/>
  <c r="AC908" i="1"/>
  <c r="AD907" i="1"/>
  <c r="AC907" i="1"/>
  <c r="AD906" i="1"/>
  <c r="AC906" i="1"/>
  <c r="AD905" i="1"/>
  <c r="AC905" i="1"/>
  <c r="AD904" i="1"/>
  <c r="AC904" i="1"/>
  <c r="AD903" i="1"/>
  <c r="AC903" i="1"/>
  <c r="AD902" i="1"/>
  <c r="AC902" i="1"/>
  <c r="AD901" i="1"/>
  <c r="AC901" i="1"/>
  <c r="AD900" i="1"/>
  <c r="AC900" i="1"/>
  <c r="AD899" i="1"/>
  <c r="AC899" i="1"/>
  <c r="AD898" i="1"/>
  <c r="AC898" i="1"/>
  <c r="AD897" i="1"/>
  <c r="AC897" i="1"/>
  <c r="AD896" i="1"/>
  <c r="AC896" i="1"/>
  <c r="AD895" i="1"/>
  <c r="AC895" i="1"/>
  <c r="AD894" i="1"/>
  <c r="AC894" i="1"/>
  <c r="AD893" i="1"/>
  <c r="AC893" i="1"/>
  <c r="AD892" i="1"/>
  <c r="AC892" i="1"/>
  <c r="AD891" i="1"/>
  <c r="AC891" i="1"/>
  <c r="AD890" i="1"/>
  <c r="AC890" i="1"/>
  <c r="AD889" i="1"/>
  <c r="AC889" i="1"/>
  <c r="AD888" i="1"/>
  <c r="AC888" i="1"/>
  <c r="AD887" i="1"/>
  <c r="AC887" i="1"/>
  <c r="AD886" i="1"/>
  <c r="AC886" i="1"/>
  <c r="AD885" i="1"/>
  <c r="AC885" i="1"/>
  <c r="AD884" i="1"/>
  <c r="AC884" i="1"/>
  <c r="AD883" i="1"/>
  <c r="AC883" i="1"/>
  <c r="AD882" i="1"/>
  <c r="AC882" i="1"/>
  <c r="AD881" i="1"/>
  <c r="AC881" i="1"/>
  <c r="AD880" i="1"/>
  <c r="AC880" i="1"/>
  <c r="AD879" i="1"/>
  <c r="AC879" i="1"/>
  <c r="AD878" i="1"/>
  <c r="AC878" i="1"/>
  <c r="AD877" i="1"/>
  <c r="AC877" i="1"/>
  <c r="AD876" i="1"/>
  <c r="AC876" i="1"/>
  <c r="AD875" i="1"/>
  <c r="AC875" i="1"/>
  <c r="AD874" i="1"/>
  <c r="AC874" i="1"/>
  <c r="AD873" i="1"/>
  <c r="AC873" i="1"/>
  <c r="AD872" i="1"/>
  <c r="AC872" i="1"/>
  <c r="AD871" i="1"/>
  <c r="AC871" i="1"/>
  <c r="AD870" i="1"/>
  <c r="AC870" i="1"/>
  <c r="AD869" i="1"/>
  <c r="AC869" i="1"/>
  <c r="AD868" i="1"/>
  <c r="AC868" i="1"/>
  <c r="AD867" i="1"/>
  <c r="AC867" i="1"/>
  <c r="AD866" i="1"/>
  <c r="AC866" i="1"/>
  <c r="AD865" i="1"/>
  <c r="AC865" i="1"/>
  <c r="AD864" i="1"/>
  <c r="AC864" i="1"/>
  <c r="AD863" i="1"/>
  <c r="AC863" i="1"/>
  <c r="AD862" i="1"/>
  <c r="AC862" i="1"/>
  <c r="AD861" i="1"/>
  <c r="AC861" i="1"/>
  <c r="AD860" i="1"/>
  <c r="AC860" i="1"/>
  <c r="AD859" i="1"/>
  <c r="AC859" i="1"/>
  <c r="AD858" i="1"/>
  <c r="AC858" i="1"/>
  <c r="AD857" i="1"/>
  <c r="AC857" i="1"/>
  <c r="AD856" i="1"/>
  <c r="AC856" i="1"/>
  <c r="AD855" i="1"/>
  <c r="AC855" i="1"/>
  <c r="AD854" i="1"/>
  <c r="AC854" i="1"/>
  <c r="AD853" i="1"/>
  <c r="AC853" i="1"/>
  <c r="AD852" i="1"/>
  <c r="AC852" i="1"/>
  <c r="AD851" i="1"/>
  <c r="AC851" i="1"/>
  <c r="AD850" i="1"/>
  <c r="AC850" i="1"/>
  <c r="AD849" i="1"/>
  <c r="AC849" i="1"/>
  <c r="AD848" i="1"/>
  <c r="AC848" i="1"/>
  <c r="AD847" i="1"/>
  <c r="AC847" i="1"/>
  <c r="AD846" i="1"/>
  <c r="AC846" i="1"/>
  <c r="AD845" i="1"/>
  <c r="AC845" i="1"/>
  <c r="AD844" i="1"/>
  <c r="AC844" i="1"/>
  <c r="AD843" i="1"/>
  <c r="AC843" i="1"/>
  <c r="AD842" i="1"/>
  <c r="AC842" i="1"/>
  <c r="AD841" i="1"/>
  <c r="AC841" i="1"/>
  <c r="AD840" i="1"/>
  <c r="AC840" i="1"/>
  <c r="AD839" i="1"/>
  <c r="AC839" i="1"/>
  <c r="AD838" i="1"/>
  <c r="AC838" i="1"/>
  <c r="AD837" i="1"/>
  <c r="AC837" i="1"/>
  <c r="AD836" i="1"/>
  <c r="AC836" i="1"/>
  <c r="AD835" i="1"/>
  <c r="AC835" i="1"/>
  <c r="AD834" i="1"/>
  <c r="AC834" i="1"/>
  <c r="AD833" i="1"/>
  <c r="AC833" i="1"/>
  <c r="AD832" i="1"/>
  <c r="AC832" i="1"/>
  <c r="AD831" i="1"/>
  <c r="AC831" i="1"/>
  <c r="AD830" i="1"/>
  <c r="AC830" i="1"/>
  <c r="AD829" i="1"/>
  <c r="AC829" i="1"/>
  <c r="AD828" i="1"/>
  <c r="AC828" i="1"/>
  <c r="AD827" i="1"/>
  <c r="AC827" i="1"/>
  <c r="AD826" i="1"/>
  <c r="AC826" i="1"/>
  <c r="AD825" i="1"/>
  <c r="AC825" i="1"/>
  <c r="AD824" i="1"/>
  <c r="AC824" i="1"/>
  <c r="AD823" i="1"/>
  <c r="AC823" i="1"/>
  <c r="AD822" i="1"/>
  <c r="AC822" i="1"/>
  <c r="AD821" i="1"/>
  <c r="AC821" i="1"/>
  <c r="AD820" i="1"/>
  <c r="AC820" i="1"/>
  <c r="AD819" i="1"/>
  <c r="AC819" i="1"/>
  <c r="AD818" i="1"/>
  <c r="AC818" i="1"/>
  <c r="AD817" i="1"/>
  <c r="AC817" i="1"/>
  <c r="AD816" i="1"/>
  <c r="AC816" i="1"/>
  <c r="AD815" i="1"/>
  <c r="AC815" i="1"/>
  <c r="AD814" i="1"/>
  <c r="AC814" i="1"/>
  <c r="AD813" i="1"/>
  <c r="AC813" i="1"/>
  <c r="AD812" i="1"/>
  <c r="AC812" i="1"/>
  <c r="AD811" i="1"/>
  <c r="AC811" i="1"/>
  <c r="AD810" i="1"/>
  <c r="AC810" i="1"/>
  <c r="AD809" i="1"/>
  <c r="AC809" i="1"/>
  <c r="AD808" i="1"/>
  <c r="AC808" i="1"/>
  <c r="AD807" i="1"/>
  <c r="AC807" i="1"/>
  <c r="AD806" i="1"/>
  <c r="AC806" i="1"/>
  <c r="AD805" i="1"/>
  <c r="AC805" i="1"/>
  <c r="AD804" i="1"/>
  <c r="AC804" i="1"/>
  <c r="AD803" i="1"/>
  <c r="AC803" i="1"/>
  <c r="AD802" i="1"/>
  <c r="AC802" i="1"/>
  <c r="AD801" i="1"/>
  <c r="AC801" i="1"/>
  <c r="AD800" i="1"/>
  <c r="AC800" i="1"/>
  <c r="AD799" i="1"/>
  <c r="AC799" i="1"/>
  <c r="AD798" i="1"/>
  <c r="AC798" i="1"/>
  <c r="AD797" i="1"/>
  <c r="AC797" i="1"/>
  <c r="AD796" i="1"/>
  <c r="AC796" i="1"/>
  <c r="AD795" i="1"/>
  <c r="AC795" i="1"/>
  <c r="AD794" i="1"/>
  <c r="AC794" i="1"/>
  <c r="AD793" i="1"/>
  <c r="AC793" i="1"/>
  <c r="AD792" i="1"/>
  <c r="AC792" i="1"/>
  <c r="AD791" i="1"/>
  <c r="AC791" i="1"/>
  <c r="AD790" i="1"/>
  <c r="AC790" i="1"/>
  <c r="AD789" i="1"/>
  <c r="AC789" i="1"/>
  <c r="AD788" i="1"/>
  <c r="AC788" i="1"/>
  <c r="AD787" i="1"/>
  <c r="AC787" i="1"/>
  <c r="AD786" i="1"/>
  <c r="AC786" i="1"/>
  <c r="AD785" i="1"/>
  <c r="AC785" i="1"/>
  <c r="AD784" i="1"/>
  <c r="AC784" i="1"/>
  <c r="AD783" i="1"/>
  <c r="AC783" i="1"/>
  <c r="AD782" i="1"/>
  <c r="AC782" i="1"/>
  <c r="AD781" i="1"/>
  <c r="AC781" i="1"/>
  <c r="AD780" i="1"/>
  <c r="AC780" i="1"/>
  <c r="AD779" i="1"/>
  <c r="AC779" i="1"/>
  <c r="AD778" i="1"/>
  <c r="AC778" i="1"/>
  <c r="AD777" i="1"/>
  <c r="AC777" i="1"/>
  <c r="AD776" i="1"/>
  <c r="AC776" i="1"/>
  <c r="AD775" i="1"/>
  <c r="AC775" i="1"/>
  <c r="AD774" i="1"/>
  <c r="AC774" i="1"/>
  <c r="AD773" i="1"/>
  <c r="AC773" i="1"/>
  <c r="AD772" i="1"/>
  <c r="AC772" i="1"/>
  <c r="AD771" i="1"/>
  <c r="AC771" i="1"/>
  <c r="AD770" i="1"/>
  <c r="AC770" i="1"/>
  <c r="AD769" i="1"/>
  <c r="AC769" i="1"/>
  <c r="AD768" i="1"/>
  <c r="AC768" i="1"/>
  <c r="AD767" i="1"/>
  <c r="AC767" i="1"/>
  <c r="AD766" i="1"/>
  <c r="AC766" i="1"/>
  <c r="AD765" i="1"/>
  <c r="AC765" i="1"/>
  <c r="AD764" i="1"/>
  <c r="AC764" i="1"/>
  <c r="AD763" i="1"/>
  <c r="AC763" i="1"/>
  <c r="AD762" i="1"/>
  <c r="AC762" i="1"/>
  <c r="AD761" i="1"/>
  <c r="AC761" i="1"/>
  <c r="AD760" i="1"/>
  <c r="AC760" i="1"/>
  <c r="AD759" i="1"/>
  <c r="AC759" i="1"/>
  <c r="AD758" i="1"/>
  <c r="AC758" i="1"/>
  <c r="AD757" i="1"/>
  <c r="AC757" i="1"/>
  <c r="AD756" i="1"/>
  <c r="AC756" i="1"/>
  <c r="AD755" i="1"/>
  <c r="AC755" i="1"/>
  <c r="AD754" i="1"/>
  <c r="AC754" i="1"/>
  <c r="AD753" i="1"/>
  <c r="AC753" i="1"/>
  <c r="AD752" i="1"/>
  <c r="AC752" i="1"/>
  <c r="AD751" i="1"/>
  <c r="AC751" i="1"/>
  <c r="AD750" i="1"/>
  <c r="AC750" i="1"/>
  <c r="AD749" i="1"/>
  <c r="AC749" i="1"/>
  <c r="AD748" i="1"/>
  <c r="AC748" i="1"/>
  <c r="AD747" i="1"/>
  <c r="AC747" i="1"/>
  <c r="AD746" i="1"/>
  <c r="AC746" i="1"/>
  <c r="AD745" i="1"/>
  <c r="AC745" i="1"/>
  <c r="AD744" i="1"/>
  <c r="AC744" i="1"/>
  <c r="AD743" i="1"/>
  <c r="AC743" i="1"/>
  <c r="AD742" i="1"/>
  <c r="AC742" i="1"/>
  <c r="AD741" i="1"/>
  <c r="AC741" i="1"/>
  <c r="AD740" i="1"/>
  <c r="AC740" i="1"/>
  <c r="AD739" i="1"/>
  <c r="AC739" i="1"/>
  <c r="AD738" i="1"/>
  <c r="AC738" i="1"/>
  <c r="AD737" i="1"/>
  <c r="AC737" i="1"/>
  <c r="AD736" i="1"/>
  <c r="AC736" i="1"/>
  <c r="AD735" i="1"/>
  <c r="AC735" i="1"/>
  <c r="AD734" i="1"/>
  <c r="AC734" i="1"/>
  <c r="AD733" i="1"/>
  <c r="AC733" i="1"/>
  <c r="AD732" i="1"/>
  <c r="AC732" i="1"/>
  <c r="AD731" i="1"/>
  <c r="AC731" i="1"/>
  <c r="AD730" i="1"/>
  <c r="AC730" i="1"/>
  <c r="AD729" i="1"/>
  <c r="AC729" i="1"/>
  <c r="AD728" i="1"/>
  <c r="AC728" i="1"/>
  <c r="AD727" i="1"/>
  <c r="AC727" i="1"/>
  <c r="AD726" i="1"/>
  <c r="AC726" i="1"/>
  <c r="AD725" i="1"/>
  <c r="AC725" i="1"/>
  <c r="AD724" i="1"/>
  <c r="AC724" i="1"/>
  <c r="AD723" i="1"/>
  <c r="AC723" i="1"/>
  <c r="AD722" i="1"/>
  <c r="AC722" i="1"/>
  <c r="AD721" i="1"/>
  <c r="AC721" i="1"/>
  <c r="AD720" i="1"/>
  <c r="AC720" i="1"/>
  <c r="AD719" i="1"/>
  <c r="AC719" i="1"/>
  <c r="AD718" i="1"/>
  <c r="AC718" i="1"/>
  <c r="AD717" i="1"/>
  <c r="AC717" i="1"/>
  <c r="AD716" i="1"/>
  <c r="AC716" i="1"/>
  <c r="AD715" i="1"/>
  <c r="AC715" i="1"/>
  <c r="AD714" i="1"/>
  <c r="AC714" i="1"/>
  <c r="AD713" i="1"/>
  <c r="AC713" i="1"/>
  <c r="AD712" i="1"/>
  <c r="AC712" i="1"/>
  <c r="AD711" i="1"/>
  <c r="AC711" i="1"/>
  <c r="AD710" i="1"/>
  <c r="AC710" i="1"/>
  <c r="AD709" i="1"/>
  <c r="AC709" i="1"/>
  <c r="AD708" i="1"/>
  <c r="AC708" i="1"/>
  <c r="AD707" i="1"/>
  <c r="AC707" i="1"/>
  <c r="AD706" i="1"/>
  <c r="AC706" i="1"/>
  <c r="AD705" i="1"/>
  <c r="AC705" i="1"/>
  <c r="AD704" i="1"/>
  <c r="AC704" i="1"/>
  <c r="AD703" i="1"/>
  <c r="AC703" i="1"/>
  <c r="AD702" i="1"/>
  <c r="AC702" i="1"/>
  <c r="AD701" i="1"/>
  <c r="AC701" i="1"/>
  <c r="AD700" i="1"/>
  <c r="AC700" i="1"/>
  <c r="AD699" i="1"/>
  <c r="AC699" i="1"/>
  <c r="AD698" i="1"/>
  <c r="AC698" i="1"/>
  <c r="AD697" i="1"/>
  <c r="AC697" i="1"/>
  <c r="AD696" i="1"/>
  <c r="AC696" i="1"/>
  <c r="AD695" i="1"/>
  <c r="AC695" i="1"/>
  <c r="AD694" i="1"/>
  <c r="AC694" i="1"/>
  <c r="AD693" i="1"/>
  <c r="AC693" i="1"/>
  <c r="AD692" i="1"/>
  <c r="AC692" i="1"/>
  <c r="AD691" i="1"/>
  <c r="AC691" i="1"/>
  <c r="AD690" i="1"/>
  <c r="AC690" i="1"/>
  <c r="AD689" i="1"/>
  <c r="AC689" i="1"/>
  <c r="AD688" i="1"/>
  <c r="AC688" i="1"/>
  <c r="AD687" i="1"/>
  <c r="AC687" i="1"/>
  <c r="AD686" i="1"/>
  <c r="AC686" i="1"/>
  <c r="AD685" i="1"/>
  <c r="AC685" i="1"/>
  <c r="AD684" i="1"/>
  <c r="AC684" i="1"/>
  <c r="AD683" i="1"/>
  <c r="AC683" i="1"/>
  <c r="AD682" i="1"/>
  <c r="AC682" i="1"/>
  <c r="AD681" i="1"/>
  <c r="AC681" i="1"/>
  <c r="AD680" i="1"/>
  <c r="AC680" i="1"/>
  <c r="AD679" i="1"/>
  <c r="AC679" i="1"/>
  <c r="AD678" i="1"/>
  <c r="AC678" i="1"/>
  <c r="AD677" i="1"/>
  <c r="AC677" i="1"/>
  <c r="AD676" i="1"/>
  <c r="AC676" i="1"/>
  <c r="AD675" i="1"/>
  <c r="AC675" i="1"/>
  <c r="AD674" i="1"/>
  <c r="AC674" i="1"/>
  <c r="AD673" i="1"/>
  <c r="AC673" i="1"/>
  <c r="AD672" i="1"/>
  <c r="AC672" i="1"/>
  <c r="AD671" i="1"/>
  <c r="AC671" i="1"/>
  <c r="AD670" i="1"/>
  <c r="AC670" i="1"/>
  <c r="AD669" i="1"/>
  <c r="AC669" i="1"/>
  <c r="AD668" i="1"/>
  <c r="AC668" i="1"/>
  <c r="AD667" i="1"/>
  <c r="AC667" i="1"/>
  <c r="AD666" i="1"/>
  <c r="AC666" i="1"/>
  <c r="AD665" i="1"/>
  <c r="AC665" i="1"/>
  <c r="AD664" i="1"/>
  <c r="AC664" i="1"/>
  <c r="AD663" i="1"/>
  <c r="AC663" i="1"/>
  <c r="AD662" i="1"/>
  <c r="AC662" i="1"/>
  <c r="AD661" i="1"/>
  <c r="AC661" i="1"/>
  <c r="AD660" i="1"/>
  <c r="AC660" i="1"/>
  <c r="AD659" i="1"/>
  <c r="AC659" i="1"/>
  <c r="AD658" i="1"/>
  <c r="AC658" i="1"/>
  <c r="AD657" i="1"/>
  <c r="AC657" i="1"/>
  <c r="AD656" i="1"/>
  <c r="AC656" i="1"/>
  <c r="AD655" i="1"/>
  <c r="AC655" i="1"/>
  <c r="AD654" i="1"/>
  <c r="AC654" i="1"/>
  <c r="AD653" i="1"/>
  <c r="AC653" i="1"/>
  <c r="AD652" i="1"/>
  <c r="AC652" i="1"/>
  <c r="AD651" i="1"/>
  <c r="AC651" i="1"/>
  <c r="AD650" i="1"/>
  <c r="AC650" i="1"/>
  <c r="AD649" i="1"/>
  <c r="AC649" i="1"/>
  <c r="AD648" i="1"/>
  <c r="AC648" i="1"/>
  <c r="AD647" i="1"/>
  <c r="AC647" i="1"/>
  <c r="AD646" i="1"/>
  <c r="AC646" i="1"/>
  <c r="AD645" i="1"/>
  <c r="AC645" i="1"/>
  <c r="AD644" i="1"/>
  <c r="AC644" i="1"/>
  <c r="AD643" i="1"/>
  <c r="AC643" i="1"/>
  <c r="AD642" i="1"/>
  <c r="AC642" i="1"/>
  <c r="AD641" i="1"/>
  <c r="AC641" i="1"/>
  <c r="AD640" i="1"/>
  <c r="AC640" i="1"/>
  <c r="AD639" i="1"/>
  <c r="AC639" i="1"/>
  <c r="AD638" i="1"/>
  <c r="AC638" i="1"/>
  <c r="AD637" i="1"/>
  <c r="AC637" i="1"/>
  <c r="AD636" i="1"/>
  <c r="AC636" i="1"/>
  <c r="AD635" i="1"/>
  <c r="AC635" i="1"/>
  <c r="AD634" i="1"/>
  <c r="AC634" i="1"/>
  <c r="AD633" i="1"/>
  <c r="AC633" i="1"/>
  <c r="AD632" i="1"/>
  <c r="AC632" i="1"/>
  <c r="AD631" i="1"/>
  <c r="AC631" i="1"/>
  <c r="AD630" i="1"/>
  <c r="AC630" i="1"/>
  <c r="AD629" i="1"/>
  <c r="AC629" i="1"/>
  <c r="AD628" i="1"/>
  <c r="AC628" i="1"/>
  <c r="AD627" i="1"/>
  <c r="AC627" i="1"/>
  <c r="AD626" i="1"/>
  <c r="AC626" i="1"/>
  <c r="AD625" i="1"/>
  <c r="AC625" i="1"/>
  <c r="AD624" i="1"/>
  <c r="AC624" i="1"/>
  <c r="AD623" i="1"/>
  <c r="AC623" i="1"/>
  <c r="AD622" i="1"/>
  <c r="AC622" i="1"/>
  <c r="AD621" i="1"/>
  <c r="AC621" i="1"/>
  <c r="AD620" i="1"/>
  <c r="AC620" i="1"/>
  <c r="AD619" i="1"/>
  <c r="AC619" i="1"/>
  <c r="AD618" i="1"/>
  <c r="AC618" i="1"/>
  <c r="AD617" i="1"/>
  <c r="AC617" i="1"/>
  <c r="AD616" i="1"/>
  <c r="AC616" i="1"/>
  <c r="AD615" i="1"/>
  <c r="AC615" i="1"/>
  <c r="AD614" i="1"/>
  <c r="AC614" i="1"/>
  <c r="AD613" i="1"/>
  <c r="AC613" i="1"/>
  <c r="AD612" i="1"/>
  <c r="AC612" i="1"/>
  <c r="AD611" i="1"/>
  <c r="AC611" i="1"/>
  <c r="AD610" i="1"/>
  <c r="AC610" i="1"/>
  <c r="AD609" i="1"/>
  <c r="AC609" i="1"/>
  <c r="AD608" i="1"/>
  <c r="AC608" i="1"/>
  <c r="AD607" i="1"/>
  <c r="AC607" i="1"/>
  <c r="AD606" i="1"/>
  <c r="AC606" i="1"/>
  <c r="AD605" i="1"/>
  <c r="AC605" i="1"/>
  <c r="AD604" i="1"/>
  <c r="AC604" i="1"/>
  <c r="AD603" i="1"/>
  <c r="AC603" i="1"/>
  <c r="AD602" i="1"/>
  <c r="AC602" i="1"/>
  <c r="AD601" i="1"/>
  <c r="AC601" i="1"/>
  <c r="AD600" i="1"/>
  <c r="AC600" i="1"/>
  <c r="AD599" i="1"/>
  <c r="AC599" i="1"/>
  <c r="AD598" i="1"/>
  <c r="AC598" i="1"/>
  <c r="AD597" i="1"/>
  <c r="AC597" i="1"/>
  <c r="AD596" i="1"/>
  <c r="AC596" i="1"/>
  <c r="AD595" i="1"/>
  <c r="AC595" i="1"/>
  <c r="AD594" i="1"/>
  <c r="AC594" i="1"/>
  <c r="AD593" i="1"/>
  <c r="AC593" i="1"/>
  <c r="AD592" i="1"/>
  <c r="AC592" i="1"/>
  <c r="AD591" i="1"/>
  <c r="AC591" i="1"/>
  <c r="AD590" i="1"/>
  <c r="AC590" i="1"/>
  <c r="AD589" i="1"/>
  <c r="AC589" i="1"/>
  <c r="AD588" i="1"/>
  <c r="AC588" i="1"/>
  <c r="AD587" i="1"/>
  <c r="AC587" i="1"/>
  <c r="AD586" i="1"/>
  <c r="AC586" i="1"/>
  <c r="AD585" i="1"/>
  <c r="AC585" i="1"/>
  <c r="AD584" i="1"/>
  <c r="AC584" i="1"/>
  <c r="AD583" i="1"/>
  <c r="AC583" i="1"/>
  <c r="AD582" i="1"/>
  <c r="AC582" i="1"/>
  <c r="AD581" i="1"/>
  <c r="AC581" i="1"/>
  <c r="AD580" i="1"/>
  <c r="AC580" i="1"/>
  <c r="AD579" i="1"/>
  <c r="AC579" i="1"/>
  <c r="AD578" i="1"/>
  <c r="AC578" i="1"/>
  <c r="AD577" i="1"/>
  <c r="AC577" i="1"/>
  <c r="AD576" i="1"/>
  <c r="AC576" i="1"/>
  <c r="AD575" i="1"/>
  <c r="AC575" i="1"/>
  <c r="AD574" i="1"/>
  <c r="AC574" i="1"/>
  <c r="AD573" i="1"/>
  <c r="AC573" i="1"/>
  <c r="AD572" i="1"/>
  <c r="AC572" i="1"/>
  <c r="AD571" i="1"/>
  <c r="AC571" i="1"/>
  <c r="AD570" i="1"/>
  <c r="AC570" i="1"/>
  <c r="AD569" i="1"/>
  <c r="AC569" i="1"/>
  <c r="AD568" i="1"/>
  <c r="AC568" i="1"/>
  <c r="AD567" i="1"/>
  <c r="AC567" i="1"/>
  <c r="AD566" i="1"/>
  <c r="AC566" i="1"/>
  <c r="AD565" i="1"/>
  <c r="AC565" i="1"/>
  <c r="AD564" i="1"/>
  <c r="AC564" i="1"/>
  <c r="AD563" i="1"/>
  <c r="AC563" i="1"/>
  <c r="AD562" i="1"/>
  <c r="AC562" i="1"/>
  <c r="AD561" i="1"/>
  <c r="AC561" i="1"/>
  <c r="AD560" i="1"/>
  <c r="AC560" i="1"/>
  <c r="AD559" i="1"/>
  <c r="AC559" i="1"/>
  <c r="AD558" i="1"/>
  <c r="AC558" i="1"/>
  <c r="AD557" i="1"/>
  <c r="AC557" i="1"/>
  <c r="AD556" i="1"/>
  <c r="AC556" i="1"/>
  <c r="AD555" i="1"/>
  <c r="AC555" i="1"/>
  <c r="AD554" i="1"/>
  <c r="AC554" i="1"/>
  <c r="AD553" i="1"/>
  <c r="AC553" i="1"/>
  <c r="AD552" i="1"/>
  <c r="AC552" i="1"/>
  <c r="AD551" i="1"/>
  <c r="AC551" i="1"/>
  <c r="AD550" i="1"/>
  <c r="AC550" i="1"/>
  <c r="AD549" i="1"/>
  <c r="AC549" i="1"/>
  <c r="AD548" i="1"/>
  <c r="AC548" i="1"/>
  <c r="AD547" i="1"/>
  <c r="AC547" i="1"/>
  <c r="AD546" i="1"/>
  <c r="AC546" i="1"/>
  <c r="AD545" i="1"/>
  <c r="AC545" i="1"/>
  <c r="AD544" i="1"/>
  <c r="AC544" i="1"/>
  <c r="AD543" i="1"/>
  <c r="AC543" i="1"/>
  <c r="AD542" i="1"/>
  <c r="AC542" i="1"/>
  <c r="AD541" i="1"/>
  <c r="AC541" i="1"/>
  <c r="AD540" i="1"/>
  <c r="AC540" i="1"/>
  <c r="AD539" i="1"/>
  <c r="AC539" i="1"/>
  <c r="AD538" i="1"/>
  <c r="AC538" i="1"/>
  <c r="AD537" i="1"/>
  <c r="AC537" i="1"/>
  <c r="AD536" i="1"/>
  <c r="AC536" i="1"/>
  <c r="AD535" i="1"/>
  <c r="AC535" i="1"/>
  <c r="AD534" i="1"/>
  <c r="AC534" i="1"/>
  <c r="AD533" i="1"/>
  <c r="AC533" i="1"/>
  <c r="AD532" i="1"/>
  <c r="AC532" i="1"/>
  <c r="AD531" i="1"/>
  <c r="AC531" i="1"/>
  <c r="AD530" i="1"/>
  <c r="AC530" i="1"/>
  <c r="AD529" i="1"/>
  <c r="AC529" i="1"/>
  <c r="AD528" i="1"/>
  <c r="AC528" i="1"/>
  <c r="AD527" i="1"/>
  <c r="AC527" i="1"/>
  <c r="AD526" i="1"/>
  <c r="AC526" i="1"/>
  <c r="AD525" i="1"/>
  <c r="AC525" i="1"/>
  <c r="AD524" i="1"/>
  <c r="AC524" i="1"/>
  <c r="AD523" i="1"/>
  <c r="AC523" i="1"/>
  <c r="AD522" i="1"/>
  <c r="AC522" i="1"/>
  <c r="AD521" i="1"/>
  <c r="AC521" i="1"/>
  <c r="AD520" i="1"/>
  <c r="AC520" i="1"/>
  <c r="AD519" i="1"/>
  <c r="AC519" i="1"/>
  <c r="AD518" i="1"/>
  <c r="AC518" i="1"/>
  <c r="AD517" i="1"/>
  <c r="AC517" i="1"/>
  <c r="AD516" i="1"/>
  <c r="AC516" i="1"/>
  <c r="AD515" i="1"/>
  <c r="AC515" i="1"/>
  <c r="AD514" i="1"/>
  <c r="AC514" i="1"/>
  <c r="AD513" i="1"/>
  <c r="AC513" i="1"/>
  <c r="AD512" i="1"/>
  <c r="AC512" i="1"/>
  <c r="AD511" i="1"/>
  <c r="AC511" i="1"/>
  <c r="AD510" i="1"/>
  <c r="AC510" i="1"/>
  <c r="AD509" i="1"/>
  <c r="AC509" i="1"/>
  <c r="AD508" i="1"/>
  <c r="AC508" i="1"/>
  <c r="AD507" i="1"/>
  <c r="AC507" i="1"/>
  <c r="AD506" i="1"/>
  <c r="AC506" i="1"/>
  <c r="AD505" i="1"/>
  <c r="AC505" i="1"/>
  <c r="AD504" i="1"/>
  <c r="AC504" i="1"/>
  <c r="AD503" i="1"/>
  <c r="AC503" i="1"/>
  <c r="AD502" i="1"/>
  <c r="AC502" i="1"/>
  <c r="AD501" i="1"/>
  <c r="AC501" i="1"/>
  <c r="AD500" i="1"/>
  <c r="AC500" i="1"/>
  <c r="AD499" i="1"/>
  <c r="AC499" i="1"/>
  <c r="AD498" i="1"/>
  <c r="AC498" i="1"/>
  <c r="AD497" i="1"/>
  <c r="AC497" i="1"/>
  <c r="AD496" i="1"/>
  <c r="AC496" i="1"/>
  <c r="AD495" i="1"/>
  <c r="AC495" i="1"/>
  <c r="AD494" i="1"/>
  <c r="AC494" i="1"/>
  <c r="AD493" i="1"/>
  <c r="AC493" i="1"/>
  <c r="AD492" i="1"/>
  <c r="AC492" i="1"/>
  <c r="AD491" i="1"/>
  <c r="AC491" i="1"/>
  <c r="AD490" i="1"/>
  <c r="AC490" i="1"/>
  <c r="AD489" i="1"/>
  <c r="AC489" i="1"/>
  <c r="AD488" i="1"/>
  <c r="AC488" i="1"/>
  <c r="AD487" i="1"/>
  <c r="AC487" i="1"/>
  <c r="AD486" i="1"/>
  <c r="AC486" i="1"/>
  <c r="AD485" i="1"/>
  <c r="AC485" i="1"/>
  <c r="AD484" i="1"/>
  <c r="AC484" i="1"/>
  <c r="AD483" i="1"/>
  <c r="AC483" i="1"/>
  <c r="AD482" i="1"/>
  <c r="AC482" i="1"/>
  <c r="AD481" i="1"/>
  <c r="AC481" i="1"/>
  <c r="AD480" i="1"/>
  <c r="AC480" i="1"/>
  <c r="AD479" i="1"/>
  <c r="AC479" i="1"/>
  <c r="AD478" i="1"/>
  <c r="AC478" i="1"/>
  <c r="AD477" i="1"/>
  <c r="AC477" i="1"/>
  <c r="AD476" i="1"/>
  <c r="AC476" i="1"/>
  <c r="AD475" i="1"/>
  <c r="AC475" i="1"/>
  <c r="AD474" i="1"/>
  <c r="AC474" i="1"/>
  <c r="AD473" i="1"/>
  <c r="AC473" i="1"/>
  <c r="AD472" i="1"/>
  <c r="AC472" i="1"/>
  <c r="AD471" i="1"/>
  <c r="AC471" i="1"/>
  <c r="AD470" i="1"/>
  <c r="AC470" i="1"/>
  <c r="AD469" i="1"/>
  <c r="AC469" i="1"/>
  <c r="AD468" i="1"/>
  <c r="AC468" i="1"/>
  <c r="AD467" i="1"/>
  <c r="AC467" i="1"/>
  <c r="AD466" i="1"/>
  <c r="AC466" i="1"/>
  <c r="AD465" i="1"/>
  <c r="AC465" i="1"/>
  <c r="AD464" i="1"/>
  <c r="AC464" i="1"/>
  <c r="AD463" i="1"/>
  <c r="AC463" i="1"/>
  <c r="AD462" i="1"/>
  <c r="AC462" i="1"/>
  <c r="AD461" i="1"/>
  <c r="AC461" i="1"/>
  <c r="AD460" i="1"/>
  <c r="AC460" i="1"/>
  <c r="AD459" i="1"/>
  <c r="AC459" i="1"/>
  <c r="AD458" i="1"/>
  <c r="AC458" i="1"/>
  <c r="AD457" i="1"/>
  <c r="AC457" i="1"/>
  <c r="AD456" i="1"/>
  <c r="AC456" i="1"/>
  <c r="AD455" i="1"/>
  <c r="AC455" i="1"/>
  <c r="AD454" i="1"/>
  <c r="AC454" i="1"/>
  <c r="AD453" i="1"/>
  <c r="AC453" i="1"/>
  <c r="AD452" i="1"/>
  <c r="AC452" i="1"/>
  <c r="AD451" i="1"/>
  <c r="AC451" i="1"/>
  <c r="AD450" i="1"/>
  <c r="AC450" i="1"/>
  <c r="AD449" i="1"/>
  <c r="AC449" i="1"/>
  <c r="AD448" i="1"/>
  <c r="AC448" i="1"/>
  <c r="AD447" i="1"/>
  <c r="AC447" i="1"/>
  <c r="AD446" i="1"/>
  <c r="AC446" i="1"/>
  <c r="AD445" i="1"/>
  <c r="AC445" i="1"/>
  <c r="AD444" i="1"/>
  <c r="AC444" i="1"/>
  <c r="AD443" i="1"/>
  <c r="AC443" i="1"/>
  <c r="AD442" i="1"/>
  <c r="AC442" i="1"/>
  <c r="AD441" i="1"/>
  <c r="AC441" i="1"/>
  <c r="AD440" i="1"/>
  <c r="AC440" i="1"/>
  <c r="AD439" i="1"/>
  <c r="AC439" i="1"/>
  <c r="AD438" i="1"/>
  <c r="AC438" i="1"/>
  <c r="AD437" i="1"/>
  <c r="AC437" i="1"/>
  <c r="AD436" i="1"/>
  <c r="AC436" i="1"/>
  <c r="AD435" i="1"/>
  <c r="AC435" i="1"/>
  <c r="AD434" i="1"/>
  <c r="AC434" i="1"/>
  <c r="AD433" i="1"/>
  <c r="AC433" i="1"/>
  <c r="AD432" i="1"/>
  <c r="AC432" i="1"/>
  <c r="AD431" i="1"/>
  <c r="AC431" i="1"/>
  <c r="AD430" i="1"/>
  <c r="AC430" i="1"/>
  <c r="AD429" i="1"/>
  <c r="AC429" i="1"/>
  <c r="AD428" i="1"/>
  <c r="AC428" i="1"/>
  <c r="AD427" i="1"/>
  <c r="AC427" i="1"/>
  <c r="AD426" i="1"/>
  <c r="AC426" i="1"/>
  <c r="AD425" i="1"/>
  <c r="AC425" i="1"/>
  <c r="AD424" i="1"/>
  <c r="AC424" i="1"/>
  <c r="AD423" i="1"/>
  <c r="AC423" i="1"/>
  <c r="AD422" i="1"/>
  <c r="AC422" i="1"/>
  <c r="AD421" i="1"/>
  <c r="AC421" i="1"/>
  <c r="AD420" i="1"/>
  <c r="AC420" i="1"/>
  <c r="AD419" i="1"/>
  <c r="AC419" i="1"/>
  <c r="AD418" i="1"/>
  <c r="AC418" i="1"/>
  <c r="AD417" i="1"/>
  <c r="AC417" i="1"/>
  <c r="AD416" i="1"/>
  <c r="AC416" i="1"/>
  <c r="AD415" i="1"/>
  <c r="AC415" i="1"/>
  <c r="AD414" i="1"/>
  <c r="AC414" i="1"/>
  <c r="AD413" i="1"/>
  <c r="AC413" i="1"/>
  <c r="AD412" i="1"/>
  <c r="AC412" i="1"/>
  <c r="AD411" i="1"/>
  <c r="AC411" i="1"/>
  <c r="AD410" i="1"/>
  <c r="AC410" i="1"/>
  <c r="AD409" i="1"/>
  <c r="AC409" i="1"/>
  <c r="AD408" i="1"/>
  <c r="AC408" i="1"/>
  <c r="AD407" i="1"/>
  <c r="AC407" i="1"/>
  <c r="AD406" i="1"/>
  <c r="AC406" i="1"/>
  <c r="AD405" i="1"/>
  <c r="AC405" i="1"/>
  <c r="AD404" i="1"/>
  <c r="AC404" i="1"/>
  <c r="AD403" i="1"/>
  <c r="AC403" i="1"/>
  <c r="AD402" i="1"/>
  <c r="AC402" i="1"/>
  <c r="AD401" i="1"/>
  <c r="AC401" i="1"/>
  <c r="AD400" i="1"/>
  <c r="AC400" i="1"/>
  <c r="AD399" i="1"/>
  <c r="AC399" i="1"/>
  <c r="AD398" i="1"/>
  <c r="AC398" i="1"/>
  <c r="AD397" i="1"/>
  <c r="AC397" i="1"/>
  <c r="AD396" i="1"/>
  <c r="AC396" i="1"/>
  <c r="AD395" i="1"/>
  <c r="AC395" i="1"/>
  <c r="AD394" i="1"/>
  <c r="AC394" i="1"/>
  <c r="AD393" i="1"/>
  <c r="AC393" i="1"/>
  <c r="AD392" i="1"/>
  <c r="AC392" i="1"/>
  <c r="AD391" i="1"/>
  <c r="AC391" i="1"/>
  <c r="AD390" i="1"/>
  <c r="AC390" i="1"/>
  <c r="AD389" i="1"/>
  <c r="AC389" i="1"/>
  <c r="AD388" i="1"/>
  <c r="AC388" i="1"/>
  <c r="AD387" i="1"/>
  <c r="AC387" i="1"/>
  <c r="AD386" i="1"/>
  <c r="AC386" i="1"/>
  <c r="AD385" i="1"/>
  <c r="AC385" i="1"/>
  <c r="AD384" i="1"/>
  <c r="AC384" i="1"/>
  <c r="AD383" i="1"/>
  <c r="AC383" i="1"/>
  <c r="AD382" i="1"/>
  <c r="AC382" i="1"/>
  <c r="AD381" i="1"/>
  <c r="AC381" i="1"/>
  <c r="AD380" i="1"/>
  <c r="AC380" i="1"/>
  <c r="AD379" i="1"/>
  <c r="AC379" i="1"/>
  <c r="AD378" i="1"/>
  <c r="AC378" i="1"/>
  <c r="AD377" i="1"/>
  <c r="AC377" i="1"/>
  <c r="AD376" i="1"/>
  <c r="AC376" i="1"/>
  <c r="AD375" i="1"/>
  <c r="AC375" i="1"/>
  <c r="AD374" i="1"/>
  <c r="AC374" i="1"/>
  <c r="AD373" i="1"/>
  <c r="AC373" i="1"/>
  <c r="AD372" i="1"/>
  <c r="AC372" i="1"/>
  <c r="AD371" i="1"/>
  <c r="AC371" i="1"/>
  <c r="AD370" i="1"/>
  <c r="AC370" i="1"/>
  <c r="AD369" i="1"/>
  <c r="AC369" i="1"/>
  <c r="AD368" i="1"/>
  <c r="AC368" i="1"/>
  <c r="AD367" i="1"/>
  <c r="AC367" i="1"/>
  <c r="AD366" i="1"/>
  <c r="AC366" i="1"/>
  <c r="AD365" i="1"/>
  <c r="AC365" i="1"/>
  <c r="AD364" i="1"/>
  <c r="AC364" i="1"/>
  <c r="AD363" i="1"/>
  <c r="AC363" i="1"/>
  <c r="AD362" i="1"/>
  <c r="AC362" i="1"/>
  <c r="AD361" i="1"/>
  <c r="AC361" i="1"/>
  <c r="AD360" i="1"/>
  <c r="AC360" i="1"/>
  <c r="AD359" i="1"/>
  <c r="AC359" i="1"/>
  <c r="AD358" i="1"/>
  <c r="AC358" i="1"/>
  <c r="AD357" i="1"/>
  <c r="AC357" i="1"/>
  <c r="AD356" i="1"/>
  <c r="AC356" i="1"/>
  <c r="AD355" i="1"/>
  <c r="AC355" i="1"/>
  <c r="AD354" i="1"/>
  <c r="AC354" i="1"/>
  <c r="AD353" i="1"/>
  <c r="AC353" i="1"/>
  <c r="AD352" i="1"/>
  <c r="AC352" i="1"/>
  <c r="AD351" i="1"/>
  <c r="AC351" i="1"/>
  <c r="AD350" i="1"/>
  <c r="AC350" i="1"/>
  <c r="AD349" i="1"/>
  <c r="AC349" i="1"/>
  <c r="AD348" i="1"/>
  <c r="AC348" i="1"/>
  <c r="AD347" i="1"/>
  <c r="AC347" i="1"/>
  <c r="AD346" i="1"/>
  <c r="AC346" i="1"/>
  <c r="AD345" i="1"/>
  <c r="AC345" i="1"/>
  <c r="AD344" i="1"/>
  <c r="AC344" i="1"/>
  <c r="AD343" i="1"/>
  <c r="AC343" i="1"/>
  <c r="AD342" i="1"/>
  <c r="AC342" i="1"/>
  <c r="AD341" i="1"/>
  <c r="AC341" i="1"/>
  <c r="AD340" i="1"/>
  <c r="AC340" i="1"/>
  <c r="AD339" i="1"/>
  <c r="AC339" i="1"/>
  <c r="AD338" i="1"/>
  <c r="AC338" i="1"/>
  <c r="AD337" i="1"/>
  <c r="AC337" i="1"/>
  <c r="AD336" i="1"/>
  <c r="AC336" i="1"/>
  <c r="AD335" i="1"/>
  <c r="AC335" i="1"/>
  <c r="AD334" i="1"/>
  <c r="AC334" i="1"/>
  <c r="AD333" i="1"/>
  <c r="AC333" i="1"/>
  <c r="AD332" i="1"/>
  <c r="AC332" i="1"/>
  <c r="AD331" i="1"/>
  <c r="AC331" i="1"/>
  <c r="AD330" i="1"/>
  <c r="AC330" i="1"/>
  <c r="AD329" i="1"/>
  <c r="AC329" i="1"/>
  <c r="AD328" i="1"/>
  <c r="AC328" i="1"/>
  <c r="AD327" i="1"/>
  <c r="AC327" i="1"/>
  <c r="AD326" i="1"/>
  <c r="AC326" i="1"/>
  <c r="AD325" i="1"/>
  <c r="AC325" i="1"/>
  <c r="AD324" i="1"/>
  <c r="AC324" i="1"/>
  <c r="AD323" i="1"/>
  <c r="AC323" i="1"/>
  <c r="AD322" i="1"/>
  <c r="AC322" i="1"/>
  <c r="AD321" i="1"/>
  <c r="AC321" i="1"/>
  <c r="AD320" i="1"/>
  <c r="AC320" i="1"/>
  <c r="AD319" i="1"/>
  <c r="AC319" i="1"/>
  <c r="AD318" i="1"/>
  <c r="AC318" i="1"/>
  <c r="AD317" i="1"/>
  <c r="AC317" i="1"/>
  <c r="AD316" i="1"/>
  <c r="AC316" i="1"/>
  <c r="AD315" i="1"/>
  <c r="AC315" i="1"/>
  <c r="AD314" i="1"/>
  <c r="AC314" i="1"/>
  <c r="AD313" i="1"/>
  <c r="AC313" i="1"/>
  <c r="AD312" i="1"/>
  <c r="AC312" i="1"/>
  <c r="AD311" i="1"/>
  <c r="AC311" i="1"/>
  <c r="AD310" i="1"/>
  <c r="AC310" i="1"/>
  <c r="AD309" i="1"/>
  <c r="AC309" i="1"/>
  <c r="AD308" i="1"/>
  <c r="AC308" i="1"/>
  <c r="AD307" i="1"/>
  <c r="AC307" i="1"/>
  <c r="AD306" i="1"/>
  <c r="AC306" i="1"/>
  <c r="AD305" i="1"/>
  <c r="AC305" i="1"/>
  <c r="AD304" i="1"/>
  <c r="AC304" i="1"/>
  <c r="AD303" i="1"/>
  <c r="AC303" i="1"/>
  <c r="AD302" i="1"/>
  <c r="AC302" i="1"/>
  <c r="AD301" i="1"/>
  <c r="AC301" i="1"/>
  <c r="AD300" i="1"/>
  <c r="AC300" i="1"/>
  <c r="AD299" i="1"/>
  <c r="AC299" i="1"/>
  <c r="AD298" i="1"/>
  <c r="AC298" i="1"/>
  <c r="AD297" i="1"/>
  <c r="AC297" i="1"/>
  <c r="AD296" i="1"/>
  <c r="AC296" i="1"/>
  <c r="AD295" i="1"/>
  <c r="AC295" i="1"/>
  <c r="AD294" i="1"/>
  <c r="AC294" i="1"/>
  <c r="AD293" i="1"/>
  <c r="AC293" i="1"/>
  <c r="AD292" i="1"/>
  <c r="AC292" i="1"/>
  <c r="AD291" i="1"/>
  <c r="AC291" i="1"/>
  <c r="AD290" i="1"/>
  <c r="AC290" i="1"/>
  <c r="AD289" i="1"/>
  <c r="AC289" i="1"/>
  <c r="AD288" i="1"/>
  <c r="AC288" i="1"/>
  <c r="AD287" i="1"/>
  <c r="AC287" i="1"/>
  <c r="AD286" i="1"/>
  <c r="AC286" i="1"/>
  <c r="AD285" i="1"/>
  <c r="AC285" i="1"/>
  <c r="AD284" i="1"/>
  <c r="AC284" i="1"/>
  <c r="AD283" i="1"/>
  <c r="AC283" i="1"/>
  <c r="AD282" i="1"/>
  <c r="AC282" i="1"/>
  <c r="AD281" i="1"/>
  <c r="AC281" i="1"/>
  <c r="AD280" i="1"/>
  <c r="AC280" i="1"/>
  <c r="AD279" i="1"/>
  <c r="AC279" i="1"/>
  <c r="AD278" i="1"/>
  <c r="AC278" i="1"/>
  <c r="AD277" i="1"/>
  <c r="AC277" i="1"/>
  <c r="AD276" i="1"/>
  <c r="AC276" i="1"/>
  <c r="AD275" i="1"/>
  <c r="AC275" i="1"/>
  <c r="AD274" i="1"/>
  <c r="AC274" i="1"/>
  <c r="AD273" i="1"/>
  <c r="AC273" i="1"/>
  <c r="AD272" i="1"/>
  <c r="AC272" i="1"/>
  <c r="AD271" i="1"/>
  <c r="AC271" i="1"/>
  <c r="AD270" i="1"/>
  <c r="AC270" i="1"/>
  <c r="AD269" i="1"/>
  <c r="AC269" i="1"/>
  <c r="AD268" i="1"/>
  <c r="AC268" i="1"/>
  <c r="AD267" i="1"/>
  <c r="AC267" i="1"/>
  <c r="AD266" i="1"/>
  <c r="AC266" i="1"/>
  <c r="AD265" i="1"/>
  <c r="AC265" i="1"/>
  <c r="AD264" i="1"/>
  <c r="AC264" i="1"/>
  <c r="AD263" i="1"/>
  <c r="AC263" i="1"/>
  <c r="AD262" i="1"/>
  <c r="AC262" i="1"/>
  <c r="AD261" i="1"/>
  <c r="AC261" i="1"/>
  <c r="AD260" i="1"/>
  <c r="AC260" i="1"/>
  <c r="AD259" i="1"/>
  <c r="AC259" i="1"/>
  <c r="AD258" i="1"/>
  <c r="AC258" i="1"/>
  <c r="AD257" i="1"/>
  <c r="AC257" i="1"/>
  <c r="AD256" i="1"/>
  <c r="AC256" i="1"/>
  <c r="AD255" i="1"/>
  <c r="AC255" i="1"/>
  <c r="AD254" i="1"/>
  <c r="AC254" i="1"/>
  <c r="AD253" i="1"/>
  <c r="AC253" i="1"/>
  <c r="AD252" i="1"/>
  <c r="AC252" i="1"/>
  <c r="AD251" i="1"/>
  <c r="AC251" i="1"/>
  <c r="AD250" i="1"/>
  <c r="AC250" i="1"/>
  <c r="AD249" i="1"/>
  <c r="AC249" i="1"/>
  <c r="AD248" i="1"/>
  <c r="AC248" i="1"/>
  <c r="AD247" i="1"/>
  <c r="AC247" i="1"/>
  <c r="AD246" i="1"/>
  <c r="AC246" i="1"/>
  <c r="AD245" i="1"/>
  <c r="AC245" i="1"/>
  <c r="AD244" i="1"/>
  <c r="AC244" i="1"/>
  <c r="AD243" i="1"/>
  <c r="AC243" i="1"/>
  <c r="AD242" i="1"/>
  <c r="AC242" i="1"/>
  <c r="AD241" i="1"/>
  <c r="AC241" i="1"/>
  <c r="AD240" i="1"/>
  <c r="AC240" i="1"/>
  <c r="AD239" i="1"/>
  <c r="AC239" i="1"/>
  <c r="AD238" i="1"/>
  <c r="AC238" i="1"/>
  <c r="AD237" i="1"/>
  <c r="AC237" i="1"/>
  <c r="AD236" i="1"/>
  <c r="AC236" i="1"/>
  <c r="AD235" i="1"/>
  <c r="AC235" i="1"/>
  <c r="AD234" i="1"/>
  <c r="AC234" i="1"/>
  <c r="AD233" i="1"/>
  <c r="AC233" i="1"/>
  <c r="AD232" i="1"/>
  <c r="AC232" i="1"/>
  <c r="AD231" i="1"/>
  <c r="AC231" i="1"/>
  <c r="AD230" i="1"/>
  <c r="AC230" i="1"/>
  <c r="AD229" i="1"/>
  <c r="AC229" i="1"/>
  <c r="AD228" i="1"/>
  <c r="AC228" i="1"/>
  <c r="AD227" i="1"/>
  <c r="AC227" i="1"/>
  <c r="AD226" i="1"/>
  <c r="AC226" i="1"/>
  <c r="AD225" i="1"/>
  <c r="AC225" i="1"/>
  <c r="AD224" i="1"/>
  <c r="AC224" i="1"/>
  <c r="AD223" i="1"/>
  <c r="AC223" i="1"/>
  <c r="AD222" i="1"/>
  <c r="AC222" i="1"/>
  <c r="AD221" i="1"/>
  <c r="AC221" i="1"/>
  <c r="AD220" i="1"/>
  <c r="AC220" i="1"/>
  <c r="AD219" i="1"/>
  <c r="AC219" i="1"/>
  <c r="AD218" i="1"/>
  <c r="AC218" i="1"/>
  <c r="AD217" i="1"/>
  <c r="AC217" i="1"/>
  <c r="AD216" i="1"/>
  <c r="AC216" i="1"/>
  <c r="AD215" i="1"/>
  <c r="AC215" i="1"/>
  <c r="AD214" i="1"/>
  <c r="AC214" i="1"/>
  <c r="AD213" i="1"/>
  <c r="AC213" i="1"/>
  <c r="AD212" i="1"/>
  <c r="AC212" i="1"/>
  <c r="AD211" i="1"/>
  <c r="AC211" i="1"/>
  <c r="AD210" i="1"/>
  <c r="AC210" i="1"/>
  <c r="AD209" i="1"/>
  <c r="AC209" i="1"/>
  <c r="AD208" i="1"/>
  <c r="AC208" i="1"/>
  <c r="AD207" i="1"/>
  <c r="AC207" i="1"/>
  <c r="AD206" i="1"/>
  <c r="AC206" i="1"/>
  <c r="AD205" i="1"/>
  <c r="AC205" i="1"/>
  <c r="AD204" i="1"/>
  <c r="AC204" i="1"/>
  <c r="AD203" i="1"/>
  <c r="AC203" i="1"/>
  <c r="AD202" i="1"/>
  <c r="AC202" i="1"/>
  <c r="AD201" i="1"/>
  <c r="AC201" i="1"/>
  <c r="AD200" i="1"/>
  <c r="AC200" i="1"/>
  <c r="AD199" i="1"/>
  <c r="AC199" i="1"/>
  <c r="AD198" i="1"/>
  <c r="AC198" i="1"/>
  <c r="AD197" i="1"/>
  <c r="AC197" i="1"/>
  <c r="AD196" i="1"/>
  <c r="AC196" i="1"/>
  <c r="AD195" i="1"/>
  <c r="AC195" i="1"/>
  <c r="AD194" i="1"/>
  <c r="AC194" i="1"/>
  <c r="AD193" i="1"/>
  <c r="AC193" i="1"/>
  <c r="AD192" i="1"/>
  <c r="AC192" i="1"/>
  <c r="AD191" i="1"/>
  <c r="AC191" i="1"/>
  <c r="AD190" i="1"/>
  <c r="AC190" i="1"/>
  <c r="AD189" i="1"/>
  <c r="AC189" i="1"/>
  <c r="AD188" i="1"/>
  <c r="AC188" i="1"/>
  <c r="AD187" i="1"/>
  <c r="AC187" i="1"/>
  <c r="AD186" i="1"/>
  <c r="AC186" i="1"/>
  <c r="AF1" i="1" l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K1" i="1"/>
  <c r="L1" i="1"/>
  <c r="M1" i="1"/>
  <c r="N1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</calcChain>
</file>

<file path=xl/sharedStrings.xml><?xml version="1.0" encoding="utf-8"?>
<sst xmlns="http://schemas.openxmlformats.org/spreadsheetml/2006/main" count="2015" uniqueCount="548">
  <si>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</si>
  <si>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</si>
  <si>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</si>
  <si>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</si>
  <si>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</si>
  <si>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</si>
  <si>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</si>
  <si>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</si>
  <si>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</si>
  <si>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</si>
  <si>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UNIQ</t>
  </si>
  <si>
    <t>Priority Category</t>
  </si>
  <si>
    <t>BUDGET NO.</t>
  </si>
  <si>
    <t>BEX</t>
  </si>
  <si>
    <t>Accounting &amp; Finance</t>
  </si>
  <si>
    <t>SP PD- WT</t>
  </si>
  <si>
    <t>Top Management</t>
  </si>
  <si>
    <t>Salary for Director</t>
  </si>
  <si>
    <t>Staff Welfare - Welfare Others</t>
  </si>
  <si>
    <t>Staff Welfare - Outpatient (Medical)</t>
  </si>
  <si>
    <t>Travel Expense-Oversea</t>
  </si>
  <si>
    <t>Travel Expense-Domestic</t>
  </si>
  <si>
    <t>Consultancy/Professional Fee</t>
  </si>
  <si>
    <t>Transportation Fee for employee</t>
  </si>
  <si>
    <t>Entertainment</t>
  </si>
  <si>
    <t>Publishing Expense</t>
  </si>
  <si>
    <t>Expatriate expenses exclude labor cost</t>
  </si>
  <si>
    <t>Communication expenses</t>
  </si>
  <si>
    <t>House Rent Allowance</t>
  </si>
  <si>
    <t>Repair of Equipment</t>
  </si>
  <si>
    <t>B2300</t>
  </si>
  <si>
    <t>B4103</t>
  </si>
  <si>
    <t>DIR</t>
  </si>
  <si>
    <t>MFG</t>
  </si>
  <si>
    <t>MFG-7211102</t>
  </si>
  <si>
    <t>B1000</t>
  </si>
  <si>
    <t>ADM</t>
  </si>
  <si>
    <t>SGA</t>
  </si>
  <si>
    <t>SGA-7511102</t>
  </si>
  <si>
    <t>A502</t>
  </si>
  <si>
    <t>SGA-7515499</t>
  </si>
  <si>
    <t>A504</t>
  </si>
  <si>
    <t>SGA-7515401</t>
  </si>
  <si>
    <t>SGA-7651103</t>
  </si>
  <si>
    <t>A801</t>
  </si>
  <si>
    <t>SGA-7651102</t>
  </si>
  <si>
    <t>A601</t>
  </si>
  <si>
    <t>SGA-7729101</t>
  </si>
  <si>
    <t>A901</t>
  </si>
  <si>
    <t>SGA-7651101</t>
  </si>
  <si>
    <t>SGA-7661101</t>
  </si>
  <si>
    <t>A1001</t>
  </si>
  <si>
    <t>SGA-7781103</t>
  </si>
  <si>
    <t>A1099</t>
  </si>
  <si>
    <t>SGA-7781112</t>
  </si>
  <si>
    <t>SGA-7711101</t>
  </si>
  <si>
    <t>SGA-7781107</t>
  </si>
  <si>
    <t>A1006</t>
  </si>
  <si>
    <t>SGA-7519101</t>
  </si>
  <si>
    <t>SGA-7641102</t>
  </si>
  <si>
    <t>A1002</t>
  </si>
  <si>
    <t>B5007</t>
  </si>
  <si>
    <t>Continuous Improvement</t>
  </si>
  <si>
    <t>IND</t>
  </si>
  <si>
    <t>MFG-7515401</t>
  </si>
  <si>
    <t>Staff Welfare - Hospitalization</t>
  </si>
  <si>
    <t>MFG-7515402</t>
  </si>
  <si>
    <t>Staff Welfare - Kaizen &amp; QCC reward</t>
  </si>
  <si>
    <t>MFG-7515410</t>
  </si>
  <si>
    <t>MFG-7651102</t>
  </si>
  <si>
    <t>Office supply &amp; Stationary Expense</t>
  </si>
  <si>
    <t>MFG-7691000</t>
  </si>
  <si>
    <t>MFG-7711101</t>
  </si>
  <si>
    <t>IT Expense</t>
  </si>
  <si>
    <t>MFG-7711102</t>
  </si>
  <si>
    <t>MFG-7729101</t>
  </si>
  <si>
    <t>Miscellaneous Expense</t>
  </si>
  <si>
    <t>MFG-7781101</t>
  </si>
  <si>
    <t>B5000</t>
  </si>
  <si>
    <t>Plant Operation (Indirect Mfg)</t>
  </si>
  <si>
    <t>MFG-7511102</t>
  </si>
  <si>
    <t>B3100</t>
  </si>
  <si>
    <t>Sales &amp; MKTG Dept.- Automotive</t>
  </si>
  <si>
    <t>B2200</t>
  </si>
  <si>
    <t>Admin &amp; HR</t>
  </si>
  <si>
    <t>Expatriate fee Tax (BADORA)</t>
  </si>
  <si>
    <t>SGA-7781113</t>
  </si>
  <si>
    <t>MFG-7781113</t>
  </si>
  <si>
    <t>Depreciation - Right of use Assets</t>
  </si>
  <si>
    <t>SGA-7611800</t>
  </si>
  <si>
    <t>MFG-7519101</t>
  </si>
  <si>
    <t>MFG-7611800</t>
  </si>
  <si>
    <t>Audit Fee</t>
  </si>
  <si>
    <t>SGA-7721101</t>
  </si>
  <si>
    <t>SGA-7711102</t>
  </si>
  <si>
    <t>A1005</t>
  </si>
  <si>
    <t>SGA-7781101</t>
  </si>
  <si>
    <t>NGK group service fee</t>
  </si>
  <si>
    <t>MFG-7729103</t>
  </si>
  <si>
    <t>B3150</t>
  </si>
  <si>
    <t>SCM - FG WH</t>
  </si>
  <si>
    <t>SGA-7729103</t>
  </si>
  <si>
    <t>A1007</t>
  </si>
  <si>
    <t>B3130</t>
  </si>
  <si>
    <t>Sales - IAM</t>
  </si>
  <si>
    <t>B2400</t>
  </si>
  <si>
    <t>Information Technology</t>
  </si>
  <si>
    <t>B5500</t>
  </si>
  <si>
    <t>Maintenance</t>
  </si>
  <si>
    <t>B3160</t>
  </si>
  <si>
    <t>Marketing</t>
  </si>
  <si>
    <t>B5200</t>
  </si>
  <si>
    <t>Inventory Control</t>
  </si>
  <si>
    <t>SGA-7691000</t>
  </si>
  <si>
    <t>Others - Miscellaneous Tax</t>
  </si>
  <si>
    <t>B1001</t>
  </si>
  <si>
    <t>Commissioner</t>
  </si>
  <si>
    <t>Salary for Commissioner</t>
  </si>
  <si>
    <t>SGA-7511101</t>
  </si>
  <si>
    <t>B3120</t>
  </si>
  <si>
    <t>Sales - OES</t>
  </si>
  <si>
    <t>Sales - Royalty to Independence Party</t>
  </si>
  <si>
    <t>SGA-7751102</t>
  </si>
  <si>
    <t>Staff Welfare - Dental</t>
  </si>
  <si>
    <t>SGA-7515404</t>
  </si>
  <si>
    <t>Staff Welfare - Glasses</t>
  </si>
  <si>
    <t>SGA-7515403</t>
  </si>
  <si>
    <t>SGA-7515402</t>
  </si>
  <si>
    <t>Staff Welfare - Meals of canteen &amp; other meals</t>
  </si>
  <si>
    <t>SGA-7515409</t>
  </si>
  <si>
    <t>Stamp/Post Fee</t>
  </si>
  <si>
    <t>SGA-7711103</t>
  </si>
  <si>
    <t>B4101</t>
  </si>
  <si>
    <t>SP PD- CF</t>
  </si>
  <si>
    <t>Insurance Premium</t>
  </si>
  <si>
    <t>MFG-7681101</t>
  </si>
  <si>
    <t>B4102</t>
  </si>
  <si>
    <t>SP PD- CM</t>
  </si>
  <si>
    <t>B4105</t>
  </si>
  <si>
    <t>SP PD- Plating</t>
  </si>
  <si>
    <t>B4106</t>
  </si>
  <si>
    <t>SP PD- Insulator Sealing</t>
  </si>
  <si>
    <t>B4110</t>
  </si>
  <si>
    <t>SP PD- Assy</t>
  </si>
  <si>
    <t>B4114</t>
  </si>
  <si>
    <t>SP PD- Bending</t>
  </si>
  <si>
    <t>B4115</t>
  </si>
  <si>
    <t>SP-PD-Assy-Auto Assembly</t>
  </si>
  <si>
    <t>B4120</t>
  </si>
  <si>
    <t>SP PD- Final Inspection</t>
  </si>
  <si>
    <t>B4121</t>
  </si>
  <si>
    <t>SP PD- QC - OEM</t>
  </si>
  <si>
    <t>B4410</t>
  </si>
  <si>
    <t>PC PD- Injection</t>
  </si>
  <si>
    <t>B4430</t>
  </si>
  <si>
    <t>PC PD- Assy</t>
  </si>
  <si>
    <t>B4440</t>
  </si>
  <si>
    <t>PC PD- QC</t>
  </si>
  <si>
    <t>SGA-7681101</t>
  </si>
  <si>
    <t>B2210</t>
  </si>
  <si>
    <t>General Affair</t>
  </si>
  <si>
    <t>B2220</t>
  </si>
  <si>
    <t>Human Resource</t>
  </si>
  <si>
    <t>B2230</t>
  </si>
  <si>
    <t>Health, Safety &amp; Environment</t>
  </si>
  <si>
    <t>B3110</t>
  </si>
  <si>
    <t>Sales - OEM</t>
  </si>
  <si>
    <t>B5101</t>
  </si>
  <si>
    <t>Production Office (SP)</t>
  </si>
  <si>
    <t>B5130</t>
  </si>
  <si>
    <t>Supply Procurement</t>
  </si>
  <si>
    <t>B5600</t>
  </si>
  <si>
    <t>Production Engineering</t>
  </si>
  <si>
    <t>B5710</t>
  </si>
  <si>
    <t>WH Dept.- KD &amp; RM</t>
  </si>
  <si>
    <t>B5800</t>
  </si>
  <si>
    <t>Quality Assurance</t>
  </si>
  <si>
    <t>B5900</t>
  </si>
  <si>
    <t>Quality Control</t>
  </si>
  <si>
    <t>Amortization of Land &amp; Building tax (PBB)</t>
  </si>
  <si>
    <t>MFG-7671102</t>
  </si>
  <si>
    <t>SGA-7671102</t>
  </si>
  <si>
    <t>B5100</t>
  </si>
  <si>
    <t>Production Office</t>
  </si>
  <si>
    <t>Sales - Insurance of AR (Credit Insurance)</t>
  </si>
  <si>
    <t>SGA-7471201</t>
  </si>
  <si>
    <t>Sales - Insurance of Delivery or Shipment</t>
  </si>
  <si>
    <t>SGA-7411105</t>
  </si>
  <si>
    <t>License fee</t>
  </si>
  <si>
    <t>SGA-7671103</t>
  </si>
  <si>
    <t>Staff Welfare - Uniform</t>
  </si>
  <si>
    <t>MFG-7515406</t>
  </si>
  <si>
    <t>B5104</t>
  </si>
  <si>
    <t>Production Office (PC)</t>
  </si>
  <si>
    <t>SGA-7515406</t>
  </si>
  <si>
    <t>Staff Welfare - Family Gathering / Anniversary</t>
  </si>
  <si>
    <t>SGA-7515408</t>
  </si>
  <si>
    <t>MFG-7515409</t>
  </si>
  <si>
    <t>Training Expense</t>
  </si>
  <si>
    <t>Recruitment Fee</t>
  </si>
  <si>
    <t>SGA-7781111</t>
  </si>
  <si>
    <t>Others - Sport Activity</t>
  </si>
  <si>
    <t>Staff Welfare - Medical Check Up</t>
  </si>
  <si>
    <t>SGA-7515405</t>
  </si>
  <si>
    <t>Repair Building</t>
  </si>
  <si>
    <t>SGA-7641101</t>
  </si>
  <si>
    <t>Others - Miscellaneous Waste</t>
  </si>
  <si>
    <t>Others - Retribution / Garbage Cost</t>
  </si>
  <si>
    <t>Others - Miscellaneous Non Operational Expense</t>
  </si>
  <si>
    <t>Factory Supply Expense</t>
  </si>
  <si>
    <t>SGA-7641103</t>
  </si>
  <si>
    <t>MFG-7515405</t>
  </si>
  <si>
    <t>MFG-7641103</t>
  </si>
  <si>
    <t>MFG-7781107</t>
  </si>
  <si>
    <t>MFG-7651103</t>
  </si>
  <si>
    <t>MFG-7515403</t>
  </si>
  <si>
    <t>MFG-7515404</t>
  </si>
  <si>
    <t>MFG-7641102</t>
  </si>
  <si>
    <t>MFG-7641101</t>
  </si>
  <si>
    <t>Electricity Charge</t>
  </si>
  <si>
    <t>MFG-7631101</t>
  </si>
  <si>
    <t>SGA-7631101</t>
  </si>
  <si>
    <t>A1003</t>
  </si>
  <si>
    <t>Water Supply Charge</t>
  </si>
  <si>
    <t>MFG-7631102</t>
  </si>
  <si>
    <t>SGA-7631102</t>
  </si>
  <si>
    <t>A1004</t>
  </si>
  <si>
    <t>Cost of Tooling</t>
  </si>
  <si>
    <t>MFG-7221101</t>
  </si>
  <si>
    <t>Cost of Machinery parts</t>
  </si>
  <si>
    <t>MFG-7221102</t>
  </si>
  <si>
    <t>A</t>
  </si>
  <si>
    <t>MFG-7651101</t>
  </si>
  <si>
    <t>MFG-7515499</t>
  </si>
  <si>
    <t>Cost of Packaging</t>
  </si>
  <si>
    <t>MFG-7211103</t>
  </si>
  <si>
    <t>Personnel expense transferred</t>
  </si>
  <si>
    <t>MFG-7571101</t>
  </si>
  <si>
    <t>Calibration Cost</t>
  </si>
  <si>
    <t>MFG-7641104</t>
  </si>
  <si>
    <t>SGA-7451103</t>
  </si>
  <si>
    <t>B</t>
  </si>
  <si>
    <t>Advertising expenses</t>
  </si>
  <si>
    <t>SGA-7431101</t>
  </si>
  <si>
    <t>A401</t>
  </si>
  <si>
    <t>SGA-7451102</t>
  </si>
  <si>
    <t>Transportation for Goods</t>
  </si>
  <si>
    <t>SGA-7411103</t>
  </si>
  <si>
    <t>A202</t>
  </si>
  <si>
    <t>SGA-7411101</t>
  </si>
  <si>
    <t>A201</t>
  </si>
  <si>
    <t>MFG-7661101</t>
  </si>
  <si>
    <t>MFG-7781112</t>
  </si>
  <si>
    <t>MFG-7781103</t>
  </si>
  <si>
    <t>Security Guard</t>
  </si>
  <si>
    <t>Name COA AX</t>
  </si>
  <si>
    <t>COA AX</t>
  </si>
  <si>
    <t>Group Cost</t>
  </si>
  <si>
    <t>COA Budget</t>
  </si>
  <si>
    <t>Description</t>
  </si>
  <si>
    <t>Name</t>
    <phoneticPr fontId="0"/>
  </si>
  <si>
    <t>BNGK</t>
  </si>
  <si>
    <t>Code</t>
    <phoneticPr fontId="0"/>
  </si>
  <si>
    <t>Priority Code</t>
  </si>
  <si>
    <t>Priority Name</t>
  </si>
  <si>
    <t>NGK BUSI INDONESIA</t>
  </si>
  <si>
    <t>Must</t>
  </si>
  <si>
    <t>If this is not done, the company or our team cannot continue its business.</t>
  </si>
  <si>
    <t>Salary for Director &amp; Expat</t>
  </si>
  <si>
    <t>Want to</t>
  </si>
  <si>
    <t>We want to do it as a team this term. we need it.</t>
  </si>
  <si>
    <t>Staff Labor - Baslc Salary</t>
  </si>
  <si>
    <t>A501</t>
  </si>
  <si>
    <t>Basic Salary of permanent employee</t>
  </si>
  <si>
    <t>C</t>
  </si>
  <si>
    <t>Challenge</t>
  </si>
  <si>
    <t>We want to do it for this term or the future. But it doesn't matter if it's not this term.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</si>
  <si>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</si>
  <si>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</si>
  <si>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</si>
  <si>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</si>
  <si>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</si>
  <si>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</si>
  <si>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</si>
  <si>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</si>
  <si>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</si>
  <si>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</si>
  <si>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</si>
  <si>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</si>
  <si>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</si>
  <si>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</si>
  <si>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</si>
  <si>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</si>
  <si>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</si>
  <si>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</si>
  <si>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</si>
  <si>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outpatient treatment costs</t>
  </si>
  <si>
    <t>hospitalization costs</t>
  </si>
  <si>
    <t>glasses costs</t>
  </si>
  <si>
    <t>dental costs</t>
  </si>
  <si>
    <t>Medical Check Up cost</t>
  </si>
  <si>
    <t>uniform costs</t>
  </si>
  <si>
    <t>SP PD- MS Insp.</t>
  </si>
  <si>
    <t>B4109</t>
  </si>
  <si>
    <t>Staff Welfare - Safety Shoes</t>
  </si>
  <si>
    <t>Family Gathering / Anniversary</t>
  </si>
  <si>
    <t>Meals of canteen &amp; other meals cost</t>
  </si>
  <si>
    <t>an expense, arising from Kaizen and QCC acitivity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</si>
  <si>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</si>
  <si>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</si>
  <si>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</si>
  <si>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</si>
  <si>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</si>
  <si>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</si>
  <si>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</si>
  <si>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</si>
  <si>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</si>
  <si>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A506</t>
    <phoneticPr fontId="0"/>
  </si>
  <si>
    <t>Transfer Labor cost from one section into another section</t>
  </si>
  <si>
    <t>Depreciation-Building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</si>
  <si>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</si>
  <si>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</si>
  <si>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</si>
  <si>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Depreciation-Lease Machinery &amp; equipment</t>
  </si>
  <si>
    <t>the amount of depreciation of tangible assets for machinery &amp; factory equipment (Leases)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</si>
  <si>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</si>
  <si>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</si>
  <si>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</si>
  <si>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</si>
  <si>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</si>
  <si>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</si>
  <si>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the amount of depreciation of right of use assets</t>
  </si>
  <si>
    <t>Rental car</t>
  </si>
  <si>
    <t>The expenses of car rent</t>
  </si>
  <si>
    <t>Other rental fee</t>
  </si>
  <si>
    <t>A701</t>
  </si>
  <si>
    <t>The expenses of rent beside car rent, such as copy machine, dispenser, etc.</t>
  </si>
  <si>
    <t xml:space="preserve">Electricity consumption </t>
  </si>
  <si>
    <t xml:space="preserve">Water consumption </t>
  </si>
  <si>
    <t>expenses for repair and maintenance asset building</t>
  </si>
  <si>
    <t>expenses for repair and maintenance tangible assets, intangible assets and other assets beside building</t>
  </si>
  <si>
    <t xml:space="preserve">All cost that arrising to support factory acitivity </t>
  </si>
  <si>
    <t>All</t>
  </si>
  <si>
    <t>B0000</t>
  </si>
  <si>
    <t>Cost of calibration for tools and equipment of factory and others</t>
  </si>
  <si>
    <t>Gasoline of company cars &amp; expense for Local transportation</t>
  </si>
  <si>
    <t>expenses for business trip, including allowance for business trip to an employee only for domestic travel</t>
  </si>
  <si>
    <t>expenses for business trip, including allowance for business trip to an employee only for overseas travel</t>
  </si>
  <si>
    <t>the amount of expenses for the act of entertaining the business partner</t>
  </si>
  <si>
    <t>the amount of depreciation of intangible of Land &amp; Building Tax (PBB)</t>
  </si>
  <si>
    <t>The expense related with the documentation process, such as : KIR, Car lisence, company lisence, etc.</t>
  </si>
  <si>
    <t>expenses for risk management with no premium at the end of the term, such as fire insurance for plants and inventories</t>
  </si>
  <si>
    <t>the amount of supplies for office, such as stationery. Small office equipment included</t>
  </si>
  <si>
    <t>expenses for communication with a people in remote place, such as expense for telephone and postage</t>
  </si>
  <si>
    <t>the amount of supplies for IT tools</t>
  </si>
  <si>
    <t>The expenses related with stamp duty</t>
  </si>
  <si>
    <t>a fee for external auditor of accounting assessment</t>
  </si>
  <si>
    <t>a fee for professional who not only public qualification holders, such as a CPA or an attorney, but also a person or an organization with technical knowledge such as a consultant or a translator.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</si>
  <si>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</si>
  <si>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</si>
  <si>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</si>
  <si>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others operational expense</t>
  </si>
  <si>
    <t>News paper, magazine, and other publishing cost</t>
  </si>
  <si>
    <t>Cleaning Expense</t>
  </si>
  <si>
    <t>The expenses related with the tools or other for cleaning activity</t>
  </si>
  <si>
    <t>Fee for security from outsourcing company</t>
  </si>
  <si>
    <t>Service Fee (Canteen Meal &amp; other service for staff)</t>
  </si>
  <si>
    <t>Expense for canteen</t>
  </si>
  <si>
    <t>Training cost</t>
  </si>
  <si>
    <t>Cost for recruitment process</t>
  </si>
  <si>
    <t>Incidental costs related to expatriete</t>
  </si>
  <si>
    <t>Tax income from expatriete</t>
  </si>
  <si>
    <t>Freights and Export expense</t>
  </si>
  <si>
    <t>an expense, arising from export transaction such as; insurance, pallet, freight cost</t>
  </si>
  <si>
    <t>Transportion expense of local goods sales</t>
  </si>
  <si>
    <t>Packing for Sale</t>
  </si>
  <si>
    <t>A203</t>
  </si>
  <si>
    <t>Packing expense for local good sales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</si>
  <si>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</si>
  <si>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</si>
  <si>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</si>
  <si>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</si>
  <si>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</si>
  <si>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</si>
  <si>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</si>
  <si>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</si>
  <si>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</si>
  <si>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</si>
  <si>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</si>
  <si>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A299</t>
    <phoneticPr fontId="8"/>
  </si>
  <si>
    <t>Sales - Royalty to NGK Group</t>
  </si>
  <si>
    <t>Import Duty-purchased FG from NGK group</t>
  </si>
  <si>
    <t>Import Duty-purchased FG from outside supplier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</si>
  <si>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</si>
  <si>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</si>
  <si>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</si>
  <si>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</si>
  <si>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FG from outside supplier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</si>
  <si>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</si>
  <si>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</si>
  <si>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</si>
  <si>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Expense-purchased Packaging material from outside supplier</t>
  </si>
  <si>
    <t>Subcontracting Cost</t>
  </si>
  <si>
    <t>Indirect material costs</t>
  </si>
  <si>
    <t>Cost of Factory Supply</t>
  </si>
  <si>
    <t>Cost of Chemical</t>
    <phoneticPr fontId="0"/>
  </si>
  <si>
    <t>The expenses of Chemicals consumption</t>
  </si>
  <si>
    <t>Cost of Oil</t>
  </si>
  <si>
    <t>The expenses of Tooling consumption</t>
  </si>
  <si>
    <t>The expenses of Spare Parts consumption</t>
  </si>
  <si>
    <t>Casual Staff Labor</t>
  </si>
  <si>
    <t>OTH</t>
  </si>
  <si>
    <t>Other Income</t>
  </si>
  <si>
    <t>SGA-7781105</t>
  </si>
  <si>
    <t>MFG-7611100</t>
  </si>
  <si>
    <t>SGA-7611100</t>
  </si>
  <si>
    <t>MFG-7611600</t>
  </si>
  <si>
    <t>SGA-7611600</t>
  </si>
  <si>
    <t>MFG-7611300</t>
  </si>
  <si>
    <t>SGA-7611300</t>
  </si>
  <si>
    <t>MFG-7611700</t>
  </si>
  <si>
    <t>SGA-7611700</t>
  </si>
  <si>
    <t>MFG-7611500</t>
  </si>
  <si>
    <t>SGA-7611500</t>
  </si>
  <si>
    <t>MFG-7511103</t>
  </si>
  <si>
    <t>MFG-7511111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</si>
  <si>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</si>
  <si>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</si>
  <si>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</si>
  <si>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</si>
  <si>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</si>
  <si>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</si>
  <si>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</si>
  <si>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MFG-7516102</t>
  </si>
  <si>
    <t>MFG-7521101</t>
  </si>
  <si>
    <t>MFG-7521102</t>
  </si>
  <si>
    <t>SGA-7511103</t>
  </si>
  <si>
    <t>SGA-7511111</t>
  </si>
  <si>
    <t>SGA-7511121</t>
  </si>
  <si>
    <t>SGA-7511122</t>
  </si>
  <si>
    <t>SGA-7511201</t>
  </si>
  <si>
    <t>SGA-7512111</t>
  </si>
  <si>
    <t>SGA-7512112</t>
  </si>
  <si>
    <t>SGA-7514101</t>
  </si>
  <si>
    <t>SGA-7514102</t>
  </si>
  <si>
    <t>SGA-7516102</t>
  </si>
  <si>
    <t>SGA-7521101</t>
  </si>
  <si>
    <t>SGA-7521102</t>
  </si>
  <si>
    <t>MFG-7111211</t>
  </si>
  <si>
    <t>MFG-7111221</t>
  </si>
  <si>
    <t>MFG-7111222</t>
  </si>
  <si>
    <t>MFG-7111223</t>
  </si>
  <si>
    <t>MFG-7111311</t>
  </si>
  <si>
    <t>MFG-7111321</t>
  </si>
  <si>
    <t>MFG-7111322</t>
  </si>
  <si>
    <t>MFG-7111323</t>
  </si>
  <si>
    <t>SGA-7511112</t>
  </si>
  <si>
    <t>SGA-7515407</t>
  </si>
  <si>
    <t>SGA-7515410</t>
  </si>
  <si>
    <t>SGA-7571101</t>
  </si>
  <si>
    <t>SGA-7611400</t>
  </si>
  <si>
    <t>SGA-7621101</t>
  </si>
  <si>
    <t>SGA-7621199</t>
  </si>
  <si>
    <t>SGA-7641104</t>
  </si>
  <si>
    <t>SGA-7729105</t>
  </si>
  <si>
    <t>SGA-7781104</t>
  </si>
  <si>
    <t>SGA-7781106</t>
  </si>
  <si>
    <t>SGA-7411104</t>
  </si>
  <si>
    <t>SGA-7451101</t>
  </si>
  <si>
    <t>SGA-7461101</t>
  </si>
  <si>
    <t>SGA-7751101</t>
  </si>
  <si>
    <t>MFG-7111212</t>
  </si>
  <si>
    <t>MFG-7111312</t>
  </si>
  <si>
    <t>MFG-7111411</t>
  </si>
  <si>
    <t>MFG-7151101</t>
  </si>
  <si>
    <t>MFG-7200000</t>
  </si>
  <si>
    <t>MFG-7211101</t>
  </si>
  <si>
    <t>MFG-7211104</t>
  </si>
  <si>
    <t>MFG-7511101</t>
  </si>
  <si>
    <t>MFG-7511112</t>
  </si>
  <si>
    <t>MFG-7515407</t>
  </si>
  <si>
    <t>MFG-7515408</t>
  </si>
  <si>
    <t>MFG-7611400</t>
  </si>
  <si>
    <t>MFG-7621101</t>
  </si>
  <si>
    <t>MFG-7621199</t>
  </si>
  <si>
    <t>MFG-7671103</t>
  </si>
  <si>
    <t>MFG-7711103</t>
  </si>
  <si>
    <t>MFG-7721101</t>
  </si>
  <si>
    <t>MFG-7729105</t>
  </si>
  <si>
    <t>MFG-7781104</t>
  </si>
  <si>
    <t>MFG-7781105</t>
  </si>
  <si>
    <t>MFG-7781106</t>
  </si>
  <si>
    <t>MFG-7781111</t>
  </si>
  <si>
    <t>OTH-8291101</t>
  </si>
  <si>
    <t>OTH-8291102</t>
  </si>
  <si>
    <t>OTH-8291201</t>
  </si>
  <si>
    <t>OTH-8291202</t>
  </si>
  <si>
    <t>OTH-8291203</t>
  </si>
  <si>
    <t>OTH-8191101</t>
  </si>
  <si>
    <t>Sales Promotion-Activity</t>
  </si>
  <si>
    <t>Sales Promotion- Goods</t>
  </si>
  <si>
    <t>BEL</t>
  </si>
  <si>
    <t>HYDRAULIC OIL IDEMITSU MECHANIC 32</t>
  </si>
  <si>
    <t xml:space="preserve">Oil Hydraulic Idemitsu Daphne Super Hydraulic Fluid 46 </t>
  </si>
  <si>
    <t>GEAR BOX OIL SHELL SPIRAX S2 G 90</t>
  </si>
  <si>
    <t>OLI IDEMITSU DN SUPER GEAR 220</t>
  </si>
  <si>
    <t>GEAR OIL BONNOC M150</t>
  </si>
  <si>
    <t>Production Spare Part</t>
  </si>
  <si>
    <t>Machinery Spare Part</t>
  </si>
  <si>
    <t>Maintenance Tool &amp; Material</t>
  </si>
  <si>
    <t>IT Expenses</t>
  </si>
  <si>
    <t>Grease</t>
  </si>
  <si>
    <t>Stationary</t>
  </si>
  <si>
    <t>Dental</t>
  </si>
  <si>
    <t>Glasses</t>
  </si>
  <si>
    <t>Hospitalization</t>
  </si>
  <si>
    <t>Outpatient Medical</t>
  </si>
  <si>
    <t>Electricity Consumption</t>
  </si>
  <si>
    <t>Water Well Consumption</t>
  </si>
  <si>
    <t>Water PAM Consumption</t>
  </si>
  <si>
    <t>Genset Spare part</t>
  </si>
  <si>
    <t>Spare Part Fork Lift</t>
  </si>
  <si>
    <t>Utility Tools and Material</t>
  </si>
  <si>
    <t>Hand Pallet Service OPK</t>
  </si>
  <si>
    <t>Compressor Spare Part (for 6 compressor)</t>
  </si>
  <si>
    <t xml:space="preserve">Diesel fuel </t>
  </si>
  <si>
    <t>AGV Spare part</t>
  </si>
  <si>
    <t>Air cooling Spare part ( Waterline )</t>
  </si>
  <si>
    <t>Air Condition Spare part</t>
  </si>
  <si>
    <t>AC &amp; chiller  Service contract</t>
  </si>
  <si>
    <t xml:space="preserve">WWT Spare Part </t>
  </si>
  <si>
    <t>RO Spare Part</t>
  </si>
  <si>
    <t>Dust Collector spare part</t>
  </si>
  <si>
    <t>Sintetic Compressor Oil Idemitsu Alpha Screw 32</t>
  </si>
  <si>
    <t>Hitachi Hi Screw Oil Compressor</t>
  </si>
  <si>
    <t>Lampu LVD Spare part</t>
  </si>
  <si>
    <t>ATS ACB LVMDP  Spare part</t>
  </si>
  <si>
    <t>Cooling Tower Spare Part</t>
  </si>
  <si>
    <t xml:space="preserve">Genset Contract service </t>
  </si>
  <si>
    <t>Compressor contract service</t>
  </si>
  <si>
    <t>Forklift Service Contract</t>
  </si>
  <si>
    <t>Hoist crane contract service</t>
  </si>
  <si>
    <t>Pile-up  line of AGV inside factory (122 m2)</t>
  </si>
  <si>
    <t>Penetrant dan grounding test penangkal petir</t>
  </si>
  <si>
    <t>Repaint wall of  FOS (600m2)</t>
  </si>
  <si>
    <t>Repaint wall of  SCM (920m2)</t>
  </si>
  <si>
    <t>Repaint wall of mosque (20.25 X 10.3)</t>
  </si>
  <si>
    <t>Replace grating to cover gutter (east WH-RM)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</si>
</sst>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0" fontId="11" fillId="0" borderId="0">
      <alignment vertical="center"/>
    </xf>
    <xf numFmtId="0" fontId="19" fillId="11" borderId="0"/>
    <xf numFmtId="43" fontId="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5" fillId="0" borderId="0"/>
    <xf numFmtId="0" fontId="1" fillId="0" borderId="0"/>
  </cellStyleXfs>
  <cellXfs count="5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2" borderId="0" xfId="3" applyNumberFormat="1" applyFont="1" applyFill="1" applyBorder="1" applyAlignment="1">
      <alignment horizontal="center" vertical="center" wrapText="1"/>
    </xf>
    <xf numFmtId="164" fontId="3" fillId="2" borderId="0" xfId="3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164" fontId="5" fillId="0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64" fontId="3" fillId="3" borderId="0" xfId="7" applyNumberFormat="1" applyFont="1" applyFill="1" applyBorder="1" applyAlignment="1">
      <alignment horizontal="center" vertical="center" wrapText="1"/>
    </xf>
    <xf numFmtId="164" fontId="3" fillId="4" borderId="0" xfId="7" applyNumberFormat="1" applyFont="1" applyFill="1" applyBorder="1" applyAlignment="1">
      <alignment horizontal="center" vertical="center" wrapText="1"/>
    </xf>
    <xf numFmtId="164" fontId="4" fillId="5" borderId="0" xfId="7" applyNumberFormat="1" applyFont="1" applyFill="1" applyBorder="1" applyAlignment="1">
      <alignment horizontal="center" vertical="center" wrapText="1"/>
    </xf>
    <xf numFmtId="164" fontId="5" fillId="0" borderId="0" xfId="7" applyNumberFormat="1" applyFont="1" applyFill="1" applyBorder="1" applyAlignment="1">
      <alignment vertical="center"/>
    </xf>
    <xf numFmtId="0" fontId="9" fillId="2" borderId="0" xfId="2" applyFont="1" applyFill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0" fontId="12" fillId="5" borderId="0" xfId="8" applyFont="1" applyFill="1" applyAlignment="1">
      <alignment horizontal="center" vertical="center" wrapText="1"/>
    </xf>
    <xf numFmtId="0" fontId="13" fillId="8" borderId="0" xfId="8" applyFont="1" applyFill="1" applyAlignment="1">
      <alignment horizontal="center" vertical="center" wrapText="1"/>
    </xf>
    <xf numFmtId="0" fontId="14" fillId="9" borderId="0" xfId="8" applyFont="1" applyFill="1" applyAlignment="1">
      <alignment vertical="center" wrapText="1"/>
    </xf>
    <xf numFmtId="0" fontId="15" fillId="10" borderId="1" xfId="8" applyFont="1" applyFill="1" applyBorder="1" applyAlignment="1">
      <alignment horizontal="center" vertical="center"/>
    </xf>
    <xf numFmtId="0" fontId="15" fillId="5" borderId="0" xfId="8" applyFont="1" applyFill="1">
      <alignment vertical="center"/>
    </xf>
    <xf numFmtId="0" fontId="15" fillId="9" borderId="1" xfId="8" applyFont="1" applyFill="1" applyBorder="1" applyAlignment="1">
      <alignment horizontal="center" vertical="center"/>
    </xf>
    <xf numFmtId="0" fontId="16" fillId="10" borderId="1" xfId="8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4" fillId="0" borderId="0" xfId="8" applyFont="1" applyAlignment="1">
      <alignment vertical="center" wrapText="1"/>
    </xf>
    <xf numFmtId="0" fontId="17" fillId="0" borderId="0" xfId="8" applyFont="1">
      <alignment vertical="center"/>
    </xf>
    <xf numFmtId="0" fontId="17" fillId="0" borderId="0" xfId="8" applyFont="1" applyAlignment="1">
      <alignment horizontal="center" vertical="center"/>
    </xf>
    <xf numFmtId="0" fontId="18" fillId="0" borderId="0" xfId="8" applyFont="1" applyAlignment="1">
      <alignment horizontal="center" vertical="center"/>
    </xf>
    <xf numFmtId="0" fontId="18" fillId="0" borderId="0" xfId="8" applyFont="1">
      <alignment vertical="center"/>
    </xf>
    <xf numFmtId="0" fontId="17" fillId="9" borderId="0" xfId="8" applyFont="1" applyFill="1">
      <alignment vertical="center"/>
    </xf>
    <xf numFmtId="0" fontId="20" fillId="0" borderId="1" xfId="9" applyFont="1" applyFill="1" applyBorder="1" applyAlignment="1">
      <alignment vertical="center"/>
    </xf>
    <xf numFmtId="0" fontId="20" fillId="0" borderId="1" xfId="9" applyFont="1" applyFill="1" applyBorder="1" applyAlignment="1">
      <alignment horizontal="center" vertical="center"/>
    </xf>
    <xf numFmtId="0" fontId="21" fillId="0" borderId="1" xfId="8" applyFont="1" applyBorder="1">
      <alignment vertical="center"/>
    </xf>
    <xf numFmtId="0" fontId="17" fillId="0" borderId="1" xfId="8" applyFont="1" applyBorder="1">
      <alignment vertical="center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20" fillId="0" borderId="1" xfId="8" applyFont="1" applyBorder="1">
      <alignment vertical="center"/>
    </xf>
    <xf numFmtId="0" fontId="21" fillId="6" borderId="1" xfId="9" applyFont="1" applyFill="1" applyBorder="1" applyAlignment="1">
      <alignment vertical="center"/>
    </xf>
    <xf numFmtId="0" fontId="21" fillId="6" borderId="1" xfId="9" applyFont="1" applyFill="1" applyBorder="1" applyAlignment="1">
      <alignment horizontal="center" vertical="center"/>
    </xf>
    <xf numFmtId="0" fontId="21" fillId="6" borderId="1" xfId="8" applyFont="1" applyFill="1" applyBorder="1">
      <alignment vertical="center"/>
    </xf>
    <xf numFmtId="0" fontId="17" fillId="7" borderId="0" xfId="8" applyFont="1" applyFill="1">
      <alignment vertical="center"/>
    </xf>
    <xf numFmtId="0" fontId="18" fillId="12" borderId="0" xfId="8" applyFont="1" applyFill="1" applyAlignment="1">
      <alignment horizontal="center" vertical="center"/>
    </xf>
    <xf numFmtId="0" fontId="23" fillId="0" borderId="0" xfId="8" applyFont="1" applyAlignment="1">
      <alignment horizontal="center" vertical="center"/>
    </xf>
    <xf numFmtId="0" fontId="23" fillId="7" borderId="0" xfId="8" applyFont="1" applyFill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9" fillId="2" borderId="0" xfId="1" applyNumberFormat="1" applyFont="1" applyFill="1" applyAlignment="1">
      <alignment horizontal="center" vertical="center" wrapText="1"/>
    </xf>
    <xf numFmtId="0" fontId="10" fillId="0" borderId="0" xfId="2" applyNumberFormat="1" applyFont="1" applyAlignment="1">
      <alignment horizontal="center" vertical="center"/>
    </xf>
    <xf numFmtId="0" fontId="3" fillId="6" borderId="0" xfId="1" applyNumberFormat="1" applyFont="1" applyFill="1" applyAlignment="1">
      <alignment horizontal="right" vertical="center" wrapText="1"/>
    </xf>
    <xf numFmtId="0" fontId="3" fillId="6" borderId="0" xfId="1" applyNumberFormat="1" applyFont="1" applyFill="1" applyAlignment="1">
      <alignment horizontal="center" vertical="center" wrapText="1"/>
    </xf>
    <xf numFmtId="0" fontId="5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</cellXfs>
  <cellStyles count="17">
    <cellStyle name="Comma" xfId="7" builtinId="3"/>
    <cellStyle name="Comma 2" xfId="14" xr:uid="{E10D9FDB-20DE-48B4-8EC0-7BC04BCD7841}"/>
    <cellStyle name="Comma 2 2" xfId="12" xr:uid="{64725D1B-13C6-4AB0-9665-94C443150534}"/>
    <cellStyle name="Comma 3 2" xfId="3" xr:uid="{3560898D-4EE0-46D7-AA5F-D1E76649A006}"/>
    <cellStyle name="Comma 3 2 2" xfId="10" xr:uid="{DE1BA802-0771-4788-A6F4-9D30182DE490}"/>
    <cellStyle name="Comma 3 2 2 2" xfId="13" xr:uid="{3B59815C-0AF9-41A1-89EF-8D8B7F852D3C}"/>
    <cellStyle name="Normal" xfId="0" builtinId="0"/>
    <cellStyle name="Normal 11" xfId="6" xr:uid="{A9335861-4218-43F3-8E90-052A954401F7}"/>
    <cellStyle name="Normal 2" xfId="11" xr:uid="{4AE43548-A181-4128-AC71-89C704B9537B}"/>
    <cellStyle name="Normal 2 2" xfId="8" xr:uid="{209D6541-1D5D-41FF-9914-84311ABD526A}"/>
    <cellStyle name="Normal 2 2 2" xfId="15" xr:uid="{7EBF89D6-0537-4D1B-8D8F-F8073378D933}"/>
    <cellStyle name="Normal 20" xfId="1" xr:uid="{6B30181A-BEA1-49EA-A1CB-1DD8AA01EFBC}"/>
    <cellStyle name="Normal 3 3" xfId="2" xr:uid="{4944E16E-F5AE-46FA-96DA-4C1624514817}"/>
    <cellStyle name="Normal 3 3 2 2 2" xfId="16" xr:uid="{AD9F9C86-AFA2-482C-9A24-8CB6FA3E132C}"/>
    <cellStyle name="Normal 3 3 2 2 4" xfId="4" xr:uid="{0283F1D2-E2AF-46B2-8BD0-66F066BBC833}"/>
    <cellStyle name="Percent 2" xfId="5" xr:uid="{9F9E1FFC-3908-42F0-BE49-02B86C648D42}"/>
    <cellStyle name="標準 2 2" xfId="9" xr:uid="{AC0D5CAA-1594-412F-B86B-57C06222F44F}"/>
  </cellStyles>
  <dxfs count="4"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Upload%20-%20Expense%20(BEX,BEL)%20(NB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Upload%20-%20Expense%20(BEX,BEL)%20(S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"/>
      <sheetName val="Master"/>
    </sheetNames>
    <sheetDataSet>
      <sheetData sheetId="0"/>
      <sheetData sheetId="1">
        <row r="1">
          <cell r="B1" t="str">
            <v>Name COA AX</v>
          </cell>
          <cell r="C1" t="str">
            <v>COA AX</v>
          </cell>
          <cell r="J1" t="str">
            <v>Name</v>
          </cell>
          <cell r="K1" t="str">
            <v>BNGK</v>
          </cell>
          <cell r="L1" t="str">
            <v>GROUP COST</v>
          </cell>
          <cell r="M1" t="str">
            <v>GROUP SECTION</v>
          </cell>
        </row>
        <row r="2">
          <cell r="B2" t="str">
            <v>Salary for Commissioner</v>
          </cell>
          <cell r="C2">
            <v>7511101</v>
          </cell>
          <cell r="J2" t="str">
            <v>Top Management</v>
          </cell>
          <cell r="K2" t="str">
            <v>B1000</v>
          </cell>
          <cell r="L2" t="str">
            <v>SGA</v>
          </cell>
          <cell r="M2" t="str">
            <v>ADM</v>
          </cell>
        </row>
        <row r="3">
          <cell r="B3" t="str">
            <v>Salary for Director</v>
          </cell>
          <cell r="C3">
            <v>7511102</v>
          </cell>
          <cell r="J3" t="str">
            <v>Commissioner</v>
          </cell>
          <cell r="K3" t="str">
            <v>B1001</v>
          </cell>
          <cell r="L3" t="str">
            <v>SGA</v>
          </cell>
          <cell r="M3" t="str">
            <v>ADM</v>
          </cell>
        </row>
        <row r="4">
          <cell r="B4" t="str">
            <v>Staff Labor - Baslc Salary</v>
          </cell>
          <cell r="C4">
            <v>7511103</v>
          </cell>
          <cell r="J4" t="str">
            <v>Admin &amp; HR</v>
          </cell>
          <cell r="K4" t="str">
            <v>B2200</v>
          </cell>
          <cell r="L4" t="str">
            <v>SGA</v>
          </cell>
          <cell r="M4" t="str">
            <v>ADM</v>
          </cell>
        </row>
        <row r="5">
          <cell r="B5" t="str">
            <v>Staff Labor - Allowance</v>
          </cell>
          <cell r="C5">
            <v>7511111</v>
          </cell>
          <cell r="J5" t="str">
            <v>General Affair</v>
          </cell>
          <cell r="K5" t="str">
            <v>B2210</v>
          </cell>
          <cell r="L5" t="str">
            <v>SGA</v>
          </cell>
          <cell r="M5" t="str">
            <v>ADM</v>
          </cell>
        </row>
        <row r="6">
          <cell r="B6" t="str">
            <v>Staff Labor - Tax allowance (art.21)</v>
          </cell>
          <cell r="C6">
            <v>7511112</v>
          </cell>
          <cell r="J6" t="str">
            <v>Human Resource</v>
          </cell>
          <cell r="K6" t="str">
            <v>B2220</v>
          </cell>
          <cell r="L6" t="str">
            <v>SGA</v>
          </cell>
          <cell r="M6" t="str">
            <v>ADM</v>
          </cell>
        </row>
        <row r="7">
          <cell r="B7" t="str">
            <v>Staff Labor - BPJS JK &amp; JKK (1.19%)</v>
          </cell>
          <cell r="C7">
            <v>7511121</v>
          </cell>
          <cell r="J7" t="str">
            <v>Health, Safety &amp; Environment</v>
          </cell>
          <cell r="K7" t="str">
            <v>B2230</v>
          </cell>
          <cell r="L7" t="str">
            <v>SGA</v>
          </cell>
          <cell r="M7" t="str">
            <v>ADM</v>
          </cell>
        </row>
        <row r="8">
          <cell r="B8" t="str">
            <v>Staff Labor - BPJS Kesehatan (4%)</v>
          </cell>
          <cell r="C8">
            <v>7511122</v>
          </cell>
          <cell r="J8" t="str">
            <v>Accounting &amp; Finance</v>
          </cell>
          <cell r="K8" t="str">
            <v>B2300</v>
          </cell>
          <cell r="L8" t="str">
            <v>SGA</v>
          </cell>
          <cell r="M8" t="str">
            <v>ADM</v>
          </cell>
        </row>
        <row r="9">
          <cell r="B9" t="str">
            <v>Staff Overtime</v>
          </cell>
          <cell r="C9">
            <v>7511201</v>
          </cell>
          <cell r="J9" t="str">
            <v>Information Technology</v>
          </cell>
          <cell r="K9" t="str">
            <v>B2400</v>
          </cell>
          <cell r="L9" t="str">
            <v>SGA</v>
          </cell>
          <cell r="M9" t="str">
            <v>ADM</v>
          </cell>
        </row>
        <row r="10">
          <cell r="B10" t="str">
            <v>Staff Welfare - BPJS Dana pensiun (2%)</v>
          </cell>
          <cell r="C10">
            <v>7512111</v>
          </cell>
          <cell r="J10" t="str">
            <v>Sales &amp; MKTG Dept.- Automotive</v>
          </cell>
          <cell r="K10" t="str">
            <v>B3100</v>
          </cell>
          <cell r="L10" t="str">
            <v>SGA</v>
          </cell>
          <cell r="M10" t="str">
            <v>ADM</v>
          </cell>
        </row>
        <row r="11">
          <cell r="B11" t="str">
            <v>Staff Welfare - BPJS JHT (3.7%)</v>
          </cell>
          <cell r="C11">
            <v>7512112</v>
          </cell>
          <cell r="J11" t="str">
            <v>Marketing</v>
          </cell>
          <cell r="K11" t="str">
            <v>B3160</v>
          </cell>
          <cell r="L11" t="str">
            <v>SGA</v>
          </cell>
          <cell r="M11" t="str">
            <v>ADM</v>
          </cell>
        </row>
        <row r="12">
          <cell r="B12" t="str">
            <v>Staff Bonus / TAT</v>
          </cell>
          <cell r="C12">
            <v>7514101</v>
          </cell>
          <cell r="J12" t="str">
            <v>Sales - OEM</v>
          </cell>
          <cell r="K12" t="str">
            <v>B3110</v>
          </cell>
          <cell r="L12" t="str">
            <v>SGA</v>
          </cell>
          <cell r="M12" t="str">
            <v>ADM</v>
          </cell>
        </row>
        <row r="13">
          <cell r="B13" t="str">
            <v>Staff Ramadhan / THR</v>
          </cell>
          <cell r="C13">
            <v>7514102</v>
          </cell>
          <cell r="J13" t="str">
            <v>Sales - OES</v>
          </cell>
          <cell r="K13" t="str">
            <v>B3120</v>
          </cell>
          <cell r="L13" t="str">
            <v>SGA</v>
          </cell>
          <cell r="M13" t="str">
            <v>ADM</v>
          </cell>
        </row>
        <row r="14">
          <cell r="B14" t="str">
            <v>Staff Welfare - Outpatient (Medical)</v>
          </cell>
          <cell r="C14">
            <v>7515401</v>
          </cell>
          <cell r="J14" t="str">
            <v>Sales - IAM</v>
          </cell>
          <cell r="K14" t="str">
            <v>B3130</v>
          </cell>
          <cell r="L14" t="str">
            <v>SGA</v>
          </cell>
          <cell r="M14" t="str">
            <v>ADM</v>
          </cell>
        </row>
        <row r="15">
          <cell r="B15" t="str">
            <v>Staff Welfare - Hospitalization</v>
          </cell>
          <cell r="C15">
            <v>7515402</v>
          </cell>
          <cell r="J15" t="str">
            <v>SP PD- CF</v>
          </cell>
          <cell r="K15" t="str">
            <v>B4101</v>
          </cell>
          <cell r="L15" t="str">
            <v>MFG</v>
          </cell>
          <cell r="M15" t="str">
            <v>DIR</v>
          </cell>
        </row>
        <row r="16">
          <cell r="B16" t="str">
            <v>Staff Welfare - Glasses</v>
          </cell>
          <cell r="C16">
            <v>7515403</v>
          </cell>
          <cell r="J16" t="str">
            <v>SP PD- CM</v>
          </cell>
          <cell r="K16" t="str">
            <v>B4102</v>
          </cell>
          <cell r="L16" t="str">
            <v>MFG</v>
          </cell>
          <cell r="M16" t="str">
            <v>DIR</v>
          </cell>
        </row>
        <row r="17">
          <cell r="B17" t="str">
            <v>Staff Welfare - Dental</v>
          </cell>
          <cell r="C17">
            <v>7515404</v>
          </cell>
          <cell r="J17" t="str">
            <v>SP PD- WT</v>
          </cell>
          <cell r="K17" t="str">
            <v>B4103</v>
          </cell>
          <cell r="L17" t="str">
            <v>MFG</v>
          </cell>
          <cell r="M17" t="str">
            <v>DIR</v>
          </cell>
        </row>
        <row r="18">
          <cell r="B18" t="str">
            <v>Staff Welfare - Medical Check Up</v>
          </cell>
          <cell r="C18">
            <v>7515405</v>
          </cell>
          <cell r="J18" t="str">
            <v>SP PD- Plating</v>
          </cell>
          <cell r="K18" t="str">
            <v>B4105</v>
          </cell>
          <cell r="L18" t="str">
            <v>MFG</v>
          </cell>
          <cell r="M18" t="str">
            <v>DIR</v>
          </cell>
        </row>
        <row r="19">
          <cell r="B19" t="str">
            <v>Staff Welfare - Uniform</v>
          </cell>
          <cell r="C19">
            <v>7515406</v>
          </cell>
          <cell r="J19" t="str">
            <v>SP PD- MS Insp.</v>
          </cell>
          <cell r="K19" t="str">
            <v>B4109</v>
          </cell>
          <cell r="L19" t="str">
            <v>MFG</v>
          </cell>
          <cell r="M19" t="str">
            <v>DIR</v>
          </cell>
        </row>
        <row r="20">
          <cell r="B20" t="str">
            <v>Staff Welfare - Safety Shoes</v>
          </cell>
          <cell r="C20">
            <v>7515407</v>
          </cell>
          <cell r="J20" t="str">
            <v>SP PD- Insulator Sealing</v>
          </cell>
          <cell r="K20" t="str">
            <v>B4106</v>
          </cell>
          <cell r="L20" t="str">
            <v>MFG</v>
          </cell>
          <cell r="M20" t="str">
            <v>DIR</v>
          </cell>
        </row>
        <row r="21">
          <cell r="B21" t="str">
            <v>Staff Welfare - Family Gathering / Anniversary</v>
          </cell>
          <cell r="C21">
            <v>7515408</v>
          </cell>
          <cell r="J21" t="str">
            <v>SP PD- Assy</v>
          </cell>
          <cell r="K21" t="str">
            <v>B4110</v>
          </cell>
          <cell r="L21" t="str">
            <v>MFG</v>
          </cell>
          <cell r="M21" t="str">
            <v>DIR</v>
          </cell>
        </row>
        <row r="22">
          <cell r="B22" t="str">
            <v>Staff Welfare - Meals of canteen &amp; other meals</v>
          </cell>
          <cell r="C22">
            <v>7515409</v>
          </cell>
          <cell r="J22" t="str">
            <v>SP-PD-Assy-Auto Assembly</v>
          </cell>
          <cell r="K22" t="str">
            <v>B4115</v>
          </cell>
          <cell r="L22" t="str">
            <v>MFG</v>
          </cell>
          <cell r="M22" t="str">
            <v>DIR</v>
          </cell>
        </row>
        <row r="23">
          <cell r="B23" t="str">
            <v>Staff Welfare - Kaizen &amp; QCC reward</v>
          </cell>
          <cell r="C23">
            <v>7515410</v>
          </cell>
          <cell r="J23" t="str">
            <v>SP PD- Bending</v>
          </cell>
          <cell r="K23" t="str">
            <v>B4114</v>
          </cell>
          <cell r="L23" t="str">
            <v>MFG</v>
          </cell>
          <cell r="M23" t="str">
            <v>DIR</v>
          </cell>
        </row>
        <row r="24">
          <cell r="B24" t="str">
            <v>Staff Welfare - Welfare Others</v>
          </cell>
          <cell r="C24">
            <v>7515499</v>
          </cell>
          <cell r="J24" t="str">
            <v>SP PD- Final Inspection</v>
          </cell>
          <cell r="K24" t="str">
            <v>B4120</v>
          </cell>
          <cell r="L24" t="str">
            <v>MFG</v>
          </cell>
          <cell r="M24" t="str">
            <v>DIR</v>
          </cell>
        </row>
        <row r="25">
          <cell r="B25" t="str">
            <v>Retirement Allowance</v>
          </cell>
          <cell r="C25">
            <v>7516102</v>
          </cell>
          <cell r="J25" t="str">
            <v>SP PD- QC - OEM</v>
          </cell>
          <cell r="K25" t="str">
            <v>B4121</v>
          </cell>
          <cell r="L25" t="str">
            <v>MFG</v>
          </cell>
          <cell r="M25" t="str">
            <v>DIR</v>
          </cell>
        </row>
        <row r="26">
          <cell r="B26" t="str">
            <v>House Rent Allowance</v>
          </cell>
          <cell r="C26">
            <v>7519101</v>
          </cell>
          <cell r="J26" t="str">
            <v>PC PD- Injection</v>
          </cell>
          <cell r="K26" t="str">
            <v>B4410</v>
          </cell>
          <cell r="L26" t="str">
            <v>MFG</v>
          </cell>
          <cell r="M26" t="str">
            <v>DIR</v>
          </cell>
        </row>
        <row r="27">
          <cell r="B27" t="str">
            <v>Casual Staff Labor - Basic Salary</v>
          </cell>
          <cell r="C27">
            <v>7521101</v>
          </cell>
          <cell r="J27" t="str">
            <v>PC PD- Assy</v>
          </cell>
          <cell r="K27" t="str">
            <v>B4430</v>
          </cell>
          <cell r="L27" t="str">
            <v>MFG</v>
          </cell>
          <cell r="M27" t="str">
            <v>DIR</v>
          </cell>
        </row>
        <row r="28">
          <cell r="B28" t="str">
            <v>Casual Staff Labor - Overtime</v>
          </cell>
          <cell r="C28">
            <v>7521102</v>
          </cell>
          <cell r="J28" t="str">
            <v>PC PD- QC</v>
          </cell>
          <cell r="K28" t="str">
            <v>B4440</v>
          </cell>
          <cell r="L28" t="str">
            <v>MFG</v>
          </cell>
          <cell r="M28" t="str">
            <v>DIR</v>
          </cell>
        </row>
        <row r="29">
          <cell r="B29" t="str">
            <v>Personnel expense transferred</v>
          </cell>
          <cell r="C29">
            <v>7571101</v>
          </cell>
          <cell r="J29" t="str">
            <v>Plant Operation (Indirect Mfg)</v>
          </cell>
          <cell r="K29" t="str">
            <v>B5000</v>
          </cell>
          <cell r="L29" t="str">
            <v>MFG</v>
          </cell>
          <cell r="M29" t="str">
            <v>IND</v>
          </cell>
        </row>
        <row r="30">
          <cell r="B30" t="str">
            <v>Depreciation-Building</v>
          </cell>
          <cell r="C30">
            <v>7611100</v>
          </cell>
          <cell r="J30" t="str">
            <v>Production Office</v>
          </cell>
          <cell r="K30" t="str">
            <v>B5100</v>
          </cell>
          <cell r="L30" t="str">
            <v>MFG</v>
          </cell>
          <cell r="M30" t="str">
            <v>IND</v>
          </cell>
        </row>
        <row r="31">
          <cell r="B31" t="str">
            <v>Depreciation-Machiney &amp; equipment</v>
          </cell>
          <cell r="C31">
            <v>7611300</v>
          </cell>
          <cell r="J31" t="str">
            <v>Production Office (SP)</v>
          </cell>
          <cell r="K31" t="str">
            <v>B5101</v>
          </cell>
          <cell r="L31" t="str">
            <v>MFG</v>
          </cell>
          <cell r="M31" t="str">
            <v>IND</v>
          </cell>
        </row>
        <row r="32">
          <cell r="B32" t="str">
            <v>Depreciation-Lease Machinery &amp; equipment</v>
          </cell>
          <cell r="C32">
            <v>7611400</v>
          </cell>
          <cell r="J32" t="str">
            <v>Production Office (PC)</v>
          </cell>
          <cell r="K32" t="str">
            <v>B5104</v>
          </cell>
          <cell r="L32" t="str">
            <v>MFG</v>
          </cell>
          <cell r="M32" t="str">
            <v>IND</v>
          </cell>
        </row>
        <row r="33">
          <cell r="B33" t="str">
            <v>Depreciation-Vehicles</v>
          </cell>
          <cell r="C33">
            <v>7611500</v>
          </cell>
          <cell r="J33" t="str">
            <v>Quality Assurance</v>
          </cell>
          <cell r="K33" t="str">
            <v>B5800</v>
          </cell>
          <cell r="L33" t="str">
            <v>MFG</v>
          </cell>
          <cell r="M33" t="str">
            <v>IND</v>
          </cell>
        </row>
        <row r="34">
          <cell r="B34" t="str">
            <v>Depreciation-Tools, furniture &amp; office equipment</v>
          </cell>
          <cell r="C34">
            <v>7611600</v>
          </cell>
          <cell r="J34" t="str">
            <v>Quality Control</v>
          </cell>
          <cell r="K34" t="str">
            <v>B5900</v>
          </cell>
          <cell r="L34" t="str">
            <v>MFG</v>
          </cell>
          <cell r="M34" t="str">
            <v>IND</v>
          </cell>
        </row>
        <row r="35">
          <cell r="B35" t="str">
            <v>Depreciation-Software</v>
          </cell>
          <cell r="C35">
            <v>7611700</v>
          </cell>
          <cell r="J35" t="str">
            <v>Maintenance</v>
          </cell>
          <cell r="K35" t="str">
            <v>B5500</v>
          </cell>
          <cell r="L35" t="str">
            <v>MFG</v>
          </cell>
          <cell r="M35" t="str">
            <v>IND</v>
          </cell>
        </row>
        <row r="36">
          <cell r="B36" t="str">
            <v>Depreciation - Right of use Assets</v>
          </cell>
          <cell r="C36">
            <v>7611800</v>
          </cell>
          <cell r="J36" t="str">
            <v>Production Engineering</v>
          </cell>
          <cell r="K36" t="str">
            <v>B5600</v>
          </cell>
          <cell r="L36" t="str">
            <v>MFG</v>
          </cell>
          <cell r="M36" t="str">
            <v>IND</v>
          </cell>
        </row>
        <row r="37">
          <cell r="B37" t="str">
            <v>Rental car</v>
          </cell>
          <cell r="C37">
            <v>7621101</v>
          </cell>
          <cell r="J37" t="str">
            <v>Supply Procurement</v>
          </cell>
          <cell r="K37" t="str">
            <v>B5130</v>
          </cell>
          <cell r="L37" t="str">
            <v>MFG</v>
          </cell>
          <cell r="M37" t="str">
            <v>IND</v>
          </cell>
        </row>
        <row r="38">
          <cell r="B38" t="str">
            <v>Other rental fee</v>
          </cell>
          <cell r="C38">
            <v>7621199</v>
          </cell>
          <cell r="J38" t="str">
            <v>Inventory Control</v>
          </cell>
          <cell r="K38" t="str">
            <v>B5200</v>
          </cell>
          <cell r="L38" t="str">
            <v>MFG</v>
          </cell>
          <cell r="M38" t="str">
            <v>IND</v>
          </cell>
        </row>
        <row r="39">
          <cell r="B39" t="str">
            <v>Electricity Charge</v>
          </cell>
          <cell r="C39">
            <v>7631101</v>
          </cell>
          <cell r="J39" t="str">
            <v>SCM - FG WH</v>
          </cell>
          <cell r="K39" t="str">
            <v>B3150</v>
          </cell>
          <cell r="L39" t="str">
            <v>SGA</v>
          </cell>
          <cell r="M39" t="str">
            <v>ADM</v>
          </cell>
        </row>
        <row r="40">
          <cell r="B40" t="str">
            <v>Water Supply Charge</v>
          </cell>
          <cell r="C40">
            <v>7631102</v>
          </cell>
          <cell r="J40" t="str">
            <v>WH Dept.- KD &amp; RM</v>
          </cell>
          <cell r="K40" t="str">
            <v>B5710</v>
          </cell>
          <cell r="L40" t="str">
            <v>MFG</v>
          </cell>
          <cell r="M40" t="str">
            <v>IND</v>
          </cell>
        </row>
        <row r="41">
          <cell r="B41" t="str">
            <v>Repair Building</v>
          </cell>
          <cell r="C41">
            <v>7641101</v>
          </cell>
          <cell r="J41" t="str">
            <v>Continuous Improvement</v>
          </cell>
          <cell r="K41" t="str">
            <v>B5007</v>
          </cell>
          <cell r="L41" t="str">
            <v>MFG</v>
          </cell>
          <cell r="M41" t="str">
            <v>IND</v>
          </cell>
        </row>
        <row r="42">
          <cell r="B42" t="str">
            <v>Repair of Equipment</v>
          </cell>
          <cell r="C42">
            <v>7641102</v>
          </cell>
          <cell r="J42" t="str">
            <v>All</v>
          </cell>
          <cell r="K42" t="str">
            <v>B0000</v>
          </cell>
        </row>
        <row r="43">
          <cell r="B43" t="str">
            <v>Factory Supply Expense</v>
          </cell>
          <cell r="C43">
            <v>7641103</v>
          </cell>
        </row>
        <row r="44">
          <cell r="B44" t="str">
            <v>Calibration Cost</v>
          </cell>
          <cell r="C44">
            <v>7641104</v>
          </cell>
        </row>
        <row r="45">
          <cell r="B45" t="str">
            <v>Transportation Fee for employee</v>
          </cell>
          <cell r="C45">
            <v>7651101</v>
          </cell>
        </row>
        <row r="46">
          <cell r="B46" t="str">
            <v>Travel Expense-Domestic</v>
          </cell>
          <cell r="C46">
            <v>7651102</v>
          </cell>
        </row>
        <row r="47">
          <cell r="B47" t="str">
            <v>Travel Expense-Oversea</v>
          </cell>
          <cell r="C47">
            <v>7651103</v>
          </cell>
        </row>
        <row r="48">
          <cell r="B48" t="str">
            <v>Entertainment</v>
          </cell>
          <cell r="C48">
            <v>7661101</v>
          </cell>
        </row>
        <row r="49">
          <cell r="B49" t="str">
            <v>Amortization of Land &amp; Building tax (PBB)</v>
          </cell>
          <cell r="C49">
            <v>7671102</v>
          </cell>
        </row>
        <row r="50">
          <cell r="B50" t="str">
            <v>License fee</v>
          </cell>
          <cell r="C50">
            <v>7671103</v>
          </cell>
        </row>
        <row r="51">
          <cell r="B51" t="str">
            <v>Insurance Premium</v>
          </cell>
          <cell r="C51">
            <v>7681101</v>
          </cell>
        </row>
        <row r="52">
          <cell r="B52" t="str">
            <v>Office supply &amp; Stationary Expense</v>
          </cell>
          <cell r="C52">
            <v>7691000</v>
          </cell>
        </row>
        <row r="53">
          <cell r="B53" t="str">
            <v>Communication expenses</v>
          </cell>
          <cell r="C53">
            <v>7711101</v>
          </cell>
        </row>
        <row r="54">
          <cell r="B54" t="str">
            <v>IT Expense</v>
          </cell>
          <cell r="C54">
            <v>7711102</v>
          </cell>
        </row>
        <row r="55">
          <cell r="B55" t="str">
            <v>Stamp/Post Fee</v>
          </cell>
          <cell r="C55">
            <v>7711103</v>
          </cell>
        </row>
        <row r="56">
          <cell r="B56" t="str">
            <v>Audit Fee</v>
          </cell>
          <cell r="C56">
            <v>7721101</v>
          </cell>
        </row>
        <row r="57">
          <cell r="B57" t="str">
            <v>Consultancy/Professional Fee</v>
          </cell>
          <cell r="C57">
            <v>7729101</v>
          </cell>
        </row>
        <row r="58">
          <cell r="B58" t="str">
            <v>NGK group service fee</v>
          </cell>
          <cell r="C58">
            <v>7729103</v>
          </cell>
        </row>
        <row r="59">
          <cell r="B59" t="str">
            <v>Ticket &amp; accomodation of trainer (from NGK Group)</v>
          </cell>
          <cell r="C59">
            <v>7729105</v>
          </cell>
        </row>
        <row r="60">
          <cell r="B60" t="str">
            <v>Miscellaneous Expense</v>
          </cell>
          <cell r="C60">
            <v>7781101</v>
          </cell>
        </row>
        <row r="61">
          <cell r="B61" t="str">
            <v>Publishing Expense</v>
          </cell>
          <cell r="C61">
            <v>7781103</v>
          </cell>
        </row>
        <row r="62">
          <cell r="B62" t="str">
            <v>Cleaning Expense</v>
          </cell>
          <cell r="C62">
            <v>7781104</v>
          </cell>
        </row>
        <row r="63">
          <cell r="B63" t="str">
            <v>Security Guard</v>
          </cell>
          <cell r="C63">
            <v>7781105</v>
          </cell>
        </row>
        <row r="64">
          <cell r="B64" t="str">
            <v>Service Fee (Canteen Meal &amp; other service for staff)</v>
          </cell>
          <cell r="C64">
            <v>7781106</v>
          </cell>
        </row>
        <row r="65">
          <cell r="B65" t="str">
            <v>Training Expense</v>
          </cell>
          <cell r="C65">
            <v>7781107</v>
          </cell>
        </row>
        <row r="66">
          <cell r="B66" t="str">
            <v>Recruitment Fee</v>
          </cell>
          <cell r="C66">
            <v>7781111</v>
          </cell>
        </row>
        <row r="67">
          <cell r="B67" t="str">
            <v>Expatriate expenses exclude labor cost</v>
          </cell>
          <cell r="C67">
            <v>7781112</v>
          </cell>
        </row>
        <row r="68">
          <cell r="B68" t="str">
            <v>Expatriate fee Tax (BADORA)</v>
          </cell>
          <cell r="C68">
            <v>7781113</v>
          </cell>
        </row>
        <row r="69">
          <cell r="B69" t="str">
            <v>Freights and Export expense</v>
          </cell>
          <cell r="C69">
            <v>7411101</v>
          </cell>
        </row>
        <row r="70">
          <cell r="B70" t="str">
            <v>Transportation for Goods</v>
          </cell>
          <cell r="C70">
            <v>7411103</v>
          </cell>
        </row>
        <row r="71">
          <cell r="B71" t="str">
            <v>Packing for Sale</v>
          </cell>
          <cell r="C71">
            <v>7411104</v>
          </cell>
        </row>
        <row r="72">
          <cell r="B72" t="str">
            <v>Advertising expenses</v>
          </cell>
          <cell r="C72">
            <v>7431101</v>
          </cell>
        </row>
        <row r="73">
          <cell r="B73" t="str">
            <v>Sales Promotion - Coupon</v>
          </cell>
          <cell r="C73">
            <v>7451101</v>
          </cell>
        </row>
        <row r="74">
          <cell r="B74" t="str">
            <v>Sales Promotion- Goods</v>
          </cell>
          <cell r="C74">
            <v>7451102</v>
          </cell>
        </row>
        <row r="75">
          <cell r="B75" t="str">
            <v>Sales Promotion-Activity</v>
          </cell>
          <cell r="C75">
            <v>7451103</v>
          </cell>
        </row>
        <row r="76">
          <cell r="B76" t="str">
            <v>Cost of Samples</v>
          </cell>
          <cell r="C76">
            <v>7461101</v>
          </cell>
        </row>
        <row r="77">
          <cell r="B77" t="str">
            <v>Sales - Insurance of Delivery or Shipment</v>
          </cell>
          <cell r="C77">
            <v>7411105</v>
          </cell>
        </row>
        <row r="78">
          <cell r="B78" t="str">
            <v>Sales - Insurance of AR (Credit Insurance)</v>
          </cell>
          <cell r="C78">
            <v>7471201</v>
          </cell>
        </row>
        <row r="79">
          <cell r="B79" t="str">
            <v>Sales - Royalty to NGK Group</v>
          </cell>
          <cell r="C79">
            <v>7751101</v>
          </cell>
        </row>
        <row r="80">
          <cell r="B80" t="str">
            <v>Sales - Royalty to Independence Party</v>
          </cell>
          <cell r="C80">
            <v>7751102</v>
          </cell>
        </row>
        <row r="81">
          <cell r="B81" t="str">
            <v>Import Duty-purchased FG from NGK group</v>
          </cell>
          <cell r="C81">
            <v>7111211</v>
          </cell>
        </row>
        <row r="82">
          <cell r="B82" t="str">
            <v>Import Duty-purchased FG from outside supplier</v>
          </cell>
          <cell r="C82">
            <v>7111212</v>
          </cell>
        </row>
        <row r="83">
          <cell r="B83" t="str">
            <v>Import Duty-purchased KD&amp;RM from NGK Japan</v>
          </cell>
          <cell r="C83">
            <v>7111221</v>
          </cell>
        </row>
        <row r="84">
          <cell r="B84" t="str">
            <v>Import Duty-purchased KD&amp;RM from NGK Group(Not fromJP)</v>
          </cell>
          <cell r="C84">
            <v>7111222</v>
          </cell>
        </row>
        <row r="85">
          <cell r="B85" t="str">
            <v>Import Duty-purchased Comp Parts&amp;RM from outside supplier</v>
          </cell>
          <cell r="C85">
            <v>7111223</v>
          </cell>
        </row>
        <row r="86">
          <cell r="B86" t="str">
            <v>Import Expense-purchased FG from NGK group</v>
          </cell>
          <cell r="C86">
            <v>7111311</v>
          </cell>
        </row>
        <row r="87">
          <cell r="B87" t="str">
            <v>Import Expense-purchased FG from outside supplier</v>
          </cell>
          <cell r="C87">
            <v>7111312</v>
          </cell>
        </row>
        <row r="88">
          <cell r="B88" t="str">
            <v>Import Expense-purchased KD&amp;RM from NGK Japan</v>
          </cell>
          <cell r="C88">
            <v>7111321</v>
          </cell>
        </row>
        <row r="89">
          <cell r="B89" t="str">
            <v>Import Expense-purchased KD&amp;RM from NGK Group(Not fromJP)</v>
          </cell>
          <cell r="C89">
            <v>7111322</v>
          </cell>
        </row>
        <row r="90">
          <cell r="B90" t="str">
            <v>Import Expense-purchased Comp Parts&amp;RM from outside supplier</v>
          </cell>
          <cell r="C90">
            <v>7111323</v>
          </cell>
        </row>
        <row r="91">
          <cell r="B91" t="str">
            <v>Expense-purchased Packaging material from outside supplier</v>
          </cell>
          <cell r="C91">
            <v>7111411</v>
          </cell>
        </row>
        <row r="92">
          <cell r="B92" t="str">
            <v>Subcontracting Cost</v>
          </cell>
          <cell r="C92">
            <v>7151101</v>
          </cell>
        </row>
        <row r="93">
          <cell r="B93" t="str">
            <v>Indirect material costs</v>
          </cell>
          <cell r="C93">
            <v>7200000</v>
          </cell>
        </row>
        <row r="94">
          <cell r="B94" t="str">
            <v>Cost of Factory Supply</v>
          </cell>
          <cell r="C94">
            <v>7211101</v>
          </cell>
        </row>
        <row r="95">
          <cell r="B95" t="str">
            <v>Cost of Chemical</v>
          </cell>
          <cell r="C95">
            <v>7211102</v>
          </cell>
        </row>
        <row r="96">
          <cell r="B96" t="str">
            <v>Cost of Packaging</v>
          </cell>
          <cell r="C96">
            <v>7211103</v>
          </cell>
        </row>
        <row r="97">
          <cell r="B97" t="str">
            <v>Cost of Oil</v>
          </cell>
          <cell r="C97">
            <v>7211104</v>
          </cell>
        </row>
        <row r="98">
          <cell r="B98" t="str">
            <v>Cost of Tooling</v>
          </cell>
          <cell r="C98">
            <v>7221101</v>
          </cell>
        </row>
        <row r="99">
          <cell r="B99" t="str">
            <v>Cost of Machinery parts</v>
          </cell>
          <cell r="C99">
            <v>7221102</v>
          </cell>
        </row>
        <row r="100">
          <cell r="B100" t="str">
            <v>Salary for Commissioner</v>
          </cell>
          <cell r="C100">
            <v>7511101</v>
          </cell>
        </row>
        <row r="101">
          <cell r="B101" t="str">
            <v>Salary for Director</v>
          </cell>
          <cell r="C101">
            <v>7511102</v>
          </cell>
        </row>
        <row r="102">
          <cell r="B102" t="str">
            <v>Staff Labor - Baslc Salary</v>
          </cell>
          <cell r="C102">
            <v>7511103</v>
          </cell>
        </row>
        <row r="103">
          <cell r="B103" t="str">
            <v>Staff Labor - Allowance</v>
          </cell>
          <cell r="C103">
            <v>7511111</v>
          </cell>
        </row>
        <row r="104">
          <cell r="B104" t="str">
            <v>Staff Labor - Tax allowance (art.21)</v>
          </cell>
          <cell r="C104">
            <v>7511112</v>
          </cell>
        </row>
        <row r="105">
          <cell r="B105" t="str">
            <v>Staff Labor - BPJS JK &amp; JKK (1.19%)</v>
          </cell>
          <cell r="C105">
            <v>7511121</v>
          </cell>
        </row>
        <row r="106">
          <cell r="B106" t="str">
            <v>Staff Labor - BPJS Kesehatan (4%)</v>
          </cell>
          <cell r="C106">
            <v>7511122</v>
          </cell>
        </row>
        <row r="107">
          <cell r="B107" t="str">
            <v>Staff Overtime</v>
          </cell>
          <cell r="C107">
            <v>7511201</v>
          </cell>
        </row>
        <row r="108">
          <cell r="B108" t="str">
            <v>Staff Welfare - BPJS Dana pensiun (2%)</v>
          </cell>
          <cell r="C108">
            <v>7512111</v>
          </cell>
        </row>
        <row r="109">
          <cell r="B109" t="str">
            <v>Staff Welfare - BPJS JHT (3.7%)</v>
          </cell>
          <cell r="C109">
            <v>7512112</v>
          </cell>
        </row>
        <row r="110">
          <cell r="B110" t="str">
            <v>Staff Bonus / TAT</v>
          </cell>
          <cell r="C110">
            <v>7514101</v>
          </cell>
        </row>
        <row r="111">
          <cell r="B111" t="str">
            <v>Staff Ramadhan / THR</v>
          </cell>
          <cell r="C111">
            <v>7514102</v>
          </cell>
        </row>
        <row r="112">
          <cell r="B112" t="str">
            <v>Staff Welfare - Outpatient (Medical)</v>
          </cell>
          <cell r="C112">
            <v>7515401</v>
          </cell>
        </row>
        <row r="113">
          <cell r="B113" t="str">
            <v>Staff Welfare - Hospitalization</v>
          </cell>
          <cell r="C113">
            <v>7515402</v>
          </cell>
        </row>
        <row r="114">
          <cell r="B114" t="str">
            <v>Staff Welfare - Glasses</v>
          </cell>
          <cell r="C114">
            <v>7515403</v>
          </cell>
        </row>
        <row r="115">
          <cell r="B115" t="str">
            <v>Staff Welfare - Dental</v>
          </cell>
          <cell r="C115">
            <v>7515404</v>
          </cell>
        </row>
        <row r="116">
          <cell r="B116" t="str">
            <v>Staff Welfare - Medical Check Up</v>
          </cell>
          <cell r="C116">
            <v>7515405</v>
          </cell>
        </row>
        <row r="117">
          <cell r="B117" t="str">
            <v>Staff Welfare - Uniform</v>
          </cell>
          <cell r="C117">
            <v>7515406</v>
          </cell>
        </row>
        <row r="118">
          <cell r="B118" t="str">
            <v>Staff Welfare - Safety Shoes</v>
          </cell>
          <cell r="C118">
            <v>7515407</v>
          </cell>
        </row>
        <row r="119">
          <cell r="B119" t="str">
            <v>Staff Welfare - Family Gathering / Anniversary</v>
          </cell>
          <cell r="C119">
            <v>7515408</v>
          </cell>
        </row>
        <row r="120">
          <cell r="B120" t="str">
            <v>Staff Welfare - Meals of canteen &amp; other meals</v>
          </cell>
          <cell r="C120">
            <v>7515409</v>
          </cell>
        </row>
        <row r="121">
          <cell r="B121" t="str">
            <v>Staff Welfare - Kaizen &amp; QCC reward</v>
          </cell>
          <cell r="C121">
            <v>7515410</v>
          </cell>
        </row>
        <row r="122">
          <cell r="B122" t="str">
            <v>Staff Welfare - Welfare Others</v>
          </cell>
          <cell r="C122">
            <v>7515499</v>
          </cell>
        </row>
        <row r="123">
          <cell r="B123" t="str">
            <v>Retirement Allowance</v>
          </cell>
          <cell r="C123">
            <v>7516102</v>
          </cell>
        </row>
        <row r="124">
          <cell r="B124" t="str">
            <v>House Rent Allowance</v>
          </cell>
          <cell r="C124">
            <v>7519101</v>
          </cell>
        </row>
        <row r="125">
          <cell r="B125" t="str">
            <v>Casual Staff Labor</v>
          </cell>
          <cell r="C125">
            <v>7521101</v>
          </cell>
        </row>
        <row r="126">
          <cell r="B126" t="str">
            <v>Casual Staff Labor - Overtime</v>
          </cell>
          <cell r="C126">
            <v>7521102</v>
          </cell>
        </row>
        <row r="127">
          <cell r="B127" t="str">
            <v>Personnel expense transferred</v>
          </cell>
          <cell r="C127">
            <v>7571101</v>
          </cell>
        </row>
        <row r="128">
          <cell r="B128" t="str">
            <v>Depreciation-Building</v>
          </cell>
          <cell r="C128">
            <v>7611100</v>
          </cell>
        </row>
        <row r="129">
          <cell r="B129" t="str">
            <v>Depreciation-Machiney &amp; equipment</v>
          </cell>
          <cell r="C129">
            <v>7611300</v>
          </cell>
        </row>
        <row r="130">
          <cell r="B130" t="str">
            <v>Depreciation-Lease Machinery &amp; equipment</v>
          </cell>
          <cell r="C130">
            <v>7611400</v>
          </cell>
        </row>
        <row r="131">
          <cell r="B131" t="str">
            <v>Depreciation-Vehicles</v>
          </cell>
          <cell r="C131">
            <v>7611500</v>
          </cell>
        </row>
        <row r="132">
          <cell r="B132" t="str">
            <v>Depreciation-Tools, furniture &amp; office equipment</v>
          </cell>
          <cell r="C132">
            <v>7611600</v>
          </cell>
        </row>
        <row r="133">
          <cell r="B133" t="str">
            <v>Depreciation-Software</v>
          </cell>
          <cell r="C133">
            <v>7611700</v>
          </cell>
        </row>
        <row r="134">
          <cell r="B134" t="str">
            <v>Depreciation - Right of use Assets</v>
          </cell>
          <cell r="C134">
            <v>7611800</v>
          </cell>
        </row>
        <row r="135">
          <cell r="B135" t="str">
            <v>Rental car</v>
          </cell>
          <cell r="C135">
            <v>7621101</v>
          </cell>
        </row>
        <row r="136">
          <cell r="B136" t="str">
            <v>Other rental fee</v>
          </cell>
          <cell r="C136">
            <v>7621199</v>
          </cell>
        </row>
        <row r="137">
          <cell r="B137" t="str">
            <v>Electricity Charge</v>
          </cell>
          <cell r="C137">
            <v>7631101</v>
          </cell>
        </row>
        <row r="138">
          <cell r="B138" t="str">
            <v>Water Supply Charge</v>
          </cell>
          <cell r="C138">
            <v>7631102</v>
          </cell>
        </row>
        <row r="139">
          <cell r="B139" t="str">
            <v>Repair Building</v>
          </cell>
          <cell r="C139">
            <v>7641101</v>
          </cell>
        </row>
        <row r="140">
          <cell r="B140" t="str">
            <v>Repair of Equipment</v>
          </cell>
          <cell r="C140">
            <v>7641102</v>
          </cell>
        </row>
        <row r="141">
          <cell r="B141" t="str">
            <v>Factory Supply Expense</v>
          </cell>
          <cell r="C141">
            <v>7641103</v>
          </cell>
        </row>
        <row r="142">
          <cell r="B142" t="str">
            <v>Calibration Cost</v>
          </cell>
          <cell r="C142">
            <v>7641104</v>
          </cell>
        </row>
        <row r="143">
          <cell r="B143" t="str">
            <v>Transportation Fee for employee</v>
          </cell>
          <cell r="C143">
            <v>7651101</v>
          </cell>
        </row>
        <row r="144">
          <cell r="B144" t="str">
            <v>Travel Expense-Domestic</v>
          </cell>
          <cell r="C144">
            <v>7651102</v>
          </cell>
        </row>
        <row r="145">
          <cell r="B145" t="str">
            <v>Travel Expense-Oversea</v>
          </cell>
          <cell r="C145">
            <v>7651103</v>
          </cell>
        </row>
        <row r="146">
          <cell r="B146" t="str">
            <v>Entertainment</v>
          </cell>
          <cell r="C146">
            <v>7661101</v>
          </cell>
        </row>
        <row r="147">
          <cell r="B147" t="str">
            <v>Amortization of Land &amp; Building tax (PBB)</v>
          </cell>
          <cell r="C147">
            <v>7671102</v>
          </cell>
        </row>
        <row r="148">
          <cell r="B148" t="str">
            <v>License fee</v>
          </cell>
          <cell r="C148">
            <v>7671103</v>
          </cell>
        </row>
        <row r="149">
          <cell r="B149" t="str">
            <v>Insurance Premium</v>
          </cell>
          <cell r="C149">
            <v>7681101</v>
          </cell>
        </row>
        <row r="150">
          <cell r="B150" t="str">
            <v>Office supply &amp; Stationary Expense</v>
          </cell>
          <cell r="C150">
            <v>7691000</v>
          </cell>
        </row>
        <row r="151">
          <cell r="B151" t="str">
            <v>Communication expenses</v>
          </cell>
          <cell r="C151">
            <v>7711101</v>
          </cell>
        </row>
        <row r="152">
          <cell r="B152" t="str">
            <v>IT Expense</v>
          </cell>
          <cell r="C152">
            <v>7711102</v>
          </cell>
        </row>
        <row r="153">
          <cell r="B153" t="str">
            <v>Stamp/Post Fee</v>
          </cell>
          <cell r="C153">
            <v>7711103</v>
          </cell>
        </row>
        <row r="154">
          <cell r="B154" t="str">
            <v>Audit Fee</v>
          </cell>
          <cell r="C154">
            <v>7721101</v>
          </cell>
        </row>
        <row r="155">
          <cell r="B155" t="str">
            <v>Consultancy/Professional Fee</v>
          </cell>
          <cell r="C155">
            <v>7729101</v>
          </cell>
        </row>
        <row r="156">
          <cell r="B156" t="str">
            <v>NGK group service fee</v>
          </cell>
          <cell r="C156">
            <v>7729103</v>
          </cell>
        </row>
        <row r="157">
          <cell r="B157" t="str">
            <v>Ticket &amp; accomodation of trainer (from NGK Group)</v>
          </cell>
          <cell r="C157">
            <v>7729105</v>
          </cell>
        </row>
        <row r="158">
          <cell r="B158" t="str">
            <v>Miscellaneous Expense</v>
          </cell>
          <cell r="C158">
            <v>7781101</v>
          </cell>
        </row>
        <row r="159">
          <cell r="B159" t="str">
            <v>Publishing Expense</v>
          </cell>
          <cell r="C159">
            <v>7781103</v>
          </cell>
        </row>
        <row r="160">
          <cell r="B160" t="str">
            <v>Cleaning Expense</v>
          </cell>
          <cell r="C160">
            <v>7781104</v>
          </cell>
        </row>
        <row r="161">
          <cell r="B161" t="str">
            <v>Security Guard</v>
          </cell>
          <cell r="C161">
            <v>7781105</v>
          </cell>
        </row>
        <row r="162">
          <cell r="B162" t="str">
            <v>Service Fee (Canteen Meal &amp; other service for staff)</v>
          </cell>
          <cell r="C162">
            <v>7781106</v>
          </cell>
        </row>
        <row r="163">
          <cell r="B163" t="str">
            <v>Training Expense</v>
          </cell>
          <cell r="C163">
            <v>7781107</v>
          </cell>
        </row>
        <row r="164">
          <cell r="B164" t="str">
            <v>Recruitment Fee</v>
          </cell>
          <cell r="C164">
            <v>7781111</v>
          </cell>
        </row>
        <row r="165">
          <cell r="B165" t="str">
            <v>Expatriate expenses exclude labor cost</v>
          </cell>
          <cell r="C165">
            <v>7781112</v>
          </cell>
        </row>
        <row r="166">
          <cell r="B166" t="str">
            <v>Expatriate fee Tax (BADORA)</v>
          </cell>
          <cell r="C166">
            <v>7781113</v>
          </cell>
        </row>
        <row r="167">
          <cell r="B167" t="str">
            <v>Others - Miscellaneous Waste</v>
          </cell>
          <cell r="C167">
            <v>8291101</v>
          </cell>
        </row>
        <row r="168">
          <cell r="B168" t="str">
            <v>Others - Miscellaneous Tax</v>
          </cell>
          <cell r="C168">
            <v>8291102</v>
          </cell>
        </row>
        <row r="169">
          <cell r="B169" t="str">
            <v>Others - Sport Activity</v>
          </cell>
          <cell r="C169">
            <v>8291201</v>
          </cell>
        </row>
        <row r="170">
          <cell r="B170" t="str">
            <v>Others - Retribution / Garbage Cost</v>
          </cell>
          <cell r="C170">
            <v>8291202</v>
          </cell>
        </row>
        <row r="171">
          <cell r="B171" t="str">
            <v>Others - Miscellaneous Non Operational Expense</v>
          </cell>
          <cell r="C171">
            <v>8291203</v>
          </cell>
        </row>
        <row r="172">
          <cell r="B172" t="str">
            <v>Other Income</v>
          </cell>
          <cell r="C172">
            <v>8191101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"/>
      <sheetName val="Master"/>
    </sheetNames>
    <sheetDataSet>
      <sheetData sheetId="0"/>
      <sheetData sheetId="1">
        <row r="1">
          <cell r="B1" t="str">
            <v>Name COA AX</v>
          </cell>
          <cell r="C1" t="str">
            <v>COA AX</v>
          </cell>
          <cell r="J1" t="str">
            <v>Name</v>
          </cell>
          <cell r="K1" t="str">
            <v>BNGK</v>
          </cell>
          <cell r="L1" t="str">
            <v>GROUP COST</v>
          </cell>
          <cell r="M1" t="str">
            <v>GROUP SECTION</v>
          </cell>
        </row>
        <row r="2">
          <cell r="B2" t="str">
            <v>Salary for Commissioner</v>
          </cell>
          <cell r="C2">
            <v>7511101</v>
          </cell>
          <cell r="J2" t="str">
            <v>Top Management</v>
          </cell>
          <cell r="K2" t="str">
            <v>B1000</v>
          </cell>
          <cell r="L2" t="str">
            <v>SGA</v>
          </cell>
          <cell r="M2" t="str">
            <v>ADM</v>
          </cell>
        </row>
        <row r="3">
          <cell r="B3" t="str">
            <v>Salary for Director</v>
          </cell>
          <cell r="C3">
            <v>7511102</v>
          </cell>
          <cell r="J3" t="str">
            <v>Commissioner</v>
          </cell>
          <cell r="K3" t="str">
            <v>B1001</v>
          </cell>
          <cell r="L3" t="str">
            <v>SGA</v>
          </cell>
          <cell r="M3" t="str">
            <v>ADM</v>
          </cell>
        </row>
        <row r="4">
          <cell r="B4" t="str">
            <v>Staff Labor - Baslc Salary</v>
          </cell>
          <cell r="C4">
            <v>7511103</v>
          </cell>
          <cell r="J4" t="str">
            <v>Admin &amp; HR</v>
          </cell>
          <cell r="K4" t="str">
            <v>B2200</v>
          </cell>
          <cell r="L4" t="str">
            <v>SGA</v>
          </cell>
          <cell r="M4" t="str">
            <v>ADM</v>
          </cell>
        </row>
        <row r="5">
          <cell r="B5" t="str">
            <v>Staff Labor - Allowance</v>
          </cell>
          <cell r="C5">
            <v>7511111</v>
          </cell>
          <cell r="J5" t="str">
            <v>General Affair</v>
          </cell>
          <cell r="K5" t="str">
            <v>B2210</v>
          </cell>
          <cell r="L5" t="str">
            <v>SGA</v>
          </cell>
          <cell r="M5" t="str">
            <v>ADM</v>
          </cell>
        </row>
        <row r="6">
          <cell r="B6" t="str">
            <v>Staff Labor - Tax allowance (art.21)</v>
          </cell>
          <cell r="C6">
            <v>7511112</v>
          </cell>
          <cell r="J6" t="str">
            <v>Human Resource</v>
          </cell>
          <cell r="K6" t="str">
            <v>B2220</v>
          </cell>
          <cell r="L6" t="str">
            <v>SGA</v>
          </cell>
          <cell r="M6" t="str">
            <v>ADM</v>
          </cell>
        </row>
        <row r="7">
          <cell r="B7" t="str">
            <v>Staff Labor - BPJS JK &amp; JKK (1.19%)</v>
          </cell>
          <cell r="C7">
            <v>7511121</v>
          </cell>
          <cell r="J7" t="str">
            <v>Health, Safety &amp; Environment</v>
          </cell>
          <cell r="K7" t="str">
            <v>B2230</v>
          </cell>
          <cell r="L7" t="str">
            <v>SGA</v>
          </cell>
          <cell r="M7" t="str">
            <v>ADM</v>
          </cell>
        </row>
        <row r="8">
          <cell r="B8" t="str">
            <v>Staff Labor - BPJS Kesehatan (4%)</v>
          </cell>
          <cell r="C8">
            <v>7511122</v>
          </cell>
          <cell r="J8" t="str">
            <v>Accounting &amp; Finance</v>
          </cell>
          <cell r="K8" t="str">
            <v>B2300</v>
          </cell>
          <cell r="L8" t="str">
            <v>SGA</v>
          </cell>
          <cell r="M8" t="str">
            <v>ADM</v>
          </cell>
        </row>
        <row r="9">
          <cell r="B9" t="str">
            <v>Staff Overtime</v>
          </cell>
          <cell r="C9">
            <v>7511201</v>
          </cell>
          <cell r="J9" t="str">
            <v>Information Technology</v>
          </cell>
          <cell r="K9" t="str">
            <v>B2400</v>
          </cell>
          <cell r="L9" t="str">
            <v>SGA</v>
          </cell>
          <cell r="M9" t="str">
            <v>ADM</v>
          </cell>
        </row>
        <row r="10">
          <cell r="B10" t="str">
            <v>Staff Welfare - BPJS Dana pensiun (2%)</v>
          </cell>
          <cell r="C10">
            <v>7512111</v>
          </cell>
          <cell r="J10" t="str">
            <v>Sales &amp; MKTG Dept.- Automotive</v>
          </cell>
          <cell r="K10" t="str">
            <v>B3100</v>
          </cell>
          <cell r="L10" t="str">
            <v>SGA</v>
          </cell>
          <cell r="M10" t="str">
            <v>ADM</v>
          </cell>
        </row>
        <row r="11">
          <cell r="B11" t="str">
            <v>Staff Welfare - BPJS JHT (3.7%)</v>
          </cell>
          <cell r="C11">
            <v>7512112</v>
          </cell>
          <cell r="J11" t="str">
            <v>Marketing</v>
          </cell>
          <cell r="K11" t="str">
            <v>B3160</v>
          </cell>
          <cell r="L11" t="str">
            <v>SGA</v>
          </cell>
          <cell r="M11" t="str">
            <v>ADM</v>
          </cell>
        </row>
        <row r="12">
          <cell r="B12" t="str">
            <v>Staff Bonus / TAT</v>
          </cell>
          <cell r="C12">
            <v>7514101</v>
          </cell>
          <cell r="J12" t="str">
            <v>Sales - OEM</v>
          </cell>
          <cell r="K12" t="str">
            <v>B3110</v>
          </cell>
          <cell r="L12" t="str">
            <v>SGA</v>
          </cell>
          <cell r="M12" t="str">
            <v>ADM</v>
          </cell>
        </row>
        <row r="13">
          <cell r="B13" t="str">
            <v>Staff Ramadhan / THR</v>
          </cell>
          <cell r="C13">
            <v>7514102</v>
          </cell>
          <cell r="J13" t="str">
            <v>Sales - OES</v>
          </cell>
          <cell r="K13" t="str">
            <v>B3120</v>
          </cell>
          <cell r="L13" t="str">
            <v>SGA</v>
          </cell>
          <cell r="M13" t="str">
            <v>ADM</v>
          </cell>
        </row>
        <row r="14">
          <cell r="B14" t="str">
            <v>Staff Welfare - Outpatient (Medical)</v>
          </cell>
          <cell r="C14">
            <v>7515401</v>
          </cell>
          <cell r="J14" t="str">
            <v>Sales - IAM</v>
          </cell>
          <cell r="K14" t="str">
            <v>B3130</v>
          </cell>
          <cell r="L14" t="str">
            <v>SGA</v>
          </cell>
          <cell r="M14" t="str">
            <v>ADM</v>
          </cell>
        </row>
        <row r="15">
          <cell r="B15" t="str">
            <v>Staff Welfare - Hospitalization</v>
          </cell>
          <cell r="C15">
            <v>7515402</v>
          </cell>
          <cell r="J15" t="str">
            <v>SP PD- CF</v>
          </cell>
          <cell r="K15" t="str">
            <v>B4101</v>
          </cell>
          <cell r="L15" t="str">
            <v>MFG</v>
          </cell>
          <cell r="M15" t="str">
            <v>DIR</v>
          </cell>
        </row>
        <row r="16">
          <cell r="B16" t="str">
            <v>Staff Welfare - Glasses</v>
          </cell>
          <cell r="C16">
            <v>7515403</v>
          </cell>
          <cell r="J16" t="str">
            <v>SP PD- CM</v>
          </cell>
          <cell r="K16" t="str">
            <v>B4102</v>
          </cell>
          <cell r="L16" t="str">
            <v>MFG</v>
          </cell>
          <cell r="M16" t="str">
            <v>DIR</v>
          </cell>
        </row>
        <row r="17">
          <cell r="B17" t="str">
            <v>Staff Welfare - Dental</v>
          </cell>
          <cell r="C17">
            <v>7515404</v>
          </cell>
          <cell r="J17" t="str">
            <v>SP PD- WT</v>
          </cell>
          <cell r="K17" t="str">
            <v>B4103</v>
          </cell>
          <cell r="L17" t="str">
            <v>MFG</v>
          </cell>
          <cell r="M17" t="str">
            <v>DIR</v>
          </cell>
        </row>
        <row r="18">
          <cell r="B18" t="str">
            <v>Staff Welfare - Medical Check Up</v>
          </cell>
          <cell r="C18">
            <v>7515405</v>
          </cell>
          <cell r="J18" t="str">
            <v>SP PD- Plating</v>
          </cell>
          <cell r="K18" t="str">
            <v>B4105</v>
          </cell>
          <cell r="L18" t="str">
            <v>MFG</v>
          </cell>
          <cell r="M18" t="str">
            <v>DIR</v>
          </cell>
        </row>
        <row r="19">
          <cell r="B19" t="str">
            <v>Staff Welfare - Uniform</v>
          </cell>
          <cell r="C19">
            <v>7515406</v>
          </cell>
          <cell r="J19" t="str">
            <v>SP PD- MS Insp.</v>
          </cell>
          <cell r="K19" t="str">
            <v>B4109</v>
          </cell>
          <cell r="L19" t="str">
            <v>MFG</v>
          </cell>
          <cell r="M19" t="str">
            <v>DIR</v>
          </cell>
        </row>
        <row r="20">
          <cell r="B20" t="str">
            <v>Staff Welfare - Safety Shoes</v>
          </cell>
          <cell r="C20">
            <v>7515407</v>
          </cell>
          <cell r="J20" t="str">
            <v>SP PD- Insulator Sealing</v>
          </cell>
          <cell r="K20" t="str">
            <v>B4106</v>
          </cell>
          <cell r="L20" t="str">
            <v>MFG</v>
          </cell>
          <cell r="M20" t="str">
            <v>DIR</v>
          </cell>
        </row>
        <row r="21">
          <cell r="B21" t="str">
            <v>Staff Welfare - Family Gathering / Anniversary</v>
          </cell>
          <cell r="C21">
            <v>7515408</v>
          </cell>
          <cell r="J21" t="str">
            <v>SP PD- Assy</v>
          </cell>
          <cell r="K21" t="str">
            <v>B4110</v>
          </cell>
          <cell r="L21" t="str">
            <v>MFG</v>
          </cell>
          <cell r="M21" t="str">
            <v>DIR</v>
          </cell>
        </row>
        <row r="22">
          <cell r="B22" t="str">
            <v>Staff Welfare - Meals of canteen &amp; other meals</v>
          </cell>
          <cell r="C22">
            <v>7515409</v>
          </cell>
          <cell r="J22" t="str">
            <v>SP-PD-Assy-Auto Assembly</v>
          </cell>
          <cell r="K22" t="str">
            <v>B4115</v>
          </cell>
          <cell r="L22" t="str">
            <v>MFG</v>
          </cell>
          <cell r="M22" t="str">
            <v>DIR</v>
          </cell>
        </row>
        <row r="23">
          <cell r="B23" t="str">
            <v>Staff Welfare - Kaizen &amp; QCC reward</v>
          </cell>
          <cell r="C23">
            <v>7515410</v>
          </cell>
          <cell r="J23" t="str">
            <v>SP PD- Bending</v>
          </cell>
          <cell r="K23" t="str">
            <v>B4114</v>
          </cell>
          <cell r="L23" t="str">
            <v>MFG</v>
          </cell>
          <cell r="M23" t="str">
            <v>DIR</v>
          </cell>
        </row>
        <row r="24">
          <cell r="B24" t="str">
            <v>Staff Welfare - Welfare Others</v>
          </cell>
          <cell r="C24">
            <v>7515499</v>
          </cell>
          <cell r="J24" t="str">
            <v>SP PD- Final Inspection</v>
          </cell>
          <cell r="K24" t="str">
            <v>B4120</v>
          </cell>
          <cell r="L24" t="str">
            <v>MFG</v>
          </cell>
          <cell r="M24" t="str">
            <v>DIR</v>
          </cell>
        </row>
        <row r="25">
          <cell r="B25" t="str">
            <v>Retirement Allowance</v>
          </cell>
          <cell r="C25">
            <v>7516102</v>
          </cell>
          <cell r="J25" t="str">
            <v>SP PD- QC - OEM</v>
          </cell>
          <cell r="K25" t="str">
            <v>B4121</v>
          </cell>
          <cell r="L25" t="str">
            <v>MFG</v>
          </cell>
          <cell r="M25" t="str">
            <v>DIR</v>
          </cell>
        </row>
        <row r="26">
          <cell r="B26" t="str">
            <v>House Rent Allowance</v>
          </cell>
          <cell r="C26">
            <v>7519101</v>
          </cell>
          <cell r="J26" t="str">
            <v>PC PD- Injection</v>
          </cell>
          <cell r="K26" t="str">
            <v>B4410</v>
          </cell>
          <cell r="L26" t="str">
            <v>MFG</v>
          </cell>
          <cell r="M26" t="str">
            <v>DIR</v>
          </cell>
        </row>
        <row r="27">
          <cell r="B27" t="str">
            <v>Casual Staff Labor - Basic Salary</v>
          </cell>
          <cell r="C27">
            <v>7521101</v>
          </cell>
          <cell r="J27" t="str">
            <v>PC PD- Assy</v>
          </cell>
          <cell r="K27" t="str">
            <v>B4430</v>
          </cell>
          <cell r="L27" t="str">
            <v>MFG</v>
          </cell>
          <cell r="M27" t="str">
            <v>DIR</v>
          </cell>
        </row>
        <row r="28">
          <cell r="B28" t="str">
            <v>Casual Staff Labor - Overtime</v>
          </cell>
          <cell r="C28">
            <v>7521102</v>
          </cell>
          <cell r="J28" t="str">
            <v>PC PD- QC</v>
          </cell>
          <cell r="K28" t="str">
            <v>B4440</v>
          </cell>
          <cell r="L28" t="str">
            <v>MFG</v>
          </cell>
          <cell r="M28" t="str">
            <v>DIR</v>
          </cell>
        </row>
        <row r="29">
          <cell r="B29" t="str">
            <v>Personnel expense transferred</v>
          </cell>
          <cell r="C29">
            <v>7571101</v>
          </cell>
          <cell r="J29" t="str">
            <v>Plant Operation (Indirect Mfg)</v>
          </cell>
          <cell r="K29" t="str">
            <v>B5000</v>
          </cell>
          <cell r="L29" t="str">
            <v>MFG</v>
          </cell>
          <cell r="M29" t="str">
            <v>IND</v>
          </cell>
        </row>
        <row r="30">
          <cell r="B30" t="str">
            <v>Depreciation-Building</v>
          </cell>
          <cell r="C30">
            <v>7611100</v>
          </cell>
          <cell r="J30" t="str">
            <v>Production Office</v>
          </cell>
          <cell r="K30" t="str">
            <v>B5100</v>
          </cell>
          <cell r="L30" t="str">
            <v>MFG</v>
          </cell>
          <cell r="M30" t="str">
            <v>IND</v>
          </cell>
        </row>
        <row r="31">
          <cell r="B31" t="str">
            <v>Depreciation-Machiney &amp; equipment</v>
          </cell>
          <cell r="C31">
            <v>7611300</v>
          </cell>
          <cell r="J31" t="str">
            <v>Production Office (SP)</v>
          </cell>
          <cell r="K31" t="str">
            <v>B5101</v>
          </cell>
          <cell r="L31" t="str">
            <v>MFG</v>
          </cell>
          <cell r="M31" t="str">
            <v>IND</v>
          </cell>
        </row>
        <row r="32">
          <cell r="B32" t="str">
            <v>Depreciation-Lease Machinery &amp; equipment</v>
          </cell>
          <cell r="C32">
            <v>7611400</v>
          </cell>
          <cell r="J32" t="str">
            <v>Production Office (PC)</v>
          </cell>
          <cell r="K32" t="str">
            <v>B5104</v>
          </cell>
          <cell r="L32" t="str">
            <v>MFG</v>
          </cell>
          <cell r="M32" t="str">
            <v>IND</v>
          </cell>
        </row>
        <row r="33">
          <cell r="B33" t="str">
            <v>Depreciation-Vehicles</v>
          </cell>
          <cell r="C33">
            <v>7611500</v>
          </cell>
          <cell r="J33" t="str">
            <v>Quality Assurance</v>
          </cell>
          <cell r="K33" t="str">
            <v>B5800</v>
          </cell>
          <cell r="L33" t="str">
            <v>MFG</v>
          </cell>
          <cell r="M33" t="str">
            <v>IND</v>
          </cell>
        </row>
        <row r="34">
          <cell r="B34" t="str">
            <v>Depreciation-Tools, furniture &amp; office equipment</v>
          </cell>
          <cell r="C34">
            <v>7611600</v>
          </cell>
          <cell r="J34" t="str">
            <v>Quality Control</v>
          </cell>
          <cell r="K34" t="str">
            <v>B5900</v>
          </cell>
          <cell r="L34" t="str">
            <v>MFG</v>
          </cell>
          <cell r="M34" t="str">
            <v>IND</v>
          </cell>
        </row>
        <row r="35">
          <cell r="B35" t="str">
            <v>Depreciation-Software</v>
          </cell>
          <cell r="C35">
            <v>7611700</v>
          </cell>
          <cell r="J35" t="str">
            <v>Maintenance</v>
          </cell>
          <cell r="K35" t="str">
            <v>B5500</v>
          </cell>
          <cell r="L35" t="str">
            <v>MFG</v>
          </cell>
          <cell r="M35" t="str">
            <v>IND</v>
          </cell>
        </row>
        <row r="36">
          <cell r="B36" t="str">
            <v>Depreciation - Right of use Assets</v>
          </cell>
          <cell r="C36">
            <v>7611800</v>
          </cell>
          <cell r="J36" t="str">
            <v>Production Engineering</v>
          </cell>
          <cell r="K36" t="str">
            <v>B5600</v>
          </cell>
          <cell r="L36" t="str">
            <v>MFG</v>
          </cell>
          <cell r="M36" t="str">
            <v>IND</v>
          </cell>
        </row>
        <row r="37">
          <cell r="B37" t="str">
            <v>Rental car</v>
          </cell>
          <cell r="C37">
            <v>7621101</v>
          </cell>
          <cell r="J37" t="str">
            <v>Supply Procurement</v>
          </cell>
          <cell r="K37" t="str">
            <v>B5130</v>
          </cell>
          <cell r="L37" t="str">
            <v>MFG</v>
          </cell>
          <cell r="M37" t="str">
            <v>IND</v>
          </cell>
        </row>
        <row r="38">
          <cell r="B38" t="str">
            <v>Other rental fee</v>
          </cell>
          <cell r="C38">
            <v>7621199</v>
          </cell>
          <cell r="J38" t="str">
            <v>Inventory Control</v>
          </cell>
          <cell r="K38" t="str">
            <v>B5200</v>
          </cell>
          <cell r="L38" t="str">
            <v>MFG</v>
          </cell>
          <cell r="M38" t="str">
            <v>IND</v>
          </cell>
        </row>
        <row r="39">
          <cell r="B39" t="str">
            <v>Electricity Charge</v>
          </cell>
          <cell r="C39">
            <v>7631101</v>
          </cell>
          <cell r="J39" t="str">
            <v>SCM - FG WH</v>
          </cell>
          <cell r="K39" t="str">
            <v>B3150</v>
          </cell>
          <cell r="L39" t="str">
            <v>SGA</v>
          </cell>
          <cell r="M39" t="str">
            <v>ADM</v>
          </cell>
        </row>
        <row r="40">
          <cell r="B40" t="str">
            <v>Water Supply Charge</v>
          </cell>
          <cell r="C40">
            <v>7631102</v>
          </cell>
          <cell r="J40" t="str">
            <v>WH Dept.- KD &amp; RM</v>
          </cell>
          <cell r="K40" t="str">
            <v>B5710</v>
          </cell>
          <cell r="L40" t="str">
            <v>MFG</v>
          </cell>
          <cell r="M40" t="str">
            <v>IND</v>
          </cell>
        </row>
        <row r="41">
          <cell r="B41" t="str">
            <v>Repair Building</v>
          </cell>
          <cell r="C41">
            <v>7641101</v>
          </cell>
          <cell r="J41" t="str">
            <v>Continuous Improvement</v>
          </cell>
          <cell r="K41" t="str">
            <v>B5007</v>
          </cell>
          <cell r="L41" t="str">
            <v>MFG</v>
          </cell>
          <cell r="M41" t="str">
            <v>IND</v>
          </cell>
        </row>
        <row r="42">
          <cell r="B42" t="str">
            <v>Repair of Equipment</v>
          </cell>
          <cell r="C42">
            <v>7641102</v>
          </cell>
          <cell r="J42" t="str">
            <v>All</v>
          </cell>
          <cell r="K42" t="str">
            <v>B0000</v>
          </cell>
        </row>
        <row r="43">
          <cell r="B43" t="str">
            <v>Factory Supply Expense</v>
          </cell>
          <cell r="C43">
            <v>7641103</v>
          </cell>
        </row>
        <row r="44">
          <cell r="B44" t="str">
            <v>Calibration Cost</v>
          </cell>
          <cell r="C44">
            <v>7641104</v>
          </cell>
        </row>
        <row r="45">
          <cell r="B45" t="str">
            <v>Transportation Fee for employee</v>
          </cell>
          <cell r="C45">
            <v>7651101</v>
          </cell>
        </row>
        <row r="46">
          <cell r="B46" t="str">
            <v>Travel Expense-Domestic</v>
          </cell>
          <cell r="C46">
            <v>7651102</v>
          </cell>
        </row>
        <row r="47">
          <cell r="B47" t="str">
            <v>Travel Expense-Oversea</v>
          </cell>
          <cell r="C47">
            <v>7651103</v>
          </cell>
        </row>
        <row r="48">
          <cell r="B48" t="str">
            <v>Entertainment</v>
          </cell>
          <cell r="C48">
            <v>7661101</v>
          </cell>
        </row>
        <row r="49">
          <cell r="B49" t="str">
            <v>Amortization of Land &amp; Building tax (PBB)</v>
          </cell>
          <cell r="C49">
            <v>7671102</v>
          </cell>
        </row>
        <row r="50">
          <cell r="B50" t="str">
            <v>License fee</v>
          </cell>
          <cell r="C50">
            <v>7671103</v>
          </cell>
        </row>
        <row r="51">
          <cell r="B51" t="str">
            <v>Insurance Premium</v>
          </cell>
          <cell r="C51">
            <v>7681101</v>
          </cell>
        </row>
        <row r="52">
          <cell r="B52" t="str">
            <v>Office supply &amp; Stationary Expense</v>
          </cell>
          <cell r="C52">
            <v>7691000</v>
          </cell>
        </row>
        <row r="53">
          <cell r="B53" t="str">
            <v>Communication expenses</v>
          </cell>
          <cell r="C53">
            <v>7711101</v>
          </cell>
        </row>
        <row r="54">
          <cell r="B54" t="str">
            <v>IT Expense</v>
          </cell>
          <cell r="C54">
            <v>7711102</v>
          </cell>
        </row>
        <row r="55">
          <cell r="B55" t="str">
            <v>Stamp/Post Fee</v>
          </cell>
          <cell r="C55">
            <v>7711103</v>
          </cell>
        </row>
        <row r="56">
          <cell r="B56" t="str">
            <v>Audit Fee</v>
          </cell>
          <cell r="C56">
            <v>7721101</v>
          </cell>
        </row>
        <row r="57">
          <cell r="B57" t="str">
            <v>Consultancy/Professional Fee</v>
          </cell>
          <cell r="C57">
            <v>7729101</v>
          </cell>
        </row>
        <row r="58">
          <cell r="B58" t="str">
            <v>NGK group service fee</v>
          </cell>
          <cell r="C58">
            <v>7729103</v>
          </cell>
        </row>
        <row r="59">
          <cell r="B59" t="str">
            <v>Ticket &amp; accomodation of trainer (from NGK Group)</v>
          </cell>
          <cell r="C59">
            <v>7729105</v>
          </cell>
        </row>
        <row r="60">
          <cell r="B60" t="str">
            <v>Miscellaneous Expense</v>
          </cell>
          <cell r="C60">
            <v>7781101</v>
          </cell>
        </row>
        <row r="61">
          <cell r="B61" t="str">
            <v>Publishing Expense</v>
          </cell>
          <cell r="C61">
            <v>7781103</v>
          </cell>
        </row>
        <row r="62">
          <cell r="B62" t="str">
            <v>Cleaning Expense</v>
          </cell>
          <cell r="C62">
            <v>7781104</v>
          </cell>
        </row>
        <row r="63">
          <cell r="B63" t="str">
            <v>Security Guard</v>
          </cell>
          <cell r="C63">
            <v>7781105</v>
          </cell>
        </row>
        <row r="64">
          <cell r="B64" t="str">
            <v>Service Fee (Canteen Meal &amp; other service for staff)</v>
          </cell>
          <cell r="C64">
            <v>7781106</v>
          </cell>
        </row>
        <row r="65">
          <cell r="B65" t="str">
            <v>Training Expense</v>
          </cell>
          <cell r="C65">
            <v>7781107</v>
          </cell>
        </row>
        <row r="66">
          <cell r="B66" t="str">
            <v>Recruitment Fee</v>
          </cell>
          <cell r="C66">
            <v>7781111</v>
          </cell>
        </row>
        <row r="67">
          <cell r="B67" t="str">
            <v>Expatriate expenses exclude labor cost</v>
          </cell>
          <cell r="C67">
            <v>7781112</v>
          </cell>
        </row>
        <row r="68">
          <cell r="B68" t="str">
            <v>Expatriate fee Tax (BADORA)</v>
          </cell>
          <cell r="C68">
            <v>7781113</v>
          </cell>
        </row>
        <row r="69">
          <cell r="B69" t="str">
            <v>Freights and Export expense</v>
          </cell>
          <cell r="C69">
            <v>7411101</v>
          </cell>
        </row>
        <row r="70">
          <cell r="B70" t="str">
            <v>Transportation for Goods</v>
          </cell>
          <cell r="C70">
            <v>7411103</v>
          </cell>
        </row>
        <row r="71">
          <cell r="B71" t="str">
            <v>Packing for Sale</v>
          </cell>
          <cell r="C71">
            <v>7411104</v>
          </cell>
        </row>
        <row r="72">
          <cell r="B72" t="str">
            <v>Advertising expenses</v>
          </cell>
          <cell r="C72">
            <v>7431101</v>
          </cell>
        </row>
        <row r="73">
          <cell r="B73" t="str">
            <v>Sales Promotion - Coupon</v>
          </cell>
          <cell r="C73">
            <v>7451101</v>
          </cell>
        </row>
        <row r="74">
          <cell r="B74" t="str">
            <v>Sales Promotion- Goods</v>
          </cell>
          <cell r="C74">
            <v>7451102</v>
          </cell>
        </row>
        <row r="75">
          <cell r="B75" t="str">
            <v>Sales Promotion-Activity</v>
          </cell>
          <cell r="C75">
            <v>7451103</v>
          </cell>
        </row>
        <row r="76">
          <cell r="B76" t="str">
            <v>Cost of Samples</v>
          </cell>
          <cell r="C76">
            <v>7461101</v>
          </cell>
        </row>
        <row r="77">
          <cell r="B77" t="str">
            <v>Sales - Insurance of Delivery or Shipment</v>
          </cell>
          <cell r="C77">
            <v>7411105</v>
          </cell>
        </row>
        <row r="78">
          <cell r="B78" t="str">
            <v>Sales - Insurance of AR (Credit Insurance)</v>
          </cell>
          <cell r="C78">
            <v>7471201</v>
          </cell>
        </row>
        <row r="79">
          <cell r="B79" t="str">
            <v>Sales - Royalty to NGK Group</v>
          </cell>
          <cell r="C79">
            <v>7751101</v>
          </cell>
        </row>
        <row r="80">
          <cell r="B80" t="str">
            <v>Sales - Royalty to Independence Party</v>
          </cell>
          <cell r="C80">
            <v>7751102</v>
          </cell>
        </row>
        <row r="81">
          <cell r="B81" t="str">
            <v>Import Duty-purchased FG from NGK group</v>
          </cell>
          <cell r="C81">
            <v>7111211</v>
          </cell>
        </row>
        <row r="82">
          <cell r="B82" t="str">
            <v>Import Duty-purchased FG from outside supplier</v>
          </cell>
          <cell r="C82">
            <v>7111212</v>
          </cell>
        </row>
        <row r="83">
          <cell r="B83" t="str">
            <v>Import Duty-purchased KD&amp;RM from NGK Japan</v>
          </cell>
          <cell r="C83">
            <v>7111221</v>
          </cell>
        </row>
        <row r="84">
          <cell r="B84" t="str">
            <v>Import Duty-purchased KD&amp;RM from NGK Group(Not fromJP)</v>
          </cell>
          <cell r="C84">
            <v>7111222</v>
          </cell>
        </row>
        <row r="85">
          <cell r="B85" t="str">
            <v>Import Duty-purchased Comp Parts&amp;RM from outside supplier</v>
          </cell>
          <cell r="C85">
            <v>7111223</v>
          </cell>
        </row>
        <row r="86">
          <cell r="B86" t="str">
            <v>Import Expense-purchased FG from NGK group</v>
          </cell>
          <cell r="C86">
            <v>7111311</v>
          </cell>
        </row>
        <row r="87">
          <cell r="B87" t="str">
            <v>Import Expense-purchased FG from outside supplier</v>
          </cell>
          <cell r="C87">
            <v>7111312</v>
          </cell>
        </row>
        <row r="88">
          <cell r="B88" t="str">
            <v>Import Expense-purchased KD&amp;RM from NGK Japan</v>
          </cell>
          <cell r="C88">
            <v>7111321</v>
          </cell>
        </row>
        <row r="89">
          <cell r="B89" t="str">
            <v>Import Expense-purchased KD&amp;RM from NGK Group(Not fromJP)</v>
          </cell>
          <cell r="C89">
            <v>7111322</v>
          </cell>
        </row>
        <row r="90">
          <cell r="B90" t="str">
            <v>Import Expense-purchased Comp Parts&amp;RM from outside supplier</v>
          </cell>
          <cell r="C90">
            <v>7111323</v>
          </cell>
        </row>
        <row r="91">
          <cell r="B91" t="str">
            <v>Expense-purchased Packaging material from outside supplier</v>
          </cell>
          <cell r="C91">
            <v>7111411</v>
          </cell>
        </row>
        <row r="92">
          <cell r="B92" t="str">
            <v>Subcontracting Cost</v>
          </cell>
          <cell r="C92">
            <v>7151101</v>
          </cell>
        </row>
        <row r="93">
          <cell r="B93" t="str">
            <v>Indirect material costs</v>
          </cell>
          <cell r="C93">
            <v>7200000</v>
          </cell>
        </row>
        <row r="94">
          <cell r="B94" t="str">
            <v>Cost of Factory Supply</v>
          </cell>
          <cell r="C94">
            <v>7211101</v>
          </cell>
        </row>
        <row r="95">
          <cell r="B95" t="str">
            <v>Cost of Chemical</v>
          </cell>
          <cell r="C95">
            <v>7211102</v>
          </cell>
        </row>
        <row r="96">
          <cell r="B96" t="str">
            <v>Cost of Packaging</v>
          </cell>
          <cell r="C96">
            <v>7211103</v>
          </cell>
        </row>
        <row r="97">
          <cell r="B97" t="str">
            <v>Cost of Oil</v>
          </cell>
          <cell r="C97">
            <v>7211104</v>
          </cell>
        </row>
        <row r="98">
          <cell r="B98" t="str">
            <v>Cost of Tooling</v>
          </cell>
          <cell r="C98">
            <v>7221101</v>
          </cell>
        </row>
        <row r="99">
          <cell r="B99" t="str">
            <v>Cost of Machinery parts</v>
          </cell>
          <cell r="C99">
            <v>7221102</v>
          </cell>
        </row>
        <row r="100">
          <cell r="B100" t="str">
            <v>Salary for Commissioner</v>
          </cell>
          <cell r="C100">
            <v>7511101</v>
          </cell>
        </row>
        <row r="101">
          <cell r="B101" t="str">
            <v>Salary for Director</v>
          </cell>
          <cell r="C101">
            <v>7511102</v>
          </cell>
        </row>
        <row r="102">
          <cell r="B102" t="str">
            <v>Staff Labor - Baslc Salary</v>
          </cell>
          <cell r="C102">
            <v>7511103</v>
          </cell>
        </row>
        <row r="103">
          <cell r="B103" t="str">
            <v>Staff Labor - Allowance</v>
          </cell>
          <cell r="C103">
            <v>7511111</v>
          </cell>
        </row>
        <row r="104">
          <cell r="B104" t="str">
            <v>Staff Labor - Tax allowance (art.21)</v>
          </cell>
          <cell r="C104">
            <v>7511112</v>
          </cell>
        </row>
        <row r="105">
          <cell r="B105" t="str">
            <v>Staff Labor - BPJS JK &amp; JKK (1.19%)</v>
          </cell>
          <cell r="C105">
            <v>7511121</v>
          </cell>
        </row>
        <row r="106">
          <cell r="B106" t="str">
            <v>Staff Labor - BPJS Kesehatan (4%)</v>
          </cell>
          <cell r="C106">
            <v>7511122</v>
          </cell>
        </row>
        <row r="107">
          <cell r="B107" t="str">
            <v>Staff Overtime</v>
          </cell>
          <cell r="C107">
            <v>7511201</v>
          </cell>
        </row>
        <row r="108">
          <cell r="B108" t="str">
            <v>Staff Welfare - BPJS Dana pensiun (2%)</v>
          </cell>
          <cell r="C108">
            <v>7512111</v>
          </cell>
        </row>
        <row r="109">
          <cell r="B109" t="str">
            <v>Staff Welfare - BPJS JHT (3.7%)</v>
          </cell>
          <cell r="C109">
            <v>7512112</v>
          </cell>
        </row>
        <row r="110">
          <cell r="B110" t="str">
            <v>Staff Bonus / TAT</v>
          </cell>
          <cell r="C110">
            <v>7514101</v>
          </cell>
        </row>
        <row r="111">
          <cell r="B111" t="str">
            <v>Staff Ramadhan / THR</v>
          </cell>
          <cell r="C111">
            <v>7514102</v>
          </cell>
        </row>
        <row r="112">
          <cell r="B112" t="str">
            <v>Staff Welfare - Outpatient (Medical)</v>
          </cell>
          <cell r="C112">
            <v>7515401</v>
          </cell>
        </row>
        <row r="113">
          <cell r="B113" t="str">
            <v>Staff Welfare - Hospitalization</v>
          </cell>
          <cell r="C113">
            <v>7515402</v>
          </cell>
        </row>
        <row r="114">
          <cell r="B114" t="str">
            <v>Staff Welfare - Glasses</v>
          </cell>
          <cell r="C114">
            <v>7515403</v>
          </cell>
        </row>
        <row r="115">
          <cell r="B115" t="str">
            <v>Staff Welfare - Dental</v>
          </cell>
          <cell r="C115">
            <v>7515404</v>
          </cell>
        </row>
        <row r="116">
          <cell r="B116" t="str">
            <v>Staff Welfare - Medical Check Up</v>
          </cell>
          <cell r="C116">
            <v>7515405</v>
          </cell>
        </row>
        <row r="117">
          <cell r="B117" t="str">
            <v>Staff Welfare - Uniform</v>
          </cell>
          <cell r="C117">
            <v>7515406</v>
          </cell>
        </row>
        <row r="118">
          <cell r="B118" t="str">
            <v>Staff Welfare - Safety Shoes</v>
          </cell>
          <cell r="C118">
            <v>7515407</v>
          </cell>
        </row>
        <row r="119">
          <cell r="B119" t="str">
            <v>Staff Welfare - Family Gathering / Anniversary</v>
          </cell>
          <cell r="C119">
            <v>7515408</v>
          </cell>
        </row>
        <row r="120">
          <cell r="B120" t="str">
            <v>Staff Welfare - Meals of canteen &amp; other meals</v>
          </cell>
          <cell r="C120">
            <v>7515409</v>
          </cell>
        </row>
        <row r="121">
          <cell r="B121" t="str">
            <v>Staff Welfare - Kaizen &amp; QCC reward</v>
          </cell>
          <cell r="C121">
            <v>7515410</v>
          </cell>
        </row>
        <row r="122">
          <cell r="B122" t="str">
            <v>Staff Welfare - Welfare Others</v>
          </cell>
          <cell r="C122">
            <v>7515499</v>
          </cell>
        </row>
        <row r="123">
          <cell r="B123" t="str">
            <v>Retirement Allowance</v>
          </cell>
          <cell r="C123">
            <v>7516102</v>
          </cell>
        </row>
        <row r="124">
          <cell r="B124" t="str">
            <v>House Rent Allowance</v>
          </cell>
          <cell r="C124">
            <v>7519101</v>
          </cell>
        </row>
        <row r="125">
          <cell r="B125" t="str">
            <v>Casual Staff Labor</v>
          </cell>
          <cell r="C125">
            <v>7521101</v>
          </cell>
        </row>
        <row r="126">
          <cell r="B126" t="str">
            <v>Casual Staff Labor - Overtime</v>
          </cell>
          <cell r="C126">
            <v>7521102</v>
          </cell>
        </row>
        <row r="127">
          <cell r="B127" t="str">
            <v>Personnel expense transferred</v>
          </cell>
          <cell r="C127">
            <v>7571101</v>
          </cell>
        </row>
        <row r="128">
          <cell r="B128" t="str">
            <v>Depreciation-Building</v>
          </cell>
          <cell r="C128">
            <v>7611100</v>
          </cell>
        </row>
        <row r="129">
          <cell r="B129" t="str">
            <v>Depreciation-Machiney &amp; equipment</v>
          </cell>
          <cell r="C129">
            <v>7611300</v>
          </cell>
        </row>
        <row r="130">
          <cell r="B130" t="str">
            <v>Depreciation-Lease Machinery &amp; equipment</v>
          </cell>
          <cell r="C130">
            <v>7611400</v>
          </cell>
        </row>
        <row r="131">
          <cell r="B131" t="str">
            <v>Depreciation-Vehicles</v>
          </cell>
          <cell r="C131">
            <v>7611500</v>
          </cell>
        </row>
        <row r="132">
          <cell r="B132" t="str">
            <v>Depreciation-Tools, furniture &amp; office equipment</v>
          </cell>
          <cell r="C132">
            <v>7611600</v>
          </cell>
        </row>
        <row r="133">
          <cell r="B133" t="str">
            <v>Depreciation-Software</v>
          </cell>
          <cell r="C133">
            <v>7611700</v>
          </cell>
        </row>
        <row r="134">
          <cell r="B134" t="str">
            <v>Depreciation - Right of use Assets</v>
          </cell>
          <cell r="C134">
            <v>7611800</v>
          </cell>
        </row>
        <row r="135">
          <cell r="B135" t="str">
            <v>Rental car</v>
          </cell>
          <cell r="C135">
            <v>7621101</v>
          </cell>
        </row>
        <row r="136">
          <cell r="B136" t="str">
            <v>Other rental fee</v>
          </cell>
          <cell r="C136">
            <v>7621199</v>
          </cell>
        </row>
        <row r="137">
          <cell r="B137" t="str">
            <v>Electricity Charge</v>
          </cell>
          <cell r="C137">
            <v>7631101</v>
          </cell>
        </row>
        <row r="138">
          <cell r="B138" t="str">
            <v>Water Supply Charge</v>
          </cell>
          <cell r="C138">
            <v>7631102</v>
          </cell>
        </row>
        <row r="139">
          <cell r="B139" t="str">
            <v>Repair Building</v>
          </cell>
          <cell r="C139">
            <v>7641101</v>
          </cell>
        </row>
        <row r="140">
          <cell r="B140" t="str">
            <v>Repair of Equipment</v>
          </cell>
          <cell r="C140">
            <v>7641102</v>
          </cell>
        </row>
        <row r="141">
          <cell r="B141" t="str">
            <v>Factory Supply Expense</v>
          </cell>
          <cell r="C141">
            <v>7641103</v>
          </cell>
        </row>
        <row r="142">
          <cell r="B142" t="str">
            <v>Calibration Cost</v>
          </cell>
          <cell r="C142">
            <v>7641104</v>
          </cell>
        </row>
        <row r="143">
          <cell r="B143" t="str">
            <v>Transportation Fee for employee</v>
          </cell>
          <cell r="C143">
            <v>7651101</v>
          </cell>
        </row>
        <row r="144">
          <cell r="B144" t="str">
            <v>Travel Expense-Domestic</v>
          </cell>
          <cell r="C144">
            <v>7651102</v>
          </cell>
        </row>
        <row r="145">
          <cell r="B145" t="str">
            <v>Travel Expense-Oversea</v>
          </cell>
          <cell r="C145">
            <v>7651103</v>
          </cell>
        </row>
        <row r="146">
          <cell r="B146" t="str">
            <v>Entertainment</v>
          </cell>
          <cell r="C146">
            <v>7661101</v>
          </cell>
        </row>
        <row r="147">
          <cell r="B147" t="str">
            <v>Amortization of Land &amp; Building tax (PBB)</v>
          </cell>
          <cell r="C147">
            <v>7671102</v>
          </cell>
        </row>
        <row r="148">
          <cell r="B148" t="str">
            <v>License fee</v>
          </cell>
          <cell r="C148">
            <v>7671103</v>
          </cell>
        </row>
        <row r="149">
          <cell r="B149" t="str">
            <v>Insurance Premium</v>
          </cell>
          <cell r="C149">
            <v>7681101</v>
          </cell>
        </row>
        <row r="150">
          <cell r="B150" t="str">
            <v>Office supply &amp; Stationary Expense</v>
          </cell>
          <cell r="C150">
            <v>7691000</v>
          </cell>
        </row>
        <row r="151">
          <cell r="B151" t="str">
            <v>Communication expenses</v>
          </cell>
          <cell r="C151">
            <v>7711101</v>
          </cell>
        </row>
        <row r="152">
          <cell r="B152" t="str">
            <v>IT Expense</v>
          </cell>
          <cell r="C152">
            <v>7711102</v>
          </cell>
        </row>
        <row r="153">
          <cell r="B153" t="str">
            <v>Stamp/Post Fee</v>
          </cell>
          <cell r="C153">
            <v>7711103</v>
          </cell>
        </row>
        <row r="154">
          <cell r="B154" t="str">
            <v>Audit Fee</v>
          </cell>
          <cell r="C154">
            <v>7721101</v>
          </cell>
        </row>
        <row r="155">
          <cell r="B155" t="str">
            <v>Consultancy/Professional Fee</v>
          </cell>
          <cell r="C155">
            <v>7729101</v>
          </cell>
        </row>
        <row r="156">
          <cell r="B156" t="str">
            <v>NGK group service fee</v>
          </cell>
          <cell r="C156">
            <v>7729103</v>
          </cell>
        </row>
        <row r="157">
          <cell r="B157" t="str">
            <v>Ticket &amp; accomodation of trainer (from NGK Group)</v>
          </cell>
          <cell r="C157">
            <v>7729105</v>
          </cell>
        </row>
        <row r="158">
          <cell r="B158" t="str">
            <v>Miscellaneous Expense</v>
          </cell>
          <cell r="C158">
            <v>7781101</v>
          </cell>
        </row>
        <row r="159">
          <cell r="B159" t="str">
            <v>Publishing Expense</v>
          </cell>
          <cell r="C159">
            <v>7781103</v>
          </cell>
        </row>
        <row r="160">
          <cell r="B160" t="str">
            <v>Cleaning Expense</v>
          </cell>
          <cell r="C160">
            <v>7781104</v>
          </cell>
        </row>
        <row r="161">
          <cell r="B161" t="str">
            <v>Security Guard</v>
          </cell>
          <cell r="C161">
            <v>7781105</v>
          </cell>
        </row>
        <row r="162">
          <cell r="B162" t="str">
            <v>Service Fee (Canteen Meal &amp; other service for staff)</v>
          </cell>
          <cell r="C162">
            <v>7781106</v>
          </cell>
        </row>
        <row r="163">
          <cell r="B163" t="str">
            <v>Training Expense</v>
          </cell>
          <cell r="C163">
            <v>7781107</v>
          </cell>
        </row>
        <row r="164">
          <cell r="B164" t="str">
            <v>Recruitment Fee</v>
          </cell>
          <cell r="C164">
            <v>7781111</v>
          </cell>
        </row>
        <row r="165">
          <cell r="B165" t="str">
            <v>Expatriate expenses exclude labor cost</v>
          </cell>
          <cell r="C165">
            <v>7781112</v>
          </cell>
        </row>
        <row r="166">
          <cell r="B166" t="str">
            <v>Expatriate fee Tax (BADORA)</v>
          </cell>
          <cell r="C166">
            <v>7781113</v>
          </cell>
        </row>
        <row r="167">
          <cell r="B167" t="str">
            <v>Others - Miscellaneous Waste</v>
          </cell>
          <cell r="C167">
            <v>8291101</v>
          </cell>
        </row>
        <row r="168">
          <cell r="B168" t="str">
            <v>Others - Miscellaneous Tax</v>
          </cell>
          <cell r="C168">
            <v>8291102</v>
          </cell>
        </row>
        <row r="169">
          <cell r="B169" t="str">
            <v>Others - Sport Activity</v>
          </cell>
          <cell r="C169">
            <v>8291201</v>
          </cell>
        </row>
        <row r="170">
          <cell r="B170" t="str">
            <v>Others - Retribution / Garbage Cost</v>
          </cell>
          <cell r="C170">
            <v>8291202</v>
          </cell>
        </row>
        <row r="171">
          <cell r="B171" t="str">
            <v>Others - Miscellaneous Non Operational Expense</v>
          </cell>
          <cell r="C171">
            <v>8291203</v>
          </cell>
        </row>
        <row r="172">
          <cell r="B172" t="str">
            <v>Other Income</v>
          </cell>
          <cell r="C172">
            <v>8191101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001"/>
  <sheetViews>
    <sheetView tabSelected="1" topLeftCell="A185" zoomScale="85" zoomScaleNormal="85" workbookViewId="0">
      <selection activeCell="H33" sqref="H33"/>
    </sheetView>
  </sheetViews>
  <sheetFormatPr defaultColWidth="11.26953125" defaultRowHeight="15" customHeight="1"/>
  <cols>
    <col min="1" max="1" width="19.1796875" style="6" customWidth="1"/>
    <col min="2" max="2" width="10" style="7" customWidth="1"/>
    <col min="3" max="3" width="21.26953125" style="6" customWidth="1"/>
    <col min="4" max="4" width="9.26953125" style="53" customWidth="1"/>
    <col min="5" max="5" width="30.26953125" style="6" bestFit="1" customWidth="1"/>
    <col min="6" max="6" width="10.453125" style="16" customWidth="1"/>
    <col min="7" max="7" width="31" style="6" customWidth="1"/>
    <col min="8" max="8" width="37.7265625" style="6" customWidth="1"/>
    <col min="9" max="9" width="7.7265625" style="9" bestFit="1" customWidth="1"/>
    <col min="10" max="10" width="7.26953125" style="8" bestFit="1" customWidth="1"/>
    <col min="11" max="16" width="14.7265625" style="14" customWidth="1"/>
    <col min="17" max="17" width="17.7265625" style="14" customWidth="1"/>
    <col min="18" max="28" width="14.7265625" style="14" customWidth="1"/>
    <col min="29" max="30" width="21.26953125" style="14" customWidth="1"/>
    <col min="31" max="32" width="24" style="14" customWidth="1"/>
    <col min="33" max="33" width="14.26953125" style="56" bestFit="1" customWidth="1"/>
    <col min="34" max="34" width="22.453125" style="57" customWidth="1"/>
    <col min="35" max="16384" width="11.26953125" style="6"/>
  </cols>
  <sheetData>
    <row r="1" spans="1:35" s="5" customFormat="1" ht="40.5" customHeight="1">
      <c r="A1" s="1" t="s">
        <v>0</v>
      </c>
      <c r="B1" s="1" t="s">
        <v>1</v>
      </c>
      <c r="C1" s="1" t="s">
        <v>2</v>
      </c>
      <c r="D1" s="52" t="s">
        <v>3</v>
      </c>
      <c r="E1" s="1" t="s">
        <v>4</v>
      </c>
      <c r="F1" s="15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1" t="str">
        <f>$AI$1 &amp; "_" &amp; "10"</f>
        <v>2021_10</v>
      </c>
      <c r="L1" s="11" t="str">
        <f>$AI$1 &amp; "_" &amp; "11"</f>
        <v>2021_11</v>
      </c>
      <c r="M1" s="11" t="str">
        <f>$AI$1 &amp; "_" &amp; "12"</f>
        <v>2021_12</v>
      </c>
      <c r="N1" s="11" t="str">
        <f>$AI$1 + 1 &amp; "_" &amp; "01"</f>
        <v>2022_01</v>
      </c>
      <c r="O1" s="11" t="str">
        <f>$AI$1 + 1 &amp; "_" &amp; "02"</f>
        <v>2022_02</v>
      </c>
      <c r="P1" s="11" t="str">
        <f>$AI$1 + 1 &amp; "_" &amp; "03"</f>
        <v>2022_03</v>
      </c>
      <c r="Q1" s="12" t="str">
        <f>$AI$1 + 1 &amp; "_" &amp; "04"</f>
        <v>2022_04</v>
      </c>
      <c r="R1" s="12" t="str">
        <f>$AI$1 + 1 &amp; "_" &amp; "05"</f>
        <v>2022_05</v>
      </c>
      <c r="S1" s="12" t="str">
        <f>$AI$1 + 1 &amp; "_" &amp; "06"</f>
        <v>2022_06</v>
      </c>
      <c r="T1" s="12" t="str">
        <f>$AI$1 + 1 &amp; "_" &amp; "07"</f>
        <v>2022_07</v>
      </c>
      <c r="U1" s="12" t="str">
        <f>$AI$1 + 1 &amp; "_" &amp; "08"</f>
        <v>2022_08</v>
      </c>
      <c r="V1" s="12" t="str">
        <f>$AI$1 + 1 &amp; "_" &amp; "09"</f>
        <v>2022_09</v>
      </c>
      <c r="W1" s="12" t="str">
        <f>$AI$1 + 1 &amp; "_" &amp; "10"</f>
        <v>2022_10</v>
      </c>
      <c r="X1" s="12" t="str">
        <f>$AI$1 + 1 &amp; "_" &amp; "11"</f>
        <v>2022_11</v>
      </c>
      <c r="Y1" s="12" t="str">
        <f>$AI$1 + 1 &amp; "_" &amp; "12"</f>
        <v>2022_12</v>
      </c>
      <c r="Z1" s="12" t="str">
        <f>$AI$1 + 2 &amp; "_" &amp; "01"</f>
        <v>2023_01</v>
      </c>
      <c r="AA1" s="12" t="str">
        <f>$AI$1 + 2&amp; "_" &amp; "02"</f>
        <v>2023_02</v>
      </c>
      <c r="AB1" s="12" t="str">
        <f>$AI$1 + 2 &amp; "_" &amp; "03"</f>
        <v>2023_03</v>
      </c>
      <c r="AC1" s="13" t="str">
        <f>"TOTAL FY1" &amp; RIGHT(AI1 + 1,2)</f>
        <v>TOTAL FY122</v>
      </c>
      <c r="AD1" s="13" t="str">
        <f>"TOTAL FY1" &amp; RIGHT(AI1 + 2,2)</f>
        <v>TOTAL FY123</v>
      </c>
      <c r="AE1" s="13" t="str">
        <f>"TOTAL FY1" &amp; RIGHT(AI1 + 3,2)</f>
        <v>TOTAL FY124</v>
      </c>
      <c r="AF1" s="13" t="str">
        <f>"TOTAL FY1" &amp; RIGHT(AI1 + 4,2)</f>
        <v>TOTAL FY125</v>
      </c>
      <c r="AG1" s="55" t="s">
        <v>11</v>
      </c>
      <c r="AH1" s="54" t="s">
        <v>12</v>
      </c>
      <c r="AI1" s="58">
        <v>2021</v>
      </c>
    </row>
    <row r="2" spans="1:35" ht="15" customHeight="1">
      <c r="A2" s="6" t="s">
        <v>13</v>
      </c>
      <c r="B2" s="10" t="str">
        <f>_xlfn.IFNA(VLOOKUP(C2,[12]Master!$J:$K,2,0),"")</f>
        <v>B5500</v>
      </c>
      <c r="C2" s="6" t="s">
        <v>108</v>
      </c>
      <c r="D2" s="17" t="str">
        <f>_xlfn.IFNA(VLOOKUP(E2,[12]Master!$J:$K,2,0),"")</f>
        <v>B5500</v>
      </c>
      <c r="E2" s="6" t="s">
        <v>108</v>
      </c>
      <c r="F2" s="17">
        <f>_xlfn.IFNA(VLOOKUP(G2,[12]Master!B:C,2,0),"")</f>
        <v>7641103</v>
      </c>
      <c r="G2" s="6" t="s">
        <v>209</v>
      </c>
      <c r="H2" s="6" t="s">
        <v>502</v>
      </c>
      <c r="I2" s="10" t="str">
        <f>_xlfn.IFNA(VLOOKUP(E2,[12]Master!$J:$M,4,0),"")</f>
        <v>IND</v>
      </c>
      <c r="J2" s="10" t="str">
        <f>_xlfn.IFNA(VLOOKUP($E2,[12]Master!$J:$M,3,0),"")</f>
        <v>MFG</v>
      </c>
      <c r="K2" s="14">
        <v>6754232.25</v>
      </c>
      <c r="L2" s="14">
        <v>15009405</v>
      </c>
      <c r="M2" s="14">
        <v>14759248.25</v>
      </c>
      <c r="N2" s="14">
        <v>17510972.5</v>
      </c>
      <c r="O2" s="14">
        <v>24315236.099999998</v>
      </c>
      <c r="P2" s="14">
        <v>0</v>
      </c>
      <c r="Q2" s="14">
        <v>5503448.5</v>
      </c>
      <c r="R2" s="14">
        <v>1250783.75</v>
      </c>
      <c r="S2" s="14">
        <v>0</v>
      </c>
      <c r="T2" s="14">
        <v>5503448.5</v>
      </c>
      <c r="U2" s="14">
        <v>12007524</v>
      </c>
      <c r="V2" s="14">
        <v>20512853.5</v>
      </c>
      <c r="W2" s="14">
        <v>6754232.25</v>
      </c>
      <c r="X2" s="14">
        <v>15009405</v>
      </c>
      <c r="Y2" s="14">
        <v>14759248.25</v>
      </c>
      <c r="Z2" s="14">
        <v>17510972.5</v>
      </c>
      <c r="AA2" s="14">
        <v>24315236.099999998</v>
      </c>
      <c r="AB2" s="14">
        <v>0</v>
      </c>
      <c r="AC2" s="14">
        <f t="shared" ref="AC2:AC40" si="0">SUM(K2:P2)</f>
        <v>78349094.099999994</v>
      </c>
      <c r="AD2" s="14">
        <f t="shared" ref="AD2:AD65" si="1">SUM(Q2:AB2)</f>
        <v>123127152.34999999</v>
      </c>
      <c r="AE2" s="14">
        <v>123127152.34999999</v>
      </c>
      <c r="AF2" s="14">
        <v>123127152.34999999</v>
      </c>
    </row>
    <row r="3" spans="1:35" ht="15" customHeight="1">
      <c r="A3" s="6" t="s">
        <v>13</v>
      </c>
      <c r="B3" s="10" t="str">
        <f>_xlfn.IFNA(VLOOKUP(C3,[12]Master!$J:$K,2,0),"")</f>
        <v>B5500</v>
      </c>
      <c r="C3" s="6" t="s">
        <v>108</v>
      </c>
      <c r="D3" s="17" t="str">
        <f>_xlfn.IFNA(VLOOKUP(E3,[12]Master!$J:$K,2,0),"")</f>
        <v>B5500</v>
      </c>
      <c r="E3" s="6" t="s">
        <v>108</v>
      </c>
      <c r="F3" s="17">
        <f>_xlfn.IFNA(VLOOKUP(G3,[12]Master!B:C,2,0),"")</f>
        <v>7641103</v>
      </c>
      <c r="G3" s="6" t="s">
        <v>209</v>
      </c>
      <c r="H3" s="6" t="s">
        <v>503</v>
      </c>
      <c r="I3" s="10" t="str">
        <f>_xlfn.IFNA(VLOOKUP(E3,[12]Master!$J:$M,4,0),"")</f>
        <v>IND</v>
      </c>
      <c r="J3" s="10" t="str">
        <f>_xlfn.IFNA(VLOOKUP($E3,[12]Master!$J:$M,3,0),"")</f>
        <v>MFG</v>
      </c>
      <c r="K3" s="14">
        <v>0</v>
      </c>
      <c r="L3" s="14">
        <v>21799372.5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21799372.5</v>
      </c>
      <c r="Y3" s="14">
        <v>0</v>
      </c>
      <c r="Z3" s="14">
        <v>0</v>
      </c>
      <c r="AA3" s="14">
        <v>0</v>
      </c>
      <c r="AB3" s="14">
        <v>0</v>
      </c>
      <c r="AC3" s="14">
        <f t="shared" si="0"/>
        <v>21799372.5</v>
      </c>
      <c r="AD3" s="14">
        <f t="shared" si="1"/>
        <v>21799372.5</v>
      </c>
      <c r="AE3" s="14">
        <v>21799372.5</v>
      </c>
      <c r="AF3" s="14">
        <v>21799372.5</v>
      </c>
    </row>
    <row r="4" spans="1:35" ht="15" customHeight="1">
      <c r="A4" s="6" t="s">
        <v>13</v>
      </c>
      <c r="B4" s="10" t="str">
        <f>_xlfn.IFNA(VLOOKUP(C4,[12]Master!$J:$K,2,0),"")</f>
        <v>B5500</v>
      </c>
      <c r="C4" s="6" t="s">
        <v>108</v>
      </c>
      <c r="D4" s="17" t="str">
        <f>_xlfn.IFNA(VLOOKUP(E4,[12]Master!$J:$K,2,0),"")</f>
        <v>B5500</v>
      </c>
      <c r="E4" s="6" t="s">
        <v>108</v>
      </c>
      <c r="F4" s="17">
        <f>_xlfn.IFNA(VLOOKUP(G4,[12]Master!B:C,2,0),"")</f>
        <v>7641103</v>
      </c>
      <c r="G4" s="6" t="s">
        <v>209</v>
      </c>
      <c r="H4" s="6" t="s">
        <v>504</v>
      </c>
      <c r="I4" s="10" t="str">
        <f>_xlfn.IFNA(VLOOKUP(E4,[12]Master!$J:$M,4,0),"")</f>
        <v>IND</v>
      </c>
      <c r="J4" s="10" t="str">
        <f>_xlfn.IFNA(VLOOKUP($E4,[12]Master!$J:$M,3,0),"")</f>
        <v>MFG</v>
      </c>
      <c r="K4" s="14">
        <v>393994.26</v>
      </c>
      <c r="L4" s="14">
        <v>525325.67999999993</v>
      </c>
      <c r="M4" s="14">
        <v>744211.38</v>
      </c>
      <c r="N4" s="14">
        <v>1969971.3</v>
      </c>
      <c r="O4" s="14">
        <v>131331.41999999998</v>
      </c>
      <c r="P4" s="14">
        <v>0</v>
      </c>
      <c r="Q4" s="14">
        <v>131331.41999999998</v>
      </c>
      <c r="R4" s="14">
        <v>131331.41999999998</v>
      </c>
      <c r="S4" s="14">
        <v>0</v>
      </c>
      <c r="T4" s="14">
        <v>131331.41999999998</v>
      </c>
      <c r="U4" s="14">
        <v>1444645.6199999999</v>
      </c>
      <c r="V4" s="14">
        <v>131331.41999999998</v>
      </c>
      <c r="W4" s="14">
        <v>393994.26</v>
      </c>
      <c r="X4" s="14">
        <v>525325.67999999993</v>
      </c>
      <c r="Y4" s="14">
        <v>744211.38</v>
      </c>
      <c r="Z4" s="14">
        <v>1969971.3</v>
      </c>
      <c r="AA4" s="14">
        <v>131331.41999999998</v>
      </c>
      <c r="AB4" s="14">
        <v>0</v>
      </c>
      <c r="AC4" s="14">
        <f t="shared" si="0"/>
        <v>3764834.04</v>
      </c>
      <c r="AD4" s="14">
        <f t="shared" si="1"/>
        <v>5734805.3399999989</v>
      </c>
      <c r="AE4" s="14">
        <v>4129059.74</v>
      </c>
      <c r="AF4" s="14">
        <v>4129059.74</v>
      </c>
    </row>
    <row r="5" spans="1:35" ht="15" customHeight="1">
      <c r="A5" s="6" t="s">
        <v>13</v>
      </c>
      <c r="B5" s="10" t="str">
        <f>_xlfn.IFNA(VLOOKUP(C5,[12]Master!$J:$K,2,0),"")</f>
        <v>B5500</v>
      </c>
      <c r="C5" s="6" t="s">
        <v>108</v>
      </c>
      <c r="D5" s="17" t="str">
        <f>_xlfn.IFNA(VLOOKUP(E5,[12]Master!$J:$K,2,0),"")</f>
        <v>B5500</v>
      </c>
      <c r="E5" s="6" t="s">
        <v>108</v>
      </c>
      <c r="F5" s="17">
        <f>_xlfn.IFNA(VLOOKUP(G5,[12]Master!B:C,2,0),"")</f>
        <v>7641103</v>
      </c>
      <c r="G5" s="6" t="s">
        <v>209</v>
      </c>
      <c r="H5" s="6" t="s">
        <v>505</v>
      </c>
      <c r="I5" s="10" t="str">
        <f>_xlfn.IFNA(VLOOKUP(E5,[12]Master!$J:$M,4,0),"")</f>
        <v>IND</v>
      </c>
      <c r="J5" s="10" t="str">
        <f>_xlfn.IFNA(VLOOKUP($E5,[12]Master!$J:$M,3,0),"")</f>
        <v>MFG</v>
      </c>
      <c r="K5" s="14">
        <v>0</v>
      </c>
      <c r="L5" s="14">
        <v>0</v>
      </c>
      <c r="M5" s="14">
        <v>1119644</v>
      </c>
      <c r="N5" s="14">
        <v>559822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1119644</v>
      </c>
      <c r="Z5" s="14">
        <v>559822</v>
      </c>
      <c r="AA5" s="14">
        <v>0</v>
      </c>
      <c r="AB5" s="14">
        <v>0</v>
      </c>
      <c r="AC5" s="14">
        <f t="shared" si="0"/>
        <v>1679466</v>
      </c>
      <c r="AD5" s="14">
        <f t="shared" si="1"/>
        <v>1679466</v>
      </c>
      <c r="AE5" s="14">
        <v>1679466</v>
      </c>
      <c r="AF5" s="14">
        <v>1679466</v>
      </c>
    </row>
    <row r="6" spans="1:35" ht="15" customHeight="1">
      <c r="A6" s="6" t="s">
        <v>13</v>
      </c>
      <c r="B6" s="10" t="str">
        <f>_xlfn.IFNA(VLOOKUP(C6,[12]Master!$J:$K,2,0),"")</f>
        <v>B5500</v>
      </c>
      <c r="C6" s="6" t="s">
        <v>108</v>
      </c>
      <c r="D6" s="17" t="str">
        <f>_xlfn.IFNA(VLOOKUP(E6,[12]Master!$J:$K,2,0),"")</f>
        <v>B5500</v>
      </c>
      <c r="E6" s="6" t="s">
        <v>108</v>
      </c>
      <c r="F6" s="17">
        <f>_xlfn.IFNA(VLOOKUP(G6,[12]Master!B:C,2,0),"")</f>
        <v>7641103</v>
      </c>
      <c r="G6" s="6" t="s">
        <v>209</v>
      </c>
      <c r="H6" s="6" t="s">
        <v>506</v>
      </c>
      <c r="I6" s="10" t="str">
        <f>_xlfn.IFNA(VLOOKUP(E6,[12]Master!$J:$M,4,0),"")</f>
        <v>IND</v>
      </c>
      <c r="J6" s="10" t="str">
        <f>_xlfn.IFNA(VLOOKUP($E6,[12]Master!$J:$M,3,0),"")</f>
        <v>MFG</v>
      </c>
      <c r="K6" s="14">
        <v>0</v>
      </c>
      <c r="L6" s="14">
        <v>680910</v>
      </c>
      <c r="M6" s="14">
        <v>453940</v>
      </c>
      <c r="N6" s="14">
        <v>0</v>
      </c>
      <c r="O6" s="14">
        <v>680910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680910</v>
      </c>
      <c r="W6" s="14">
        <v>0</v>
      </c>
      <c r="X6" s="14">
        <v>680910</v>
      </c>
      <c r="Y6" s="14">
        <v>453940</v>
      </c>
      <c r="Z6" s="14">
        <v>0</v>
      </c>
      <c r="AA6" s="14">
        <v>680910</v>
      </c>
      <c r="AB6" s="14">
        <v>0</v>
      </c>
      <c r="AC6" s="14">
        <f t="shared" si="0"/>
        <v>1815760</v>
      </c>
      <c r="AD6" s="14">
        <f t="shared" si="1"/>
        <v>2496670</v>
      </c>
      <c r="AE6" s="14">
        <v>2496670</v>
      </c>
      <c r="AF6" s="14">
        <v>2496670</v>
      </c>
    </row>
    <row r="7" spans="1:35" ht="15" customHeight="1">
      <c r="A7" s="6" t="s">
        <v>13</v>
      </c>
      <c r="B7" s="10" t="str">
        <f>_xlfn.IFNA(VLOOKUP(C7,[12]Master!$J:$K,2,0),"")</f>
        <v>B5500</v>
      </c>
      <c r="C7" s="6" t="s">
        <v>108</v>
      </c>
      <c r="D7" s="17" t="str">
        <f>_xlfn.IFNA(VLOOKUP(E7,[12]Master!$J:$K,2,0),"")</f>
        <v>B4101</v>
      </c>
      <c r="E7" s="6" t="s">
        <v>133</v>
      </c>
      <c r="F7" s="17">
        <f>_xlfn.IFNA(VLOOKUP(G7,[12]Master!B:C,2,0),"")</f>
        <v>7221101</v>
      </c>
      <c r="G7" s="6" t="s">
        <v>227</v>
      </c>
      <c r="H7" s="6" t="s">
        <v>507</v>
      </c>
      <c r="I7" s="10" t="str">
        <f>_xlfn.IFNA(VLOOKUP(E7,[12]Master!$J:$M,4,0),"")</f>
        <v>DIR</v>
      </c>
      <c r="J7" s="10" t="str">
        <f>_xlfn.IFNA(VLOOKUP($E7,[12]Master!$J:$M,3,0),"")</f>
        <v>MFG</v>
      </c>
      <c r="K7" s="14">
        <v>329289731.74612963</v>
      </c>
      <c r="L7" s="14">
        <v>226444898.35632834</v>
      </c>
      <c r="M7" s="14">
        <v>221921322.24345219</v>
      </c>
      <c r="N7" s="14">
        <v>222320461.31223539</v>
      </c>
      <c r="O7" s="14">
        <v>214736819.00535482</v>
      </c>
      <c r="P7" s="14">
        <v>195977282.77254501</v>
      </c>
      <c r="Q7" s="14">
        <v>176020329.33338565</v>
      </c>
      <c r="R7" s="14">
        <v>183603971.64026621</v>
      </c>
      <c r="S7" s="14">
        <v>190389335.80958039</v>
      </c>
      <c r="T7" s="14">
        <v>192784170.22227952</v>
      </c>
      <c r="U7" s="14">
        <v>197174699.97889459</v>
      </c>
      <c r="V7" s="14">
        <v>201166090.66672647</v>
      </c>
      <c r="W7" s="14">
        <v>205157481.35455832</v>
      </c>
      <c r="X7" s="14">
        <v>196775560.9101114</v>
      </c>
      <c r="Y7" s="14">
        <v>184402249.7778326</v>
      </c>
      <c r="Z7" s="14">
        <v>186797084.1905317</v>
      </c>
      <c r="AA7" s="14">
        <v>191187613.94714677</v>
      </c>
      <c r="AB7" s="14">
        <v>177217746.5397352</v>
      </c>
      <c r="AC7" s="14">
        <f t="shared" si="0"/>
        <v>1410690515.4360454</v>
      </c>
      <c r="AD7" s="14">
        <f t="shared" si="1"/>
        <v>2282676334.3710489</v>
      </c>
      <c r="AE7" s="14">
        <v>2369688651.3657837</v>
      </c>
      <c r="AF7" s="14">
        <v>2101467197.1434817</v>
      </c>
    </row>
    <row r="8" spans="1:35" ht="15" customHeight="1">
      <c r="A8" s="6" t="s">
        <v>13</v>
      </c>
      <c r="B8" s="10" t="str">
        <f>_xlfn.IFNA(VLOOKUP(C8,[12]Master!$J:$K,2,0),"")</f>
        <v>B5500</v>
      </c>
      <c r="C8" s="6" t="s">
        <v>108</v>
      </c>
      <c r="D8" s="17" t="str">
        <f>_xlfn.IFNA(VLOOKUP(E8,[12]Master!$J:$K,2,0),"")</f>
        <v>B4101</v>
      </c>
      <c r="E8" s="6" t="s">
        <v>133</v>
      </c>
      <c r="F8" s="17">
        <f>_xlfn.IFNA(VLOOKUP(G8,[12]Master!B:C,2,0),"")</f>
        <v>7221102</v>
      </c>
      <c r="G8" s="6" t="s">
        <v>229</v>
      </c>
      <c r="H8" s="6" t="s">
        <v>508</v>
      </c>
      <c r="I8" s="10" t="str">
        <f>_xlfn.IFNA(VLOOKUP(E8,[12]Master!$J:$M,4,0),"")</f>
        <v>DIR</v>
      </c>
      <c r="J8" s="10" t="str">
        <f>_xlfn.IFNA(VLOOKUP($E8,[12]Master!$J:$M,3,0),"")</f>
        <v>MFG</v>
      </c>
      <c r="K8" s="14">
        <v>150963722.49253851</v>
      </c>
      <c r="L8" s="14">
        <v>103814244.72012144</v>
      </c>
      <c r="M8" s="14">
        <v>101740399.64345627</v>
      </c>
      <c r="N8" s="14">
        <v>101923385.97375025</v>
      </c>
      <c r="O8" s="14">
        <v>98446645.698164508</v>
      </c>
      <c r="P8" s="14">
        <v>89846288.174347162</v>
      </c>
      <c r="Q8" s="14">
        <v>80696971.659647867</v>
      </c>
      <c r="R8" s="14">
        <v>84173711.935233593</v>
      </c>
      <c r="S8" s="14">
        <v>87284479.550231367</v>
      </c>
      <c r="T8" s="14">
        <v>88382397.531995282</v>
      </c>
      <c r="U8" s="14">
        <v>90395247.165229127</v>
      </c>
      <c r="V8" s="14">
        <v>92225110.468168989</v>
      </c>
      <c r="W8" s="14">
        <v>94054973.771108851</v>
      </c>
      <c r="X8" s="14">
        <v>90212260.834935144</v>
      </c>
      <c r="Y8" s="14">
        <v>84539684.595821574</v>
      </c>
      <c r="Z8" s="14">
        <v>85637602.577585489</v>
      </c>
      <c r="AA8" s="14">
        <v>87650452.210819334</v>
      </c>
      <c r="AB8" s="14">
        <v>81245930.650529817</v>
      </c>
      <c r="AC8" s="14">
        <f t="shared" si="0"/>
        <v>646734686.70237815</v>
      </c>
      <c r="AD8" s="14">
        <f t="shared" si="1"/>
        <v>1046498822.9513066</v>
      </c>
      <c r="AE8" s="14">
        <v>1086389842.9553952</v>
      </c>
      <c r="AF8" s="14">
        <v>963423028.99783671</v>
      </c>
    </row>
    <row r="9" spans="1:35" ht="15" customHeight="1">
      <c r="A9" s="6" t="s">
        <v>13</v>
      </c>
      <c r="B9" s="10" t="str">
        <f>_xlfn.IFNA(VLOOKUP(C9,[12]Master!$J:$K,2,0),"")</f>
        <v>B5500</v>
      </c>
      <c r="C9" s="6" t="s">
        <v>108</v>
      </c>
      <c r="D9" s="17" t="str">
        <f>_xlfn.IFNA(VLOOKUP(E9,[12]Master!$J:$K,2,0),"")</f>
        <v>B4102</v>
      </c>
      <c r="E9" s="6" t="s">
        <v>137</v>
      </c>
      <c r="F9" s="17">
        <f>_xlfn.IFNA(VLOOKUP(G9,[12]Master!B:C,2,0),"")</f>
        <v>7221101</v>
      </c>
      <c r="G9" s="6" t="s">
        <v>227</v>
      </c>
      <c r="H9" s="6" t="s">
        <v>507</v>
      </c>
      <c r="I9" s="10" t="str">
        <f>_xlfn.IFNA(VLOOKUP(E9,[12]Master!$J:$M,4,0),"")</f>
        <v>DIR</v>
      </c>
      <c r="J9" s="10" t="str">
        <f>_xlfn.IFNA(VLOOKUP($E9,[12]Master!$J:$M,3,0),"")</f>
        <v>MFG</v>
      </c>
      <c r="K9" s="14">
        <v>288076597.84887695</v>
      </c>
      <c r="L9" s="14">
        <v>222535165.63824457</v>
      </c>
      <c r="M9" s="14">
        <v>206350117.58623022</v>
      </c>
      <c r="N9" s="14">
        <v>207089723.74245328</v>
      </c>
      <c r="O9" s="14">
        <v>200433268.33644584</v>
      </c>
      <c r="P9" s="14">
        <v>181943114.43086967</v>
      </c>
      <c r="Q9" s="14">
        <v>163452960.52529347</v>
      </c>
      <c r="R9" s="14">
        <v>169739612.85318938</v>
      </c>
      <c r="S9" s="14">
        <v>175656462.10297376</v>
      </c>
      <c r="T9" s="14">
        <v>178614886.72786593</v>
      </c>
      <c r="U9" s="14">
        <v>182682720.5870927</v>
      </c>
      <c r="V9" s="14">
        <v>186010948.29009643</v>
      </c>
      <c r="W9" s="14">
        <v>190448585.22743469</v>
      </c>
      <c r="X9" s="14">
        <v>184161932.89953882</v>
      </c>
      <c r="Y9" s="14">
        <v>170849022.08752394</v>
      </c>
      <c r="Z9" s="14">
        <v>173067840.55619308</v>
      </c>
      <c r="AA9" s="14">
        <v>177875280.57164291</v>
      </c>
      <c r="AB9" s="14">
        <v>164562369.75962806</v>
      </c>
      <c r="AC9" s="14">
        <f t="shared" si="0"/>
        <v>1306427987.5831203</v>
      </c>
      <c r="AD9" s="14">
        <f t="shared" si="1"/>
        <v>2117122622.188473</v>
      </c>
      <c r="AE9" s="14">
        <v>2197000087.0605621</v>
      </c>
      <c r="AF9" s="14">
        <v>1971050406.3344216</v>
      </c>
    </row>
    <row r="10" spans="1:35" ht="15" customHeight="1">
      <c r="A10" s="6" t="s">
        <v>13</v>
      </c>
      <c r="B10" s="10" t="str">
        <f>_xlfn.IFNA(VLOOKUP(C10,[12]Master!$J:$K,2,0),"")</f>
        <v>B5500</v>
      </c>
      <c r="C10" s="6" t="s">
        <v>108</v>
      </c>
      <c r="D10" s="17" t="str">
        <f>_xlfn.IFNA(VLOOKUP(E10,[12]Master!$J:$K,2,0),"")</f>
        <v>B4102</v>
      </c>
      <c r="E10" s="6" t="s">
        <v>137</v>
      </c>
      <c r="F10" s="17">
        <f>_xlfn.IFNA(VLOOKUP(G10,[12]Master!B:C,2,0),"")</f>
        <v>7221102</v>
      </c>
      <c r="G10" s="6" t="s">
        <v>229</v>
      </c>
      <c r="H10" s="6" t="s">
        <v>508</v>
      </c>
      <c r="I10" s="10" t="str">
        <f>_xlfn.IFNA(VLOOKUP(E10,[12]Master!$J:$M,4,0),"")</f>
        <v>DIR</v>
      </c>
      <c r="J10" s="10" t="str">
        <f>_xlfn.IFNA(VLOOKUP($E10,[12]Master!$J:$M,3,0),"")</f>
        <v>MFG</v>
      </c>
      <c r="K10" s="14">
        <v>189919285.18260211</v>
      </c>
      <c r="L10" s="14">
        <v>146710006.64961559</v>
      </c>
      <c r="M10" s="14">
        <v>136039744.71359691</v>
      </c>
      <c r="N10" s="14">
        <v>136527342.36490011</v>
      </c>
      <c r="O10" s="14">
        <v>132138963.50317118</v>
      </c>
      <c r="P10" s="14">
        <v>119949022.22059081</v>
      </c>
      <c r="Q10" s="14">
        <v>107759080.93801044</v>
      </c>
      <c r="R10" s="14">
        <v>111903660.97408777</v>
      </c>
      <c r="S10" s="14">
        <v>115804442.18451349</v>
      </c>
      <c r="T10" s="14">
        <v>117754832.78972635</v>
      </c>
      <c r="U10" s="14">
        <v>120436619.87189403</v>
      </c>
      <c r="V10" s="14">
        <v>122630809.3027585</v>
      </c>
      <c r="W10" s="14">
        <v>125556395.21057779</v>
      </c>
      <c r="X10" s="14">
        <v>121411815.17450045</v>
      </c>
      <c r="Y10" s="14">
        <v>112635057.45104259</v>
      </c>
      <c r="Z10" s="14">
        <v>114097850.40495224</v>
      </c>
      <c r="AA10" s="14">
        <v>117267235.13842313</v>
      </c>
      <c r="AB10" s="14">
        <v>108490477.41496527</v>
      </c>
      <c r="AC10" s="14">
        <f t="shared" si="0"/>
        <v>861284364.63447678</v>
      </c>
      <c r="AD10" s="14">
        <f t="shared" si="1"/>
        <v>1395748276.8554521</v>
      </c>
      <c r="AE10" s="14">
        <v>1448408823.1961992</v>
      </c>
      <c r="AF10" s="14">
        <v>1299447740.723067</v>
      </c>
    </row>
    <row r="11" spans="1:35" ht="15" customHeight="1">
      <c r="A11" s="6" t="s">
        <v>13</v>
      </c>
      <c r="B11" s="10" t="str">
        <f>_xlfn.IFNA(VLOOKUP(C11,[12]Master!$J:$K,2,0),"")</f>
        <v>B5500</v>
      </c>
      <c r="C11" s="6" t="s">
        <v>108</v>
      </c>
      <c r="D11" s="17" t="str">
        <f>_xlfn.IFNA(VLOOKUP(E11,[12]Master!$J:$K,2,0),"")</f>
        <v>B4103</v>
      </c>
      <c r="E11" s="6" t="s">
        <v>15</v>
      </c>
      <c r="F11" s="17">
        <f>_xlfn.IFNA(VLOOKUP(G11,[12]Master!B:C,2,0),"")</f>
        <v>7221101</v>
      </c>
      <c r="G11" s="6" t="s">
        <v>227</v>
      </c>
      <c r="H11" s="6" t="s">
        <v>507</v>
      </c>
      <c r="I11" s="10" t="str">
        <f>_xlfn.IFNA(VLOOKUP(E11,[12]Master!$J:$M,4,0),"")</f>
        <v>DIR</v>
      </c>
      <c r="J11" s="10" t="str">
        <f>_xlfn.IFNA(VLOOKUP($E11,[12]Master!$J:$M,3,0),"")</f>
        <v>MFG</v>
      </c>
      <c r="K11" s="14">
        <v>179096758.40753978</v>
      </c>
      <c r="L11" s="14">
        <v>137967425.71412021</v>
      </c>
      <c r="M11" s="14">
        <v>133056460.61639845</v>
      </c>
      <c r="N11" s="14">
        <v>133747065.08326559</v>
      </c>
      <c r="O11" s="14">
        <v>131214848.7047528</v>
      </c>
      <c r="P11" s="14">
        <v>118093363.83427753</v>
      </c>
      <c r="Q11" s="14">
        <v>105432281.94171366</v>
      </c>
      <c r="R11" s="14">
        <v>107734296.83127072</v>
      </c>
      <c r="S11" s="14">
        <v>113489334.0551634</v>
      </c>
      <c r="T11" s="14">
        <v>114410140.01098622</v>
      </c>
      <c r="U11" s="14">
        <v>116942356.38949899</v>
      </c>
      <c r="V11" s="14">
        <v>119934975.74592318</v>
      </c>
      <c r="W11" s="14">
        <v>124308804.03608161</v>
      </c>
      <c r="X11" s="14">
        <v>119014169.79010035</v>
      </c>
      <c r="Y11" s="14">
        <v>110496714.6987392</v>
      </c>
      <c r="Z11" s="14">
        <v>110726916.18769491</v>
      </c>
      <c r="AA11" s="14">
        <v>115791348.94472046</v>
      </c>
      <c r="AB11" s="14">
        <v>105662483.43066937</v>
      </c>
      <c r="AC11" s="14">
        <f t="shared" si="0"/>
        <v>833175922.3603543</v>
      </c>
      <c r="AD11" s="14">
        <f t="shared" si="1"/>
        <v>1363943822.062562</v>
      </c>
      <c r="AE11" s="14">
        <v>1414588149.6328177</v>
      </c>
      <c r="AF11" s="14">
        <v>1286135718.7955332</v>
      </c>
    </row>
    <row r="12" spans="1:35" ht="15" customHeight="1">
      <c r="A12" s="6" t="s">
        <v>13</v>
      </c>
      <c r="B12" s="10" t="str">
        <f>_xlfn.IFNA(VLOOKUP(C12,[12]Master!$J:$K,2,0),"")</f>
        <v>B5500</v>
      </c>
      <c r="C12" s="6" t="s">
        <v>108</v>
      </c>
      <c r="D12" s="17" t="str">
        <f>_xlfn.IFNA(VLOOKUP(E12,[12]Master!$J:$K,2,0),"")</f>
        <v>B4103</v>
      </c>
      <c r="E12" s="6" t="s">
        <v>15</v>
      </c>
      <c r="F12" s="17">
        <f>_xlfn.IFNA(VLOOKUP(G12,[12]Master!B:C,2,0),"")</f>
        <v>7221102</v>
      </c>
      <c r="G12" s="6" t="s">
        <v>229</v>
      </c>
      <c r="H12" s="6" t="s">
        <v>508</v>
      </c>
      <c r="I12" s="10" t="str">
        <f>_xlfn.IFNA(VLOOKUP(E12,[12]Master!$J:$M,4,0),"")</f>
        <v>DIR</v>
      </c>
      <c r="J12" s="10" t="str">
        <f>_xlfn.IFNA(VLOOKUP($E12,[12]Master!$J:$M,3,0),"")</f>
        <v>MFG</v>
      </c>
      <c r="K12" s="14">
        <v>35958751.135519102</v>
      </c>
      <c r="L12" s="14">
        <v>27700871.69737076</v>
      </c>
      <c r="M12" s="14">
        <v>26714856.242069464</v>
      </c>
      <c r="N12" s="14">
        <v>26853514.665471207</v>
      </c>
      <c r="O12" s="14">
        <v>26345100.446331479</v>
      </c>
      <c r="P12" s="14">
        <v>23710590.401698332</v>
      </c>
      <c r="Q12" s="14">
        <v>21168519.305999678</v>
      </c>
      <c r="R12" s="14">
        <v>21630714.050672162</v>
      </c>
      <c r="S12" s="14">
        <v>22786200.912353367</v>
      </c>
      <c r="T12" s="14">
        <v>22971078.810222361</v>
      </c>
      <c r="U12" s="14">
        <v>23479493.02936209</v>
      </c>
      <c r="V12" s="14">
        <v>24080346.197436318</v>
      </c>
      <c r="W12" s="14">
        <v>24958516.212314032</v>
      </c>
      <c r="X12" s="14">
        <v>23895468.299567323</v>
      </c>
      <c r="Y12" s="14">
        <v>22185347.744279139</v>
      </c>
      <c r="Z12" s="14">
        <v>22231567.218746386</v>
      </c>
      <c r="AA12" s="14">
        <v>23248395.657025848</v>
      </c>
      <c r="AB12" s="14">
        <v>21214738.780466929</v>
      </c>
      <c r="AC12" s="14">
        <f t="shared" si="0"/>
        <v>167283684.58846033</v>
      </c>
      <c r="AD12" s="14">
        <f t="shared" si="1"/>
        <v>273850386.2184456</v>
      </c>
      <c r="AE12" s="14">
        <v>284018670.60124022</v>
      </c>
      <c r="AF12" s="14">
        <v>258228203.84851572</v>
      </c>
    </row>
    <row r="13" spans="1:35" ht="15" customHeight="1">
      <c r="A13" s="6" t="s">
        <v>13</v>
      </c>
      <c r="B13" s="10" t="str">
        <f>_xlfn.IFNA(VLOOKUP(C13,[12]Master!$J:$K,2,0),"")</f>
        <v>B5500</v>
      </c>
      <c r="C13" s="6" t="s">
        <v>108</v>
      </c>
      <c r="D13" s="17" t="str">
        <f>_xlfn.IFNA(VLOOKUP(E13,[12]Master!$J:$K,2,0),"")</f>
        <v>B4105</v>
      </c>
      <c r="E13" s="6" t="s">
        <v>139</v>
      </c>
      <c r="F13" s="17">
        <f>_xlfn.IFNA(VLOOKUP(G13,[12]Master!B:C,2,0),"")</f>
        <v>7221101</v>
      </c>
      <c r="G13" s="6" t="s">
        <v>227</v>
      </c>
      <c r="H13" s="6" t="s">
        <v>507</v>
      </c>
      <c r="I13" s="10" t="str">
        <f>_xlfn.IFNA(VLOOKUP(E13,[12]Master!$J:$M,4,0),"")</f>
        <v>DIR</v>
      </c>
      <c r="J13" s="10" t="str">
        <f>_xlfn.IFNA(VLOOKUP($E13,[12]Master!$J:$M,3,0),"")</f>
        <v>MFG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f t="shared" si="0"/>
        <v>0</v>
      </c>
      <c r="AD13" s="14">
        <f t="shared" si="1"/>
        <v>0</v>
      </c>
      <c r="AE13" s="14">
        <v>0</v>
      </c>
      <c r="AF13" s="14">
        <v>0</v>
      </c>
    </row>
    <row r="14" spans="1:35" ht="15" customHeight="1">
      <c r="A14" s="6" t="s">
        <v>13</v>
      </c>
      <c r="B14" s="10" t="str">
        <f>_xlfn.IFNA(VLOOKUP(C14,[12]Master!$J:$K,2,0),"")</f>
        <v>B5500</v>
      </c>
      <c r="C14" s="6" t="s">
        <v>108</v>
      </c>
      <c r="D14" s="17" t="str">
        <f>_xlfn.IFNA(VLOOKUP(E14,[12]Master!$J:$K,2,0),"")</f>
        <v>B4105</v>
      </c>
      <c r="E14" s="6" t="s">
        <v>139</v>
      </c>
      <c r="F14" s="17">
        <f>_xlfn.IFNA(VLOOKUP(G14,[12]Master!B:C,2,0),"")</f>
        <v>7221102</v>
      </c>
      <c r="G14" s="6" t="s">
        <v>229</v>
      </c>
      <c r="H14" s="6" t="s">
        <v>508</v>
      </c>
      <c r="I14" s="10" t="str">
        <f>_xlfn.IFNA(VLOOKUP(E14,[12]Master!$J:$M,4,0),"")</f>
        <v>DIR</v>
      </c>
      <c r="J14" s="10" t="str">
        <f>_xlfn.IFNA(VLOOKUP($E14,[12]Master!$J:$M,3,0),"")</f>
        <v>MFG</v>
      </c>
      <c r="K14" s="14">
        <v>21882758.814700458</v>
      </c>
      <c r="L14" s="14">
        <v>16657711.048019839</v>
      </c>
      <c r="M14" s="14">
        <v>16285497.883948028</v>
      </c>
      <c r="N14" s="14">
        <v>16257370.944597512</v>
      </c>
      <c r="O14" s="14">
        <v>16257370.944597512</v>
      </c>
      <c r="P14" s="14">
        <v>14541627.644216115</v>
      </c>
      <c r="Q14" s="14">
        <v>12882138.222535746</v>
      </c>
      <c r="R14" s="14">
        <v>13135280.676690377</v>
      </c>
      <c r="S14" s="14">
        <v>13754073.342401702</v>
      </c>
      <c r="T14" s="14">
        <v>14063469.675257364</v>
      </c>
      <c r="U14" s="14">
        <v>14232231.311360452</v>
      </c>
      <c r="V14" s="14">
        <v>14597881.522917144</v>
      </c>
      <c r="W14" s="14">
        <v>15216674.188628469</v>
      </c>
      <c r="X14" s="14">
        <v>14738516.219669718</v>
      </c>
      <c r="Y14" s="14">
        <v>13388423.13084501</v>
      </c>
      <c r="Z14" s="14">
        <v>13557184.766948098</v>
      </c>
      <c r="AA14" s="14">
        <v>14232231.311360452</v>
      </c>
      <c r="AB14" s="14">
        <v>12882138.222535746</v>
      </c>
      <c r="AC14" s="14">
        <f t="shared" si="0"/>
        <v>101882337.28007947</v>
      </c>
      <c r="AD14" s="14">
        <f t="shared" si="1"/>
        <v>166680242.59115028</v>
      </c>
      <c r="AE14" s="14">
        <v>173008803.94501609</v>
      </c>
      <c r="AF14" s="14">
        <v>159057842.02716082</v>
      </c>
    </row>
    <row r="15" spans="1:35" ht="15" customHeight="1">
      <c r="A15" s="6" t="s">
        <v>13</v>
      </c>
      <c r="B15" s="10" t="str">
        <f>_xlfn.IFNA(VLOOKUP(C15,[12]Master!$J:$K,2,0),"")</f>
        <v>B5500</v>
      </c>
      <c r="C15" s="6" t="s">
        <v>108</v>
      </c>
      <c r="D15" s="17" t="str">
        <f>_xlfn.IFNA(VLOOKUP(E15,[12]Master!$J:$K,2,0),"")</f>
        <v>B4106</v>
      </c>
      <c r="E15" s="6" t="s">
        <v>141</v>
      </c>
      <c r="F15" s="17">
        <f>_xlfn.IFNA(VLOOKUP(G15,[12]Master!B:C,2,0),"")</f>
        <v>7221101</v>
      </c>
      <c r="G15" s="6" t="s">
        <v>227</v>
      </c>
      <c r="H15" s="6" t="s">
        <v>507</v>
      </c>
      <c r="I15" s="10" t="str">
        <f>_xlfn.IFNA(VLOOKUP(E15,[12]Master!$J:$M,4,0),"")</f>
        <v>DIR</v>
      </c>
      <c r="J15" s="10" t="str">
        <f>_xlfn.IFNA(VLOOKUP($E15,[12]Master!$J:$M,3,0),"")</f>
        <v>MFG</v>
      </c>
      <c r="K15" s="14">
        <v>19027185.596587814</v>
      </c>
      <c r="L15" s="14">
        <v>13871289.436335722</v>
      </c>
      <c r="M15" s="14">
        <v>12994731.551906398</v>
      </c>
      <c r="N15" s="14">
        <v>12222546.391567664</v>
      </c>
      <c r="O15" s="14">
        <v>12593117.661981478</v>
      </c>
      <c r="P15" s="14">
        <v>12900148.5705835</v>
      </c>
      <c r="Q15" s="14">
        <v>10449721.792925661</v>
      </c>
      <c r="R15" s="14">
        <v>10651498.819747843</v>
      </c>
      <c r="S15" s="14">
        <v>11049717.423163734</v>
      </c>
      <c r="T15" s="14">
        <v>11267985.841601191</v>
      </c>
      <c r="U15" s="14">
        <v>11191834.415613012</v>
      </c>
      <c r="V15" s="14">
        <v>11236943.222090086</v>
      </c>
      <c r="W15" s="14">
        <v>11622550.761329591</v>
      </c>
      <c r="X15" s="14">
        <v>11861675.93975107</v>
      </c>
      <c r="Y15" s="14">
        <v>10558370.961214529</v>
      </c>
      <c r="Z15" s="14">
        <v>9634853.0307591613</v>
      </c>
      <c r="AA15" s="14">
        <v>11590053.019028904</v>
      </c>
      <c r="AB15" s="14">
        <v>10620456.20023674</v>
      </c>
      <c r="AC15" s="14">
        <f t="shared" si="0"/>
        <v>83609019.20896256</v>
      </c>
      <c r="AD15" s="14">
        <f t="shared" si="1"/>
        <v>131735661.42746152</v>
      </c>
      <c r="AE15" s="14">
        <v>135194003.25737056</v>
      </c>
      <c r="AF15" s="14">
        <v>127953312.25640537</v>
      </c>
    </row>
    <row r="16" spans="1:35" ht="15" customHeight="1">
      <c r="A16" s="6" t="s">
        <v>13</v>
      </c>
      <c r="B16" s="10" t="str">
        <f>_xlfn.IFNA(VLOOKUP(C16,[12]Master!$J:$K,2,0),"")</f>
        <v>B5500</v>
      </c>
      <c r="C16" s="6" t="s">
        <v>108</v>
      </c>
      <c r="D16" s="17" t="str">
        <f>_xlfn.IFNA(VLOOKUP(E16,[12]Master!$J:$K,2,0),"")</f>
        <v>B4106</v>
      </c>
      <c r="E16" s="6" t="s">
        <v>141</v>
      </c>
      <c r="F16" s="17">
        <f>_xlfn.IFNA(VLOOKUP(G16,[12]Master!B:C,2,0),"")</f>
        <v>7221102</v>
      </c>
      <c r="G16" s="6" t="s">
        <v>229</v>
      </c>
      <c r="H16" s="6" t="s">
        <v>508</v>
      </c>
      <c r="I16" s="10" t="str">
        <f>_xlfn.IFNA(VLOOKUP(E16,[12]Master!$J:$M,4,0),"")</f>
        <v>DIR</v>
      </c>
      <c r="J16" s="10" t="str">
        <f>_xlfn.IFNA(VLOOKUP($E16,[12]Master!$J:$M,3,0),"")</f>
        <v>MFG</v>
      </c>
      <c r="K16" s="14">
        <v>121005146.41347608</v>
      </c>
      <c r="L16" s="14">
        <v>88215747.971077591</v>
      </c>
      <c r="M16" s="14">
        <v>82641197.041996479</v>
      </c>
      <c r="N16" s="14">
        <v>77730414.104037523</v>
      </c>
      <c r="O16" s="14">
        <v>80087096.368233904</v>
      </c>
      <c r="P16" s="14">
        <v>82039687.825349495</v>
      </c>
      <c r="Q16" s="14">
        <v>66455972.120218433</v>
      </c>
      <c r="R16" s="14">
        <v>67739191.782398671</v>
      </c>
      <c r="S16" s="14">
        <v>70271699.817614928</v>
      </c>
      <c r="T16" s="14">
        <v>71659798.009877205</v>
      </c>
      <c r="U16" s="14">
        <v>71175505.973910138</v>
      </c>
      <c r="V16" s="14">
        <v>71462379.600311011</v>
      </c>
      <c r="W16" s="14">
        <v>73914686.406641021</v>
      </c>
      <c r="X16" s="14">
        <v>75435425.092830569</v>
      </c>
      <c r="Y16" s="14">
        <v>67146936.553700089</v>
      </c>
      <c r="Z16" s="14">
        <v>61273738.869105965</v>
      </c>
      <c r="AA16" s="14">
        <v>73708014.00912641</v>
      </c>
      <c r="AB16" s="14">
        <v>67541773.372832477</v>
      </c>
      <c r="AC16" s="14">
        <f t="shared" si="0"/>
        <v>531719289.7241711</v>
      </c>
      <c r="AD16" s="14">
        <f t="shared" si="1"/>
        <v>837785121.60856676</v>
      </c>
      <c r="AE16" s="14">
        <v>859778766.29930019</v>
      </c>
      <c r="AF16" s="14">
        <v>813730922.26798642</v>
      </c>
    </row>
    <row r="17" spans="1:32" ht="15" customHeight="1">
      <c r="A17" s="6" t="s">
        <v>13</v>
      </c>
      <c r="B17" s="10" t="str">
        <f>_xlfn.IFNA(VLOOKUP(C17,[12]Master!$J:$K,2,0),"")</f>
        <v>B5500</v>
      </c>
      <c r="C17" s="6" t="s">
        <v>108</v>
      </c>
      <c r="D17" s="17" t="str">
        <f>_xlfn.IFNA(VLOOKUP(E17,[12]Master!$J:$K,2,0),"")</f>
        <v>B4110</v>
      </c>
      <c r="E17" s="6" t="s">
        <v>143</v>
      </c>
      <c r="F17" s="17">
        <f>_xlfn.IFNA(VLOOKUP(G17,[12]Master!B:C,2,0),"")</f>
        <v>7221101</v>
      </c>
      <c r="G17" s="6" t="s">
        <v>227</v>
      </c>
      <c r="H17" s="6" t="s">
        <v>507</v>
      </c>
      <c r="I17" s="10" t="str">
        <f>_xlfn.IFNA(VLOOKUP(E17,[12]Master!$J:$M,4,0),"")</f>
        <v>DIR</v>
      </c>
      <c r="J17" s="10" t="str">
        <f>_xlfn.IFNA(VLOOKUP($E17,[12]Master!$J:$M,3,0),"")</f>
        <v>MFG</v>
      </c>
      <c r="K17" s="14">
        <v>23165680.29118501</v>
      </c>
      <c r="L17" s="14">
        <v>19946684.177776877</v>
      </c>
      <c r="M17" s="14">
        <v>14846594.899693269</v>
      </c>
      <c r="N17" s="14">
        <v>16724353.424230341</v>
      </c>
      <c r="O17" s="14">
        <v>21723723.620075416</v>
      </c>
      <c r="P17" s="14">
        <v>14538383.500493392</v>
      </c>
      <c r="Q17" s="14">
        <v>12648969.923045402</v>
      </c>
      <c r="R17" s="14">
        <v>14884150.070184011</v>
      </c>
      <c r="S17" s="14">
        <v>11906284.051444016</v>
      </c>
      <c r="T17" s="14">
        <v>12713720.216994956</v>
      </c>
      <c r="U17" s="14">
        <v>12835450.769620119</v>
      </c>
      <c r="V17" s="14">
        <v>13146899.683517473</v>
      </c>
      <c r="W17" s="14">
        <v>14546153.535767339</v>
      </c>
      <c r="X17" s="14">
        <v>14979333.002289856</v>
      </c>
      <c r="Y17" s="14">
        <v>4677561.2349157911</v>
      </c>
      <c r="Z17" s="14">
        <v>4117471.1922521479</v>
      </c>
      <c r="AA17" s="14">
        <v>6616185.0357654421</v>
      </c>
      <c r="AB17" s="14">
        <v>3343057.6766154803</v>
      </c>
      <c r="AC17" s="14">
        <f t="shared" si="0"/>
        <v>110945419.91345431</v>
      </c>
      <c r="AD17" s="14">
        <f t="shared" si="1"/>
        <v>126415236.39241202</v>
      </c>
      <c r="AE17" s="14">
        <v>82061932.539906949</v>
      </c>
      <c r="AF17" s="14">
        <v>76328941.513613403</v>
      </c>
    </row>
    <row r="18" spans="1:32" ht="15" customHeight="1">
      <c r="A18" s="6" t="s">
        <v>13</v>
      </c>
      <c r="B18" s="10" t="str">
        <f>_xlfn.IFNA(VLOOKUP(C18,[12]Master!$J:$K,2,0),"")</f>
        <v>B5500</v>
      </c>
      <c r="C18" s="6" t="s">
        <v>108</v>
      </c>
      <c r="D18" s="17" t="str">
        <f>_xlfn.IFNA(VLOOKUP(E18,[12]Master!$J:$K,2,0),"")</f>
        <v>B4110</v>
      </c>
      <c r="E18" s="6" t="s">
        <v>143</v>
      </c>
      <c r="F18" s="17">
        <f>_xlfn.IFNA(VLOOKUP(G18,[12]Master!B:C,2,0),"")</f>
        <v>7221102</v>
      </c>
      <c r="G18" s="6" t="s">
        <v>229</v>
      </c>
      <c r="H18" s="6" t="s">
        <v>508</v>
      </c>
      <c r="I18" s="10" t="str">
        <f>_xlfn.IFNA(VLOOKUP(E18,[12]Master!$J:$M,4,0),"")</f>
        <v>DIR</v>
      </c>
      <c r="J18" s="10" t="str">
        <f>_xlfn.IFNA(VLOOKUP($E18,[12]Master!$J:$M,3,0),"")</f>
        <v>MFG</v>
      </c>
      <c r="K18" s="14">
        <v>73635513.225527391</v>
      </c>
      <c r="L18" s="14">
        <v>63403461.850287549</v>
      </c>
      <c r="M18" s="14">
        <v>47192079.893566035</v>
      </c>
      <c r="N18" s="14">
        <v>53160810.832173981</v>
      </c>
      <c r="O18" s="14">
        <v>69052042.410447061</v>
      </c>
      <c r="P18" s="14">
        <v>46212384.746401422</v>
      </c>
      <c r="Q18" s="14">
        <v>40206606.512312464</v>
      </c>
      <c r="R18" s="14">
        <v>47311454.512338191</v>
      </c>
      <c r="S18" s="14">
        <v>37845870.51693891</v>
      </c>
      <c r="T18" s="14">
        <v>40412424.820540324</v>
      </c>
      <c r="U18" s="14">
        <v>40799363.240008704</v>
      </c>
      <c r="V18" s="14">
        <v>41789349.302584708</v>
      </c>
      <c r="W18" s="14">
        <v>46237082.943388768</v>
      </c>
      <c r="X18" s="14">
        <v>47614007.425433151</v>
      </c>
      <c r="Y18" s="14">
        <v>14868314.586380612</v>
      </c>
      <c r="Z18" s="14">
        <v>13087986.220209623</v>
      </c>
      <c r="AA18" s="14">
        <v>21030514.734722741</v>
      </c>
      <c r="AB18" s="14">
        <v>10626399.253804415</v>
      </c>
      <c r="AC18" s="14">
        <f t="shared" si="0"/>
        <v>352656292.95840347</v>
      </c>
      <c r="AD18" s="14">
        <f t="shared" si="1"/>
        <v>401829374.06866264</v>
      </c>
      <c r="AE18" s="14">
        <v>260845891.11566073</v>
      </c>
      <c r="AF18" s="14">
        <v>242622738.10516602</v>
      </c>
    </row>
    <row r="19" spans="1:32" ht="15" customHeight="1">
      <c r="A19" s="6" t="s">
        <v>13</v>
      </c>
      <c r="B19" s="10" t="str">
        <f>_xlfn.IFNA(VLOOKUP(C19,[12]Master!$J:$K,2,0),"")</f>
        <v>B5500</v>
      </c>
      <c r="C19" s="6" t="s">
        <v>108</v>
      </c>
      <c r="D19" s="17" t="str">
        <f>_xlfn.IFNA(VLOOKUP(E19,[12]Master!$J:$K,2,0),"")</f>
        <v>B4114</v>
      </c>
      <c r="E19" s="6" t="s">
        <v>145</v>
      </c>
      <c r="F19" s="17">
        <f>_xlfn.IFNA(VLOOKUP(G19,[12]Master!B:C,2,0),"")</f>
        <v>7221101</v>
      </c>
      <c r="G19" s="6" t="s">
        <v>227</v>
      </c>
      <c r="H19" s="6" t="s">
        <v>507</v>
      </c>
      <c r="I19" s="10" t="str">
        <f>_xlfn.IFNA(VLOOKUP(E19,[12]Master!$J:$M,4,0),"")</f>
        <v>DIR</v>
      </c>
      <c r="J19" s="10" t="str">
        <f>_xlfn.IFNA(VLOOKUP($E19,[12]Master!$J:$M,3,0),"")</f>
        <v>MFG</v>
      </c>
      <c r="K19" s="14">
        <v>28027039.450445779</v>
      </c>
      <c r="L19" s="14">
        <v>23723910.767821416</v>
      </c>
      <c r="M19" s="14">
        <v>17123687.787714928</v>
      </c>
      <c r="N19" s="14">
        <v>19947948.98949521</v>
      </c>
      <c r="O19" s="14">
        <v>26378957.421420123</v>
      </c>
      <c r="P19" s="14">
        <v>18946895.790186141</v>
      </c>
      <c r="Q19" s="14">
        <v>14706225.982390467</v>
      </c>
      <c r="R19" s="14">
        <v>17709385.580317669</v>
      </c>
      <c r="S19" s="14">
        <v>14380319.773757599</v>
      </c>
      <c r="T19" s="14">
        <v>15141026.86693885</v>
      </c>
      <c r="U19" s="14">
        <v>15067134.051139034</v>
      </c>
      <c r="V19" s="14">
        <v>15764837.796112021</v>
      </c>
      <c r="W19" s="14">
        <v>17312697.832339715</v>
      </c>
      <c r="X19" s="14">
        <v>18408644.96351802</v>
      </c>
      <c r="Y19" s="14">
        <v>5822753.8850253895</v>
      </c>
      <c r="Z19" s="14">
        <v>4361231.7704164246</v>
      </c>
      <c r="AA19" s="14">
        <v>8377111.8543579271</v>
      </c>
      <c r="AB19" s="14">
        <v>4654469.5762746362</v>
      </c>
      <c r="AC19" s="14">
        <f t="shared" si="0"/>
        <v>134148440.20708361</v>
      </c>
      <c r="AD19" s="14">
        <f t="shared" si="1"/>
        <v>151705839.93258777</v>
      </c>
      <c r="AE19" s="14">
        <v>98255666.078570291</v>
      </c>
      <c r="AF19" s="14">
        <v>94595249.329581589</v>
      </c>
    </row>
    <row r="20" spans="1:32" ht="15" customHeight="1">
      <c r="A20" s="6" t="s">
        <v>13</v>
      </c>
      <c r="B20" s="10" t="str">
        <f>_xlfn.IFNA(VLOOKUP(C20,[12]Master!$J:$K,2,0),"")</f>
        <v>B5500</v>
      </c>
      <c r="C20" s="6" t="s">
        <v>108</v>
      </c>
      <c r="D20" s="17" t="str">
        <f>_xlfn.IFNA(VLOOKUP(E20,[12]Master!$J:$K,2,0),"")</f>
        <v>B4114</v>
      </c>
      <c r="E20" s="6" t="s">
        <v>145</v>
      </c>
      <c r="F20" s="17">
        <f>_xlfn.IFNA(VLOOKUP(G20,[12]Master!B:C,2,0),"")</f>
        <v>7221102</v>
      </c>
      <c r="G20" s="6" t="s">
        <v>229</v>
      </c>
      <c r="H20" s="6" t="s">
        <v>508</v>
      </c>
      <c r="I20" s="10" t="str">
        <f>_xlfn.IFNA(VLOOKUP(E20,[12]Master!$J:$M,4,0),"")</f>
        <v>DIR</v>
      </c>
      <c r="J20" s="10" t="str">
        <f>_xlfn.IFNA(VLOOKUP($E20,[12]Master!$J:$M,3,0),"")</f>
        <v>MFG</v>
      </c>
      <c r="K20" s="14">
        <v>12758236.011393789</v>
      </c>
      <c r="L20" s="14">
        <v>10799401.528808208</v>
      </c>
      <c r="M20" s="14">
        <v>7794902.8675454287</v>
      </c>
      <c r="N20" s="14">
        <v>9080539.5839686599</v>
      </c>
      <c r="O20" s="14">
        <v>12008009.804675706</v>
      </c>
      <c r="P20" s="14">
        <v>8624848.4647076577</v>
      </c>
      <c r="Q20" s="14">
        <v>6694445.9921272499</v>
      </c>
      <c r="R20" s="14">
        <v>8061519.3499102574</v>
      </c>
      <c r="S20" s="14">
        <v>6546089.6759109646</v>
      </c>
      <c r="T20" s="14">
        <v>6892372.4378668778</v>
      </c>
      <c r="U20" s="14">
        <v>6858735.5642617531</v>
      </c>
      <c r="V20" s="14">
        <v>7176338.4655648759</v>
      </c>
      <c r="W20" s="14">
        <v>7880942.449503799</v>
      </c>
      <c r="X20" s="14">
        <v>8379830.3959208559</v>
      </c>
      <c r="Y20" s="14">
        <v>2650585.6400838098</v>
      </c>
      <c r="Z20" s="14">
        <v>1985283.6874098212</v>
      </c>
      <c r="AA20" s="14">
        <v>3813359.2497599027</v>
      </c>
      <c r="AB20" s="14">
        <v>2118768.964769105</v>
      </c>
      <c r="AC20" s="14">
        <f t="shared" si="0"/>
        <v>61065938.26109945</v>
      </c>
      <c r="AD20" s="14">
        <f t="shared" si="1"/>
        <v>69058271.873089284</v>
      </c>
      <c r="AE20" s="14">
        <v>44727127.868910901</v>
      </c>
      <c r="AF20" s="14">
        <v>43060863.37221916</v>
      </c>
    </row>
    <row r="21" spans="1:32" ht="15" customHeight="1">
      <c r="A21" s="6" t="s">
        <v>13</v>
      </c>
      <c r="B21" s="10" t="str">
        <f>_xlfn.IFNA(VLOOKUP(C21,[12]Master!$J:$K,2,0),"")</f>
        <v>B5500</v>
      </c>
      <c r="C21" s="6" t="s">
        <v>108</v>
      </c>
      <c r="D21" s="17" t="str">
        <f>_xlfn.IFNA(VLOOKUP(E21,[12]Master!$J:$K,2,0),"")</f>
        <v>B4115</v>
      </c>
      <c r="E21" s="6" t="s">
        <v>147</v>
      </c>
      <c r="F21" s="17">
        <f>_xlfn.IFNA(VLOOKUP(G21,[12]Master!B:C,2,0),"")</f>
        <v>7221101</v>
      </c>
      <c r="G21" s="6" t="s">
        <v>227</v>
      </c>
      <c r="H21" s="6" t="s">
        <v>507</v>
      </c>
      <c r="I21" s="10" t="str">
        <f>_xlfn.IFNA(VLOOKUP(E21,[12]Master!$J:$M,4,0),"")</f>
        <v>DIR</v>
      </c>
      <c r="J21" s="10" t="str">
        <f>_xlfn.IFNA(VLOOKUP($E21,[12]Master!$J:$M,3,0),"")</f>
        <v>MFG</v>
      </c>
      <c r="K21" s="14">
        <v>86080741.949797392</v>
      </c>
      <c r="L21" s="14">
        <v>82953214.358716875</v>
      </c>
      <c r="M21" s="14">
        <v>83708069.737996712</v>
      </c>
      <c r="N21" s="14">
        <v>76732397.259830326</v>
      </c>
      <c r="O21" s="14">
        <v>62781052.303497538</v>
      </c>
      <c r="P21" s="14">
        <v>80220233.498913512</v>
      </c>
      <c r="Q21" s="14">
        <v>62781052.303497538</v>
      </c>
      <c r="R21" s="14">
        <v>55805379.825331144</v>
      </c>
      <c r="S21" s="14">
        <v>71430886.176423863</v>
      </c>
      <c r="T21" s="14">
        <v>73942128.268563762</v>
      </c>
      <c r="U21" s="14">
        <v>74360668.617253751</v>
      </c>
      <c r="V21" s="14">
        <v>74221155.167690426</v>
      </c>
      <c r="W21" s="14">
        <v>76732397.259830326</v>
      </c>
      <c r="X21" s="14">
        <v>75755803.112887025</v>
      </c>
      <c r="Y21" s="14">
        <v>97473396.761578396</v>
      </c>
      <c r="Z21" s="14">
        <v>91288300.497604191</v>
      </c>
      <c r="AA21" s="14">
        <v>97659414.6943295</v>
      </c>
      <c r="AB21" s="14">
        <v>95520208.467691809</v>
      </c>
      <c r="AC21" s="14">
        <f t="shared" si="0"/>
        <v>472475709.10875237</v>
      </c>
      <c r="AD21" s="14">
        <f t="shared" si="1"/>
        <v>946970791.15268171</v>
      </c>
      <c r="AE21" s="14">
        <v>1143777764.0033495</v>
      </c>
      <c r="AF21" s="14">
        <v>1100993639.4705956</v>
      </c>
    </row>
    <row r="22" spans="1:32" ht="15" customHeight="1">
      <c r="A22" s="6" t="s">
        <v>13</v>
      </c>
      <c r="B22" s="10" t="str">
        <f>_xlfn.IFNA(VLOOKUP(C22,[12]Master!$J:$K,2,0),"")</f>
        <v>B5500</v>
      </c>
      <c r="C22" s="6" t="s">
        <v>108</v>
      </c>
      <c r="D22" s="17" t="str">
        <f>_xlfn.IFNA(VLOOKUP(E22,[12]Master!$J:$K,2,0),"")</f>
        <v>B4115</v>
      </c>
      <c r="E22" s="6" t="s">
        <v>147</v>
      </c>
      <c r="F22" s="17">
        <f>_xlfn.IFNA(VLOOKUP(G22,[12]Master!B:C,2,0),"")</f>
        <v>7221102</v>
      </c>
      <c r="G22" s="6" t="s">
        <v>229</v>
      </c>
      <c r="H22" s="6" t="s">
        <v>508</v>
      </c>
      <c r="I22" s="10" t="str">
        <f>_xlfn.IFNA(VLOOKUP(E22,[12]Master!$J:$M,4,0),"")</f>
        <v>DIR</v>
      </c>
      <c r="J22" s="10" t="str">
        <f>_xlfn.IFNA(VLOOKUP($E22,[12]Master!$J:$M,3,0),"")</f>
        <v>MFG</v>
      </c>
      <c r="K22" s="14">
        <v>95822392.87148726</v>
      </c>
      <c r="L22" s="14">
        <v>92340926.857594013</v>
      </c>
      <c r="M22" s="14">
        <v>93181208.284962445</v>
      </c>
      <c r="N22" s="14">
        <v>85416107.594548911</v>
      </c>
      <c r="O22" s="14">
        <v>69885906.213721827</v>
      </c>
      <c r="P22" s="14">
        <v>89298657.939755678</v>
      </c>
      <c r="Q22" s="14">
        <v>69885906.213721827</v>
      </c>
      <c r="R22" s="14">
        <v>62120805.523308292</v>
      </c>
      <c r="S22" s="14">
        <v>79514631.06983462</v>
      </c>
      <c r="T22" s="14">
        <v>82310067.318383485</v>
      </c>
      <c r="U22" s="14">
        <v>82775973.359808296</v>
      </c>
      <c r="V22" s="14">
        <v>82620671.346000031</v>
      </c>
      <c r="W22" s="14">
        <v>85416107.594548911</v>
      </c>
      <c r="X22" s="14">
        <v>84328993.497891009</v>
      </c>
      <c r="Y22" s="14">
        <v>108504340.31404516</v>
      </c>
      <c r="Z22" s="14">
        <v>101619284.36854514</v>
      </c>
      <c r="AA22" s="14">
        <v>108711409.66578951</v>
      </c>
      <c r="AB22" s="14">
        <v>106330112.12072936</v>
      </c>
      <c r="AC22" s="14">
        <f t="shared" si="0"/>
        <v>525945199.76207012</v>
      </c>
      <c r="AD22" s="14">
        <f t="shared" si="1"/>
        <v>1054138302.3926057</v>
      </c>
      <c r="AE22" s="14">
        <v>1273217676.5381396</v>
      </c>
      <c r="AF22" s="14">
        <v>1225591725.6369364</v>
      </c>
    </row>
    <row r="23" spans="1:32" ht="15" customHeight="1">
      <c r="A23" s="6" t="s">
        <v>13</v>
      </c>
      <c r="B23" s="10" t="str">
        <f>_xlfn.IFNA(VLOOKUP(C23,[12]Master!$J:$K,2,0),"")</f>
        <v>B5500</v>
      </c>
      <c r="C23" s="6" t="s">
        <v>108</v>
      </c>
      <c r="D23" s="17" t="str">
        <f>_xlfn.IFNA(VLOOKUP(E23,[12]Master!$J:$K,2,0),"")</f>
        <v>B4121</v>
      </c>
      <c r="E23" s="6" t="s">
        <v>151</v>
      </c>
      <c r="F23" s="17">
        <f>_xlfn.IFNA(VLOOKUP(G23,[12]Master!B:C,2,0),"")</f>
        <v>7221101</v>
      </c>
      <c r="G23" s="6" t="s">
        <v>227</v>
      </c>
      <c r="H23" s="6" t="s">
        <v>507</v>
      </c>
      <c r="I23" s="10" t="str">
        <f>_xlfn.IFNA(VLOOKUP(E23,[12]Master!$J:$M,4,0),"")</f>
        <v>DIR</v>
      </c>
      <c r="J23" s="10" t="str">
        <f>_xlfn.IFNA(VLOOKUP($E23,[12]Master!$J:$M,3,0),"")</f>
        <v>MFG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f t="shared" si="0"/>
        <v>0</v>
      </c>
      <c r="AD23" s="14">
        <f t="shared" si="1"/>
        <v>0</v>
      </c>
      <c r="AE23" s="14">
        <v>0</v>
      </c>
      <c r="AF23" s="14">
        <v>0</v>
      </c>
    </row>
    <row r="24" spans="1:32" ht="15" customHeight="1">
      <c r="A24" s="6" t="s">
        <v>13</v>
      </c>
      <c r="B24" s="10" t="str">
        <f>_xlfn.IFNA(VLOOKUP(C24,[12]Master!$J:$K,2,0),"")</f>
        <v>B5500</v>
      </c>
      <c r="C24" s="6" t="s">
        <v>108</v>
      </c>
      <c r="D24" s="17" t="str">
        <f>_xlfn.IFNA(VLOOKUP(E24,[12]Master!$J:$K,2,0),"")</f>
        <v>B4121</v>
      </c>
      <c r="E24" s="6" t="s">
        <v>151</v>
      </c>
      <c r="F24" s="17">
        <f>_xlfn.IFNA(VLOOKUP(G24,[12]Master!B:C,2,0),"")</f>
        <v>7221102</v>
      </c>
      <c r="G24" s="6" t="s">
        <v>229</v>
      </c>
      <c r="H24" s="6" t="s">
        <v>508</v>
      </c>
      <c r="I24" s="10" t="str">
        <f>_xlfn.IFNA(VLOOKUP(E24,[12]Master!$J:$M,4,0),"")</f>
        <v>DIR</v>
      </c>
      <c r="J24" s="10" t="str">
        <f>_xlfn.IFNA(VLOOKUP($E24,[12]Master!$J:$M,3,0),"")</f>
        <v>MFG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f t="shared" si="0"/>
        <v>0</v>
      </c>
      <c r="AD24" s="14">
        <f t="shared" si="1"/>
        <v>0</v>
      </c>
      <c r="AE24" s="14">
        <v>0</v>
      </c>
      <c r="AF24" s="14">
        <v>0</v>
      </c>
    </row>
    <row r="25" spans="1:32" ht="15" customHeight="1">
      <c r="A25" s="6" t="s">
        <v>13</v>
      </c>
      <c r="B25" s="10" t="str">
        <f>_xlfn.IFNA(VLOOKUP(C25,[12]Master!$J:$K,2,0),"")</f>
        <v>B5500</v>
      </c>
      <c r="C25" s="6" t="s">
        <v>108</v>
      </c>
      <c r="D25" s="17" t="str">
        <f>_xlfn.IFNA(VLOOKUP(E25,[12]Master!$J:$K,2,0),"")</f>
        <v>B4120</v>
      </c>
      <c r="E25" s="6" t="s">
        <v>149</v>
      </c>
      <c r="F25" s="17">
        <f>_xlfn.IFNA(VLOOKUP(G25,[12]Master!B:C,2,0),"")</f>
        <v>7221101</v>
      </c>
      <c r="G25" s="6" t="s">
        <v>227</v>
      </c>
      <c r="H25" s="6" t="s">
        <v>507</v>
      </c>
      <c r="I25" s="10" t="str">
        <f>_xlfn.IFNA(VLOOKUP(E25,[12]Master!$J:$M,4,0),"")</f>
        <v>DIR</v>
      </c>
      <c r="J25" s="10" t="str">
        <f>_xlfn.IFNA(VLOOKUP($E25,[12]Master!$J:$M,3,0),"")</f>
        <v>MFG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f t="shared" si="0"/>
        <v>0</v>
      </c>
      <c r="AD25" s="14">
        <f t="shared" si="1"/>
        <v>0</v>
      </c>
      <c r="AE25" s="14">
        <v>0</v>
      </c>
      <c r="AF25" s="14">
        <v>0</v>
      </c>
    </row>
    <row r="26" spans="1:32" ht="15" customHeight="1">
      <c r="A26" s="6" t="s">
        <v>13</v>
      </c>
      <c r="B26" s="10" t="str">
        <f>_xlfn.IFNA(VLOOKUP(C26,[12]Master!$J:$K,2,0),"")</f>
        <v>B5500</v>
      </c>
      <c r="C26" s="6" t="s">
        <v>108</v>
      </c>
      <c r="D26" s="17" t="str">
        <f>_xlfn.IFNA(VLOOKUP(E26,[12]Master!$J:$K,2,0),"")</f>
        <v>B4120</v>
      </c>
      <c r="E26" s="6" t="s">
        <v>149</v>
      </c>
      <c r="F26" s="17">
        <f>_xlfn.IFNA(VLOOKUP(G26,[12]Master!B:C,2,0),"")</f>
        <v>7221102</v>
      </c>
      <c r="G26" s="6" t="s">
        <v>229</v>
      </c>
      <c r="H26" s="6" t="s">
        <v>508</v>
      </c>
      <c r="I26" s="10" t="str">
        <f>_xlfn.IFNA(VLOOKUP(E26,[12]Master!$J:$M,4,0),"")</f>
        <v>DIR</v>
      </c>
      <c r="J26" s="10" t="str">
        <f>_xlfn.IFNA(VLOOKUP($E26,[12]Master!$J:$M,3,0),"")</f>
        <v>MFG</v>
      </c>
      <c r="K26" s="14">
        <v>1211960.6196762933</v>
      </c>
      <c r="L26" s="14">
        <v>1154466.8449287794</v>
      </c>
      <c r="M26" s="14">
        <v>1012722.9987104548</v>
      </c>
      <c r="N26" s="14">
        <v>974453.5394220599</v>
      </c>
      <c r="O26" s="14">
        <v>1001397.0120060863</v>
      </c>
      <c r="P26" s="14">
        <v>1034038.8812712179</v>
      </c>
      <c r="Q26" s="14">
        <v>820883.1342139279</v>
      </c>
      <c r="R26" s="14">
        <v>804902.37939403753</v>
      </c>
      <c r="S26" s="14">
        <v>848374.58875864407</v>
      </c>
      <c r="T26" s="14">
        <v>886203.81534828257</v>
      </c>
      <c r="U26" s="14">
        <v>894204.96768442111</v>
      </c>
      <c r="V26" s="14">
        <v>888247.9727746757</v>
      </c>
      <c r="W26" s="14">
        <v>963512.37151031068</v>
      </c>
      <c r="X26" s="14">
        <v>991074.63271286874</v>
      </c>
      <c r="Y26" s="14">
        <v>894291.16709396779</v>
      </c>
      <c r="Z26" s="14">
        <v>787557.82677310461</v>
      </c>
      <c r="AA26" s="14">
        <v>943704.97861661483</v>
      </c>
      <c r="AB26" s="14">
        <v>856440.39065194258</v>
      </c>
      <c r="AC26" s="14">
        <f t="shared" si="0"/>
        <v>6389039.8960148916</v>
      </c>
      <c r="AD26" s="14">
        <f t="shared" si="1"/>
        <v>10579398.225532798</v>
      </c>
      <c r="AE26" s="14">
        <v>10967806.607849555</v>
      </c>
      <c r="AF26" s="14">
        <v>10593673.463463802</v>
      </c>
    </row>
    <row r="27" spans="1:32" ht="15" customHeight="1">
      <c r="A27" s="6" t="s">
        <v>13</v>
      </c>
      <c r="B27" s="10" t="str">
        <f>_xlfn.IFNA(VLOOKUP(C27,[12]Master!$J:$K,2,0),"")</f>
        <v>B5500</v>
      </c>
      <c r="C27" s="6" t="s">
        <v>108</v>
      </c>
      <c r="D27" s="17" t="str">
        <f>_xlfn.IFNA(VLOOKUP(E27,[12]Master!$J:$K,2,0),"")</f>
        <v>B4410</v>
      </c>
      <c r="E27" s="6" t="s">
        <v>153</v>
      </c>
      <c r="F27" s="17">
        <f>_xlfn.IFNA(VLOOKUP(G27,[12]Master!B:C,2,0),"")</f>
        <v>7221101</v>
      </c>
      <c r="G27" s="6" t="s">
        <v>227</v>
      </c>
      <c r="H27" s="6" t="s">
        <v>507</v>
      </c>
      <c r="I27" s="10" t="str">
        <f>_xlfn.IFNA(VLOOKUP(E27,[12]Master!$J:$M,4,0),"")</f>
        <v>DIR</v>
      </c>
      <c r="J27" s="10" t="str">
        <f>_xlfn.IFNA(VLOOKUP($E27,[12]Master!$J:$M,3,0),"")</f>
        <v>MFG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f t="shared" si="0"/>
        <v>0</v>
      </c>
      <c r="AD27" s="14">
        <f t="shared" si="1"/>
        <v>0</v>
      </c>
      <c r="AE27" s="14">
        <v>0</v>
      </c>
      <c r="AF27" s="14">
        <v>0</v>
      </c>
    </row>
    <row r="28" spans="1:32" ht="15" customHeight="1">
      <c r="A28" s="6" t="s">
        <v>13</v>
      </c>
      <c r="B28" s="10" t="str">
        <f>_xlfn.IFNA(VLOOKUP(C28,[12]Master!$J:$K,2,0),"")</f>
        <v>B5500</v>
      </c>
      <c r="C28" s="6" t="s">
        <v>108</v>
      </c>
      <c r="D28" s="17" t="str">
        <f>_xlfn.IFNA(VLOOKUP(E28,[12]Master!$J:$K,2,0),"")</f>
        <v>B4410</v>
      </c>
      <c r="E28" s="6" t="s">
        <v>153</v>
      </c>
      <c r="F28" s="17">
        <f>_xlfn.IFNA(VLOOKUP(G28,[12]Master!B:C,2,0),"")</f>
        <v>7221102</v>
      </c>
      <c r="G28" s="6" t="s">
        <v>229</v>
      </c>
      <c r="H28" s="6" t="s">
        <v>508</v>
      </c>
      <c r="I28" s="10" t="str">
        <f>_xlfn.IFNA(VLOOKUP(E28,[12]Master!$J:$M,4,0),"")</f>
        <v>DIR</v>
      </c>
      <c r="J28" s="10" t="str">
        <f>_xlfn.IFNA(VLOOKUP($E28,[12]Master!$J:$M,3,0),"")</f>
        <v>MFG</v>
      </c>
      <c r="K28" s="14">
        <v>23326455.9825073</v>
      </c>
      <c r="L28" s="14">
        <v>15443892.996893074</v>
      </c>
      <c r="M28" s="14">
        <v>28614444.94464349</v>
      </c>
      <c r="N28" s="14">
        <v>31975036.060767423</v>
      </c>
      <c r="O28" s="14">
        <v>32568081.551848117</v>
      </c>
      <c r="P28" s="14">
        <v>31975036.060767423</v>
      </c>
      <c r="Q28" s="14">
        <v>28367342.656693198</v>
      </c>
      <c r="R28" s="14">
        <v>26439944.810680944</v>
      </c>
      <c r="S28" s="14">
        <v>28219081.283923026</v>
      </c>
      <c r="T28" s="14">
        <v>29602854.096444644</v>
      </c>
      <c r="U28" s="14">
        <v>31381990.569686729</v>
      </c>
      <c r="V28" s="14">
        <v>31727933.772817131</v>
      </c>
      <c r="W28" s="14">
        <v>32172717.891127653</v>
      </c>
      <c r="X28" s="14">
        <v>29998217.757165108</v>
      </c>
      <c r="Y28" s="14">
        <v>29751115.469214819</v>
      </c>
      <c r="Z28" s="14">
        <v>34890843.058580831</v>
      </c>
      <c r="AA28" s="14">
        <v>34248377.109910086</v>
      </c>
      <c r="AB28" s="14">
        <v>30541842.790655743</v>
      </c>
      <c r="AC28" s="14">
        <f t="shared" si="0"/>
        <v>163902947.59742683</v>
      </c>
      <c r="AD28" s="14">
        <f t="shared" si="1"/>
        <v>367342261.26689988</v>
      </c>
      <c r="AE28" s="14">
        <v>385726671.49040145</v>
      </c>
      <c r="AF28" s="14">
        <v>393436262.87445045</v>
      </c>
    </row>
    <row r="29" spans="1:32" ht="15" customHeight="1">
      <c r="A29" s="6" t="s">
        <v>13</v>
      </c>
      <c r="B29" s="10" t="str">
        <f>_xlfn.IFNA(VLOOKUP(C29,[12]Master!$J:$K,2,0),"")</f>
        <v>B5500</v>
      </c>
      <c r="C29" s="6" t="s">
        <v>108</v>
      </c>
      <c r="D29" s="17" t="str">
        <f>_xlfn.IFNA(VLOOKUP(E29,[12]Master!$J:$K,2,0),"")</f>
        <v>B4430</v>
      </c>
      <c r="E29" s="6" t="s">
        <v>155</v>
      </c>
      <c r="F29" s="17">
        <f>_xlfn.IFNA(VLOOKUP(G29,[12]Master!B:C,2,0),"")</f>
        <v>7221101</v>
      </c>
      <c r="G29" s="6" t="s">
        <v>227</v>
      </c>
      <c r="H29" s="6" t="s">
        <v>507</v>
      </c>
      <c r="I29" s="10" t="str">
        <f>_xlfn.IFNA(VLOOKUP(E29,[12]Master!$J:$M,4,0),"")</f>
        <v>DIR</v>
      </c>
      <c r="J29" s="10" t="str">
        <f>_xlfn.IFNA(VLOOKUP($E29,[12]Master!$J:$M,3,0),"")</f>
        <v>MFG</v>
      </c>
      <c r="K29" s="14">
        <v>129452.75173954119</v>
      </c>
      <c r="L29" s="14">
        <v>117920.44087662357</v>
      </c>
      <c r="M29" s="14">
        <v>120131.1572350904</v>
      </c>
      <c r="N29" s="14">
        <v>129672.0070591309</v>
      </c>
      <c r="O29" s="14">
        <v>133708.12125583881</v>
      </c>
      <c r="P29" s="14">
        <v>139565.74118452292</v>
      </c>
      <c r="Q29" s="14">
        <v>125542.48231206523</v>
      </c>
      <c r="R29" s="14">
        <v>108873.88854822618</v>
      </c>
      <c r="S29" s="14">
        <v>125424.42175536307</v>
      </c>
      <c r="T29" s="14">
        <v>126141.86667686082</v>
      </c>
      <c r="U29" s="14">
        <v>129364.5306642033</v>
      </c>
      <c r="V29" s="14">
        <v>131043.32583313291</v>
      </c>
      <c r="W29" s="14">
        <v>137979.0591971961</v>
      </c>
      <c r="X29" s="14">
        <v>129054.45953176577</v>
      </c>
      <c r="Y29" s="14">
        <v>121140.51012645612</v>
      </c>
      <c r="Z29" s="14">
        <v>140063.93078643095</v>
      </c>
      <c r="AA29" s="14">
        <v>141982.7391750298</v>
      </c>
      <c r="AB29" s="14">
        <v>129252.95695127599</v>
      </c>
      <c r="AC29" s="14">
        <f t="shared" si="0"/>
        <v>770450.21935074776</v>
      </c>
      <c r="AD29" s="14">
        <f t="shared" si="1"/>
        <v>1545864.171558006</v>
      </c>
      <c r="AE29" s="14">
        <v>1624055.2890512203</v>
      </c>
      <c r="AF29" s="14">
        <v>1655951.099892128</v>
      </c>
    </row>
    <row r="30" spans="1:32" ht="15" customHeight="1">
      <c r="A30" s="6" t="s">
        <v>13</v>
      </c>
      <c r="B30" s="10" t="str">
        <f>_xlfn.IFNA(VLOOKUP(C30,[12]Master!$J:$K,2,0),"")</f>
        <v>B5500</v>
      </c>
      <c r="C30" s="6" t="s">
        <v>108</v>
      </c>
      <c r="D30" s="17" t="str">
        <f>_xlfn.IFNA(VLOOKUP(E30,[12]Master!$J:$K,2,0),"")</f>
        <v>B4430</v>
      </c>
      <c r="E30" s="6" t="s">
        <v>155</v>
      </c>
      <c r="F30" s="17">
        <f>_xlfn.IFNA(VLOOKUP(G30,[12]Master!B:C,2,0),"")</f>
        <v>7221102</v>
      </c>
      <c r="G30" s="6" t="s">
        <v>229</v>
      </c>
      <c r="H30" s="6" t="s">
        <v>508</v>
      </c>
      <c r="I30" s="10" t="str">
        <f>_xlfn.IFNA(VLOOKUP(E30,[12]Master!$J:$M,4,0),"")</f>
        <v>DIR</v>
      </c>
      <c r="J30" s="10" t="str">
        <f>_xlfn.IFNA(VLOOKUP($E30,[12]Master!$J:$M,3,0),"")</f>
        <v>MFG</v>
      </c>
      <c r="K30" s="14">
        <v>447175.57597619673</v>
      </c>
      <c r="L30" s="14">
        <v>407338.89670005784</v>
      </c>
      <c r="M30" s="14">
        <v>414975.49265984417</v>
      </c>
      <c r="N30" s="14">
        <v>447932.96137361688</v>
      </c>
      <c r="O30" s="14">
        <v>461875.12688470562</v>
      </c>
      <c r="P30" s="14">
        <v>482109.41723590001</v>
      </c>
      <c r="Q30" s="14">
        <v>433668.12279380474</v>
      </c>
      <c r="R30" s="14">
        <v>376088.90630827966</v>
      </c>
      <c r="S30" s="14">
        <v>433260.29988750158</v>
      </c>
      <c r="T30" s="14">
        <v>435738.60831811302</v>
      </c>
      <c r="U30" s="14">
        <v>446870.8291890691</v>
      </c>
      <c r="V30" s="14">
        <v>452669.98128529184</v>
      </c>
      <c r="W30" s="14">
        <v>476628.45663800172</v>
      </c>
      <c r="X30" s="14">
        <v>445799.73386372352</v>
      </c>
      <c r="Y30" s="14">
        <v>418462.15443021612</v>
      </c>
      <c r="Z30" s="14">
        <v>483830.34026909131</v>
      </c>
      <c r="AA30" s="14">
        <v>490458.58288911713</v>
      </c>
      <c r="AB30" s="14">
        <v>446485.41413476068</v>
      </c>
      <c r="AC30" s="14">
        <f t="shared" si="0"/>
        <v>2661407.4708303218</v>
      </c>
      <c r="AD30" s="14">
        <f t="shared" si="1"/>
        <v>5339961.4300069707</v>
      </c>
      <c r="AE30" s="14">
        <v>5610061.1963804215</v>
      </c>
      <c r="AF30" s="14">
        <v>5720240.6046382543</v>
      </c>
    </row>
    <row r="31" spans="1:32" ht="15" customHeight="1">
      <c r="A31" s="6" t="s">
        <v>13</v>
      </c>
      <c r="B31" s="10" t="str">
        <f>_xlfn.IFNA(VLOOKUP(C31,[12]Master!$J:$K,2,0),"")</f>
        <v>B5500</v>
      </c>
      <c r="C31" s="6" t="s">
        <v>108</v>
      </c>
      <c r="D31" s="17" t="str">
        <f>_xlfn.IFNA(VLOOKUP(E31,[12]Master!$J:$K,2,0),"")</f>
        <v>B4440</v>
      </c>
      <c r="E31" s="6" t="s">
        <v>157</v>
      </c>
      <c r="F31" s="17">
        <f>_xlfn.IFNA(VLOOKUP(G31,[12]Master!B:C,2,0),"")</f>
        <v>7221101</v>
      </c>
      <c r="G31" s="6" t="s">
        <v>227</v>
      </c>
      <c r="H31" s="6" t="s">
        <v>507</v>
      </c>
      <c r="I31" s="10" t="str">
        <f>_xlfn.IFNA(VLOOKUP(E31,[12]Master!$J:$M,4,0),"")</f>
        <v>DIR</v>
      </c>
      <c r="J31" s="10" t="str">
        <f>_xlfn.IFNA(VLOOKUP($E31,[12]Master!$J:$M,3,0),"")</f>
        <v>MFG</v>
      </c>
      <c r="K31" s="14">
        <v>224120</v>
      </c>
      <c r="L31" s="14">
        <v>245271</v>
      </c>
      <c r="M31" s="14">
        <v>189920</v>
      </c>
      <c r="N31" s="14">
        <v>229450</v>
      </c>
      <c r="O31" s="14">
        <v>242250</v>
      </c>
      <c r="P31" s="14">
        <v>272300</v>
      </c>
      <c r="Q31" s="14">
        <v>270600</v>
      </c>
      <c r="R31" s="14">
        <v>224185</v>
      </c>
      <c r="S31" s="14">
        <v>260900</v>
      </c>
      <c r="T31" s="14">
        <v>265655</v>
      </c>
      <c r="U31" s="14">
        <v>270080</v>
      </c>
      <c r="V31" s="14">
        <v>262290</v>
      </c>
      <c r="W31" s="14">
        <v>272090</v>
      </c>
      <c r="X31" s="14">
        <v>267430</v>
      </c>
      <c r="Y31" s="14">
        <v>218340</v>
      </c>
      <c r="Z31" s="14">
        <v>254500</v>
      </c>
      <c r="AA31" s="14">
        <v>261015</v>
      </c>
      <c r="AB31" s="14">
        <v>260725</v>
      </c>
      <c r="AC31" s="14">
        <f t="shared" si="0"/>
        <v>1403311</v>
      </c>
      <c r="AD31" s="14">
        <f t="shared" si="1"/>
        <v>3087810</v>
      </c>
      <c r="AE31" s="14">
        <v>3141280</v>
      </c>
      <c r="AF31" s="14">
        <v>3149425</v>
      </c>
    </row>
    <row r="32" spans="1:32" ht="15" customHeight="1">
      <c r="A32" s="6" t="s">
        <v>13</v>
      </c>
      <c r="B32" s="10" t="str">
        <f>_xlfn.IFNA(VLOOKUP(C32,[12]Master!$J:$K,2,0),"")</f>
        <v>B5500</v>
      </c>
      <c r="C32" s="6" t="s">
        <v>108</v>
      </c>
      <c r="D32" s="17" t="str">
        <f>_xlfn.IFNA(VLOOKUP(E32,[12]Master!$J:$K,2,0),"")</f>
        <v>B4440</v>
      </c>
      <c r="E32" s="6" t="s">
        <v>157</v>
      </c>
      <c r="F32" s="17">
        <f>_xlfn.IFNA(VLOOKUP(G32,[12]Master!B:C,2,0),"")</f>
        <v>7221102</v>
      </c>
      <c r="G32" s="6" t="s">
        <v>229</v>
      </c>
      <c r="H32" s="6" t="s">
        <v>508</v>
      </c>
      <c r="I32" s="10" t="str">
        <f>_xlfn.IFNA(VLOOKUP(E32,[12]Master!$J:$M,4,0),"")</f>
        <v>DIR</v>
      </c>
      <c r="J32" s="10" t="str">
        <f>_xlfn.IFNA(VLOOKUP($E32,[12]Master!$J:$M,3,0),"")</f>
        <v>MFG</v>
      </c>
      <c r="K32" s="14">
        <v>224120</v>
      </c>
      <c r="L32" s="14">
        <v>245271</v>
      </c>
      <c r="M32" s="14">
        <v>189920</v>
      </c>
      <c r="N32" s="14">
        <v>229450</v>
      </c>
      <c r="O32" s="14">
        <v>242250</v>
      </c>
      <c r="P32" s="14">
        <v>272300</v>
      </c>
      <c r="Q32" s="14">
        <v>270600</v>
      </c>
      <c r="R32" s="14">
        <v>224185</v>
      </c>
      <c r="S32" s="14">
        <v>260900</v>
      </c>
      <c r="T32" s="14">
        <v>265655</v>
      </c>
      <c r="U32" s="14">
        <v>270080</v>
      </c>
      <c r="V32" s="14">
        <v>262290</v>
      </c>
      <c r="W32" s="14">
        <v>272090</v>
      </c>
      <c r="X32" s="14">
        <v>267430</v>
      </c>
      <c r="Y32" s="14">
        <v>218340</v>
      </c>
      <c r="Z32" s="14">
        <v>254500</v>
      </c>
      <c r="AA32" s="14">
        <v>261015</v>
      </c>
      <c r="AB32" s="14">
        <v>260725</v>
      </c>
      <c r="AC32" s="14">
        <f t="shared" si="0"/>
        <v>1403311</v>
      </c>
      <c r="AD32" s="14">
        <f t="shared" si="1"/>
        <v>3087810</v>
      </c>
      <c r="AE32" s="14">
        <v>3141280</v>
      </c>
      <c r="AF32" s="14">
        <v>3149425</v>
      </c>
    </row>
    <row r="33" spans="1:32" ht="15" customHeight="1">
      <c r="A33" s="6" t="s">
        <v>13</v>
      </c>
      <c r="B33" s="10" t="str">
        <f>_xlfn.IFNA(VLOOKUP(C33,[12]Master!$J:$K,2,0),"")</f>
        <v>B5500</v>
      </c>
      <c r="C33" s="6" t="s">
        <v>108</v>
      </c>
      <c r="D33" s="17" t="str">
        <f>_xlfn.IFNA(VLOOKUP(E33,[12]Master!$J:$K,2,0),"")</f>
        <v>B5500</v>
      </c>
      <c r="E33" s="6" t="s">
        <v>108</v>
      </c>
      <c r="F33" s="17">
        <f>_xlfn.IFNA(VLOOKUP(G33,[12]Master!B:C,2,0),"")</f>
        <v>7781101</v>
      </c>
      <c r="G33" s="6" t="s">
        <v>76</v>
      </c>
      <c r="H33" s="6" t="s">
        <v>509</v>
      </c>
      <c r="I33" s="10" t="str">
        <f>_xlfn.IFNA(VLOOKUP(E33,[12]Master!$J:$M,4,0),"")</f>
        <v>IND</v>
      </c>
      <c r="J33" s="10" t="str">
        <f>_xlfn.IFNA(VLOOKUP($E33,[12]Master!$J:$M,3,0),"")</f>
        <v>MFG</v>
      </c>
      <c r="K33" s="14">
        <v>4000000</v>
      </c>
      <c r="L33" s="14">
        <v>4000000</v>
      </c>
      <c r="M33" s="14">
        <v>4000000</v>
      </c>
      <c r="N33" s="14">
        <v>4000000</v>
      </c>
      <c r="O33" s="14">
        <v>4000000</v>
      </c>
      <c r="P33" s="14">
        <v>4000000</v>
      </c>
      <c r="Q33" s="14">
        <v>4000000</v>
      </c>
      <c r="R33" s="14">
        <v>4000000</v>
      </c>
      <c r="S33" s="14">
        <v>4000000</v>
      </c>
      <c r="T33" s="14">
        <v>4000000</v>
      </c>
      <c r="U33" s="14">
        <v>4000000</v>
      </c>
      <c r="V33" s="14">
        <v>4000000</v>
      </c>
      <c r="W33" s="14">
        <v>4000000</v>
      </c>
      <c r="X33" s="14">
        <v>4000000</v>
      </c>
      <c r="Y33" s="14">
        <v>4000000</v>
      </c>
      <c r="Z33" s="14">
        <v>4000000</v>
      </c>
      <c r="AA33" s="14">
        <v>4000000</v>
      </c>
      <c r="AB33" s="14">
        <v>4000000</v>
      </c>
      <c r="AC33" s="14">
        <f t="shared" si="0"/>
        <v>24000000</v>
      </c>
      <c r="AD33" s="14">
        <f t="shared" si="1"/>
        <v>48000000</v>
      </c>
      <c r="AE33" s="14">
        <f>SUM(Q33:AB33)</f>
        <v>48000000</v>
      </c>
      <c r="AF33" s="14">
        <v>48000000</v>
      </c>
    </row>
    <row r="34" spans="1:32" ht="15" customHeight="1">
      <c r="A34" s="6" t="s">
        <v>13</v>
      </c>
      <c r="B34" s="10" t="str">
        <f>_xlfn.IFNA(VLOOKUP(C34,[12]Master!$J:$K,2,0),"")</f>
        <v>B5500</v>
      </c>
      <c r="C34" s="6" t="s">
        <v>108</v>
      </c>
      <c r="D34" s="17" t="str">
        <f>_xlfn.IFNA(VLOOKUP(E34,[12]Master!$J:$K,2,0),"")</f>
        <v>B5500</v>
      </c>
      <c r="E34" s="6" t="s">
        <v>108</v>
      </c>
      <c r="F34" s="17">
        <f>_xlfn.IFNA(VLOOKUP(G34,[12]Master!B:C,2,0),"")</f>
        <v>7711102</v>
      </c>
      <c r="G34" s="6" t="s">
        <v>73</v>
      </c>
      <c r="H34" s="6" t="s">
        <v>510</v>
      </c>
      <c r="I34" s="10" t="str">
        <f>_xlfn.IFNA(VLOOKUP(E34,[12]Master!$J:$M,4,0),"")</f>
        <v>IND</v>
      </c>
      <c r="J34" s="10" t="str">
        <f>_xlfn.IFNA(VLOOKUP($E34,[12]Master!$J:$M,3,0),"")</f>
        <v>MFG</v>
      </c>
      <c r="K34" s="14">
        <v>95000</v>
      </c>
      <c r="L34" s="14">
        <v>95000</v>
      </c>
      <c r="M34" s="14">
        <v>95000</v>
      </c>
      <c r="N34" s="14">
        <v>95000</v>
      </c>
      <c r="O34" s="14">
        <v>95000</v>
      </c>
      <c r="P34" s="14">
        <v>95000</v>
      </c>
      <c r="Q34" s="14">
        <v>95000</v>
      </c>
      <c r="R34" s="14">
        <v>95000</v>
      </c>
      <c r="S34" s="14">
        <v>95000</v>
      </c>
      <c r="T34" s="14">
        <v>95000</v>
      </c>
      <c r="U34" s="14">
        <v>95000</v>
      </c>
      <c r="V34" s="14">
        <v>95000</v>
      </c>
      <c r="W34" s="14">
        <v>95000</v>
      </c>
      <c r="X34" s="14">
        <v>95000</v>
      </c>
      <c r="Y34" s="14">
        <v>95000</v>
      </c>
      <c r="Z34" s="14">
        <v>95000</v>
      </c>
      <c r="AA34" s="14">
        <v>95000</v>
      </c>
      <c r="AB34" s="14">
        <v>95000</v>
      </c>
      <c r="AC34" s="14">
        <f t="shared" si="0"/>
        <v>570000</v>
      </c>
      <c r="AD34" s="14">
        <f t="shared" si="1"/>
        <v>1140000</v>
      </c>
      <c r="AE34" s="14">
        <v>1140000</v>
      </c>
      <c r="AF34" s="14">
        <v>1140000</v>
      </c>
    </row>
    <row r="35" spans="1:32" ht="15" customHeight="1">
      <c r="A35" s="6" t="s">
        <v>13</v>
      </c>
      <c r="B35" s="10" t="str">
        <f>_xlfn.IFNA(VLOOKUP(C35,[12]Master!$J:$K,2,0),"")</f>
        <v>B5500</v>
      </c>
      <c r="C35" s="6" t="s">
        <v>108</v>
      </c>
      <c r="D35" s="17" t="str">
        <f>_xlfn.IFNA(VLOOKUP(E35,[12]Master!$J:$K,2,0),"")</f>
        <v>B5500</v>
      </c>
      <c r="E35" s="6" t="s">
        <v>108</v>
      </c>
      <c r="F35" s="17">
        <f>_xlfn.IFNA(VLOOKUP(G35,[12]Master!B:C,2,0),"")</f>
        <v>7641103</v>
      </c>
      <c r="G35" s="6" t="s">
        <v>209</v>
      </c>
      <c r="H35" s="6" t="s">
        <v>511</v>
      </c>
      <c r="I35" s="10" t="str">
        <f>_xlfn.IFNA(VLOOKUP(E35,[12]Master!$J:$M,4,0),"")</f>
        <v>IND</v>
      </c>
      <c r="J35" s="10" t="str">
        <f>_xlfn.IFNA(VLOOKUP($E35,[12]Master!$J:$M,3,0),"")</f>
        <v>MFG</v>
      </c>
      <c r="K35" s="14">
        <v>289563</v>
      </c>
      <c r="L35" s="14">
        <v>289563</v>
      </c>
      <c r="M35" s="14">
        <v>289563</v>
      </c>
      <c r="N35" s="14">
        <v>289563</v>
      </c>
      <c r="O35" s="14">
        <v>289563</v>
      </c>
      <c r="P35" s="14">
        <v>289563</v>
      </c>
      <c r="Q35" s="14">
        <v>289563</v>
      </c>
      <c r="R35" s="14">
        <v>289563</v>
      </c>
      <c r="S35" s="14">
        <v>289563</v>
      </c>
      <c r="T35" s="14">
        <v>289563</v>
      </c>
      <c r="U35" s="14">
        <v>289563</v>
      </c>
      <c r="V35" s="14">
        <v>289563</v>
      </c>
      <c r="W35" s="14">
        <v>289563</v>
      </c>
      <c r="X35" s="14">
        <v>289563</v>
      </c>
      <c r="Y35" s="14">
        <v>289563</v>
      </c>
      <c r="Z35" s="14">
        <v>289563</v>
      </c>
      <c r="AA35" s="14">
        <v>289563</v>
      </c>
      <c r="AB35" s="14">
        <v>289563</v>
      </c>
      <c r="AC35" s="14">
        <f t="shared" si="0"/>
        <v>1737378</v>
      </c>
      <c r="AD35" s="14">
        <f t="shared" si="1"/>
        <v>3474756</v>
      </c>
      <c r="AE35" s="14">
        <v>3474756</v>
      </c>
      <c r="AF35" s="14">
        <v>3474756</v>
      </c>
    </row>
    <row r="36" spans="1:32" ht="15" customHeight="1">
      <c r="A36" s="6" t="s">
        <v>13</v>
      </c>
      <c r="B36" s="10" t="str">
        <f>_xlfn.IFNA(VLOOKUP(C36,[12]Master!$J:$K,2,0),"")</f>
        <v>B5500</v>
      </c>
      <c r="C36" s="6" t="s">
        <v>108</v>
      </c>
      <c r="D36" s="17" t="str">
        <f>_xlfn.IFNA(VLOOKUP(E36,[12]Master!$J:$K,2,0),"")</f>
        <v>B5500</v>
      </c>
      <c r="E36" s="6" t="s">
        <v>108</v>
      </c>
      <c r="F36" s="17">
        <f>_xlfn.IFNA(VLOOKUP(G36,[12]Master!B:C,2,0),"")</f>
        <v>7691000</v>
      </c>
      <c r="G36" s="6" t="s">
        <v>70</v>
      </c>
      <c r="H36" s="6" t="s">
        <v>512</v>
      </c>
      <c r="I36" s="10" t="str">
        <f>_xlfn.IFNA(VLOOKUP(E36,[12]Master!$J:$M,4,0),"")</f>
        <v>IND</v>
      </c>
      <c r="J36" s="10" t="str">
        <f>_xlfn.IFNA(VLOOKUP($E36,[12]Master!$J:$M,3,0),"")</f>
        <v>MFG</v>
      </c>
      <c r="K36" s="14">
        <v>315000</v>
      </c>
      <c r="L36" s="14">
        <v>315000</v>
      </c>
      <c r="M36" s="14">
        <v>315000</v>
      </c>
      <c r="N36" s="14">
        <v>315000</v>
      </c>
      <c r="O36" s="14">
        <v>315000</v>
      </c>
      <c r="P36" s="14">
        <v>315000</v>
      </c>
      <c r="Q36" s="14">
        <v>315000</v>
      </c>
      <c r="R36" s="14">
        <v>315000</v>
      </c>
      <c r="S36" s="14">
        <v>315000</v>
      </c>
      <c r="T36" s="14">
        <v>315000</v>
      </c>
      <c r="U36" s="14">
        <v>315000</v>
      </c>
      <c r="V36" s="14">
        <v>315000</v>
      </c>
      <c r="W36" s="14">
        <v>315000</v>
      </c>
      <c r="X36" s="14">
        <v>315000</v>
      </c>
      <c r="Y36" s="14">
        <v>315000</v>
      </c>
      <c r="Z36" s="14">
        <v>315000</v>
      </c>
      <c r="AA36" s="14">
        <v>315000</v>
      </c>
      <c r="AB36" s="14">
        <v>315000</v>
      </c>
      <c r="AC36" s="14">
        <f t="shared" si="0"/>
        <v>1890000</v>
      </c>
      <c r="AD36" s="14">
        <f t="shared" si="1"/>
        <v>3780000</v>
      </c>
      <c r="AE36" s="14">
        <v>3780000</v>
      </c>
      <c r="AF36" s="14">
        <v>3780000</v>
      </c>
    </row>
    <row r="37" spans="1:32" ht="15" customHeight="1">
      <c r="A37" s="6" t="s">
        <v>13</v>
      </c>
      <c r="B37" s="10" t="str">
        <f>_xlfn.IFNA(VLOOKUP(C37,[12]Master!$J:$K,2,0),"")</f>
        <v>B5500</v>
      </c>
      <c r="C37" s="6" t="s">
        <v>108</v>
      </c>
      <c r="D37" s="17" t="str">
        <f>_xlfn.IFNA(VLOOKUP(E37,[12]Master!$J:$K,2,0),"")</f>
        <v>B5500</v>
      </c>
      <c r="E37" s="6" t="s">
        <v>108</v>
      </c>
      <c r="F37" s="17">
        <f>_xlfn.IFNA(VLOOKUP(G37,[12]Master!B:C,2,0),"")</f>
        <v>7515404</v>
      </c>
      <c r="G37" s="6" t="s">
        <v>123</v>
      </c>
      <c r="H37" s="6" t="s">
        <v>513</v>
      </c>
      <c r="I37" s="10" t="str">
        <f>_xlfn.IFNA(VLOOKUP(E37,[12]Master!$J:$M,4,0),"")</f>
        <v>IND</v>
      </c>
      <c r="J37" s="10" t="str">
        <f>_xlfn.IFNA(VLOOKUP($E37,[12]Master!$J:$M,3,0),"")</f>
        <v>MFG</v>
      </c>
      <c r="K37" s="14">
        <v>275000</v>
      </c>
      <c r="L37" s="14">
        <v>275000</v>
      </c>
      <c r="M37" s="14">
        <v>275000</v>
      </c>
      <c r="N37" s="14">
        <v>275000</v>
      </c>
      <c r="O37" s="14">
        <v>275000</v>
      </c>
      <c r="P37" s="14">
        <v>275000</v>
      </c>
      <c r="Q37" s="14">
        <v>275000</v>
      </c>
      <c r="R37" s="14">
        <v>275000</v>
      </c>
      <c r="S37" s="14">
        <v>275000</v>
      </c>
      <c r="T37" s="14">
        <v>275000</v>
      </c>
      <c r="U37" s="14">
        <v>275000</v>
      </c>
      <c r="V37" s="14">
        <v>275000</v>
      </c>
      <c r="W37" s="14">
        <v>275000</v>
      </c>
      <c r="X37" s="14">
        <v>275000</v>
      </c>
      <c r="Y37" s="14">
        <v>275000</v>
      </c>
      <c r="Z37" s="14">
        <v>275000</v>
      </c>
      <c r="AA37" s="14">
        <v>275000</v>
      </c>
      <c r="AB37" s="14">
        <v>275000</v>
      </c>
      <c r="AC37" s="14">
        <f t="shared" si="0"/>
        <v>1650000</v>
      </c>
      <c r="AD37" s="14">
        <f t="shared" si="1"/>
        <v>3300000</v>
      </c>
      <c r="AE37" s="14">
        <v>3300000</v>
      </c>
      <c r="AF37" s="14">
        <v>3300000</v>
      </c>
    </row>
    <row r="38" spans="1:32" ht="15" customHeight="1">
      <c r="A38" s="6" t="s">
        <v>13</v>
      </c>
      <c r="B38" s="10" t="str">
        <f>_xlfn.IFNA(VLOOKUP(C38,[12]Master!$J:$K,2,0),"")</f>
        <v>B5500</v>
      </c>
      <c r="C38" s="6" t="s">
        <v>108</v>
      </c>
      <c r="D38" s="17" t="str">
        <f>_xlfn.IFNA(VLOOKUP(E38,[12]Master!$J:$K,2,0),"")</f>
        <v>B5500</v>
      </c>
      <c r="E38" s="6" t="s">
        <v>108</v>
      </c>
      <c r="F38" s="17">
        <f>_xlfn.IFNA(VLOOKUP(G38,[12]Master!B:C,2,0),"")</f>
        <v>7515403</v>
      </c>
      <c r="G38" s="6" t="s">
        <v>125</v>
      </c>
      <c r="H38" s="6" t="s">
        <v>514</v>
      </c>
      <c r="I38" s="10" t="str">
        <f>_xlfn.IFNA(VLOOKUP(E38,[12]Master!$J:$M,4,0),"")</f>
        <v>IND</v>
      </c>
      <c r="J38" s="10" t="str">
        <f>_xlfn.IFNA(VLOOKUP($E38,[12]Master!$J:$M,3,0),"")</f>
        <v>MFG</v>
      </c>
      <c r="K38" s="14">
        <v>700000</v>
      </c>
      <c r="L38" s="14">
        <v>0</v>
      </c>
      <c r="M38" s="14">
        <v>0</v>
      </c>
      <c r="N38" s="14">
        <v>0</v>
      </c>
      <c r="O38" s="14">
        <v>700000</v>
      </c>
      <c r="P38" s="14">
        <v>0</v>
      </c>
      <c r="Q38" s="14">
        <v>0</v>
      </c>
      <c r="R38" s="14">
        <v>0</v>
      </c>
      <c r="S38" s="14">
        <v>0</v>
      </c>
      <c r="T38" s="14">
        <v>700000</v>
      </c>
      <c r="U38" s="14">
        <v>0</v>
      </c>
      <c r="V38" s="14">
        <v>0</v>
      </c>
      <c r="W38" s="14">
        <v>700000</v>
      </c>
      <c r="X38" s="14">
        <v>0</v>
      </c>
      <c r="Y38" s="14">
        <v>0</v>
      </c>
      <c r="Z38" s="14">
        <v>0</v>
      </c>
      <c r="AA38" s="14">
        <v>700000</v>
      </c>
      <c r="AB38" s="14">
        <v>0</v>
      </c>
      <c r="AC38" s="14">
        <f t="shared" si="0"/>
        <v>1400000</v>
      </c>
      <c r="AD38" s="14">
        <f t="shared" si="1"/>
        <v>2100000</v>
      </c>
      <c r="AE38" s="14">
        <v>2100000</v>
      </c>
      <c r="AF38" s="14">
        <v>2100000</v>
      </c>
    </row>
    <row r="39" spans="1:32" ht="15" customHeight="1">
      <c r="A39" s="6" t="s">
        <v>13</v>
      </c>
      <c r="B39" s="10" t="str">
        <f>_xlfn.IFNA(VLOOKUP(C39,[12]Master!$J:$K,2,0),"")</f>
        <v>B5500</v>
      </c>
      <c r="C39" s="6" t="s">
        <v>108</v>
      </c>
      <c r="D39" s="17" t="str">
        <f>_xlfn.IFNA(VLOOKUP(E39,[12]Master!$J:$K,2,0),"")</f>
        <v>B5500</v>
      </c>
      <c r="E39" s="6" t="s">
        <v>108</v>
      </c>
      <c r="F39" s="17">
        <f>_xlfn.IFNA(VLOOKUP(G39,[12]Master!B:C,2,0),"")</f>
        <v>7515402</v>
      </c>
      <c r="G39" s="6" t="s">
        <v>65</v>
      </c>
      <c r="H39" s="6" t="s">
        <v>515</v>
      </c>
      <c r="I39" s="10" t="str">
        <f>_xlfn.IFNA(VLOOKUP(E39,[12]Master!$J:$M,4,0),"")</f>
        <v>IND</v>
      </c>
      <c r="J39" s="10" t="str">
        <f>_xlfn.IFNA(VLOOKUP($E39,[12]Master!$J:$M,3,0),"")</f>
        <v>MFG</v>
      </c>
      <c r="K39" s="14">
        <v>0</v>
      </c>
      <c r="L39" s="14">
        <v>0</v>
      </c>
      <c r="M39" s="14">
        <v>30000000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30000000</v>
      </c>
      <c r="Z39" s="14">
        <v>0</v>
      </c>
      <c r="AA39" s="14">
        <v>0</v>
      </c>
      <c r="AB39" s="14">
        <v>0</v>
      </c>
      <c r="AC39" s="14">
        <f t="shared" si="0"/>
        <v>30000000</v>
      </c>
      <c r="AD39" s="14">
        <f t="shared" si="1"/>
        <v>30000000</v>
      </c>
      <c r="AE39" s="14">
        <v>30000000</v>
      </c>
      <c r="AF39" s="14">
        <v>30000000</v>
      </c>
    </row>
    <row r="40" spans="1:32" ht="15" customHeight="1">
      <c r="A40" s="6" t="s">
        <v>13</v>
      </c>
      <c r="B40" s="10" t="str">
        <f>_xlfn.IFNA(VLOOKUP(C40,[12]Master!$J:$K,2,0),"")</f>
        <v>B5500</v>
      </c>
      <c r="C40" s="6" t="s">
        <v>108</v>
      </c>
      <c r="D40" s="17" t="str">
        <f>_xlfn.IFNA(VLOOKUP(E40,[12]Master!$J:$K,2,0),"")</f>
        <v>B5500</v>
      </c>
      <c r="E40" s="6" t="s">
        <v>108</v>
      </c>
      <c r="F40" s="17">
        <f>_xlfn.IFNA(VLOOKUP(G40,[12]Master!B:C,2,0),"")</f>
        <v>7515401</v>
      </c>
      <c r="G40" s="6" t="s">
        <v>19</v>
      </c>
      <c r="H40" s="6" t="s">
        <v>516</v>
      </c>
      <c r="I40" s="10" t="str">
        <f>_xlfn.IFNA(VLOOKUP(E40,[12]Master!$J:$M,4,0),"")</f>
        <v>IND</v>
      </c>
      <c r="J40" s="10" t="str">
        <f>_xlfn.IFNA(VLOOKUP($E40,[12]Master!$J:$M,3,0),"")</f>
        <v>MFG</v>
      </c>
      <c r="K40" s="14">
        <v>760000</v>
      </c>
      <c r="L40" s="14">
        <v>760000</v>
      </c>
      <c r="M40" s="14">
        <v>760000</v>
      </c>
      <c r="N40" s="14">
        <v>760000</v>
      </c>
      <c r="O40" s="14">
        <v>760000</v>
      </c>
      <c r="P40" s="14">
        <v>760000</v>
      </c>
      <c r="Q40" s="14">
        <v>760000</v>
      </c>
      <c r="R40" s="14">
        <v>760000</v>
      </c>
      <c r="S40" s="14">
        <v>760000</v>
      </c>
      <c r="T40" s="14">
        <v>760000</v>
      </c>
      <c r="U40" s="14">
        <v>760000</v>
      </c>
      <c r="V40" s="14">
        <v>760000</v>
      </c>
      <c r="W40" s="14">
        <v>760000</v>
      </c>
      <c r="X40" s="14">
        <v>760000</v>
      </c>
      <c r="Y40" s="14">
        <v>760000</v>
      </c>
      <c r="Z40" s="14">
        <v>760000</v>
      </c>
      <c r="AA40" s="14">
        <v>760000</v>
      </c>
      <c r="AB40" s="14">
        <v>760000</v>
      </c>
      <c r="AC40" s="14">
        <f t="shared" si="0"/>
        <v>4560000</v>
      </c>
      <c r="AD40" s="14">
        <f t="shared" si="1"/>
        <v>9120000</v>
      </c>
      <c r="AE40" s="14">
        <v>9120000</v>
      </c>
      <c r="AF40" s="14">
        <v>9120000</v>
      </c>
    </row>
    <row r="41" spans="1:32" ht="15" customHeight="1">
      <c r="A41" s="6" t="s">
        <v>13</v>
      </c>
      <c r="B41" s="10" t="s">
        <v>132</v>
      </c>
      <c r="C41" s="6" t="s">
        <v>108</v>
      </c>
      <c r="D41" s="17" t="str">
        <f>_xlfn.IFNA(VLOOKUP(E41,[13]Master!$J:$K,2,0),"")</f>
        <v>B4101</v>
      </c>
      <c r="E41" s="6" t="s">
        <v>133</v>
      </c>
      <c r="F41" s="17">
        <f>_xlfn.IFNA(VLOOKUP(G41,[13]Master!B:C,2,0),"")</f>
        <v>7631101</v>
      </c>
      <c r="G41" s="6" t="s">
        <v>219</v>
      </c>
      <c r="H41" s="6" t="s">
        <v>517</v>
      </c>
      <c r="I41" s="10" t="str">
        <f>_xlfn.IFNA(VLOOKUP(E41,[13]Master!$J:$M,4,0),"")</f>
        <v>DIR</v>
      </c>
      <c r="J41" s="10" t="str">
        <f>_xlfn.IFNA(VLOOKUP($E41,[13]Master!$J:$M,3,0),"")</f>
        <v>MFG</v>
      </c>
      <c r="K41" s="14">
        <v>81170113.799730301</v>
      </c>
      <c r="L41" s="14">
        <v>55818801.489753932</v>
      </c>
      <c r="M41" s="14">
        <v>54703737.300181873</v>
      </c>
      <c r="N41" s="14">
        <v>54802125.316908814</v>
      </c>
      <c r="O41" s="14">
        <v>52932752.999096848</v>
      </c>
      <c r="P41" s="14">
        <v>48308516.212930396</v>
      </c>
      <c r="Q41" s="14">
        <v>43389115.376583099</v>
      </c>
      <c r="R41" s="14">
        <v>45258487.694395073</v>
      </c>
      <c r="S41" s="14">
        <v>46931083.97875315</v>
      </c>
      <c r="T41" s="14">
        <v>47521412.079114825</v>
      </c>
      <c r="U41" s="14">
        <v>48603680.263111234</v>
      </c>
      <c r="V41" s="14">
        <v>49587560.430380687</v>
      </c>
      <c r="W41" s="14">
        <v>50571440.597650148</v>
      </c>
      <c r="X41" s="14">
        <v>48505292.246384285</v>
      </c>
      <c r="Y41" s="14">
        <v>45455263.727848962</v>
      </c>
      <c r="Z41" s="14">
        <v>46045591.828210644</v>
      </c>
      <c r="AA41" s="14">
        <v>47127860.012207046</v>
      </c>
      <c r="AB41" s="14">
        <v>43684279.426763937</v>
      </c>
      <c r="AC41" s="14">
        <f>SUM(K41:P41)</f>
        <v>347736047.11860216</v>
      </c>
      <c r="AD41" s="14">
        <f t="shared" si="1"/>
        <v>562681067.66140306</v>
      </c>
      <c r="AE41" s="14">
        <v>584129655.3078773</v>
      </c>
      <c r="AF41" s="14">
        <v>518012908.06736976</v>
      </c>
    </row>
    <row r="42" spans="1:32" ht="15" customHeight="1">
      <c r="A42" s="6" t="s">
        <v>13</v>
      </c>
      <c r="B42" s="10" t="s">
        <v>136</v>
      </c>
      <c r="C42" s="6" t="s">
        <v>108</v>
      </c>
      <c r="D42" s="17" t="str">
        <f>_xlfn.IFNA(VLOOKUP(E42,[13]Master!$J:$K,2,0),"")</f>
        <v>B4102</v>
      </c>
      <c r="E42" s="6" t="s">
        <v>137</v>
      </c>
      <c r="F42" s="17">
        <f>_xlfn.IFNA(VLOOKUP(G42,[13]Master!B:C,2,0),"")</f>
        <v>7631101</v>
      </c>
      <c r="G42" s="6" t="s">
        <v>219</v>
      </c>
      <c r="H42" s="6" t="s">
        <v>517</v>
      </c>
      <c r="I42" s="10" t="str">
        <f>_xlfn.IFNA(VLOOKUP(E42,[13]Master!$J:$M,4,0),"")</f>
        <v>DIR</v>
      </c>
      <c r="J42" s="10" t="str">
        <f>_xlfn.IFNA(VLOOKUP($E42,[13]Master!$J:$M,3,0),"")</f>
        <v>MFG</v>
      </c>
      <c r="K42" s="14">
        <v>64959699.828581028</v>
      </c>
      <c r="L42" s="14">
        <v>50180464.741351016</v>
      </c>
      <c r="M42" s="14">
        <v>46530824.780934811</v>
      </c>
      <c r="N42" s="14">
        <v>46697601.930687256</v>
      </c>
      <c r="O42" s="14">
        <v>45196607.582915172</v>
      </c>
      <c r="P42" s="14">
        <v>41027178.83910381</v>
      </c>
      <c r="Q42" s="14">
        <v>36857750.095292449</v>
      </c>
      <c r="R42" s="14">
        <v>38275355.868188307</v>
      </c>
      <c r="S42" s="14">
        <v>39609573.066207945</v>
      </c>
      <c r="T42" s="14">
        <v>40276681.665217765</v>
      </c>
      <c r="U42" s="14">
        <v>41193955.988856263</v>
      </c>
      <c r="V42" s="14">
        <v>41944453.162742309</v>
      </c>
      <c r="W42" s="14">
        <v>42945116.061257035</v>
      </c>
      <c r="X42" s="14">
        <v>41527510.288361169</v>
      </c>
      <c r="Y42" s="14">
        <v>38525521.592816986</v>
      </c>
      <c r="Z42" s="14">
        <v>39025853.042074353</v>
      </c>
      <c r="AA42" s="14">
        <v>40109904.515465304</v>
      </c>
      <c r="AB42" s="14">
        <v>37107915.819921121</v>
      </c>
      <c r="AC42" s="14">
        <f t="shared" ref="AC42:AC105" si="2">SUM(K42:P42)</f>
        <v>294592377.70357311</v>
      </c>
      <c r="AD42" s="14">
        <f t="shared" si="1"/>
        <v>477399591.16640109</v>
      </c>
      <c r="AE42" s="14">
        <v>495411523.33966613</v>
      </c>
      <c r="AF42" s="14">
        <v>444461104.0902912</v>
      </c>
    </row>
    <row r="43" spans="1:32" ht="15" customHeight="1">
      <c r="A43" s="6" t="s">
        <v>13</v>
      </c>
      <c r="B43" s="10" t="s">
        <v>31</v>
      </c>
      <c r="C43" s="6" t="s">
        <v>108</v>
      </c>
      <c r="D43" s="17" t="str">
        <f>_xlfn.IFNA(VLOOKUP(E43,[13]Master!$J:$K,2,0),"")</f>
        <v>B4103</v>
      </c>
      <c r="E43" s="6" t="s">
        <v>15</v>
      </c>
      <c r="F43" s="17">
        <f>_xlfn.IFNA(VLOOKUP(G43,[13]Master!B:C,2,0),"")</f>
        <v>7631101</v>
      </c>
      <c r="G43" s="6" t="s">
        <v>219</v>
      </c>
      <c r="H43" s="6" t="s">
        <v>517</v>
      </c>
      <c r="I43" s="10" t="str">
        <f>_xlfn.IFNA(VLOOKUP(E43,[13]Master!$J:$M,4,0),"")</f>
        <v>DIR</v>
      </c>
      <c r="J43" s="10" t="str">
        <f>_xlfn.IFNA(VLOOKUP($E43,[13]Master!$J:$M,3,0),"")</f>
        <v>MFG</v>
      </c>
      <c r="K43" s="14">
        <v>29113967.203239899</v>
      </c>
      <c r="L43" s="14">
        <v>22427983.303952586</v>
      </c>
      <c r="M43" s="14">
        <v>21629656.86821679</v>
      </c>
      <c r="N43" s="14">
        <v>21741921.523242135</v>
      </c>
      <c r="O43" s="14">
        <v>21330284.454815865</v>
      </c>
      <c r="P43" s="14">
        <v>19197256.009334277</v>
      </c>
      <c r="Q43" s="14">
        <v>17139070.667202923</v>
      </c>
      <c r="R43" s="14">
        <v>17513286.183954079</v>
      </c>
      <c r="S43" s="14">
        <v>18448824.975831967</v>
      </c>
      <c r="T43" s="14">
        <v>18598511.18253243</v>
      </c>
      <c r="U43" s="14">
        <v>19010148.2509587</v>
      </c>
      <c r="V43" s="14">
        <v>19496628.422735203</v>
      </c>
      <c r="W43" s="14">
        <v>20207637.904562399</v>
      </c>
      <c r="X43" s="14">
        <v>19346942.21603474</v>
      </c>
      <c r="Y43" s="14">
        <v>17962344.804055464</v>
      </c>
      <c r="Z43" s="14">
        <v>17999766.355730578</v>
      </c>
      <c r="AA43" s="14">
        <v>18823040.492583122</v>
      </c>
      <c r="AB43" s="14">
        <v>17176492.218878038</v>
      </c>
      <c r="AC43" s="14">
        <f t="shared" si="2"/>
        <v>135441069.36280155</v>
      </c>
      <c r="AD43" s="14">
        <f t="shared" si="1"/>
        <v>221722693.67505965</v>
      </c>
      <c r="AE43" s="14">
        <v>229955435.04358509</v>
      </c>
      <c r="AF43" s="14">
        <v>209074209.20887059</v>
      </c>
    </row>
    <row r="44" spans="1:32" ht="15" customHeight="1">
      <c r="A44" s="6" t="s">
        <v>13</v>
      </c>
      <c r="B44" s="10" t="s">
        <v>138</v>
      </c>
      <c r="C44" s="6" t="s">
        <v>108</v>
      </c>
      <c r="D44" s="17" t="str">
        <f>_xlfn.IFNA(VLOOKUP(E44,[13]Master!$J:$K,2,0),"")</f>
        <v>B4105</v>
      </c>
      <c r="E44" s="6" t="s">
        <v>139</v>
      </c>
      <c r="F44" s="17">
        <f>_xlfn.IFNA(VLOOKUP(G44,[13]Master!B:C,2,0),"")</f>
        <v>7631101</v>
      </c>
      <c r="G44" s="6" t="s">
        <v>219</v>
      </c>
      <c r="H44" s="6" t="s">
        <v>517</v>
      </c>
      <c r="I44" s="10" t="str">
        <f>_xlfn.IFNA(VLOOKUP(E44,[13]Master!$J:$M,4,0),"")</f>
        <v>DIR</v>
      </c>
      <c r="J44" s="10" t="str">
        <f>_xlfn.IFNA(VLOOKUP($E44,[13]Master!$J:$M,3,0),"")</f>
        <v>MFG</v>
      </c>
      <c r="K44" s="14">
        <v>41013592.84128619</v>
      </c>
      <c r="L44" s="14">
        <v>31220587.147006497</v>
      </c>
      <c r="M44" s="14">
        <v>30522969.479569022</v>
      </c>
      <c r="N44" s="14">
        <v>30470252.779258888</v>
      </c>
      <c r="O44" s="14">
        <v>30470252.779258888</v>
      </c>
      <c r="P44" s="14">
        <v>27254534.060340561</v>
      </c>
      <c r="Q44" s="14">
        <v>24144248.742042512</v>
      </c>
      <c r="R44" s="14">
        <v>24618699.044833735</v>
      </c>
      <c r="S44" s="14">
        <v>25778466.45165674</v>
      </c>
      <c r="T44" s="14">
        <v>26358350.155068241</v>
      </c>
      <c r="U44" s="14">
        <v>26674650.35692906</v>
      </c>
      <c r="V44" s="14">
        <v>27359967.460960835</v>
      </c>
      <c r="W44" s="14">
        <v>28519734.867783837</v>
      </c>
      <c r="X44" s="14">
        <v>27623550.962511517</v>
      </c>
      <c r="Y44" s="14">
        <v>25093149.347624965</v>
      </c>
      <c r="Z44" s="14">
        <v>25409449.549485784</v>
      </c>
      <c r="AA44" s="14">
        <v>26674650.35692906</v>
      </c>
      <c r="AB44" s="14">
        <v>24144248.742042512</v>
      </c>
      <c r="AC44" s="14">
        <f t="shared" si="2"/>
        <v>190952189.08672005</v>
      </c>
      <c r="AD44" s="14">
        <f t="shared" si="1"/>
        <v>312399166.03786874</v>
      </c>
      <c r="AE44" s="14">
        <v>324260423.60764951</v>
      </c>
      <c r="AF44" s="14">
        <v>298112940.25382185</v>
      </c>
    </row>
    <row r="45" spans="1:32" ht="15" customHeight="1">
      <c r="A45" s="6" t="s">
        <v>13</v>
      </c>
      <c r="B45" s="10" t="s">
        <v>140</v>
      </c>
      <c r="C45" s="6" t="s">
        <v>108</v>
      </c>
      <c r="D45" s="17" t="str">
        <f>_xlfn.IFNA(VLOOKUP(E45,[13]Master!$J:$K,2,0),"")</f>
        <v>B4106</v>
      </c>
      <c r="E45" s="6" t="s">
        <v>141</v>
      </c>
      <c r="F45" s="17">
        <f>_xlfn.IFNA(VLOOKUP(G45,[13]Master!B:C,2,0),"")</f>
        <v>7631101</v>
      </c>
      <c r="G45" s="6" t="s">
        <v>219</v>
      </c>
      <c r="H45" s="6" t="s">
        <v>517</v>
      </c>
      <c r="I45" s="10" t="str">
        <f>_xlfn.IFNA(VLOOKUP(E45,[13]Master!$J:$M,4,0),"")</f>
        <v>DIR</v>
      </c>
      <c r="J45" s="10" t="str">
        <f>_xlfn.IFNA(VLOOKUP($E45,[13]Master!$J:$M,3,0),"")</f>
        <v>MFG</v>
      </c>
      <c r="K45" s="14">
        <v>35151001.523716621</v>
      </c>
      <c r="L45" s="14">
        <v>25625950.492646255</v>
      </c>
      <c r="M45" s="14">
        <v>24006589.217443965</v>
      </c>
      <c r="N45" s="14">
        <v>22580047.093813989</v>
      </c>
      <c r="O45" s="14">
        <v>23264643.942088675</v>
      </c>
      <c r="P45" s="14">
        <v>23831855.72868276</v>
      </c>
      <c r="Q45" s="14">
        <v>19304914.266007718</v>
      </c>
      <c r="R45" s="14">
        <v>19677679.042031638</v>
      </c>
      <c r="S45" s="14">
        <v>20413351.833174985</v>
      </c>
      <c r="T45" s="14">
        <v>20816582.961085469</v>
      </c>
      <c r="U45" s="14">
        <v>20675900.100903369</v>
      </c>
      <c r="V45" s="14">
        <v>20759234.534004867</v>
      </c>
      <c r="W45" s="14">
        <v>21471609.526646726</v>
      </c>
      <c r="X45" s="14">
        <v>21913371.62900199</v>
      </c>
      <c r="Y45" s="14">
        <v>19505633.760789827</v>
      </c>
      <c r="Z45" s="14">
        <v>17799518.055141915</v>
      </c>
      <c r="AA45" s="14">
        <v>21411572.89204672</v>
      </c>
      <c r="AB45" s="14">
        <v>19620330.614951033</v>
      </c>
      <c r="AC45" s="14">
        <f t="shared" si="2"/>
        <v>154460087.99839228</v>
      </c>
      <c r="AD45" s="14">
        <f t="shared" si="1"/>
        <v>243369699.21578628</v>
      </c>
      <c r="AE45" s="14">
        <v>249758672.42023456</v>
      </c>
      <c r="AF45" s="14">
        <v>236382151.80368412</v>
      </c>
    </row>
    <row r="46" spans="1:32" ht="15" customHeight="1">
      <c r="A46" s="6" t="s">
        <v>13</v>
      </c>
      <c r="B46" s="10" t="s">
        <v>142</v>
      </c>
      <c r="C46" s="6" t="s">
        <v>108</v>
      </c>
      <c r="D46" s="17" t="str">
        <f>_xlfn.IFNA(VLOOKUP(E46,[13]Master!$J:$K,2,0),"")</f>
        <v>B4110</v>
      </c>
      <c r="E46" s="6" t="s">
        <v>143</v>
      </c>
      <c r="F46" s="17">
        <f>_xlfn.IFNA(VLOOKUP(G46,[13]Master!B:C,2,0),"")</f>
        <v>7631101</v>
      </c>
      <c r="G46" s="6" t="s">
        <v>219</v>
      </c>
      <c r="H46" s="6" t="s">
        <v>517</v>
      </c>
      <c r="I46" s="10" t="str">
        <f>_xlfn.IFNA(VLOOKUP(E46,[13]Master!$J:$M,4,0),"")</f>
        <v>DIR</v>
      </c>
      <c r="J46" s="10" t="str">
        <f>_xlfn.IFNA(VLOOKUP($E46,[13]Master!$J:$M,3,0),"")</f>
        <v>MFG</v>
      </c>
      <c r="K46" s="14">
        <v>13272957.384247689</v>
      </c>
      <c r="L46" s="14">
        <v>11428608.429402489</v>
      </c>
      <c r="M46" s="14">
        <v>8506472.459598016</v>
      </c>
      <c r="N46" s="14">
        <v>9582348.8664554562</v>
      </c>
      <c r="O46" s="14">
        <v>12446777.051747283</v>
      </c>
      <c r="P46" s="14">
        <v>8329880.3321276233</v>
      </c>
      <c r="Q46" s="14">
        <v>7247326.0717103779</v>
      </c>
      <c r="R46" s="14">
        <v>8527989.9877351653</v>
      </c>
      <c r="S46" s="14">
        <v>6821798.403205038</v>
      </c>
      <c r="T46" s="14">
        <v>7284425.2581537385</v>
      </c>
      <c r="U46" s="14">
        <v>7354171.7286672546</v>
      </c>
      <c r="V46" s="14">
        <v>7532618.8154598167</v>
      </c>
      <c r="W46" s="14">
        <v>8334332.2345008254</v>
      </c>
      <c r="X46" s="14">
        <v>8582525.7918069046</v>
      </c>
      <c r="Y46" s="14">
        <v>2680045.228668327</v>
      </c>
      <c r="Z46" s="14">
        <v>2359137.2659332626</v>
      </c>
      <c r="AA46" s="14">
        <v>3790794.8707825257</v>
      </c>
      <c r="AB46" s="14">
        <v>1915430.9960706774</v>
      </c>
      <c r="AC46" s="14">
        <f t="shared" si="2"/>
        <v>63567044.523578554</v>
      </c>
      <c r="AD46" s="14">
        <f t="shared" si="1"/>
        <v>72430596.652693912</v>
      </c>
      <c r="AE46" s="14">
        <v>47018024.930856742</v>
      </c>
      <c r="AF46" s="14">
        <v>43733262.963161647</v>
      </c>
    </row>
    <row r="47" spans="1:32" ht="15" customHeight="1">
      <c r="A47" s="6" t="s">
        <v>13</v>
      </c>
      <c r="B47" s="10" t="s">
        <v>146</v>
      </c>
      <c r="C47" s="6" t="s">
        <v>108</v>
      </c>
      <c r="D47" s="17" t="str">
        <f>_xlfn.IFNA(VLOOKUP(E47,[13]Master!$J:$K,2,0),"")</f>
        <v>B4115</v>
      </c>
      <c r="E47" s="6" t="s">
        <v>147</v>
      </c>
      <c r="F47" s="17">
        <f>_xlfn.IFNA(VLOOKUP(G47,[13]Master!B:C,2,0),"")</f>
        <v>7631101</v>
      </c>
      <c r="G47" s="6" t="s">
        <v>219</v>
      </c>
      <c r="H47" s="6" t="s">
        <v>517</v>
      </c>
      <c r="I47" s="10" t="str">
        <f>_xlfn.IFNA(VLOOKUP(E47,[13]Master!$J:$M,4,0),"")</f>
        <v>DIR</v>
      </c>
      <c r="J47" s="10" t="str">
        <f>_xlfn.IFNA(VLOOKUP($E47,[13]Master!$J:$M,3,0),"")</f>
        <v>MFG</v>
      </c>
      <c r="K47" s="14">
        <v>38840174.657495685</v>
      </c>
      <c r="L47" s="14">
        <v>37429014.447532028</v>
      </c>
      <c r="M47" s="14">
        <v>37769609.964116655</v>
      </c>
      <c r="N47" s="14">
        <v>34622142.467106931</v>
      </c>
      <c r="O47" s="14">
        <v>28327207.47308749</v>
      </c>
      <c r="P47" s="14">
        <v>36195876.215611793</v>
      </c>
      <c r="Q47" s="14">
        <v>28327207.47308749</v>
      </c>
      <c r="R47" s="14">
        <v>25179739.976077769</v>
      </c>
      <c r="S47" s="14">
        <v>32230067.169379544</v>
      </c>
      <c r="T47" s="14">
        <v>33363155.468303043</v>
      </c>
      <c r="U47" s="14">
        <v>33552003.51812363</v>
      </c>
      <c r="V47" s="14">
        <v>33489054.168183431</v>
      </c>
      <c r="W47" s="14">
        <v>34622142.467106931</v>
      </c>
      <c r="X47" s="14">
        <v>34181497.017525569</v>
      </c>
      <c r="Y47" s="14">
        <v>43980612.491549164</v>
      </c>
      <c r="Z47" s="14">
        <v>41189857.977533884</v>
      </c>
      <c r="AA47" s="14">
        <v>44064544.958136097</v>
      </c>
      <c r="AB47" s="14">
        <v>43099321.592386447</v>
      </c>
      <c r="AC47" s="14">
        <f t="shared" si="2"/>
        <v>213184025.22495058</v>
      </c>
      <c r="AD47" s="14">
        <f t="shared" si="1"/>
        <v>427279204.27739298</v>
      </c>
      <c r="AE47" s="14">
        <v>516079753.92636061</v>
      </c>
      <c r="AF47" s="14">
        <v>496775286.61136758</v>
      </c>
    </row>
    <row r="48" spans="1:32" ht="15" customHeight="1">
      <c r="A48" s="6" t="s">
        <v>13</v>
      </c>
      <c r="B48" s="10" t="s">
        <v>144</v>
      </c>
      <c r="C48" s="6" t="s">
        <v>108</v>
      </c>
      <c r="D48" s="17" t="str">
        <f>_xlfn.IFNA(VLOOKUP(E48,[13]Master!$J:$K,2,0),"")</f>
        <v>B4114</v>
      </c>
      <c r="E48" s="6" t="s">
        <v>145</v>
      </c>
      <c r="F48" s="17">
        <f>_xlfn.IFNA(VLOOKUP(G48,[13]Master!B:C,2,0),"")</f>
        <v>7631101</v>
      </c>
      <c r="G48" s="6" t="s">
        <v>219</v>
      </c>
      <c r="H48" s="6" t="s">
        <v>517</v>
      </c>
      <c r="I48" s="10" t="str">
        <f>_xlfn.IFNA(VLOOKUP(E48,[13]Master!$J:$M,4,0),"")</f>
        <v>DIR</v>
      </c>
      <c r="J48" s="10" t="str">
        <f>_xlfn.IFNA(VLOOKUP($E48,[13]Master!$J:$M,3,0),"")</f>
        <v>MFG</v>
      </c>
      <c r="K48" s="14">
        <v>10573721.699892998</v>
      </c>
      <c r="L48" s="14">
        <v>8950286.4023709297</v>
      </c>
      <c r="M48" s="14">
        <v>6460229.5744895097</v>
      </c>
      <c r="N48" s="14">
        <v>7525734.6203660229</v>
      </c>
      <c r="O48" s="14">
        <v>9951952.1139785256</v>
      </c>
      <c r="P48" s="14">
        <v>7148068.6897565285</v>
      </c>
      <c r="Q48" s="14">
        <v>5548197.1639733445</v>
      </c>
      <c r="R48" s="14">
        <v>6681194.955801825</v>
      </c>
      <c r="S48" s="14">
        <v>5425242.9876521491</v>
      </c>
      <c r="T48" s="14">
        <v>5712233.881308781</v>
      </c>
      <c r="U48" s="14">
        <v>5684356.4427634031</v>
      </c>
      <c r="V48" s="14">
        <v>5947578.1519760806</v>
      </c>
      <c r="W48" s="14">
        <v>6531537.1278213719</v>
      </c>
      <c r="X48" s="14">
        <v>6945003.5584575627</v>
      </c>
      <c r="Y48" s="14">
        <v>2196742.1573758107</v>
      </c>
      <c r="Z48" s="14">
        <v>1645355.767620381</v>
      </c>
      <c r="AA48" s="14">
        <v>3160421.1908813091</v>
      </c>
      <c r="AB48" s="14">
        <v>1755985.1816373032</v>
      </c>
      <c r="AC48" s="14">
        <f t="shared" si="2"/>
        <v>50609993.100854516</v>
      </c>
      <c r="AD48" s="14">
        <f t="shared" si="1"/>
        <v>57233848.567269325</v>
      </c>
      <c r="AE48" s="14">
        <v>37068776.7571503</v>
      </c>
      <c r="AF48" s="14">
        <v>35687816.485628717</v>
      </c>
    </row>
    <row r="49" spans="1:32" ht="15" customHeight="1">
      <c r="A49" s="6" t="s">
        <v>13</v>
      </c>
      <c r="B49" s="10" t="s">
        <v>148</v>
      </c>
      <c r="C49" s="6" t="s">
        <v>108</v>
      </c>
      <c r="D49" s="17" t="str">
        <f>_xlfn.IFNA(VLOOKUP(E49,[13]Master!$J:$K,2,0),"")</f>
        <v>B4120</v>
      </c>
      <c r="E49" s="6" t="s">
        <v>149</v>
      </c>
      <c r="F49" s="17">
        <f>_xlfn.IFNA(VLOOKUP(G49,[13]Master!B:C,2,0),"")</f>
        <v>7631101</v>
      </c>
      <c r="G49" s="6" t="s">
        <v>219</v>
      </c>
      <c r="H49" s="6" t="s">
        <v>517</v>
      </c>
      <c r="I49" s="10" t="str">
        <f>_xlfn.IFNA(VLOOKUP(E49,[13]Master!$J:$M,4,0),"")</f>
        <v>DIR</v>
      </c>
      <c r="J49" s="10" t="str">
        <f>_xlfn.IFNA(VLOOKUP($E49,[13]Master!$J:$M,3,0),"")</f>
        <v>MFG</v>
      </c>
      <c r="K49" s="14">
        <v>3414194.6304746564</v>
      </c>
      <c r="L49" s="14">
        <v>3252229.8489117776</v>
      </c>
      <c r="M49" s="14">
        <v>2852925.5556826079</v>
      </c>
      <c r="N49" s="14">
        <v>2745117.2818060983</v>
      </c>
      <c r="O49" s="14">
        <v>2821019.3019949174</v>
      </c>
      <c r="P49" s="14">
        <v>2912974.1831720257</v>
      </c>
      <c r="Q49" s="14">
        <v>2312496.5808121469</v>
      </c>
      <c r="R49" s="14">
        <v>2267477.4552636826</v>
      </c>
      <c r="S49" s="14">
        <v>2389942.3121062694</v>
      </c>
      <c r="T49" s="14">
        <v>2496510.4135779571</v>
      </c>
      <c r="U49" s="14">
        <v>2519050.3302222374</v>
      </c>
      <c r="V49" s="14">
        <v>2502268.9763527941</v>
      </c>
      <c r="W49" s="14">
        <v>2714295.0949058398</v>
      </c>
      <c r="X49" s="14">
        <v>2791940.2944888491</v>
      </c>
      <c r="Y49" s="14">
        <v>2519293.1611826215</v>
      </c>
      <c r="Z49" s="14">
        <v>2218616.3970205598</v>
      </c>
      <c r="AA49" s="14">
        <v>2658496.0092231543</v>
      </c>
      <c r="AB49" s="14">
        <v>2412664.3519708379</v>
      </c>
      <c r="AC49" s="14">
        <f t="shared" si="2"/>
        <v>17998460.802042082</v>
      </c>
      <c r="AD49" s="14">
        <f t="shared" si="1"/>
        <v>29803051.377126951</v>
      </c>
      <c r="AE49" s="14">
        <v>30897230.339551833</v>
      </c>
      <c r="AF49" s="14">
        <v>29843265.918673519</v>
      </c>
    </row>
    <row r="50" spans="1:32" ht="15" customHeight="1">
      <c r="A50" s="6" t="s">
        <v>13</v>
      </c>
      <c r="B50" s="10" t="s">
        <v>150</v>
      </c>
      <c r="C50" s="6" t="s">
        <v>108</v>
      </c>
      <c r="D50" s="17" t="str">
        <f>_xlfn.IFNA(VLOOKUP(E50,[13]Master!$J:$K,2,0),"")</f>
        <v>B4121</v>
      </c>
      <c r="E50" s="6" t="s">
        <v>151</v>
      </c>
      <c r="F50" s="17">
        <f>_xlfn.IFNA(VLOOKUP(G50,[13]Master!B:C,2,0),"")</f>
        <v>7631101</v>
      </c>
      <c r="G50" s="6" t="s">
        <v>219</v>
      </c>
      <c r="H50" s="6" t="s">
        <v>517</v>
      </c>
      <c r="I50" s="10" t="str">
        <f>_xlfn.IFNA(VLOOKUP(E50,[13]Master!$J:$M,4,0),"")</f>
        <v>DIR</v>
      </c>
      <c r="J50" s="10" t="str">
        <f>_xlfn.IFNA(VLOOKUP($E50,[13]Master!$J:$M,3,0),"")</f>
        <v>MFG</v>
      </c>
      <c r="K50" s="14">
        <v>269156.2319776683</v>
      </c>
      <c r="L50" s="14">
        <v>235079.22975295183</v>
      </c>
      <c r="M50" s="14">
        <v>242649.00326968927</v>
      </c>
      <c r="N50" s="14">
        <v>268177.89083622763</v>
      </c>
      <c r="O50" s="14">
        <v>272347.77697013225</v>
      </c>
      <c r="P50" s="14">
        <v>229174.89321922595</v>
      </c>
      <c r="Q50" s="14">
        <v>151862.93857313902</v>
      </c>
      <c r="R50" s="14">
        <v>167514.66064960416</v>
      </c>
      <c r="S50" s="14">
        <v>198531.19996913057</v>
      </c>
      <c r="T50" s="14">
        <v>205871.7968564622</v>
      </c>
      <c r="U50" s="14">
        <v>211815.63163502887</v>
      </c>
      <c r="V50" s="14">
        <v>218304.19495508092</v>
      </c>
      <c r="W50" s="14">
        <v>218439.61750882072</v>
      </c>
      <c r="X50" s="14">
        <v>202555.24642977698</v>
      </c>
      <c r="Y50" s="14">
        <v>197150.93163293647</v>
      </c>
      <c r="Z50" s="14">
        <v>196055.83194355987</v>
      </c>
      <c r="AA50" s="14">
        <v>215802.78413071408</v>
      </c>
      <c r="AB50" s="14">
        <v>173728.47244235722</v>
      </c>
      <c r="AC50" s="14">
        <f t="shared" si="2"/>
        <v>1516585.0260258953</v>
      </c>
      <c r="AD50" s="14">
        <f t="shared" si="1"/>
        <v>2357633.3067266112</v>
      </c>
      <c r="AE50" s="14">
        <v>2558110.3378124582</v>
      </c>
      <c r="AF50" s="14">
        <v>2482913.926521909</v>
      </c>
    </row>
    <row r="51" spans="1:32" ht="15" customHeight="1">
      <c r="A51" s="6" t="s">
        <v>13</v>
      </c>
      <c r="B51" s="10" t="s">
        <v>152</v>
      </c>
      <c r="C51" s="6" t="s">
        <v>108</v>
      </c>
      <c r="D51" s="17" t="str">
        <f>_xlfn.IFNA(VLOOKUP(E51,[13]Master!$J:$K,2,0),"")</f>
        <v>B4410</v>
      </c>
      <c r="E51" s="6" t="s">
        <v>153</v>
      </c>
      <c r="F51" s="17">
        <f>_xlfn.IFNA(VLOOKUP(G51,[13]Master!B:C,2,0),"")</f>
        <v>7631101</v>
      </c>
      <c r="G51" s="6" t="s">
        <v>219</v>
      </c>
      <c r="H51" s="6" t="s">
        <v>517</v>
      </c>
      <c r="I51" s="10" t="str">
        <f>_xlfn.IFNA(VLOOKUP(E51,[13]Master!$J:$M,4,0),"")</f>
        <v>DIR</v>
      </c>
      <c r="J51" s="10" t="str">
        <f>_xlfn.IFNA(VLOOKUP($E51,[13]Master!$J:$M,3,0),"")</f>
        <v>MFG</v>
      </c>
      <c r="K51" s="14">
        <v>23920551.958428543</v>
      </c>
      <c r="L51" s="14">
        <v>15837229.84535788</v>
      </c>
      <c r="M51" s="14">
        <v>29343219.457479082</v>
      </c>
      <c r="N51" s="14">
        <v>32789400.671828955</v>
      </c>
      <c r="O51" s="14">
        <v>33397550.2978907</v>
      </c>
      <c r="P51" s="14">
        <v>32789400.671828955</v>
      </c>
      <c r="Q51" s="14">
        <v>29089823.779953357</v>
      </c>
      <c r="R51" s="14">
        <v>27113337.495252691</v>
      </c>
      <c r="S51" s="14">
        <v>28937786.373437919</v>
      </c>
      <c r="T51" s="14">
        <v>30356802.167581987</v>
      </c>
      <c r="U51" s="14">
        <v>32181251.045767214</v>
      </c>
      <c r="V51" s="14">
        <v>32536004.99430323</v>
      </c>
      <c r="W51" s="14">
        <v>32992117.213849541</v>
      </c>
      <c r="X51" s="14">
        <v>30762235.25162315</v>
      </c>
      <c r="Y51" s="14">
        <v>30508839.574097421</v>
      </c>
      <c r="Z51" s="14">
        <v>35779469.666632526</v>
      </c>
      <c r="AA51" s="14">
        <v>35120640.905065641</v>
      </c>
      <c r="AB51" s="14">
        <v>31319705.742179748</v>
      </c>
      <c r="AC51" s="14">
        <f t="shared" si="2"/>
        <v>168077352.90281412</v>
      </c>
      <c r="AD51" s="14">
        <f t="shared" si="1"/>
        <v>376698014.20974445</v>
      </c>
      <c r="AE51" s="14">
        <v>395550652.6176585</v>
      </c>
      <c r="AF51" s="14">
        <v>403456597.75646108</v>
      </c>
    </row>
    <row r="52" spans="1:32" ht="15" customHeight="1">
      <c r="A52" s="6" t="s">
        <v>13</v>
      </c>
      <c r="B52" s="10" t="s">
        <v>154</v>
      </c>
      <c r="C52" s="6" t="s">
        <v>108</v>
      </c>
      <c r="D52" s="17" t="str">
        <f>_xlfn.IFNA(VLOOKUP(E52,[13]Master!$J:$K,2,0),"")</f>
        <v>B4430</v>
      </c>
      <c r="E52" s="6" t="s">
        <v>155</v>
      </c>
      <c r="F52" s="17">
        <f>_xlfn.IFNA(VLOOKUP(G52,[13]Master!B:C,2,0),"")</f>
        <v>7631101</v>
      </c>
      <c r="G52" s="6" t="s">
        <v>219</v>
      </c>
      <c r="H52" s="6" t="s">
        <v>517</v>
      </c>
      <c r="I52" s="10" t="str">
        <f>_xlfn.IFNA(VLOOKUP(E52,[13]Master!$J:$M,4,0),"")</f>
        <v>DIR</v>
      </c>
      <c r="J52" s="10" t="str">
        <f>_xlfn.IFNA(VLOOKUP($E52,[13]Master!$J:$M,3,0),"")</f>
        <v>MFG</v>
      </c>
      <c r="K52" s="14">
        <v>3807709.5286255423</v>
      </c>
      <c r="L52" s="14">
        <v>3468499.3583531217</v>
      </c>
      <c r="M52" s="14">
        <v>3533525.1351721343</v>
      </c>
      <c r="N52" s="14">
        <v>3814158.6813734374</v>
      </c>
      <c r="O52" s="14">
        <v>3932876.5168687128</v>
      </c>
      <c r="P52" s="14">
        <v>4105171.9290388087</v>
      </c>
      <c r="Q52" s="14">
        <v>3692693.2778435559</v>
      </c>
      <c r="R52" s="14">
        <v>3202405.0263349428</v>
      </c>
      <c r="S52" s="14">
        <v>3689220.6571331513</v>
      </c>
      <c r="T52" s="14">
        <v>3710323.5060656127</v>
      </c>
      <c r="U52" s="14">
        <v>3805114.6032595253</v>
      </c>
      <c r="V52" s="14">
        <v>3854494.5065481425</v>
      </c>
      <c r="W52" s="14">
        <v>4058501.4331176509</v>
      </c>
      <c r="X52" s="14">
        <v>3795994.2038113186</v>
      </c>
      <c r="Y52" s="14">
        <v>3563214.1342127402</v>
      </c>
      <c r="Z52" s="14">
        <v>4119825.6252233749</v>
      </c>
      <c r="AA52" s="14">
        <v>4176265.2519342434</v>
      </c>
      <c r="AB52" s="14">
        <v>3801832.7858848572</v>
      </c>
      <c r="AC52" s="14">
        <f t="shared" si="2"/>
        <v>22661941.149431758</v>
      </c>
      <c r="AD52" s="14">
        <f t="shared" si="1"/>
        <v>45469885.011369117</v>
      </c>
      <c r="AE52" s="14">
        <v>47769790.259670228</v>
      </c>
      <c r="AF52" s="14">
        <v>48707970.261486791</v>
      </c>
    </row>
    <row r="53" spans="1:32" ht="15" customHeight="1">
      <c r="A53" s="6" t="s">
        <v>13</v>
      </c>
      <c r="B53" s="10" t="s">
        <v>156</v>
      </c>
      <c r="C53" s="6" t="s">
        <v>108</v>
      </c>
      <c r="D53" s="17" t="str">
        <f>_xlfn.IFNA(VLOOKUP(E53,[13]Master!$J:$K,2,0),"")</f>
        <v>B4440</v>
      </c>
      <c r="E53" s="6" t="s">
        <v>157</v>
      </c>
      <c r="F53" s="17">
        <f>_xlfn.IFNA(VLOOKUP(G53,[13]Master!B:C,2,0),"")</f>
        <v>7631101</v>
      </c>
      <c r="G53" s="6" t="s">
        <v>219</v>
      </c>
      <c r="H53" s="6" t="s">
        <v>517</v>
      </c>
      <c r="I53" s="10" t="str">
        <f>_xlfn.IFNA(VLOOKUP(E53,[13]Master!$J:$M,4,0),"")</f>
        <v>DIR</v>
      </c>
      <c r="J53" s="10" t="str">
        <f>_xlfn.IFNA(VLOOKUP($E53,[13]Master!$J:$M,3,0),"")</f>
        <v>MFG</v>
      </c>
      <c r="K53" s="14">
        <v>396009.60361324815</v>
      </c>
      <c r="L53" s="14">
        <v>433382.43569438247</v>
      </c>
      <c r="M53" s="14">
        <v>335579.79617271147</v>
      </c>
      <c r="N53" s="14">
        <v>405427.46541611542</v>
      </c>
      <c r="O53" s="14">
        <v>428044.46937046835</v>
      </c>
      <c r="P53" s="14">
        <v>481141.42006017966</v>
      </c>
      <c r="Q53" s="14">
        <v>478137.59922249219</v>
      </c>
      <c r="R53" s="14">
        <v>396124.4555864539</v>
      </c>
      <c r="S53" s="14">
        <v>460998.15091333416</v>
      </c>
      <c r="T53" s="14">
        <v>469400.01449168945</v>
      </c>
      <c r="U53" s="14">
        <v>477218.78343684657</v>
      </c>
      <c r="V53" s="14">
        <v>463454.21618650219</v>
      </c>
      <c r="W53" s="14">
        <v>480770.35983905359</v>
      </c>
      <c r="X53" s="14">
        <v>472536.356836922</v>
      </c>
      <c r="Y53" s="14">
        <v>385796.61276511068</v>
      </c>
      <c r="Z53" s="14">
        <v>449689.6489361577</v>
      </c>
      <c r="AA53" s="14">
        <v>461201.35055823647</v>
      </c>
      <c r="AB53" s="14">
        <v>460688.93406239571</v>
      </c>
      <c r="AC53" s="14">
        <f t="shared" si="2"/>
        <v>2479585.1903271056</v>
      </c>
      <c r="AD53" s="14">
        <f t="shared" si="1"/>
        <v>5456016.4828351941</v>
      </c>
      <c r="AE53" s="14">
        <v>5550495.4829476355</v>
      </c>
      <c r="AF53" s="14">
        <v>5564887.3186670272</v>
      </c>
    </row>
    <row r="54" spans="1:32" ht="15" customHeight="1">
      <c r="A54" s="6" t="s">
        <v>13</v>
      </c>
      <c r="B54" s="10" t="s">
        <v>78</v>
      </c>
      <c r="C54" s="6" t="s">
        <v>108</v>
      </c>
      <c r="D54" s="17" t="str">
        <f>_xlfn.IFNA(VLOOKUP(E54,[13]Master!$J:$K,2,0),"")</f>
        <v>B5000</v>
      </c>
      <c r="E54" s="6" t="s">
        <v>79</v>
      </c>
      <c r="F54" s="17">
        <f>_xlfn.IFNA(VLOOKUP(G54,[13]Master!B:C,2,0),"")</f>
        <v>7631101</v>
      </c>
      <c r="G54" s="6" t="s">
        <v>219</v>
      </c>
      <c r="H54" s="6" t="s">
        <v>517</v>
      </c>
      <c r="I54" s="10" t="str">
        <f>_xlfn.IFNA(VLOOKUP(E54,[13]Master!$J:$M,4,0),"")</f>
        <v>IND</v>
      </c>
      <c r="J54" s="10" t="str">
        <f>_xlfn.IFNA(VLOOKUP($E54,[13]Master!$J:$M,3,0),"")</f>
        <v>MFG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f t="shared" si="2"/>
        <v>0</v>
      </c>
      <c r="AD54" s="14">
        <f t="shared" si="1"/>
        <v>0</v>
      </c>
      <c r="AE54" s="14">
        <v>0</v>
      </c>
      <c r="AF54" s="14">
        <v>0</v>
      </c>
    </row>
    <row r="55" spans="1:32" ht="15" customHeight="1">
      <c r="A55" s="6" t="s">
        <v>13</v>
      </c>
      <c r="B55" s="10" t="s">
        <v>182</v>
      </c>
      <c r="C55" s="6" t="s">
        <v>108</v>
      </c>
      <c r="D55" s="17" t="str">
        <f>_xlfn.IFNA(VLOOKUP(E55,[13]Master!$J:$K,2,0),"")</f>
        <v>B5100</v>
      </c>
      <c r="E55" s="6" t="s">
        <v>183</v>
      </c>
      <c r="F55" s="17">
        <f>_xlfn.IFNA(VLOOKUP(G55,[13]Master!B:C,2,0),"")</f>
        <v>7631101</v>
      </c>
      <c r="G55" s="6" t="s">
        <v>219</v>
      </c>
      <c r="H55" s="6" t="s">
        <v>517</v>
      </c>
      <c r="I55" s="10" t="str">
        <f>_xlfn.IFNA(VLOOKUP(E55,[13]Master!$J:$M,4,0),"")</f>
        <v>IND</v>
      </c>
      <c r="J55" s="10" t="str">
        <f>_xlfn.IFNA(VLOOKUP($E55,[13]Master!$J:$M,3,0),"")</f>
        <v>MFG</v>
      </c>
      <c r="K55" s="14">
        <v>1370346.1752867068</v>
      </c>
      <c r="L55" s="14">
        <v>1566723.7126917967</v>
      </c>
      <c r="M55" s="14">
        <v>923915.78772803512</v>
      </c>
      <c r="N55" s="14">
        <v>929696.716430648</v>
      </c>
      <c r="O55" s="14">
        <v>945622.21131003508</v>
      </c>
      <c r="P55" s="14">
        <v>875108.48237241583</v>
      </c>
      <c r="Q55" s="14">
        <v>744229.7055800478</v>
      </c>
      <c r="R55" s="14">
        <v>760565.69908281439</v>
      </c>
      <c r="S55" s="14">
        <v>789508.51569797285</v>
      </c>
      <c r="T55" s="14">
        <v>810359.77361651754</v>
      </c>
      <c r="U55" s="14">
        <v>821878.16732609703</v>
      </c>
      <c r="V55" s="14">
        <v>834781.30041768483</v>
      </c>
      <c r="W55" s="14">
        <v>872778.12287329056</v>
      </c>
      <c r="X55" s="14">
        <v>860049.7998103468</v>
      </c>
      <c r="Y55" s="14">
        <v>758549.72575752437</v>
      </c>
      <c r="Z55" s="14">
        <v>738454.54509401671</v>
      </c>
      <c r="AA55" s="14">
        <v>810232.28500798566</v>
      </c>
      <c r="AB55" s="14">
        <v>728976.66718537547</v>
      </c>
      <c r="AC55" s="14">
        <f t="shared" si="2"/>
        <v>6611413.0858196374</v>
      </c>
      <c r="AD55" s="14">
        <f t="shared" si="1"/>
        <v>9530364.3074496742</v>
      </c>
      <c r="AE55" s="14">
        <v>9733761.6909545846</v>
      </c>
      <c r="AF55" s="14">
        <v>9065238.4318843391</v>
      </c>
    </row>
    <row r="56" spans="1:32" ht="15" customHeight="1">
      <c r="A56" s="6" t="s">
        <v>13</v>
      </c>
      <c r="B56" s="10" t="s">
        <v>167</v>
      </c>
      <c r="C56" s="6" t="s">
        <v>108</v>
      </c>
      <c r="D56" s="17" t="str">
        <f>_xlfn.IFNA(VLOOKUP(E56,[13]Master!$J:$K,2,0),"")</f>
        <v>B5101</v>
      </c>
      <c r="E56" s="6" t="s">
        <v>168</v>
      </c>
      <c r="F56" s="17">
        <f>_xlfn.IFNA(VLOOKUP(G56,[13]Master!B:C,2,0),"")</f>
        <v>7631101</v>
      </c>
      <c r="G56" s="6" t="s">
        <v>219</v>
      </c>
      <c r="H56" s="6" t="s">
        <v>517</v>
      </c>
      <c r="I56" s="10" t="str">
        <f>_xlfn.IFNA(VLOOKUP(E56,[13]Master!$J:$M,4,0),"")</f>
        <v>IND</v>
      </c>
      <c r="J56" s="10" t="str">
        <f>_xlfn.IFNA(VLOOKUP($E56,[13]Master!$J:$M,3,0),"")</f>
        <v>MFG</v>
      </c>
      <c r="K56" s="14">
        <v>745710.15436507168</v>
      </c>
      <c r="L56" s="14">
        <v>852574.19089331874</v>
      </c>
      <c r="M56" s="14">
        <v>502773.23869849992</v>
      </c>
      <c r="N56" s="14">
        <v>505919.08411547792</v>
      </c>
      <c r="O56" s="14">
        <v>514585.36381838808</v>
      </c>
      <c r="P56" s="14">
        <v>476213.45120300283</v>
      </c>
      <c r="Q56" s="14">
        <v>404992.29949326871</v>
      </c>
      <c r="R56" s="14">
        <v>413881.96289099095</v>
      </c>
      <c r="S56" s="14">
        <v>429631.96288010624</v>
      </c>
      <c r="T56" s="14">
        <v>440978.72696173738</v>
      </c>
      <c r="U56" s="14">
        <v>447246.76587490557</v>
      </c>
      <c r="V56" s="14">
        <v>454268.34738696972</v>
      </c>
      <c r="W56" s="14">
        <v>474945.32437989913</v>
      </c>
      <c r="X56" s="14">
        <v>468018.87037342123</v>
      </c>
      <c r="Y56" s="14">
        <v>412784.9176284803</v>
      </c>
      <c r="Z56" s="14">
        <v>401849.59300407069</v>
      </c>
      <c r="AA56" s="14">
        <v>440909.35065984912</v>
      </c>
      <c r="AB56" s="14">
        <v>396691.95479135594</v>
      </c>
      <c r="AC56" s="14">
        <f t="shared" si="2"/>
        <v>3597775.483093759</v>
      </c>
      <c r="AD56" s="14">
        <f t="shared" si="1"/>
        <v>5186200.0763250552</v>
      </c>
      <c r="AE56" s="14">
        <v>5296884.1479751719</v>
      </c>
      <c r="AF56" s="14">
        <v>4933089.5158533929</v>
      </c>
    </row>
    <row r="57" spans="1:32" ht="15" customHeight="1">
      <c r="A57" s="6" t="s">
        <v>13</v>
      </c>
      <c r="B57" s="10" t="s">
        <v>192</v>
      </c>
      <c r="C57" s="6" t="s">
        <v>108</v>
      </c>
      <c r="D57" s="17" t="str">
        <f>_xlfn.IFNA(VLOOKUP(E57,[13]Master!$J:$K,2,0),"")</f>
        <v>B5104</v>
      </c>
      <c r="E57" s="6" t="s">
        <v>193</v>
      </c>
      <c r="F57" s="17">
        <f>_xlfn.IFNA(VLOOKUP(G57,[13]Master!B:C,2,0),"")</f>
        <v>7631101</v>
      </c>
      <c r="G57" s="6" t="s">
        <v>219</v>
      </c>
      <c r="H57" s="6" t="s">
        <v>517</v>
      </c>
      <c r="I57" s="10" t="str">
        <f>_xlfn.IFNA(VLOOKUP(E57,[13]Master!$J:$M,4,0),"")</f>
        <v>IND</v>
      </c>
      <c r="J57" s="10" t="str">
        <f>_xlfn.IFNA(VLOOKUP($E57,[13]Master!$J:$M,3,0),"")</f>
        <v>MFG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f t="shared" si="2"/>
        <v>0</v>
      </c>
      <c r="AD57" s="14">
        <f t="shared" si="1"/>
        <v>0</v>
      </c>
      <c r="AE57" s="14">
        <v>0</v>
      </c>
      <c r="AF57" s="14">
        <v>0</v>
      </c>
    </row>
    <row r="58" spans="1:32" ht="15" customHeight="1">
      <c r="A58" s="6" t="s">
        <v>13</v>
      </c>
      <c r="B58" s="10" t="s">
        <v>175</v>
      </c>
      <c r="C58" s="6" t="s">
        <v>108</v>
      </c>
      <c r="D58" s="17" t="str">
        <f>_xlfn.IFNA(VLOOKUP(E58,[13]Master!$J:$K,2,0),"")</f>
        <v>B5800</v>
      </c>
      <c r="E58" s="6" t="s">
        <v>176</v>
      </c>
      <c r="F58" s="17">
        <f>_xlfn.IFNA(VLOOKUP(G58,[13]Master!B:C,2,0),"")</f>
        <v>7631101</v>
      </c>
      <c r="G58" s="6" t="s">
        <v>219</v>
      </c>
      <c r="H58" s="6" t="s">
        <v>517</v>
      </c>
      <c r="I58" s="10" t="str">
        <f>_xlfn.IFNA(VLOOKUP(E58,[13]Master!$J:$M,4,0),"")</f>
        <v>IND</v>
      </c>
      <c r="J58" s="10" t="str">
        <f>_xlfn.IFNA(VLOOKUP($E58,[13]Master!$J:$M,3,0),"")</f>
        <v>MFG</v>
      </c>
      <c r="K58" s="14">
        <v>1147933.148780006</v>
      </c>
      <c r="L58" s="14">
        <v>1312437.774639179</v>
      </c>
      <c r="M58" s="14">
        <v>773960.31640859169</v>
      </c>
      <c r="N58" s="14">
        <v>778802.97573668056</v>
      </c>
      <c r="O58" s="14">
        <v>792143.69490127405</v>
      </c>
      <c r="P58" s="14">
        <v>733074.64479454048</v>
      </c>
      <c r="Q58" s="14">
        <v>623438.05145687156</v>
      </c>
      <c r="R58" s="14">
        <v>637122.64356817305</v>
      </c>
      <c r="S58" s="14">
        <v>661367.91765349661</v>
      </c>
      <c r="T58" s="14">
        <v>678834.92751576821</v>
      </c>
      <c r="U58" s="14">
        <v>688483.83681940392</v>
      </c>
      <c r="V58" s="14">
        <v>699292.73639972706</v>
      </c>
      <c r="W58" s="14">
        <v>731122.51257724839</v>
      </c>
      <c r="X58" s="14">
        <v>720460.05061264511</v>
      </c>
      <c r="Y58" s="14">
        <v>635433.8713083663</v>
      </c>
      <c r="Z58" s="14">
        <v>618600.22413922148</v>
      </c>
      <c r="AA58" s="14">
        <v>678728.13085192896</v>
      </c>
      <c r="AB58" s="14">
        <v>610660.64622261014</v>
      </c>
      <c r="AC58" s="14">
        <f t="shared" si="2"/>
        <v>5538352.5552602718</v>
      </c>
      <c r="AD58" s="14">
        <f t="shared" si="1"/>
        <v>7983545.54912546</v>
      </c>
      <c r="AE58" s="14">
        <v>8153930.6701344326</v>
      </c>
      <c r="AF58" s="14">
        <v>7593911.5861561652</v>
      </c>
    </row>
    <row r="59" spans="1:32" ht="15" customHeight="1">
      <c r="A59" s="6" t="s">
        <v>13</v>
      </c>
      <c r="B59" s="10" t="s">
        <v>177</v>
      </c>
      <c r="C59" s="6" t="s">
        <v>108</v>
      </c>
      <c r="D59" s="17" t="str">
        <f>_xlfn.IFNA(VLOOKUP(E59,[13]Master!$J:$K,2,0),"")</f>
        <v>B5900</v>
      </c>
      <c r="E59" s="6" t="s">
        <v>178</v>
      </c>
      <c r="F59" s="17">
        <f>_xlfn.IFNA(VLOOKUP(G59,[13]Master!B:C,2,0),"")</f>
        <v>7631101</v>
      </c>
      <c r="G59" s="6" t="s">
        <v>219</v>
      </c>
      <c r="H59" s="6" t="s">
        <v>517</v>
      </c>
      <c r="I59" s="10" t="str">
        <f>_xlfn.IFNA(VLOOKUP(E59,[13]Master!$J:$M,4,0),"")</f>
        <v>IND</v>
      </c>
      <c r="J59" s="10" t="str">
        <f>_xlfn.IFNA(VLOOKUP($E59,[13]Master!$J:$M,3,0),"")</f>
        <v>MFG</v>
      </c>
      <c r="K59" s="14">
        <v>2314870.603111289</v>
      </c>
      <c r="L59" s="14">
        <v>2646603.2679288639</v>
      </c>
      <c r="M59" s="14">
        <v>1560733.7294275772</v>
      </c>
      <c r="N59" s="14">
        <v>1570499.2194575409</v>
      </c>
      <c r="O59" s="14">
        <v>1597401.516556724</v>
      </c>
      <c r="P59" s="14">
        <v>1478285.5142084113</v>
      </c>
      <c r="Q59" s="14">
        <v>1257197.2677261459</v>
      </c>
      <c r="R59" s="14">
        <v>1284793.00361694</v>
      </c>
      <c r="S59" s="14">
        <v>1333684.9380506999</v>
      </c>
      <c r="T59" s="14">
        <v>1368908.1282664363</v>
      </c>
      <c r="U59" s="14">
        <v>1388365.6868558116</v>
      </c>
      <c r="V59" s="14">
        <v>1410162.4299127257</v>
      </c>
      <c r="W59" s="14">
        <v>1474348.9317619523</v>
      </c>
      <c r="X59" s="14">
        <v>1452847.4882459389</v>
      </c>
      <c r="Y59" s="14">
        <v>1281387.5010720126</v>
      </c>
      <c r="Z59" s="14">
        <v>1247441.5217121392</v>
      </c>
      <c r="AA59" s="14">
        <v>1368692.7668946572</v>
      </c>
      <c r="AB59" s="14">
        <v>1231430.9242833534</v>
      </c>
      <c r="AC59" s="14">
        <f t="shared" si="2"/>
        <v>11168393.850690406</v>
      </c>
      <c r="AD59" s="14">
        <f t="shared" si="1"/>
        <v>16099260.588398812</v>
      </c>
      <c r="AE59" s="14">
        <v>16442851.596507957</v>
      </c>
      <c r="AF59" s="14">
        <v>15313542.179787699</v>
      </c>
    </row>
    <row r="60" spans="1:32" ht="15" customHeight="1">
      <c r="A60" s="6" t="s">
        <v>13</v>
      </c>
      <c r="B60" s="10" t="s">
        <v>107</v>
      </c>
      <c r="C60" s="6" t="s">
        <v>108</v>
      </c>
      <c r="D60" s="17" t="str">
        <f>_xlfn.IFNA(VLOOKUP(E60,[13]Master!$J:$K,2,0),"")</f>
        <v>B5500</v>
      </c>
      <c r="E60" s="6" t="s">
        <v>108</v>
      </c>
      <c r="F60" s="17">
        <f>_xlfn.IFNA(VLOOKUP(G60,[13]Master!B:C,2,0),"")</f>
        <v>7631101</v>
      </c>
      <c r="G60" s="6" t="s">
        <v>219</v>
      </c>
      <c r="H60" s="6" t="s">
        <v>517</v>
      </c>
      <c r="I60" s="10" t="str">
        <f>_xlfn.IFNA(VLOOKUP(E60,[13]Master!$J:$M,4,0),"")</f>
        <v>IND</v>
      </c>
      <c r="J60" s="10" t="str">
        <f>_xlfn.IFNA(VLOOKUP($E60,[13]Master!$J:$M,3,0),"")</f>
        <v>MFG</v>
      </c>
      <c r="K60" s="14">
        <v>1975716.8425038883</v>
      </c>
      <c r="L60" s="14">
        <v>2258847.0581659987</v>
      </c>
      <c r="M60" s="14">
        <v>1332069.2360728579</v>
      </c>
      <c r="N60" s="14">
        <v>1340403.9754321859</v>
      </c>
      <c r="O60" s="14">
        <v>1363364.7929437403</v>
      </c>
      <c r="P60" s="14">
        <v>1261700.5825403647</v>
      </c>
      <c r="Q60" s="14">
        <v>1073004.1726124953</v>
      </c>
      <c r="R60" s="14">
        <v>1096556.8325786514</v>
      </c>
      <c r="S60" s="14">
        <v>1138285.5660091701</v>
      </c>
      <c r="T60" s="14">
        <v>1168348.1751513032</v>
      </c>
      <c r="U60" s="14">
        <v>1184954.9894446665</v>
      </c>
      <c r="V60" s="14">
        <v>1203558.2721989572</v>
      </c>
      <c r="W60" s="14">
        <v>1258340.7523058278</v>
      </c>
      <c r="X60" s="14">
        <v>1239989.5044928237</v>
      </c>
      <c r="Y60" s="14">
        <v>1093650.2732547047</v>
      </c>
      <c r="Z60" s="14">
        <v>1064677.7496646391</v>
      </c>
      <c r="AA60" s="14">
        <v>1168164.3665665484</v>
      </c>
      <c r="AB60" s="14">
        <v>1051012.8791720569</v>
      </c>
      <c r="AC60" s="14">
        <f t="shared" si="2"/>
        <v>9532102.4876590353</v>
      </c>
      <c r="AD60" s="14">
        <f t="shared" si="1"/>
        <v>13740543.533451842</v>
      </c>
      <c r="AE60" s="14">
        <v>14033794.715933379</v>
      </c>
      <c r="AF60" s="14">
        <v>13069941.430996576</v>
      </c>
    </row>
    <row r="61" spans="1:32" ht="15" customHeight="1">
      <c r="A61" s="6" t="s">
        <v>13</v>
      </c>
      <c r="B61" s="10" t="s">
        <v>171</v>
      </c>
      <c r="C61" s="6" t="s">
        <v>108</v>
      </c>
      <c r="D61" s="17" t="str">
        <f>_xlfn.IFNA(VLOOKUP(E61,[13]Master!$J:$K,2,0),"")</f>
        <v>B5600</v>
      </c>
      <c r="E61" s="6" t="s">
        <v>172</v>
      </c>
      <c r="F61" s="17">
        <f>_xlfn.IFNA(VLOOKUP(G61,[13]Master!B:C,2,0),"")</f>
        <v>7631101</v>
      </c>
      <c r="G61" s="6" t="s">
        <v>219</v>
      </c>
      <c r="H61" s="6" t="s">
        <v>517</v>
      </c>
      <c r="I61" s="10" t="str">
        <f>_xlfn.IFNA(VLOOKUP(E61,[13]Master!$J:$M,4,0),"")</f>
        <v>IND</v>
      </c>
      <c r="J61" s="10" t="str">
        <f>_xlfn.IFNA(VLOOKUP($E61,[13]Master!$J:$M,3,0),"")</f>
        <v>MFG</v>
      </c>
      <c r="K61" s="14">
        <v>3213189.5078235646</v>
      </c>
      <c r="L61" s="14">
        <v>3673655.8149085212</v>
      </c>
      <c r="M61" s="14">
        <v>2166398.9499727283</v>
      </c>
      <c r="N61" s="14">
        <v>2179954.0791712506</v>
      </c>
      <c r="O61" s="14">
        <v>2217296.2004368049</v>
      </c>
      <c r="P61" s="14">
        <v>2051955.5164067498</v>
      </c>
      <c r="Q61" s="14">
        <v>1745070.7890508808</v>
      </c>
      <c r="R61" s="14">
        <v>1783375.4480265453</v>
      </c>
      <c r="S61" s="14">
        <v>1851240.6023589761</v>
      </c>
      <c r="T61" s="14">
        <v>1900132.65925458</v>
      </c>
      <c r="U61" s="14">
        <v>1927141.0039211083</v>
      </c>
      <c r="V61" s="14">
        <v>1957396.2873054445</v>
      </c>
      <c r="W61" s="14">
        <v>2046491.2863989717</v>
      </c>
      <c r="X61" s="14">
        <v>2016645.8977989103</v>
      </c>
      <c r="Y61" s="14">
        <v>1778648.3911312185</v>
      </c>
      <c r="Z61" s="14">
        <v>1731529.1851741599</v>
      </c>
      <c r="AA61" s="14">
        <v>1899833.7237982044</v>
      </c>
      <c r="AB61" s="14">
        <v>1709305.4446320247</v>
      </c>
      <c r="AC61" s="14">
        <f t="shared" si="2"/>
        <v>15502450.06871962</v>
      </c>
      <c r="AD61" s="14">
        <f t="shared" si="1"/>
        <v>22346810.718851026</v>
      </c>
      <c r="AE61" s="14">
        <v>22823737.170271233</v>
      </c>
      <c r="AF61" s="14">
        <v>21256182.956219368</v>
      </c>
    </row>
    <row r="62" spans="1:32" ht="15" customHeight="1">
      <c r="A62" s="6" t="s">
        <v>13</v>
      </c>
      <c r="B62" s="10" t="s">
        <v>169</v>
      </c>
      <c r="C62" s="6" t="s">
        <v>108</v>
      </c>
      <c r="D62" s="17" t="str">
        <f>_xlfn.IFNA(VLOOKUP(E62,[13]Master!$J:$K,2,0),"")</f>
        <v>B5130</v>
      </c>
      <c r="E62" s="6" t="s">
        <v>170</v>
      </c>
      <c r="F62" s="17">
        <f>_xlfn.IFNA(VLOOKUP(G62,[13]Master!B:C,2,0),"")</f>
        <v>7631101</v>
      </c>
      <c r="G62" s="6" t="s">
        <v>219</v>
      </c>
      <c r="H62" s="6" t="s">
        <v>517</v>
      </c>
      <c r="I62" s="10" t="str">
        <f>_xlfn.IFNA(VLOOKUP(E62,[13]Master!$J:$M,4,0),"")</f>
        <v>IND</v>
      </c>
      <c r="J62" s="10" t="str">
        <f>_xlfn.IFNA(VLOOKUP($E62,[13]Master!$J:$M,3,0),"")</f>
        <v>MFG</v>
      </c>
      <c r="K62" s="14">
        <v>970315.98535845801</v>
      </c>
      <c r="L62" s="14">
        <v>1109367.17340561</v>
      </c>
      <c r="M62" s="14">
        <v>654207.14424221939</v>
      </c>
      <c r="N62" s="14">
        <v>658300.50957685057</v>
      </c>
      <c r="O62" s="14">
        <v>669577.04869878478</v>
      </c>
      <c r="P62" s="14">
        <v>619647.62239080085</v>
      </c>
      <c r="Q62" s="14">
        <v>526974.85724864516</v>
      </c>
      <c r="R62" s="14">
        <v>538542.06261493149</v>
      </c>
      <c r="S62" s="14">
        <v>559035.91893347143</v>
      </c>
      <c r="T62" s="14">
        <v>573800.29689728271</v>
      </c>
      <c r="U62" s="14">
        <v>581956.25175279134</v>
      </c>
      <c r="V62" s="14">
        <v>591092.71414876648</v>
      </c>
      <c r="W62" s="14">
        <v>617997.53928449377</v>
      </c>
      <c r="X62" s="14">
        <v>608984.85653504392</v>
      </c>
      <c r="Y62" s="14">
        <v>537114.59036094008</v>
      </c>
      <c r="Z62" s="14">
        <v>522885.57627813856</v>
      </c>
      <c r="AA62" s="14">
        <v>573710.02464561327</v>
      </c>
      <c r="AB62" s="14">
        <v>516174.47173544421</v>
      </c>
      <c r="AC62" s="14">
        <f t="shared" si="2"/>
        <v>4681415.4836727241</v>
      </c>
      <c r="AD62" s="14">
        <f t="shared" si="1"/>
        <v>6748269.160435563</v>
      </c>
      <c r="AE62" s="14">
        <v>6892290.9675921416</v>
      </c>
      <c r="AF62" s="14">
        <v>6418922.4009056436</v>
      </c>
    </row>
    <row r="63" spans="1:32" ht="15" customHeight="1">
      <c r="A63" s="6" t="s">
        <v>13</v>
      </c>
      <c r="B63" s="10" t="s">
        <v>111</v>
      </c>
      <c r="C63" s="6" t="s">
        <v>108</v>
      </c>
      <c r="D63" s="17" t="str">
        <f>_xlfn.IFNA(VLOOKUP(E63,[13]Master!$J:$K,2,0),"")</f>
        <v>B5200</v>
      </c>
      <c r="E63" s="6" t="s">
        <v>112</v>
      </c>
      <c r="F63" s="17">
        <f>_xlfn.IFNA(VLOOKUP(G63,[13]Master!B:C,2,0),"")</f>
        <v>7631101</v>
      </c>
      <c r="G63" s="6" t="s">
        <v>219</v>
      </c>
      <c r="H63" s="6" t="s">
        <v>517</v>
      </c>
      <c r="I63" s="10" t="str">
        <f>_xlfn.IFNA(VLOOKUP(E63,[13]Master!$J:$M,4,0),"")</f>
        <v>IND</v>
      </c>
      <c r="J63" s="10" t="str">
        <f>_xlfn.IFNA(VLOOKUP($E63,[13]Master!$J:$M,3,0),"")</f>
        <v>MFG</v>
      </c>
      <c r="K63" s="14">
        <v>223300.59022750199</v>
      </c>
      <c r="L63" s="14">
        <v>255300.6941434379</v>
      </c>
      <c r="M63" s="14">
        <v>150553.88517212655</v>
      </c>
      <c r="N63" s="14">
        <v>151495.89881410758</v>
      </c>
      <c r="O63" s="14">
        <v>154090.98936156591</v>
      </c>
      <c r="P63" s="14">
        <v>142600.63927712967</v>
      </c>
      <c r="Q63" s="14">
        <v>121273.68654573338</v>
      </c>
      <c r="R63" s="14">
        <v>123935.66864697669</v>
      </c>
      <c r="S63" s="14">
        <v>128651.9572385503</v>
      </c>
      <c r="T63" s="14">
        <v>132049.71051007145</v>
      </c>
      <c r="U63" s="14">
        <v>133926.65529979492</v>
      </c>
      <c r="V63" s="14">
        <v>136029.24608094024</v>
      </c>
      <c r="W63" s="14">
        <v>142220.90263759909</v>
      </c>
      <c r="X63" s="14">
        <v>140146.79749262214</v>
      </c>
      <c r="Y63" s="14">
        <v>123607.16184954211</v>
      </c>
      <c r="Z63" s="14">
        <v>120332.61284592943</v>
      </c>
      <c r="AA63" s="14">
        <v>132028.93599189067</v>
      </c>
      <c r="AB63" s="14">
        <v>118788.17409806266</v>
      </c>
      <c r="AC63" s="14">
        <f t="shared" si="2"/>
        <v>1077342.6969958697</v>
      </c>
      <c r="AD63" s="14">
        <f t="shared" si="1"/>
        <v>1552991.5092377129</v>
      </c>
      <c r="AE63" s="14">
        <v>1586135.5108093403</v>
      </c>
      <c r="AF63" s="14">
        <v>1477198.3378355359</v>
      </c>
    </row>
    <row r="64" spans="1:32" ht="15" customHeight="1">
      <c r="A64" s="6" t="s">
        <v>13</v>
      </c>
      <c r="B64" s="10" t="s">
        <v>173</v>
      </c>
      <c r="C64" s="6" t="s">
        <v>108</v>
      </c>
      <c r="D64" s="17" t="str">
        <f>_xlfn.IFNA(VLOOKUP(E64,[13]Master!$J:$K,2,0),"")</f>
        <v>B5710</v>
      </c>
      <c r="E64" s="6" t="s">
        <v>174</v>
      </c>
      <c r="F64" s="17">
        <f>_xlfn.IFNA(VLOOKUP(G64,[13]Master!B:C,2,0),"")</f>
        <v>7631101</v>
      </c>
      <c r="G64" s="6" t="s">
        <v>219</v>
      </c>
      <c r="H64" s="6" t="s">
        <v>517</v>
      </c>
      <c r="I64" s="10" t="str">
        <f>_xlfn.IFNA(VLOOKUP(E64,[13]Master!$J:$M,4,0),"")</f>
        <v>IND</v>
      </c>
      <c r="J64" s="10" t="str">
        <f>_xlfn.IFNA(VLOOKUP($E64,[13]Master!$J:$M,3,0),"")</f>
        <v>MFG</v>
      </c>
      <c r="K64" s="14">
        <v>4014440.2672585477</v>
      </c>
      <c r="L64" s="14">
        <v>4589729.8604732882</v>
      </c>
      <c r="M64" s="14">
        <v>2706618.8155232519</v>
      </c>
      <c r="N64" s="14">
        <v>2723554.093181151</v>
      </c>
      <c r="O64" s="14">
        <v>2770207.959972478</v>
      </c>
      <c r="P64" s="14">
        <v>2563637.4174725087</v>
      </c>
      <c r="Q64" s="14">
        <v>2180226.97625688</v>
      </c>
      <c r="R64" s="14">
        <v>2228083.4021045016</v>
      </c>
      <c r="S64" s="14">
        <v>2312871.6188070895</v>
      </c>
      <c r="T64" s="14">
        <v>2373955.5484890817</v>
      </c>
      <c r="U64" s="14">
        <v>2407698.7765549384</v>
      </c>
      <c r="V64" s="14">
        <v>2445498.6099042222</v>
      </c>
      <c r="W64" s="14">
        <v>2556810.6103640646</v>
      </c>
      <c r="X64" s="14">
        <v>2519522.8844156442</v>
      </c>
      <c r="Y64" s="14">
        <v>2222177.5918496079</v>
      </c>
      <c r="Z64" s="14">
        <v>2163308.5966363782</v>
      </c>
      <c r="AA64" s="14">
        <v>2373582.0695733614</v>
      </c>
      <c r="AB64" s="14">
        <v>2135543.0762074622</v>
      </c>
      <c r="AC64" s="14">
        <f t="shared" si="2"/>
        <v>19368188.413881224</v>
      </c>
      <c r="AD64" s="14">
        <f t="shared" si="1"/>
        <v>27919279.761163231</v>
      </c>
      <c r="AE64" s="14">
        <v>28515134.050628666</v>
      </c>
      <c r="AF64" s="14">
        <v>26556689.725238394</v>
      </c>
    </row>
    <row r="65" spans="1:32" ht="15" customHeight="1">
      <c r="A65" s="6" t="s">
        <v>13</v>
      </c>
      <c r="B65" s="10" t="s">
        <v>99</v>
      </c>
      <c r="C65" s="6" t="s">
        <v>108</v>
      </c>
      <c r="D65" s="17" t="str">
        <f>_xlfn.IFNA(VLOOKUP(E65,[13]Master!$J:$K,2,0),"")</f>
        <v>B3150</v>
      </c>
      <c r="E65" s="6" t="s">
        <v>100</v>
      </c>
      <c r="F65" s="17">
        <f>_xlfn.IFNA(VLOOKUP(G65,[13]Master!B:C,2,0),"")</f>
        <v>7631101</v>
      </c>
      <c r="G65" s="6" t="s">
        <v>219</v>
      </c>
      <c r="H65" s="6" t="s">
        <v>517</v>
      </c>
      <c r="I65" s="10" t="str">
        <f>_xlfn.IFNA(VLOOKUP(E65,[13]Master!$J:$M,4,0),"")</f>
        <v>ADM</v>
      </c>
      <c r="J65" s="10" t="str">
        <f>_xlfn.IFNA(VLOOKUP($E65,[13]Master!$J:$M,3,0),"")</f>
        <v>SGA</v>
      </c>
      <c r="K65" s="14">
        <v>10023309.308640704</v>
      </c>
      <c r="L65" s="14">
        <v>11459700.225168461</v>
      </c>
      <c r="M65" s="14">
        <v>6757922.8391665202</v>
      </c>
      <c r="N65" s="14">
        <v>6800207.0718096811</v>
      </c>
      <c r="O65" s="14">
        <v>6916693.0838466557</v>
      </c>
      <c r="P65" s="14">
        <v>6400924.9309567241</v>
      </c>
      <c r="Q65" s="14">
        <v>5443620.5027876999</v>
      </c>
      <c r="R65" s="14">
        <v>5563109.0807070099</v>
      </c>
      <c r="S65" s="14">
        <v>5774809.4586325381</v>
      </c>
      <c r="T65" s="14">
        <v>5927324.6488530608</v>
      </c>
      <c r="U65" s="14">
        <v>6011575.2017220547</v>
      </c>
      <c r="V65" s="14">
        <v>6105954.342088162</v>
      </c>
      <c r="W65" s="14">
        <v>6383879.6656936072</v>
      </c>
      <c r="X65" s="14">
        <v>6290779.1620829059</v>
      </c>
      <c r="Y65" s="14">
        <v>5548363.3729714286</v>
      </c>
      <c r="Z65" s="14">
        <v>5401378.4613951901</v>
      </c>
      <c r="AA65" s="14">
        <v>5926392.1415934442</v>
      </c>
      <c r="AB65" s="14">
        <v>5332053.1306276061</v>
      </c>
      <c r="AC65" s="14">
        <f t="shared" si="2"/>
        <v>48358757.459588744</v>
      </c>
      <c r="AD65" s="14">
        <f t="shared" si="1"/>
        <v>69709239.169154704</v>
      </c>
      <c r="AE65" s="14">
        <v>71196976.300256923</v>
      </c>
      <c r="AF65" s="14">
        <v>66307105.750372194</v>
      </c>
    </row>
    <row r="66" spans="1:32" ht="15" customHeight="1">
      <c r="A66" s="6" t="s">
        <v>13</v>
      </c>
      <c r="B66" s="10" t="s">
        <v>61</v>
      </c>
      <c r="C66" s="6" t="s">
        <v>108</v>
      </c>
      <c r="D66" s="17" t="str">
        <f>_xlfn.IFNA(VLOOKUP(E66,[13]Master!$J:$K,2,0),"")</f>
        <v>B5007</v>
      </c>
      <c r="E66" s="6" t="s">
        <v>62</v>
      </c>
      <c r="F66" s="17">
        <f>_xlfn.IFNA(VLOOKUP(G66,[13]Master!B:C,2,0),"")</f>
        <v>7631101</v>
      </c>
      <c r="G66" s="6" t="s">
        <v>219</v>
      </c>
      <c r="H66" s="6" t="s">
        <v>517</v>
      </c>
      <c r="I66" s="10" t="str">
        <f>_xlfn.IFNA(VLOOKUP(E66,[13]Master!$J:$M,4,0),"")</f>
        <v>IND</v>
      </c>
      <c r="J66" s="10" t="str">
        <f>_xlfn.IFNA(VLOOKUP($E66,[13]Master!$J:$M,3,0),"")</f>
        <v>MFG</v>
      </c>
      <c r="K66" s="14">
        <v>61398.525627201845</v>
      </c>
      <c r="L66" s="14">
        <v>70197.244870863433</v>
      </c>
      <c r="M66" s="14">
        <v>41396.158279733652</v>
      </c>
      <c r="N66" s="14">
        <v>41655.173487348722</v>
      </c>
      <c r="O66" s="14">
        <v>42368.717205798799</v>
      </c>
      <c r="P66" s="14">
        <v>39209.341077835976</v>
      </c>
      <c r="Q66" s="14">
        <v>33345.301701609176</v>
      </c>
      <c r="R66" s="14">
        <v>34077.237860379835</v>
      </c>
      <c r="S66" s="14">
        <v>35374.024248897622</v>
      </c>
      <c r="T66" s="14">
        <v>36308.267374291325</v>
      </c>
      <c r="U66" s="14">
        <v>36824.350393396962</v>
      </c>
      <c r="V66" s="14">
        <v>37402.476827492559</v>
      </c>
      <c r="W66" s="14">
        <v>39104.929039470779</v>
      </c>
      <c r="X66" s="14">
        <v>38534.634989788079</v>
      </c>
      <c r="Y66" s="14">
        <v>33986.911932443654</v>
      </c>
      <c r="Z66" s="14">
        <v>33086.544939633619</v>
      </c>
      <c r="AA66" s="14">
        <v>36302.55523181281</v>
      </c>
      <c r="AB66" s="14">
        <v>32661.887477045049</v>
      </c>
      <c r="AC66" s="14">
        <f t="shared" si="2"/>
        <v>296225.16054878244</v>
      </c>
      <c r="AD66" s="14">
        <f t="shared" ref="AD66:AD129" si="3">SUM(Q66:AB66)</f>
        <v>427009.12201626151</v>
      </c>
      <c r="AE66" s="14">
        <v>436122.36631091515</v>
      </c>
      <c r="AF66" s="14">
        <v>406169.10107425525</v>
      </c>
    </row>
    <row r="67" spans="1:32" ht="15" customHeight="1">
      <c r="A67" s="6" t="s">
        <v>13</v>
      </c>
      <c r="B67" s="10" t="s">
        <v>81</v>
      </c>
      <c r="C67" s="6" t="s">
        <v>108</v>
      </c>
      <c r="D67" s="17" t="str">
        <f>_xlfn.IFNA(VLOOKUP(E67,[13]Master!$J:$K,2,0),"")</f>
        <v>B3100</v>
      </c>
      <c r="E67" s="6" t="s">
        <v>82</v>
      </c>
      <c r="F67" s="17">
        <f>_xlfn.IFNA(VLOOKUP(G67,[13]Master!B:C,2,0),"")</f>
        <v>7631101</v>
      </c>
      <c r="G67" s="6" t="s">
        <v>219</v>
      </c>
      <c r="H67" s="6" t="s">
        <v>517</v>
      </c>
      <c r="I67" s="10" t="str">
        <f>_xlfn.IFNA(VLOOKUP(E67,[13]Master!$J:$M,4,0),"")</f>
        <v>ADM</v>
      </c>
      <c r="J67" s="10" t="str">
        <f>_xlfn.IFNA(VLOOKUP($E67,[13]Master!$J:$M,3,0),"")</f>
        <v>SGA</v>
      </c>
      <c r="K67" s="14">
        <v>326362.40110173362</v>
      </c>
      <c r="L67" s="14">
        <v>373131.78374810156</v>
      </c>
      <c r="M67" s="14">
        <v>220040.29371310803</v>
      </c>
      <c r="N67" s="14">
        <v>221417.08288215721</v>
      </c>
      <c r="O67" s="14">
        <v>225209.90752844242</v>
      </c>
      <c r="P67" s="14">
        <v>208416.31894349717</v>
      </c>
      <c r="Q67" s="14">
        <v>177246.15725914878</v>
      </c>
      <c r="R67" s="14">
        <v>181136.74648404284</v>
      </c>
      <c r="S67" s="14">
        <v>188029.78365634271</v>
      </c>
      <c r="T67" s="14">
        <v>192995.73074548904</v>
      </c>
      <c r="U67" s="14">
        <v>195738.95774585407</v>
      </c>
      <c r="V67" s="14">
        <v>198811.97504137416</v>
      </c>
      <c r="W67" s="14">
        <v>207861.31923956791</v>
      </c>
      <c r="X67" s="14">
        <v>204829.93479690928</v>
      </c>
      <c r="Y67" s="14">
        <v>180656.62116471538</v>
      </c>
      <c r="Z67" s="14">
        <v>175870.74185174299</v>
      </c>
      <c r="AA67" s="14">
        <v>192965.36798814789</v>
      </c>
      <c r="AB67" s="14">
        <v>173613.48522024543</v>
      </c>
      <c r="AC67" s="14">
        <f t="shared" si="2"/>
        <v>1574577.7879170401</v>
      </c>
      <c r="AD67" s="14">
        <f t="shared" si="3"/>
        <v>2269756.8211935805</v>
      </c>
      <c r="AE67" s="14">
        <v>2318198.054259805</v>
      </c>
      <c r="AF67" s="14">
        <v>2158982.1860673213</v>
      </c>
    </row>
    <row r="68" spans="1:32" ht="15" customHeight="1">
      <c r="A68" s="6" t="s">
        <v>13</v>
      </c>
      <c r="B68" s="10" t="s">
        <v>109</v>
      </c>
      <c r="C68" s="6" t="s">
        <v>108</v>
      </c>
      <c r="D68" s="17" t="str">
        <f>_xlfn.IFNA(VLOOKUP(E68,[13]Master!$J:$K,2,0),"")</f>
        <v>B3160</v>
      </c>
      <c r="E68" s="6" t="s">
        <v>110</v>
      </c>
      <c r="F68" s="17">
        <f>_xlfn.IFNA(VLOOKUP(G68,[13]Master!B:C,2,0),"")</f>
        <v>7631101</v>
      </c>
      <c r="G68" s="6" t="s">
        <v>219</v>
      </c>
      <c r="H68" s="6" t="s">
        <v>517</v>
      </c>
      <c r="I68" s="10" t="str">
        <f>_xlfn.IFNA(VLOOKUP(E68,[13]Master!$J:$M,4,0),"")</f>
        <v>ADM</v>
      </c>
      <c r="J68" s="10" t="str">
        <f>_xlfn.IFNA(VLOOKUP($E68,[13]Master!$J:$M,3,0),"")</f>
        <v>SGA</v>
      </c>
      <c r="K68" s="14">
        <v>253268.9182122077</v>
      </c>
      <c r="L68" s="14">
        <v>289563.63509231177</v>
      </c>
      <c r="M68" s="14">
        <v>170759.15290390135</v>
      </c>
      <c r="N68" s="14">
        <v>171827.59063531354</v>
      </c>
      <c r="O68" s="14">
        <v>174770.95847392009</v>
      </c>
      <c r="P68" s="14">
        <v>161738.53194607343</v>
      </c>
      <c r="Q68" s="14">
        <v>137549.36951913789</v>
      </c>
      <c r="R68" s="14">
        <v>140568.60617406687</v>
      </c>
      <c r="S68" s="14">
        <v>145917.85002670274</v>
      </c>
      <c r="T68" s="14">
        <v>149771.60291895177</v>
      </c>
      <c r="U68" s="14">
        <v>151900.44537276248</v>
      </c>
      <c r="V68" s="14">
        <v>154285.21691340685</v>
      </c>
      <c r="W68" s="14">
        <v>161307.83228781703</v>
      </c>
      <c r="X68" s="14">
        <v>158955.36933287588</v>
      </c>
      <c r="Y68" s="14">
        <v>140196.01172133011</v>
      </c>
      <c r="Z68" s="14">
        <v>136481.99787598872</v>
      </c>
      <c r="AA68" s="14">
        <v>149748.04033122788</v>
      </c>
      <c r="AB68" s="14">
        <v>134730.28584281087</v>
      </c>
      <c r="AC68" s="14">
        <f t="shared" si="2"/>
        <v>1221928.787263728</v>
      </c>
      <c r="AD68" s="14">
        <f t="shared" si="3"/>
        <v>1761412.628317079</v>
      </c>
      <c r="AE68" s="14">
        <v>1799004.7610325257</v>
      </c>
      <c r="AF68" s="14">
        <v>1675447.5419313035</v>
      </c>
    </row>
    <row r="69" spans="1:32" ht="15" customHeight="1">
      <c r="A69" s="6" t="s">
        <v>13</v>
      </c>
      <c r="B69" s="10" t="s">
        <v>165</v>
      </c>
      <c r="C69" s="6" t="s">
        <v>108</v>
      </c>
      <c r="D69" s="17" t="str">
        <f>_xlfn.IFNA(VLOOKUP(E69,[13]Master!$J:$K,2,0),"")</f>
        <v>B3110</v>
      </c>
      <c r="E69" s="6" t="s">
        <v>166</v>
      </c>
      <c r="F69" s="17">
        <f>_xlfn.IFNA(VLOOKUP(G69,[13]Master!B:C,2,0),"")</f>
        <v>7631101</v>
      </c>
      <c r="G69" s="6" t="s">
        <v>219</v>
      </c>
      <c r="H69" s="6" t="s">
        <v>517</v>
      </c>
      <c r="I69" s="10" t="str">
        <f>_xlfn.IFNA(VLOOKUP(E69,[13]Master!$J:$M,4,0),"")</f>
        <v>ADM</v>
      </c>
      <c r="J69" s="10" t="str">
        <f>_xlfn.IFNA(VLOOKUP($E69,[13]Master!$J:$M,3,0),"")</f>
        <v>SGA</v>
      </c>
      <c r="K69" s="14">
        <v>271542.28893458913</v>
      </c>
      <c r="L69" s="14">
        <v>310455.67225625919</v>
      </c>
      <c r="M69" s="14">
        <v>183079.43810620299</v>
      </c>
      <c r="N69" s="14">
        <v>184224.96369702442</v>
      </c>
      <c r="O69" s="14">
        <v>187380.69573755065</v>
      </c>
      <c r="P69" s="14">
        <v>173407.97869542934</v>
      </c>
      <c r="Q69" s="14">
        <v>147473.56645414059</v>
      </c>
      <c r="R69" s="14">
        <v>150710.64125156082</v>
      </c>
      <c r="S69" s="14">
        <v>156445.83343411272</v>
      </c>
      <c r="T69" s="14">
        <v>160577.63487558605</v>
      </c>
      <c r="U69" s="14">
        <v>162860.07346603539</v>
      </c>
      <c r="V69" s="14">
        <v>165416.90644539866</v>
      </c>
      <c r="W69" s="14">
        <v>172946.20402575473</v>
      </c>
      <c r="X69" s="14">
        <v>170424.0106988842</v>
      </c>
      <c r="Y69" s="14">
        <v>150311.1640821764</v>
      </c>
      <c r="Z69" s="14">
        <v>146329.18386992725</v>
      </c>
      <c r="AA69" s="14">
        <v>160552.3722454579</v>
      </c>
      <c r="AB69" s="14">
        <v>144451.08568716949</v>
      </c>
      <c r="AC69" s="14">
        <f t="shared" si="2"/>
        <v>1310091.0374270559</v>
      </c>
      <c r="AD69" s="14">
        <f t="shared" si="3"/>
        <v>1888498.6765362045</v>
      </c>
      <c r="AE69" s="14">
        <v>1928803.0843393451</v>
      </c>
      <c r="AF69" s="14">
        <v>1796331.2029653077</v>
      </c>
    </row>
    <row r="70" spans="1:32" ht="15" customHeight="1">
      <c r="A70" s="6" t="s">
        <v>13</v>
      </c>
      <c r="B70" s="10" t="s">
        <v>119</v>
      </c>
      <c r="C70" s="6" t="s">
        <v>108</v>
      </c>
      <c r="D70" s="17" t="str">
        <f>_xlfn.IFNA(VLOOKUP(E70,[13]Master!$J:$K,2,0),"")</f>
        <v>B3120</v>
      </c>
      <c r="E70" s="6" t="s">
        <v>120</v>
      </c>
      <c r="F70" s="17">
        <f>_xlfn.IFNA(VLOOKUP(G70,[13]Master!B:C,2,0),"")</f>
        <v>7631101</v>
      </c>
      <c r="G70" s="6" t="s">
        <v>219</v>
      </c>
      <c r="H70" s="6" t="s">
        <v>517</v>
      </c>
      <c r="I70" s="10" t="str">
        <f>_xlfn.IFNA(VLOOKUP(E70,[13]Master!$J:$M,4,0),"")</f>
        <v>ADM</v>
      </c>
      <c r="J70" s="10" t="str">
        <f>_xlfn.IFNA(VLOOKUP($E70,[13]Master!$J:$M,3,0),"")</f>
        <v>SGA</v>
      </c>
      <c r="K70" s="14">
        <v>298952.34501816134</v>
      </c>
      <c r="L70" s="14">
        <v>341793.72800218035</v>
      </c>
      <c r="M70" s="14">
        <v>201559.86590965549</v>
      </c>
      <c r="N70" s="14">
        <v>202821.02328959081</v>
      </c>
      <c r="O70" s="14">
        <v>206295.30163299653</v>
      </c>
      <c r="P70" s="14">
        <v>190912.14881946324</v>
      </c>
      <c r="Q70" s="14">
        <v>162359.86185664465</v>
      </c>
      <c r="R70" s="14">
        <v>165923.69386780183</v>
      </c>
      <c r="S70" s="14">
        <v>172237.80854522772</v>
      </c>
      <c r="T70" s="14">
        <v>176786.68281053755</v>
      </c>
      <c r="U70" s="14">
        <v>179299.5156059447</v>
      </c>
      <c r="V70" s="14">
        <v>182114.4407433864</v>
      </c>
      <c r="W70" s="14">
        <v>190403.76163266131</v>
      </c>
      <c r="X70" s="14">
        <v>187626.97274789674</v>
      </c>
      <c r="Y70" s="14">
        <v>165483.89262344589</v>
      </c>
      <c r="Z70" s="14">
        <v>161099.9628608351</v>
      </c>
      <c r="AA70" s="14">
        <v>176758.87011680289</v>
      </c>
      <c r="AB70" s="14">
        <v>159032.28545370745</v>
      </c>
      <c r="AC70" s="14">
        <f t="shared" si="2"/>
        <v>1442334.412672048</v>
      </c>
      <c r="AD70" s="14">
        <f t="shared" si="3"/>
        <v>2079127.7488648922</v>
      </c>
      <c r="AE70" s="14">
        <v>2123500.5692995749</v>
      </c>
      <c r="AF70" s="14">
        <v>1977656.6945163142</v>
      </c>
    </row>
    <row r="71" spans="1:32" ht="15" customHeight="1">
      <c r="A71" s="6" t="s">
        <v>13</v>
      </c>
      <c r="B71" s="10" t="s">
        <v>103</v>
      </c>
      <c r="C71" s="6" t="s">
        <v>108</v>
      </c>
      <c r="D71" s="17" t="str">
        <f>_xlfn.IFNA(VLOOKUP(E71,[13]Master!$J:$K,2,0),"")</f>
        <v>B3130</v>
      </c>
      <c r="E71" s="6" t="s">
        <v>104</v>
      </c>
      <c r="F71" s="17">
        <f>_xlfn.IFNA(VLOOKUP(G71,[13]Master!B:C,2,0),"")</f>
        <v>7631101</v>
      </c>
      <c r="G71" s="6" t="s">
        <v>219</v>
      </c>
      <c r="H71" s="6" t="s">
        <v>517</v>
      </c>
      <c r="I71" s="10" t="str">
        <f>_xlfn.IFNA(VLOOKUP(E71,[13]Master!$J:$M,4,0),"")</f>
        <v>ADM</v>
      </c>
      <c r="J71" s="10" t="str">
        <f>_xlfn.IFNA(VLOOKUP($E71,[13]Master!$J:$M,3,0),"")</f>
        <v>SGA</v>
      </c>
      <c r="K71" s="14">
        <v>332940.81456179102</v>
      </c>
      <c r="L71" s="14">
        <v>380652.9171271227</v>
      </c>
      <c r="M71" s="14">
        <v>224475.59638593669</v>
      </c>
      <c r="N71" s="14">
        <v>225880.13718437319</v>
      </c>
      <c r="O71" s="14">
        <v>229749.41294334948</v>
      </c>
      <c r="P71" s="14">
        <v>212617.31977326534</v>
      </c>
      <c r="Q71" s="14">
        <v>180818.86815574978</v>
      </c>
      <c r="R71" s="14">
        <v>184787.87911194071</v>
      </c>
      <c r="S71" s="14">
        <v>191819.85768301037</v>
      </c>
      <c r="T71" s="14">
        <v>196885.9022498774</v>
      </c>
      <c r="U71" s="14">
        <v>199684.42385943237</v>
      </c>
      <c r="V71" s="14">
        <v>202819.38327289125</v>
      </c>
      <c r="W71" s="14">
        <v>212051.13306522553</v>
      </c>
      <c r="X71" s="14">
        <v>208958.64568867232</v>
      </c>
      <c r="Y71" s="14">
        <v>184298.07601462011</v>
      </c>
      <c r="Z71" s="14">
        <v>179415.72880956088</v>
      </c>
      <c r="AA71" s="14">
        <v>196854.92747727071</v>
      </c>
      <c r="AB71" s="14">
        <v>177112.97316421458</v>
      </c>
      <c r="AC71" s="14">
        <f t="shared" si="2"/>
        <v>1606316.1979758383</v>
      </c>
      <c r="AD71" s="14">
        <f t="shared" si="3"/>
        <v>2315507.7985524661</v>
      </c>
      <c r="AE71" s="14">
        <v>2364925.4506502603</v>
      </c>
      <c r="AF71" s="14">
        <v>2202500.3040395635</v>
      </c>
    </row>
    <row r="72" spans="1:32" ht="15" customHeight="1">
      <c r="A72" s="6" t="s">
        <v>13</v>
      </c>
      <c r="B72" s="10" t="s">
        <v>35</v>
      </c>
      <c r="C72" s="6" t="s">
        <v>108</v>
      </c>
      <c r="D72" s="17" t="str">
        <f>_xlfn.IFNA(VLOOKUP(E72,[13]Master!$J:$K,2,0),"")</f>
        <v>B1000</v>
      </c>
      <c r="E72" s="6" t="s">
        <v>16</v>
      </c>
      <c r="F72" s="17">
        <f>_xlfn.IFNA(VLOOKUP(G72,[13]Master!B:C,2,0),"")</f>
        <v>7631101</v>
      </c>
      <c r="G72" s="6" t="s">
        <v>219</v>
      </c>
      <c r="H72" s="6" t="s">
        <v>517</v>
      </c>
      <c r="I72" s="10" t="str">
        <f>_xlfn.IFNA(VLOOKUP(E72,[13]Master!$J:$M,4,0),"")</f>
        <v>ADM</v>
      </c>
      <c r="J72" s="10" t="str">
        <f>_xlfn.IFNA(VLOOKUP($E72,[13]Master!$J:$M,3,0),"")</f>
        <v>SGA</v>
      </c>
      <c r="K72" s="14">
        <v>882603.80589102663</v>
      </c>
      <c r="L72" s="14">
        <v>1009085.3950186621</v>
      </c>
      <c r="M72" s="14">
        <v>595069.77527117124</v>
      </c>
      <c r="N72" s="14">
        <v>598793.11888063804</v>
      </c>
      <c r="O72" s="14">
        <v>609050.30983335781</v>
      </c>
      <c r="P72" s="14">
        <v>563634.2779938922</v>
      </c>
      <c r="Q72" s="14">
        <v>479338.71196063195</v>
      </c>
      <c r="R72" s="14">
        <v>489860.29424296017</v>
      </c>
      <c r="S72" s="14">
        <v>508501.59857790341</v>
      </c>
      <c r="T72" s="14">
        <v>521931.34350543795</v>
      </c>
      <c r="U72" s="14">
        <v>529350.03690508136</v>
      </c>
      <c r="V72" s="14">
        <v>537660.60439520562</v>
      </c>
      <c r="W72" s="14">
        <v>562133.35494239256</v>
      </c>
      <c r="X72" s="14">
        <v>553935.3779782037</v>
      </c>
      <c r="Y72" s="14">
        <v>488561.85902887757</v>
      </c>
      <c r="Z72" s="14">
        <v>475619.0835072333</v>
      </c>
      <c r="AA72" s="14">
        <v>521849.23145730927</v>
      </c>
      <c r="AB72" s="14">
        <v>469514.63248252263</v>
      </c>
      <c r="AC72" s="14">
        <f t="shared" si="2"/>
        <v>4258236.6828887481</v>
      </c>
      <c r="AD72" s="14">
        <f t="shared" si="3"/>
        <v>6138256.1289837584</v>
      </c>
      <c r="AE72" s="14">
        <v>6269259.0157194054</v>
      </c>
      <c r="AF72" s="14">
        <v>5838680.8279424207</v>
      </c>
    </row>
    <row r="73" spans="1:32" ht="15" customHeight="1">
      <c r="A73" s="6" t="s">
        <v>13</v>
      </c>
      <c r="B73" s="10" t="s">
        <v>115</v>
      </c>
      <c r="C73" s="6" t="s">
        <v>108</v>
      </c>
      <c r="D73" s="17" t="str">
        <f>_xlfn.IFNA(VLOOKUP(E73,[13]Master!$J:$K,2,0),"")</f>
        <v>B1001</v>
      </c>
      <c r="E73" s="6" t="s">
        <v>116</v>
      </c>
      <c r="F73" s="17">
        <f>_xlfn.IFNA(VLOOKUP(G73,[13]Master!B:C,2,0),"")</f>
        <v>7631101</v>
      </c>
      <c r="G73" s="6" t="s">
        <v>219</v>
      </c>
      <c r="H73" s="6" t="s">
        <v>517</v>
      </c>
      <c r="I73" s="10" t="str">
        <f>_xlfn.IFNA(VLOOKUP(E73,[13]Master!$J:$M,4,0),"")</f>
        <v>ADM</v>
      </c>
      <c r="J73" s="10" t="str">
        <f>_xlfn.IFNA(VLOOKUP($E73,[13]Master!$J:$M,3,0),"")</f>
        <v>SGA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f t="shared" si="2"/>
        <v>0</v>
      </c>
      <c r="AD73" s="14">
        <f t="shared" si="3"/>
        <v>0</v>
      </c>
      <c r="AE73" s="14">
        <v>0</v>
      </c>
      <c r="AF73" s="14">
        <v>0</v>
      </c>
    </row>
    <row r="74" spans="1:32" ht="15" customHeight="1">
      <c r="A74" s="6" t="s">
        <v>13</v>
      </c>
      <c r="B74" s="10" t="s">
        <v>83</v>
      </c>
      <c r="C74" s="6" t="s">
        <v>108</v>
      </c>
      <c r="D74" s="17" t="str">
        <f>_xlfn.IFNA(VLOOKUP(E74,[13]Master!$J:$K,2,0),"")</f>
        <v>B2200</v>
      </c>
      <c r="E74" s="6" t="s">
        <v>84</v>
      </c>
      <c r="F74" s="17">
        <f>_xlfn.IFNA(VLOOKUP(G74,[13]Master!B:C,2,0),"")</f>
        <v>7631101</v>
      </c>
      <c r="G74" s="6" t="s">
        <v>219</v>
      </c>
      <c r="H74" s="6" t="s">
        <v>517</v>
      </c>
      <c r="I74" s="10" t="str">
        <f>_xlfn.IFNA(VLOOKUP(E74,[13]Master!$J:$M,4,0),"")</f>
        <v>ADM</v>
      </c>
      <c r="J74" s="10" t="str">
        <f>_xlfn.IFNA(VLOOKUP($E74,[13]Master!$J:$M,3,0),"")</f>
        <v>SGA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f t="shared" si="2"/>
        <v>0</v>
      </c>
      <c r="AD74" s="14">
        <f t="shared" si="3"/>
        <v>0</v>
      </c>
      <c r="AE74" s="14">
        <v>0</v>
      </c>
      <c r="AF74" s="14">
        <v>0</v>
      </c>
    </row>
    <row r="75" spans="1:32" ht="15" customHeight="1">
      <c r="A75" s="6" t="s">
        <v>13</v>
      </c>
      <c r="B75" s="10" t="s">
        <v>159</v>
      </c>
      <c r="C75" s="6" t="s">
        <v>108</v>
      </c>
      <c r="D75" s="17" t="str">
        <f>_xlfn.IFNA(VLOOKUP(E75,[13]Master!$J:$K,2,0),"")</f>
        <v>B2210</v>
      </c>
      <c r="E75" s="6" t="s">
        <v>160</v>
      </c>
      <c r="F75" s="17">
        <f>_xlfn.IFNA(VLOOKUP(G75,[13]Master!B:C,2,0),"")</f>
        <v>7631101</v>
      </c>
      <c r="G75" s="6" t="s">
        <v>219</v>
      </c>
      <c r="H75" s="6" t="s">
        <v>517</v>
      </c>
      <c r="I75" s="10" t="str">
        <f>_xlfn.IFNA(VLOOKUP(E75,[13]Master!$J:$M,4,0),"")</f>
        <v>ADM</v>
      </c>
      <c r="J75" s="10" t="str">
        <f>_xlfn.IFNA(VLOOKUP($E75,[13]Master!$J:$M,3,0),"")</f>
        <v>SGA</v>
      </c>
      <c r="K75" s="14">
        <v>12134980.029319054</v>
      </c>
      <c r="L75" s="14">
        <v>13873984.039834162</v>
      </c>
      <c r="M75" s="14">
        <v>8181654.9971444644</v>
      </c>
      <c r="N75" s="14">
        <v>8232847.5028209575</v>
      </c>
      <c r="O75" s="14">
        <v>8373874.322031768</v>
      </c>
      <c r="P75" s="14">
        <v>7749446.197312261</v>
      </c>
      <c r="Q75" s="14">
        <v>6590460.7005965849</v>
      </c>
      <c r="R75" s="14">
        <v>6735122.6542621851</v>
      </c>
      <c r="S75" s="14">
        <v>6991423.221192806</v>
      </c>
      <c r="T75" s="14">
        <v>7176069.70176169</v>
      </c>
      <c r="U75" s="14">
        <v>7278069.8241806384</v>
      </c>
      <c r="V75" s="14">
        <v>7392332.3844051035</v>
      </c>
      <c r="W75" s="14">
        <v>7728809.9037296548</v>
      </c>
      <c r="X75" s="14">
        <v>7616095.3583387965</v>
      </c>
      <c r="Y75" s="14">
        <v>6717270.3797907978</v>
      </c>
      <c r="Z75" s="14">
        <v>6539319.2748547019</v>
      </c>
      <c r="AA75" s="14">
        <v>7174940.7376018297</v>
      </c>
      <c r="AB75" s="14">
        <v>6455388.7606416605</v>
      </c>
      <c r="AC75" s="14">
        <f t="shared" si="2"/>
        <v>58546787.088462658</v>
      </c>
      <c r="AD75" s="14">
        <f t="shared" si="3"/>
        <v>84395302.901356459</v>
      </c>
      <c r="AE75" s="14">
        <v>86196470.541592628</v>
      </c>
      <c r="AF75" s="14">
        <v>80276421.619461387</v>
      </c>
    </row>
    <row r="76" spans="1:32" ht="15" customHeight="1">
      <c r="A76" s="6" t="s">
        <v>13</v>
      </c>
      <c r="B76" s="10" t="s">
        <v>161</v>
      </c>
      <c r="C76" s="6" t="s">
        <v>108</v>
      </c>
      <c r="D76" s="17" t="str">
        <f>_xlfn.IFNA(VLOOKUP(E76,[13]Master!$J:$K,2,0),"")</f>
        <v>B2220</v>
      </c>
      <c r="E76" s="6" t="s">
        <v>162</v>
      </c>
      <c r="F76" s="17">
        <f>_xlfn.IFNA(VLOOKUP(G76,[13]Master!B:C,2,0),"")</f>
        <v>7631101</v>
      </c>
      <c r="G76" s="6" t="s">
        <v>219</v>
      </c>
      <c r="H76" s="6" t="s">
        <v>517</v>
      </c>
      <c r="I76" s="10" t="str">
        <f>_xlfn.IFNA(VLOOKUP(E76,[13]Master!$J:$M,4,0),"")</f>
        <v>ADM</v>
      </c>
      <c r="J76" s="10" t="str">
        <f>_xlfn.IFNA(VLOOKUP($E76,[13]Master!$J:$M,3,0),"")</f>
        <v>SGA</v>
      </c>
      <c r="K76" s="14">
        <v>680134.85828703945</v>
      </c>
      <c r="L76" s="14">
        <v>777601.62324212422</v>
      </c>
      <c r="M76" s="14">
        <v>458561.01522966858</v>
      </c>
      <c r="N76" s="14">
        <v>461430.22535688081</v>
      </c>
      <c r="O76" s="14">
        <v>469334.42095233075</v>
      </c>
      <c r="P76" s="14">
        <v>434336.80801102822</v>
      </c>
      <c r="Q76" s="14">
        <v>369378.60992080165</v>
      </c>
      <c r="R76" s="14">
        <v>377486.54558432661</v>
      </c>
      <c r="S76" s="14">
        <v>391851.54242380051</v>
      </c>
      <c r="T76" s="14">
        <v>402200.50942592957</v>
      </c>
      <c r="U76" s="14">
        <v>407917.35763161752</v>
      </c>
      <c r="V76" s="14">
        <v>414321.48438073607</v>
      </c>
      <c r="W76" s="14">
        <v>433180.19608604244</v>
      </c>
      <c r="X76" s="14">
        <v>426862.83164283104</v>
      </c>
      <c r="Y76" s="14">
        <v>376485.97087070026</v>
      </c>
      <c r="Z76" s="14">
        <v>366512.26269439387</v>
      </c>
      <c r="AA76" s="14">
        <v>402137.2338476408</v>
      </c>
      <c r="AB76" s="14">
        <v>361808.1702070288</v>
      </c>
      <c r="AC76" s="14">
        <f t="shared" si="2"/>
        <v>3281398.9510790724</v>
      </c>
      <c r="AD76" s="14">
        <f t="shared" si="3"/>
        <v>4730142.7147158496</v>
      </c>
      <c r="AE76" s="14">
        <v>4831093.5934798401</v>
      </c>
      <c r="AF76" s="14">
        <v>4499289.8636856498</v>
      </c>
    </row>
    <row r="77" spans="1:32" ht="15" customHeight="1">
      <c r="A77" s="6" t="s">
        <v>13</v>
      </c>
      <c r="B77" s="10" t="s">
        <v>163</v>
      </c>
      <c r="C77" s="6" t="s">
        <v>108</v>
      </c>
      <c r="D77" s="17" t="str">
        <f>_xlfn.IFNA(VLOOKUP(E77,[13]Master!$J:$K,2,0),"")</f>
        <v>B2230</v>
      </c>
      <c r="E77" s="6" t="s">
        <v>164</v>
      </c>
      <c r="F77" s="17">
        <f>_xlfn.IFNA(VLOOKUP(G77,[13]Master!B:C,2,0),"")</f>
        <v>7631101</v>
      </c>
      <c r="G77" s="6" t="s">
        <v>219</v>
      </c>
      <c r="H77" s="6" t="s">
        <v>517</v>
      </c>
      <c r="I77" s="10" t="str">
        <f>_xlfn.IFNA(VLOOKUP(E77,[13]Master!$J:$M,4,0),"")</f>
        <v>ADM</v>
      </c>
      <c r="J77" s="10" t="str">
        <f>_xlfn.IFNA(VLOOKUP($E77,[13]Master!$J:$M,3,0),"")</f>
        <v>SGA</v>
      </c>
      <c r="K77" s="14">
        <v>2582027.2830725065</v>
      </c>
      <c r="L77" s="14">
        <v>2952044.8512657755</v>
      </c>
      <c r="M77" s="14">
        <v>1740856.2990852278</v>
      </c>
      <c r="N77" s="14">
        <v>1751748.8136197545</v>
      </c>
      <c r="O77" s="14">
        <v>1781755.8753510034</v>
      </c>
      <c r="P77" s="14">
        <v>1648892.8256839952</v>
      </c>
      <c r="Q77" s="14">
        <v>1402289.0269158862</v>
      </c>
      <c r="R77" s="14">
        <v>1433069.5564499022</v>
      </c>
      <c r="S77" s="14">
        <v>1487604.0554670342</v>
      </c>
      <c r="T77" s="14">
        <v>1526892.3154724301</v>
      </c>
      <c r="U77" s="14">
        <v>1548595.4495794615</v>
      </c>
      <c r="V77" s="14">
        <v>1572907.7308704462</v>
      </c>
      <c r="W77" s="14">
        <v>1644501.9265706018</v>
      </c>
      <c r="X77" s="14">
        <v>1620519.0250169812</v>
      </c>
      <c r="Y77" s="14">
        <v>1429271.028587586</v>
      </c>
      <c r="Z77" s="14">
        <v>1391407.3809435209</v>
      </c>
      <c r="AA77" s="14">
        <v>1526652.0994806997</v>
      </c>
      <c r="AB77" s="14">
        <v>1373549.0180078768</v>
      </c>
      <c r="AC77" s="14">
        <f t="shared" si="2"/>
        <v>12457325.948078264</v>
      </c>
      <c r="AD77" s="14">
        <f t="shared" si="3"/>
        <v>17957258.613362428</v>
      </c>
      <c r="AE77" s="14">
        <v>18340503.083253667</v>
      </c>
      <c r="AF77" s="14">
        <v>17080861.304104846</v>
      </c>
    </row>
    <row r="78" spans="1:32" ht="15" customHeight="1">
      <c r="A78" s="6" t="s">
        <v>13</v>
      </c>
      <c r="B78" s="10" t="s">
        <v>30</v>
      </c>
      <c r="C78" s="6" t="s">
        <v>108</v>
      </c>
      <c r="D78" s="17" t="str">
        <f>_xlfn.IFNA(VLOOKUP(E78,[13]Master!$J:$K,2,0),"")</f>
        <v>B2300</v>
      </c>
      <c r="E78" s="6" t="s">
        <v>14</v>
      </c>
      <c r="F78" s="17">
        <f>_xlfn.IFNA(VLOOKUP(G78,[13]Master!B:C,2,0),"")</f>
        <v>7631101</v>
      </c>
      <c r="G78" s="6" t="s">
        <v>219</v>
      </c>
      <c r="H78" s="6" t="s">
        <v>517</v>
      </c>
      <c r="I78" s="10" t="str">
        <f>_xlfn.IFNA(VLOOKUP(E78,[13]Master!$J:$M,4,0),"")</f>
        <v>ADM</v>
      </c>
      <c r="J78" s="10" t="str">
        <f>_xlfn.IFNA(VLOOKUP($E78,[13]Master!$J:$M,3,0),"")</f>
        <v>SGA</v>
      </c>
      <c r="K78" s="14">
        <v>1252456.8293120284</v>
      </c>
      <c r="L78" s="14">
        <v>1431940.2272169585</v>
      </c>
      <c r="M78" s="14">
        <v>844432.34776575735</v>
      </c>
      <c r="N78" s="14">
        <v>849715.94964966713</v>
      </c>
      <c r="O78" s="14">
        <v>864271.392049241</v>
      </c>
      <c r="P78" s="14">
        <v>799823.88020085648</v>
      </c>
      <c r="Q78" s="14">
        <v>680204.45792508719</v>
      </c>
      <c r="R78" s="14">
        <v>695135.08421143878</v>
      </c>
      <c r="S78" s="14">
        <v>721587.98274388188</v>
      </c>
      <c r="T78" s="14">
        <v>740645.4303077166</v>
      </c>
      <c r="U78" s="14">
        <v>751172.90951292496</v>
      </c>
      <c r="V78" s="14">
        <v>762966.00052272028</v>
      </c>
      <c r="W78" s="14">
        <v>797693.99891825218</v>
      </c>
      <c r="X78" s="14">
        <v>786060.6792262129</v>
      </c>
      <c r="Y78" s="14">
        <v>693292.54281240725</v>
      </c>
      <c r="Z78" s="14">
        <v>674926.12802455004</v>
      </c>
      <c r="AA78" s="14">
        <v>740528.90940132446</v>
      </c>
      <c r="AB78" s="14">
        <v>666263.62133234157</v>
      </c>
      <c r="AC78" s="14">
        <f t="shared" si="2"/>
        <v>6042640.6261945087</v>
      </c>
      <c r="AD78" s="14">
        <f t="shared" si="3"/>
        <v>8710477.7449388579</v>
      </c>
      <c r="AE78" s="14">
        <v>8896377.0794494413</v>
      </c>
      <c r="AF78" s="14">
        <v>8285366.1272706734</v>
      </c>
    </row>
    <row r="79" spans="1:32" ht="15" customHeight="1">
      <c r="A79" s="6" t="s">
        <v>13</v>
      </c>
      <c r="B79" s="10" t="s">
        <v>105</v>
      </c>
      <c r="C79" s="6" t="s">
        <v>108</v>
      </c>
      <c r="D79" s="17" t="str">
        <f>_xlfn.IFNA(VLOOKUP(E79,[13]Master!$J:$K,2,0),"")</f>
        <v>B2400</v>
      </c>
      <c r="E79" s="6" t="s">
        <v>106</v>
      </c>
      <c r="F79" s="17">
        <f>_xlfn.IFNA(VLOOKUP(G79,[13]Master!B:C,2,0),"")</f>
        <v>7631101</v>
      </c>
      <c r="G79" s="6" t="s">
        <v>219</v>
      </c>
      <c r="H79" s="6" t="s">
        <v>517</v>
      </c>
      <c r="I79" s="10" t="str">
        <f>_xlfn.IFNA(VLOOKUP(E79,[13]Master!$J:$M,4,0),"")</f>
        <v>ADM</v>
      </c>
      <c r="J79" s="10" t="str">
        <f>_xlfn.IFNA(VLOOKUP($E79,[13]Master!$J:$M,3,0),"")</f>
        <v>SGA</v>
      </c>
      <c r="K79" s="14">
        <v>1200925.9238749126</v>
      </c>
      <c r="L79" s="14">
        <v>1373024.6824146269</v>
      </c>
      <c r="M79" s="14">
        <v>809689.14349526656</v>
      </c>
      <c r="N79" s="14">
        <v>814755.35761564237</v>
      </c>
      <c r="O79" s="14">
        <v>828711.93296580284</v>
      </c>
      <c r="P79" s="14">
        <v>766916.0403676728</v>
      </c>
      <c r="Q79" s="14">
        <v>652218.22256837948</v>
      </c>
      <c r="R79" s="14">
        <v>666534.54529290576</v>
      </c>
      <c r="S79" s="14">
        <v>691899.0695349857</v>
      </c>
      <c r="T79" s="14">
        <v>710172.42019000789</v>
      </c>
      <c r="U79" s="14">
        <v>720266.75828989537</v>
      </c>
      <c r="V79" s="14">
        <v>731574.63604250341</v>
      </c>
      <c r="W79" s="14">
        <v>764873.79061726795</v>
      </c>
      <c r="X79" s="14">
        <v>753719.11057406932</v>
      </c>
      <c r="Y79" s="14">
        <v>664767.81315482059</v>
      </c>
      <c r="Z79" s="14">
        <v>647157.0635216434</v>
      </c>
      <c r="AA79" s="14">
        <v>710060.69340319594</v>
      </c>
      <c r="AB79" s="14">
        <v>638850.96577125031</v>
      </c>
      <c r="AC79" s="14">
        <f t="shared" si="2"/>
        <v>5794023.0807339242</v>
      </c>
      <c r="AD79" s="14">
        <f t="shared" si="3"/>
        <v>8352095.0889609242</v>
      </c>
      <c r="AE79" s="14">
        <v>8530345.8077242114</v>
      </c>
      <c r="AF79" s="14">
        <v>7944474.2031547809</v>
      </c>
    </row>
    <row r="80" spans="1:32" ht="15" customHeight="1">
      <c r="A80" s="6" t="s">
        <v>13</v>
      </c>
      <c r="B80" s="10" t="s">
        <v>132</v>
      </c>
      <c r="C80" s="6" t="s">
        <v>108</v>
      </c>
      <c r="D80" s="17" t="str">
        <f>_xlfn.IFNA(VLOOKUP(E80,[13]Master!$J:$K,2,0),"")</f>
        <v>B4101</v>
      </c>
      <c r="E80" s="6" t="s">
        <v>133</v>
      </c>
      <c r="F80" s="17">
        <f>_xlfn.IFNA(VLOOKUP(G80,[13]Master!B:C,2,0),"")</f>
        <v>7631102</v>
      </c>
      <c r="G80" s="6" t="s">
        <v>223</v>
      </c>
      <c r="H80" s="6" t="s">
        <v>518</v>
      </c>
      <c r="I80" s="10" t="str">
        <f>_xlfn.IFNA(VLOOKUP(E80,[13]Master!$J:$M,4,0),"")</f>
        <v>DIR</v>
      </c>
      <c r="J80" s="10" t="str">
        <f>_xlfn.IFNA(VLOOKUP($E80,[13]Master!$J:$M,3,0),"")</f>
        <v>MFG</v>
      </c>
      <c r="K80" s="14">
        <v>23408.029020940252</v>
      </c>
      <c r="L80" s="14">
        <v>26046.752292391702</v>
      </c>
      <c r="M80" s="14">
        <v>15775.59289168822</v>
      </c>
      <c r="N80" s="14">
        <v>15803.966260198451</v>
      </c>
      <c r="O80" s="14">
        <v>15264.872258504069</v>
      </c>
      <c r="P80" s="14">
        <v>13931.32393852323</v>
      </c>
      <c r="Q80" s="14">
        <v>12512.655513011699</v>
      </c>
      <c r="R80" s="14">
        <v>13051.74951470608</v>
      </c>
      <c r="S80" s="14">
        <v>13534.096779380001</v>
      </c>
      <c r="T80" s="14">
        <v>13704.336990441385</v>
      </c>
      <c r="U80" s="14">
        <v>14016.44404405392</v>
      </c>
      <c r="V80" s="14">
        <v>14300.177729156228</v>
      </c>
      <c r="W80" s="14">
        <v>14583.911414258535</v>
      </c>
      <c r="X80" s="14">
        <v>13988.070675543691</v>
      </c>
      <c r="Y80" s="14">
        <v>13108.496251726543</v>
      </c>
      <c r="Z80" s="14">
        <v>13278.736462787927</v>
      </c>
      <c r="AA80" s="14">
        <v>13590.843516400462</v>
      </c>
      <c r="AB80" s="14">
        <v>12597.775618542391</v>
      </c>
      <c r="AC80" s="14">
        <f t="shared" si="2"/>
        <v>110230.53666224593</v>
      </c>
      <c r="AD80" s="14">
        <f t="shared" si="3"/>
        <v>162267.29451000885</v>
      </c>
      <c r="AE80" s="14">
        <v>168452.68884523914</v>
      </c>
      <c r="AF80" s="14">
        <v>149385.78520636421</v>
      </c>
    </row>
    <row r="81" spans="1:32" ht="15" customHeight="1">
      <c r="A81" s="6" t="s">
        <v>13</v>
      </c>
      <c r="B81" s="10" t="s">
        <v>136</v>
      </c>
      <c r="C81" s="6" t="s">
        <v>108</v>
      </c>
      <c r="D81" s="17" t="str">
        <f>_xlfn.IFNA(VLOOKUP(E81,[13]Master!$J:$K,2,0),"")</f>
        <v>B4102</v>
      </c>
      <c r="E81" s="6" t="s">
        <v>137</v>
      </c>
      <c r="F81" s="17">
        <f>_xlfn.IFNA(VLOOKUP(G81,[13]Master!B:C,2,0),"")</f>
        <v>7631102</v>
      </c>
      <c r="G81" s="6" t="s">
        <v>223</v>
      </c>
      <c r="H81" s="6" t="s">
        <v>518</v>
      </c>
      <c r="I81" s="10" t="str">
        <f>_xlfn.IFNA(VLOOKUP(E81,[13]Master!$J:$M,4,0),"")</f>
        <v>DIR</v>
      </c>
      <c r="J81" s="10" t="str">
        <f>_xlfn.IFNA(VLOOKUP($E81,[13]Master!$J:$M,3,0),"")</f>
        <v>MFG</v>
      </c>
      <c r="K81" s="14">
        <v>64997.50050845051</v>
      </c>
      <c r="L81" s="14">
        <v>80183.052616971676</v>
      </c>
      <c r="M81" s="14">
        <v>46557.901519531937</v>
      </c>
      <c r="N81" s="14">
        <v>46724.775718526682</v>
      </c>
      <c r="O81" s="14">
        <v>45222.907927574037</v>
      </c>
      <c r="P81" s="14">
        <v>41051.052952705584</v>
      </c>
      <c r="Q81" s="14">
        <v>36879.197977837131</v>
      </c>
      <c r="R81" s="14">
        <v>38297.628669292404</v>
      </c>
      <c r="S81" s="14">
        <v>39632.622261250312</v>
      </c>
      <c r="T81" s="14">
        <v>40300.119057229262</v>
      </c>
      <c r="U81" s="14">
        <v>41217.927151700322</v>
      </c>
      <c r="V81" s="14">
        <v>41968.861047176644</v>
      </c>
      <c r="W81" s="14">
        <v>42970.106241145077</v>
      </c>
      <c r="X81" s="14">
        <v>41551.675549689804</v>
      </c>
      <c r="Y81" s="14">
        <v>38547.939967784514</v>
      </c>
      <c r="Z81" s="14">
        <v>39048.562564768727</v>
      </c>
      <c r="AA81" s="14">
        <v>40133.244858234517</v>
      </c>
      <c r="AB81" s="14">
        <v>37129.509276329241</v>
      </c>
      <c r="AC81" s="14">
        <f t="shared" si="2"/>
        <v>324737.19124376046</v>
      </c>
      <c r="AD81" s="14">
        <f t="shared" si="3"/>
        <v>477677.39462243795</v>
      </c>
      <c r="AE81" s="14">
        <v>495699.80811386963</v>
      </c>
      <c r="AF81" s="14">
        <v>444719.74032097717</v>
      </c>
    </row>
    <row r="82" spans="1:32" ht="15" customHeight="1">
      <c r="A82" s="6" t="s">
        <v>13</v>
      </c>
      <c r="B82" s="10" t="s">
        <v>31</v>
      </c>
      <c r="C82" s="6" t="s">
        <v>108</v>
      </c>
      <c r="D82" s="17" t="str">
        <f>_xlfn.IFNA(VLOOKUP(E82,[13]Master!$J:$K,2,0),"")</f>
        <v>B4103</v>
      </c>
      <c r="E82" s="6" t="s">
        <v>15</v>
      </c>
      <c r="F82" s="17">
        <f>_xlfn.IFNA(VLOOKUP(G82,[13]Master!B:C,2,0),"")</f>
        <v>7631102</v>
      </c>
      <c r="G82" s="6" t="s">
        <v>223</v>
      </c>
      <c r="H82" s="6" t="s">
        <v>518</v>
      </c>
      <c r="I82" s="10" t="str">
        <f>_xlfn.IFNA(VLOOKUP(E82,[13]Master!$J:$M,4,0),"")</f>
        <v>DIR</v>
      </c>
      <c r="J82" s="10" t="str">
        <f>_xlfn.IFNA(VLOOKUP($E82,[13]Master!$J:$M,3,0),"")</f>
        <v>MFG</v>
      </c>
      <c r="K82" s="14">
        <v>36746.433154884828</v>
      </c>
      <c r="L82" s="14">
        <v>46334.512756994882</v>
      </c>
      <c r="M82" s="14">
        <v>27300.049310441431</v>
      </c>
      <c r="N82" s="14">
        <v>27441.745068108081</v>
      </c>
      <c r="O82" s="14">
        <v>26922.193956663694</v>
      </c>
      <c r="P82" s="14">
        <v>24229.974560997325</v>
      </c>
      <c r="Q82" s="14">
        <v>21632.21900377539</v>
      </c>
      <c r="R82" s="14">
        <v>22104.53819599756</v>
      </c>
      <c r="S82" s="14">
        <v>23285.336176552984</v>
      </c>
      <c r="T82" s="14">
        <v>23474.263853441855</v>
      </c>
      <c r="U82" s="14">
        <v>23993.814964886238</v>
      </c>
      <c r="V82" s="14">
        <v>24607.829914775062</v>
      </c>
      <c r="W82" s="14">
        <v>25505.236379997183</v>
      </c>
      <c r="X82" s="14">
        <v>24418.902237886192</v>
      </c>
      <c r="Y82" s="14">
        <v>22671.321226664164</v>
      </c>
      <c r="Z82" s="14">
        <v>22718.553145886381</v>
      </c>
      <c r="AA82" s="14">
        <v>23757.655368775155</v>
      </c>
      <c r="AB82" s="14">
        <v>21679.450922997607</v>
      </c>
      <c r="AC82" s="14">
        <f t="shared" si="2"/>
        <v>188974.90880809023</v>
      </c>
      <c r="AD82" s="14">
        <f t="shared" si="3"/>
        <v>279849.1213916358</v>
      </c>
      <c r="AE82" s="14">
        <v>290240.14362052351</v>
      </c>
      <c r="AF82" s="14">
        <v>263884.73269452644</v>
      </c>
    </row>
    <row r="83" spans="1:32" ht="15" customHeight="1">
      <c r="A83" s="6" t="s">
        <v>13</v>
      </c>
      <c r="B83" s="10" t="s">
        <v>138</v>
      </c>
      <c r="C83" s="6" t="s">
        <v>108</v>
      </c>
      <c r="D83" s="17" t="str">
        <f>_xlfn.IFNA(VLOOKUP(E83,[13]Master!$J:$K,2,0),"")</f>
        <v>B4105</v>
      </c>
      <c r="E83" s="6" t="s">
        <v>139</v>
      </c>
      <c r="F83" s="17">
        <f>_xlfn.IFNA(VLOOKUP(G83,[13]Master!B:C,2,0),"")</f>
        <v>7631102</v>
      </c>
      <c r="G83" s="6" t="s">
        <v>223</v>
      </c>
      <c r="H83" s="6" t="s">
        <v>518</v>
      </c>
      <c r="I83" s="10" t="str">
        <f>_xlfn.IFNA(VLOOKUP(E83,[13]Master!$J:$M,4,0),"")</f>
        <v>DIR</v>
      </c>
      <c r="J83" s="10" t="str">
        <f>_xlfn.IFNA(VLOOKUP($E83,[13]Master!$J:$M,3,0),"")</f>
        <v>MFG</v>
      </c>
      <c r="K83" s="14">
        <v>367961.60480121284</v>
      </c>
      <c r="L83" s="14">
        <v>432283.94188728608</v>
      </c>
      <c r="M83" s="14">
        <v>273842.89097673813</v>
      </c>
      <c r="N83" s="14">
        <v>273369.93261581112</v>
      </c>
      <c r="O83" s="14">
        <v>273369.93261581112</v>
      </c>
      <c r="P83" s="14">
        <v>244519.47259926356</v>
      </c>
      <c r="Q83" s="14">
        <v>216614.92930457005</v>
      </c>
      <c r="R83" s="14">
        <v>220871.55455291315</v>
      </c>
      <c r="S83" s="14">
        <v>231276.63849330734</v>
      </c>
      <c r="T83" s="14">
        <v>236479.18046350442</v>
      </c>
      <c r="U83" s="14">
        <v>239316.93062906648</v>
      </c>
      <c r="V83" s="14">
        <v>245465.3893211176</v>
      </c>
      <c r="W83" s="14">
        <v>255870.4732615118</v>
      </c>
      <c r="X83" s="14">
        <v>247830.18112575266</v>
      </c>
      <c r="Y83" s="14">
        <v>225128.17980125619</v>
      </c>
      <c r="Z83" s="14">
        <v>227965.92996681825</v>
      </c>
      <c r="AA83" s="14">
        <v>239316.93062906648</v>
      </c>
      <c r="AB83" s="14">
        <v>216614.92930457005</v>
      </c>
      <c r="AC83" s="14">
        <f t="shared" si="2"/>
        <v>1865347.7754961227</v>
      </c>
      <c r="AD83" s="14">
        <f t="shared" si="3"/>
        <v>2802751.2468534545</v>
      </c>
      <c r="AE83" s="14">
        <v>2909166.8780620317</v>
      </c>
      <c r="AF83" s="14">
        <v>2674579.5310422345</v>
      </c>
    </row>
    <row r="84" spans="1:32" ht="15" customHeight="1">
      <c r="A84" s="6" t="s">
        <v>13</v>
      </c>
      <c r="B84" s="10" t="s">
        <v>140</v>
      </c>
      <c r="C84" s="6" t="s">
        <v>108</v>
      </c>
      <c r="D84" s="17" t="str">
        <f>_xlfn.IFNA(VLOOKUP(E84,[13]Master!$J:$K,2,0),"")</f>
        <v>B4106</v>
      </c>
      <c r="E84" s="6" t="s">
        <v>141</v>
      </c>
      <c r="F84" s="17">
        <f>_xlfn.IFNA(VLOOKUP(G84,[13]Master!B:C,2,0),"")</f>
        <v>7631102</v>
      </c>
      <c r="G84" s="6" t="s">
        <v>223</v>
      </c>
      <c r="H84" s="6" t="s">
        <v>518</v>
      </c>
      <c r="I84" s="10" t="str">
        <f>_xlfn.IFNA(VLOOKUP(E84,[13]Master!$J:$M,4,0),"")</f>
        <v>DIR</v>
      </c>
      <c r="J84" s="10" t="str">
        <f>_xlfn.IFNA(VLOOKUP($E84,[13]Master!$J:$M,3,0),"")</f>
        <v>MFG</v>
      </c>
      <c r="K84" s="14">
        <v>29578.958891536055</v>
      </c>
      <c r="L84" s="14">
        <v>36085.455176716656</v>
      </c>
      <c r="M84" s="14">
        <v>20201.128980910125</v>
      </c>
      <c r="N84" s="14">
        <v>19000.718494642017</v>
      </c>
      <c r="O84" s="14">
        <v>19576.794883780731</v>
      </c>
      <c r="P84" s="14">
        <v>20054.093776876027</v>
      </c>
      <c r="Q84" s="14">
        <v>16244.750952361903</v>
      </c>
      <c r="R84" s="14">
        <v>16558.426054301308</v>
      </c>
      <c r="S84" s="14">
        <v>17177.481964619219</v>
      </c>
      <c r="T84" s="14">
        <v>17516.793973928674</v>
      </c>
      <c r="U84" s="14">
        <v>17398.411784014042</v>
      </c>
      <c r="V84" s="14">
        <v>17468.536265937997</v>
      </c>
      <c r="W84" s="14">
        <v>18067.987482384695</v>
      </c>
      <c r="X84" s="14">
        <v>18439.722639250384</v>
      </c>
      <c r="Y84" s="14">
        <v>16413.652930329277</v>
      </c>
      <c r="Z84" s="14">
        <v>14977.986117606612</v>
      </c>
      <c r="AA84" s="14">
        <v>18017.467694331957</v>
      </c>
      <c r="AB84" s="14">
        <v>16510.168346310631</v>
      </c>
      <c r="AC84" s="14">
        <f t="shared" si="2"/>
        <v>144497.15020446162</v>
      </c>
      <c r="AD84" s="14">
        <f t="shared" si="3"/>
        <v>204791.38620537671</v>
      </c>
      <c r="AE84" s="14">
        <v>210167.59648621312</v>
      </c>
      <c r="AF84" s="14">
        <v>198911.48609738759</v>
      </c>
    </row>
    <row r="85" spans="1:32" ht="15" customHeight="1">
      <c r="A85" s="6" t="s">
        <v>13</v>
      </c>
      <c r="B85" s="10" t="s">
        <v>142</v>
      </c>
      <c r="C85" s="6" t="s">
        <v>108</v>
      </c>
      <c r="D85" s="17" t="str">
        <f>_xlfn.IFNA(VLOOKUP(E85,[13]Master!$J:$K,2,0),"")</f>
        <v>B4110</v>
      </c>
      <c r="E85" s="6" t="s">
        <v>143</v>
      </c>
      <c r="F85" s="17">
        <f>_xlfn.IFNA(VLOOKUP(G85,[13]Master!B:C,2,0),"")</f>
        <v>7631102</v>
      </c>
      <c r="G85" s="6" t="s">
        <v>223</v>
      </c>
      <c r="H85" s="6" t="s">
        <v>518</v>
      </c>
      <c r="I85" s="10" t="str">
        <f>_xlfn.IFNA(VLOOKUP(E85,[13]Master!$J:$M,4,0),"")</f>
        <v>DIR</v>
      </c>
      <c r="J85" s="10" t="str">
        <f>_xlfn.IFNA(VLOOKUP($E85,[13]Master!$J:$M,3,0),"")</f>
        <v>MFG</v>
      </c>
      <c r="K85" s="14">
        <v>406847.86681149976</v>
      </c>
      <c r="L85" s="14">
        <v>338387.59627718828</v>
      </c>
      <c r="M85" s="14">
        <v>107471.28187602536</v>
      </c>
      <c r="N85" s="14">
        <v>121063.96875467134</v>
      </c>
      <c r="O85" s="14">
        <v>157253.32578571464</v>
      </c>
      <c r="P85" s="14">
        <v>105240.20637456485</v>
      </c>
      <c r="Q85" s="14">
        <v>91563.151094603149</v>
      </c>
      <c r="R85" s="14">
        <v>107743.13561359828</v>
      </c>
      <c r="S85" s="14">
        <v>86187.009077428345</v>
      </c>
      <c r="T85" s="14">
        <v>92031.864435246098</v>
      </c>
      <c r="U85" s="14">
        <v>92913.045515654885</v>
      </c>
      <c r="V85" s="14">
        <v>95167.556684147537</v>
      </c>
      <c r="W85" s="14">
        <v>105296.451975442</v>
      </c>
      <c r="X85" s="14">
        <v>108432.14422434344</v>
      </c>
      <c r="Y85" s="14">
        <v>33859.851728047761</v>
      </c>
      <c r="Z85" s="14">
        <v>29805.48133148612</v>
      </c>
      <c r="AA85" s="14">
        <v>47893.129146898122</v>
      </c>
      <c r="AB85" s="14">
        <v>24199.669777396266</v>
      </c>
      <c r="AC85" s="14">
        <f t="shared" si="2"/>
        <v>1236264.2458796643</v>
      </c>
      <c r="AD85" s="14">
        <f t="shared" si="3"/>
        <v>915092.49060429202</v>
      </c>
      <c r="AE85" s="14">
        <v>594028.53939726762</v>
      </c>
      <c r="AF85" s="14">
        <v>552528.66021673952</v>
      </c>
    </row>
    <row r="86" spans="1:32" ht="15" customHeight="1">
      <c r="A86" s="6" t="s">
        <v>13</v>
      </c>
      <c r="B86" s="10" t="s">
        <v>146</v>
      </c>
      <c r="C86" s="6" t="s">
        <v>108</v>
      </c>
      <c r="D86" s="17" t="str">
        <f>_xlfn.IFNA(VLOOKUP(E86,[13]Master!$J:$K,2,0),"")</f>
        <v>B4115</v>
      </c>
      <c r="E86" s="6" t="s">
        <v>147</v>
      </c>
      <c r="F86" s="17">
        <f>_xlfn.IFNA(VLOOKUP(G86,[13]Master!B:C,2,0),"")</f>
        <v>7631102</v>
      </c>
      <c r="G86" s="6" t="s">
        <v>223</v>
      </c>
      <c r="H86" s="6" t="s">
        <v>518</v>
      </c>
      <c r="I86" s="10" t="str">
        <f>_xlfn.IFNA(VLOOKUP(E86,[13]Master!$J:$M,4,0),"")</f>
        <v>DIR</v>
      </c>
      <c r="J86" s="10" t="str">
        <f>_xlfn.IFNA(VLOOKUP($E86,[13]Master!$J:$M,3,0),"")</f>
        <v>MFG</v>
      </c>
      <c r="K86" s="14">
        <v>7151.8186793858995</v>
      </c>
      <c r="L86" s="14">
        <v>6891.9753074592354</v>
      </c>
      <c r="M86" s="14">
        <v>6954.6907148719283</v>
      </c>
      <c r="N86" s="14">
        <v>6375.1331552992679</v>
      </c>
      <c r="O86" s="14">
        <v>5216.0180361539469</v>
      </c>
      <c r="P86" s="14">
        <v>6664.911935085599</v>
      </c>
      <c r="Q86" s="14">
        <v>5216.0180361539469</v>
      </c>
      <c r="R86" s="14">
        <v>4636.4604765812855</v>
      </c>
      <c r="S86" s="14">
        <v>5934.6694100240456</v>
      </c>
      <c r="T86" s="14">
        <v>6143.3101314702035</v>
      </c>
      <c r="U86" s="14">
        <v>6178.0835850445637</v>
      </c>
      <c r="V86" s="14">
        <v>6166.49243385311</v>
      </c>
      <c r="W86" s="14">
        <v>6375.1331552992679</v>
      </c>
      <c r="X86" s="14">
        <v>6293.9950969590955</v>
      </c>
      <c r="Y86" s="14">
        <v>8098.3509657619798</v>
      </c>
      <c r="Z86" s="14">
        <v>7584.4765962742194</v>
      </c>
      <c r="AA86" s="14">
        <v>8113.8058340172502</v>
      </c>
      <c r="AB86" s="14">
        <v>7936.0748490816341</v>
      </c>
      <c r="AC86" s="14">
        <f t="shared" si="2"/>
        <v>39254.547828255876</v>
      </c>
      <c r="AD86" s="14">
        <f t="shared" si="3"/>
        <v>78676.870570520608</v>
      </c>
      <c r="AE86" s="14">
        <v>95028.121184597272</v>
      </c>
      <c r="AF86" s="14">
        <v>91473.501485884961</v>
      </c>
    </row>
    <row r="87" spans="1:32" ht="15" customHeight="1">
      <c r="A87" s="6" t="s">
        <v>13</v>
      </c>
      <c r="B87" s="10" t="s">
        <v>144</v>
      </c>
      <c r="C87" s="6" t="s">
        <v>108</v>
      </c>
      <c r="D87" s="17" t="str">
        <f>_xlfn.IFNA(VLOOKUP(E87,[13]Master!$J:$K,2,0),"")</f>
        <v>B4114</v>
      </c>
      <c r="E87" s="6" t="s">
        <v>145</v>
      </c>
      <c r="F87" s="17">
        <f>_xlfn.IFNA(VLOOKUP(G87,[13]Master!B:C,2,0),"")</f>
        <v>7631102</v>
      </c>
      <c r="G87" s="6" t="s">
        <v>223</v>
      </c>
      <c r="H87" s="6" t="s">
        <v>518</v>
      </c>
      <c r="I87" s="10" t="str">
        <f>_xlfn.IFNA(VLOOKUP(E87,[13]Master!$J:$M,4,0),"")</f>
        <v>DIR</v>
      </c>
      <c r="J87" s="10" t="str">
        <f>_xlfn.IFNA(VLOOKUP($E87,[13]Master!$J:$M,3,0),"")</f>
        <v>MFG</v>
      </c>
      <c r="K87" s="14">
        <v>33394.736227924594</v>
      </c>
      <c r="L87" s="14">
        <v>28267.478760537273</v>
      </c>
      <c r="M87" s="14">
        <v>20403.190923220336</v>
      </c>
      <c r="N87" s="14">
        <v>23768.350416393765</v>
      </c>
      <c r="O87" s="14">
        <v>31431.015987739927</v>
      </c>
      <c r="P87" s="14">
        <v>22575.577001986108</v>
      </c>
      <c r="Q87" s="14">
        <v>17522.740439942172</v>
      </c>
      <c r="R87" s="14">
        <v>21101.060683165142</v>
      </c>
      <c r="S87" s="14">
        <v>17134.41716050409</v>
      </c>
      <c r="T87" s="14">
        <v>18040.813741149537</v>
      </c>
      <c r="U87" s="14">
        <v>17952.769083520379</v>
      </c>
      <c r="V87" s="14">
        <v>18784.096008713594</v>
      </c>
      <c r="W87" s="14">
        <v>20628.399889577027</v>
      </c>
      <c r="X87" s="14">
        <v>21934.241180097921</v>
      </c>
      <c r="Y87" s="14">
        <v>6937.9190211777168</v>
      </c>
      <c r="Z87" s="14">
        <v>5196.4883718599331</v>
      </c>
      <c r="AA87" s="14">
        <v>9981.4838175372715</v>
      </c>
      <c r="AB87" s="14">
        <v>5545.8866447672272</v>
      </c>
      <c r="AC87" s="14">
        <f t="shared" si="2"/>
        <v>159840.349317802</v>
      </c>
      <c r="AD87" s="14">
        <f t="shared" si="3"/>
        <v>180760.31604201204</v>
      </c>
      <c r="AE87" s="14">
        <v>117073.44464242742</v>
      </c>
      <c r="AF87" s="14">
        <v>112711.99033923981</v>
      </c>
    </row>
    <row r="88" spans="1:32" ht="15" customHeight="1">
      <c r="A88" s="6" t="s">
        <v>13</v>
      </c>
      <c r="B88" s="10" t="s">
        <v>148</v>
      </c>
      <c r="C88" s="6" t="s">
        <v>108</v>
      </c>
      <c r="D88" s="17" t="str">
        <f>_xlfn.IFNA(VLOOKUP(E88,[13]Master!$J:$K,2,0),"")</f>
        <v>B4120</v>
      </c>
      <c r="E88" s="6" t="s">
        <v>149</v>
      </c>
      <c r="F88" s="17">
        <f>_xlfn.IFNA(VLOOKUP(G88,[13]Master!B:C,2,0),"")</f>
        <v>7631102</v>
      </c>
      <c r="G88" s="6" t="s">
        <v>223</v>
      </c>
      <c r="H88" s="6" t="s">
        <v>518</v>
      </c>
      <c r="I88" s="10" t="str">
        <f>_xlfn.IFNA(VLOOKUP(E88,[13]Master!$J:$M,4,0),"")</f>
        <v>DIR</v>
      </c>
      <c r="J88" s="10" t="str">
        <f>_xlfn.IFNA(VLOOKUP($E88,[13]Master!$J:$M,3,0),"")</f>
        <v>MFG</v>
      </c>
      <c r="K88" s="14">
        <v>196565.92217210453</v>
      </c>
      <c r="L88" s="14">
        <v>187241.10033472595</v>
      </c>
      <c r="M88" s="14">
        <v>164251.89640203738</v>
      </c>
      <c r="N88" s="14">
        <v>158045.03502888457</v>
      </c>
      <c r="O88" s="14">
        <v>162414.95303530671</v>
      </c>
      <c r="P88" s="14">
        <v>167709.0847334436</v>
      </c>
      <c r="Q88" s="14">
        <v>133137.70072445567</v>
      </c>
      <c r="R88" s="14">
        <v>130545.80808604877</v>
      </c>
      <c r="S88" s="14">
        <v>137596.49503402488</v>
      </c>
      <c r="T88" s="14">
        <v>143731.95578161575</v>
      </c>
      <c r="U88" s="14">
        <v>145029.64966857771</v>
      </c>
      <c r="V88" s="14">
        <v>144063.49435065873</v>
      </c>
      <c r="W88" s="14">
        <v>156270.50479638638</v>
      </c>
      <c r="X88" s="14">
        <v>160740.78312265436</v>
      </c>
      <c r="Y88" s="14">
        <v>145043.63021064579</v>
      </c>
      <c r="Z88" s="14">
        <v>127732.72329992191</v>
      </c>
      <c r="AA88" s="14">
        <v>153057.97595117157</v>
      </c>
      <c r="AB88" s="14">
        <v>138904.67432753791</v>
      </c>
      <c r="AC88" s="14">
        <f t="shared" si="2"/>
        <v>1036227.9917065026</v>
      </c>
      <c r="AD88" s="14">
        <f t="shared" si="3"/>
        <v>1715855.3953536993</v>
      </c>
      <c r="AE88" s="14">
        <v>1778850.7193023118</v>
      </c>
      <c r="AF88" s="14">
        <v>1718170.6729811877</v>
      </c>
    </row>
    <row r="89" spans="1:32" ht="15" customHeight="1">
      <c r="A89" s="6" t="s">
        <v>13</v>
      </c>
      <c r="B89" s="10" t="s">
        <v>150</v>
      </c>
      <c r="C89" s="6" t="s">
        <v>108</v>
      </c>
      <c r="D89" s="17" t="str">
        <f>_xlfn.IFNA(VLOOKUP(E89,[13]Master!$J:$K,2,0),"")</f>
        <v>B4121</v>
      </c>
      <c r="E89" s="6" t="s">
        <v>151</v>
      </c>
      <c r="F89" s="17">
        <f>_xlfn.IFNA(VLOOKUP(G89,[13]Master!B:C,2,0),"")</f>
        <v>7631102</v>
      </c>
      <c r="G89" s="6" t="s">
        <v>223</v>
      </c>
      <c r="H89" s="6" t="s">
        <v>518</v>
      </c>
      <c r="I89" s="10" t="str">
        <f>_xlfn.IFNA(VLOOKUP(E89,[13]Master!$J:$M,4,0),"")</f>
        <v>DIR</v>
      </c>
      <c r="J89" s="10" t="str">
        <f>_xlfn.IFNA(VLOOKUP($E89,[13]Master!$J:$M,3,0),"")</f>
        <v>MFG</v>
      </c>
      <c r="K89" s="14">
        <v>53607.020054753295</v>
      </c>
      <c r="L89" s="14">
        <v>46820.008183455378</v>
      </c>
      <c r="M89" s="14">
        <v>48327.656725493791</v>
      </c>
      <c r="N89" s="14">
        <v>53412.166854423333</v>
      </c>
      <c r="O89" s="14">
        <v>54242.670268606998</v>
      </c>
      <c r="P89" s="14">
        <v>45644.05961021292</v>
      </c>
      <c r="Q89" s="14">
        <v>30246.075054058107</v>
      </c>
      <c r="R89" s="14">
        <v>33363.380468387535</v>
      </c>
      <c r="S89" s="14">
        <v>39540.84934255742</v>
      </c>
      <c r="T89" s="14">
        <v>41002.853479194673</v>
      </c>
      <c r="U89" s="14">
        <v>42186.668796549828</v>
      </c>
      <c r="V89" s="14">
        <v>43478.976024470256</v>
      </c>
      <c r="W89" s="14">
        <v>43505.94771857094</v>
      </c>
      <c r="X89" s="14">
        <v>40342.306316940339</v>
      </c>
      <c r="Y89" s="14">
        <v>39265.945537300417</v>
      </c>
      <c r="Z89" s="14">
        <v>39047.837895582357</v>
      </c>
      <c r="AA89" s="14">
        <v>42980.777713245057</v>
      </c>
      <c r="AB89" s="14">
        <v>34600.966278469066</v>
      </c>
      <c r="AC89" s="14">
        <f t="shared" si="2"/>
        <v>302053.58169694571</v>
      </c>
      <c r="AD89" s="14">
        <f t="shared" si="3"/>
        <v>469562.5846253261</v>
      </c>
      <c r="AE89" s="14">
        <v>509490.97917510581</v>
      </c>
      <c r="AF89" s="14">
        <v>494514.34089153667</v>
      </c>
    </row>
    <row r="90" spans="1:32" ht="15" customHeight="1">
      <c r="A90" s="6" t="s">
        <v>13</v>
      </c>
      <c r="B90" s="10" t="s">
        <v>152</v>
      </c>
      <c r="C90" s="6" t="s">
        <v>108</v>
      </c>
      <c r="D90" s="17" t="str">
        <f>_xlfn.IFNA(VLOOKUP(E90,[13]Master!$J:$K,2,0),"")</f>
        <v>B4410</v>
      </c>
      <c r="E90" s="6" t="s">
        <v>153</v>
      </c>
      <c r="F90" s="17">
        <f>_xlfn.IFNA(VLOOKUP(G90,[13]Master!B:C,2,0),"")</f>
        <v>7631102</v>
      </c>
      <c r="G90" s="6" t="s">
        <v>223</v>
      </c>
      <c r="H90" s="6" t="s">
        <v>518</v>
      </c>
      <c r="I90" s="10" t="str">
        <f>_xlfn.IFNA(VLOOKUP(E90,[13]Master!$J:$M,4,0),"")</f>
        <v>DIR</v>
      </c>
      <c r="J90" s="10" t="str">
        <f>_xlfn.IFNA(VLOOKUP($E90,[13]Master!$J:$M,3,0),"")</f>
        <v>MFG</v>
      </c>
      <c r="K90" s="14">
        <v>26950.431278485888</v>
      </c>
      <c r="L90" s="14">
        <v>17843.241047726358</v>
      </c>
      <c r="M90" s="14">
        <v>33059.957013227395</v>
      </c>
      <c r="N90" s="14">
        <v>36942.64626521265</v>
      </c>
      <c r="O90" s="14">
        <v>37627.826721445344</v>
      </c>
      <c r="P90" s="14">
        <v>36942.64626521265</v>
      </c>
      <c r="Q90" s="14">
        <v>32774.465156463775</v>
      </c>
      <c r="R90" s="14">
        <v>30547.628673707524</v>
      </c>
      <c r="S90" s="14">
        <v>32603.170042405603</v>
      </c>
      <c r="T90" s="14">
        <v>34201.92444028188</v>
      </c>
      <c r="U90" s="14">
        <v>36257.465808979963</v>
      </c>
      <c r="V90" s="14">
        <v>36657.154408449031</v>
      </c>
      <c r="W90" s="14">
        <v>37171.039750623553</v>
      </c>
      <c r="X90" s="14">
        <v>34658.711411103679</v>
      </c>
      <c r="Y90" s="14">
        <v>34373.219554340059</v>
      </c>
      <c r="Z90" s="14">
        <v>40311.45017502339</v>
      </c>
      <c r="AA90" s="14">
        <v>39569.171347437972</v>
      </c>
      <c r="AB90" s="14">
        <v>35286.793495983649</v>
      </c>
      <c r="AC90" s="14">
        <f t="shared" si="2"/>
        <v>189366.74859131029</v>
      </c>
      <c r="AD90" s="14">
        <f t="shared" si="3"/>
        <v>424412.19426480005</v>
      </c>
      <c r="AE90" s="14">
        <v>445652.78840801353</v>
      </c>
      <c r="AF90" s="14">
        <v>454560.13433903857</v>
      </c>
    </row>
    <row r="91" spans="1:32" ht="15" customHeight="1">
      <c r="A91" s="6" t="s">
        <v>13</v>
      </c>
      <c r="B91" s="10" t="s">
        <v>154</v>
      </c>
      <c r="C91" s="6" t="s">
        <v>108</v>
      </c>
      <c r="D91" s="17" t="str">
        <f>_xlfn.IFNA(VLOOKUP(E91,[13]Master!$J:$K,2,0),"")</f>
        <v>B4430</v>
      </c>
      <c r="E91" s="6" t="s">
        <v>155</v>
      </c>
      <c r="F91" s="17">
        <f>_xlfn.IFNA(VLOOKUP(G91,[13]Master!B:C,2,0),"")</f>
        <v>7631102</v>
      </c>
      <c r="G91" s="6" t="s">
        <v>223</v>
      </c>
      <c r="H91" s="6" t="s">
        <v>518</v>
      </c>
      <c r="I91" s="10" t="str">
        <f>_xlfn.IFNA(VLOOKUP(E91,[13]Master!$J:$M,4,0),"")</f>
        <v>DIR</v>
      </c>
      <c r="J91" s="10" t="str">
        <f>_xlfn.IFNA(VLOOKUP($E91,[13]Master!$J:$M,3,0),"")</f>
        <v>MFG</v>
      </c>
      <c r="K91" s="14">
        <v>68330.982752360549</v>
      </c>
      <c r="L91" s="14">
        <v>62243.710569422583</v>
      </c>
      <c r="M91" s="14">
        <v>63410.62606044815</v>
      </c>
      <c r="N91" s="14">
        <v>68446.715568078449</v>
      </c>
      <c r="O91" s="14">
        <v>70577.158110672681</v>
      </c>
      <c r="P91" s="14">
        <v>73669.073276154159</v>
      </c>
      <c r="Q91" s="14">
        <v>66266.96673713105</v>
      </c>
      <c r="R91" s="14">
        <v>57468.533504327919</v>
      </c>
      <c r="S91" s="14">
        <v>66204.649067129096</v>
      </c>
      <c r="T91" s="14">
        <v>66583.348754064034</v>
      </c>
      <c r="U91" s="14">
        <v>68284.4157022492</v>
      </c>
      <c r="V91" s="14">
        <v>69170.559273485749</v>
      </c>
      <c r="W91" s="14">
        <v>72831.55118371034</v>
      </c>
      <c r="X91" s="14">
        <v>68120.746217299005</v>
      </c>
      <c r="Y91" s="14">
        <v>63943.407898486817</v>
      </c>
      <c r="Z91" s="14">
        <v>73932.040147371183</v>
      </c>
      <c r="AA91" s="14">
        <v>74944.873487293022</v>
      </c>
      <c r="AB91" s="14">
        <v>68225.522080049544</v>
      </c>
      <c r="AC91" s="14">
        <f t="shared" si="2"/>
        <v>406678.26633713656</v>
      </c>
      <c r="AD91" s="14">
        <f t="shared" si="3"/>
        <v>815976.61405259685</v>
      </c>
      <c r="AE91" s="14">
        <v>857249.40145202191</v>
      </c>
      <c r="AF91" s="14">
        <v>874085.44449595595</v>
      </c>
    </row>
    <row r="92" spans="1:32" ht="15" customHeight="1">
      <c r="A92" s="6" t="s">
        <v>13</v>
      </c>
      <c r="B92" s="10" t="s">
        <v>156</v>
      </c>
      <c r="C92" s="6" t="s">
        <v>108</v>
      </c>
      <c r="D92" s="17" t="str">
        <f>_xlfn.IFNA(VLOOKUP(E92,[13]Master!$J:$K,2,0),"")</f>
        <v>B4440</v>
      </c>
      <c r="E92" s="6" t="s">
        <v>157</v>
      </c>
      <c r="F92" s="17">
        <f>_xlfn.IFNA(VLOOKUP(G92,[13]Master!B:C,2,0),"")</f>
        <v>7631102</v>
      </c>
      <c r="G92" s="6" t="s">
        <v>223</v>
      </c>
      <c r="H92" s="6" t="s">
        <v>518</v>
      </c>
      <c r="I92" s="10" t="str">
        <f>_xlfn.IFNA(VLOOKUP(E92,[13]Master!$J:$M,4,0),"")</f>
        <v>DIR</v>
      </c>
      <c r="J92" s="10" t="str">
        <f>_xlfn.IFNA(VLOOKUP($E92,[13]Master!$J:$M,3,0),"")</f>
        <v>MFG</v>
      </c>
      <c r="K92" s="14">
        <v>6466.9387239010503</v>
      </c>
      <c r="L92" s="14">
        <v>7077.2466881578375</v>
      </c>
      <c r="M92" s="14">
        <v>5480.1044192543623</v>
      </c>
      <c r="N92" s="14">
        <v>6620.7348304439411</v>
      </c>
      <c r="O92" s="14">
        <v>6990.0763245807129</v>
      </c>
      <c r="P92" s="14">
        <v>7857.1631916752458</v>
      </c>
      <c r="Q92" s="14">
        <v>7808.1100244852059</v>
      </c>
      <c r="R92" s="14">
        <v>6468.8142861759643</v>
      </c>
      <c r="S92" s="14">
        <v>7528.2184234596825</v>
      </c>
      <c r="T92" s="14">
        <v>7665.423017570648</v>
      </c>
      <c r="U92" s="14">
        <v>7793.1055262858999</v>
      </c>
      <c r="V92" s="14">
        <v>7568.3266013385983</v>
      </c>
      <c r="W92" s="14">
        <v>7851.1036827870648</v>
      </c>
      <c r="X92" s="14">
        <v>7716.6402950778956</v>
      </c>
      <c r="Y92" s="14">
        <v>6300.1579554549144</v>
      </c>
      <c r="Z92" s="14">
        <v>7343.5476763912966</v>
      </c>
      <c r="AA92" s="14">
        <v>7531.5367259460681</v>
      </c>
      <c r="AB92" s="14">
        <v>7523.1688327195316</v>
      </c>
      <c r="AC92" s="14">
        <f t="shared" si="2"/>
        <v>40492.264178013153</v>
      </c>
      <c r="AD92" s="14">
        <f t="shared" si="3"/>
        <v>89098.153047692758</v>
      </c>
      <c r="AE92" s="14">
        <v>90641.019429840671</v>
      </c>
      <c r="AF92" s="14">
        <v>90876.041810289433</v>
      </c>
    </row>
    <row r="93" spans="1:32" ht="15" customHeight="1">
      <c r="A93" s="6" t="s">
        <v>13</v>
      </c>
      <c r="B93" s="10" t="s">
        <v>78</v>
      </c>
      <c r="C93" s="6" t="s">
        <v>108</v>
      </c>
      <c r="D93" s="17" t="str">
        <f>_xlfn.IFNA(VLOOKUP(E93,[13]Master!$J:$K,2,0),"")</f>
        <v>B5000</v>
      </c>
      <c r="E93" s="6" t="s">
        <v>79</v>
      </c>
      <c r="F93" s="17">
        <f>_xlfn.IFNA(VLOOKUP(G93,[13]Master!B:C,2,0),"")</f>
        <v>7631102</v>
      </c>
      <c r="G93" s="6" t="s">
        <v>223</v>
      </c>
      <c r="H93" s="6" t="s">
        <v>518</v>
      </c>
      <c r="I93" s="10" t="str">
        <f>_xlfn.IFNA(VLOOKUP(E93,[13]Master!$J:$M,4,0),"")</f>
        <v>IND</v>
      </c>
      <c r="J93" s="10" t="str">
        <f>_xlfn.IFNA(VLOOKUP($E93,[13]Master!$J:$M,3,0),"")</f>
        <v>MFG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f t="shared" si="2"/>
        <v>0</v>
      </c>
      <c r="AD93" s="14">
        <f t="shared" si="3"/>
        <v>0</v>
      </c>
      <c r="AE93" s="14">
        <v>0</v>
      </c>
      <c r="AF93" s="14">
        <v>0</v>
      </c>
    </row>
    <row r="94" spans="1:32" ht="15" customHeight="1">
      <c r="A94" s="6" t="s">
        <v>13</v>
      </c>
      <c r="B94" s="10" t="s">
        <v>182</v>
      </c>
      <c r="C94" s="6" t="s">
        <v>108</v>
      </c>
      <c r="D94" s="17" t="str">
        <f>_xlfn.IFNA(VLOOKUP(E94,[13]Master!$J:$K,2,0),"")</f>
        <v>B5100</v>
      </c>
      <c r="E94" s="6" t="s">
        <v>183</v>
      </c>
      <c r="F94" s="17">
        <f>_xlfn.IFNA(VLOOKUP(G94,[13]Master!B:C,2,0),"")</f>
        <v>7631102</v>
      </c>
      <c r="G94" s="6" t="s">
        <v>223</v>
      </c>
      <c r="H94" s="6" t="s">
        <v>518</v>
      </c>
      <c r="I94" s="10" t="str">
        <f>_xlfn.IFNA(VLOOKUP(E94,[13]Master!$J:$M,4,0),"")</f>
        <v>IND</v>
      </c>
      <c r="J94" s="10" t="str">
        <f>_xlfn.IFNA(VLOOKUP($E94,[13]Master!$J:$M,3,0),"")</f>
        <v>MFG</v>
      </c>
      <c r="K94" s="14">
        <v>21453.606620864215</v>
      </c>
      <c r="L94" s="14">
        <v>24528.016950634646</v>
      </c>
      <c r="M94" s="14">
        <v>14464.466145991244</v>
      </c>
      <c r="N94" s="14">
        <v>14554.97011683144</v>
      </c>
      <c r="O94" s="14">
        <v>14804.293469241624</v>
      </c>
      <c r="P94" s="14">
        <v>13700.357960623571</v>
      </c>
      <c r="Q94" s="14">
        <v>11651.3707463265</v>
      </c>
      <c r="R94" s="14">
        <v>11907.120705489937</v>
      </c>
      <c r="S94" s="14">
        <v>12360.238182926987</v>
      </c>
      <c r="T94" s="14">
        <v>12686.67736523145</v>
      </c>
      <c r="U94" s="14">
        <v>12867.00485620128</v>
      </c>
      <c r="V94" s="14">
        <v>13069.011288237085</v>
      </c>
      <c r="W94" s="14">
        <v>13663.874758874228</v>
      </c>
      <c r="X94" s="14">
        <v>13464.605084641338</v>
      </c>
      <c r="Y94" s="14">
        <v>11875.559411373961</v>
      </c>
      <c r="Z94" s="14">
        <v>11560.957080441129</v>
      </c>
      <c r="AA94" s="14">
        <v>12684.681453172576</v>
      </c>
      <c r="AB94" s="14">
        <v>11412.575111038375</v>
      </c>
      <c r="AC94" s="14">
        <f t="shared" si="2"/>
        <v>103505.71126418674</v>
      </c>
      <c r="AD94" s="14">
        <f t="shared" si="3"/>
        <v>149203.67604395485</v>
      </c>
      <c r="AE94" s="14">
        <v>152387.98635336582</v>
      </c>
      <c r="AF94" s="14">
        <v>141921.84628186861</v>
      </c>
    </row>
    <row r="95" spans="1:32" ht="15" customHeight="1">
      <c r="A95" s="6" t="s">
        <v>13</v>
      </c>
      <c r="B95" s="10" t="s">
        <v>167</v>
      </c>
      <c r="C95" s="6" t="s">
        <v>108</v>
      </c>
      <c r="D95" s="17" t="str">
        <f>_xlfn.IFNA(VLOOKUP(E95,[13]Master!$J:$K,2,0),"")</f>
        <v>B5101</v>
      </c>
      <c r="E95" s="6" t="s">
        <v>168</v>
      </c>
      <c r="F95" s="17">
        <f>_xlfn.IFNA(VLOOKUP(G95,[13]Master!B:C,2,0),"")</f>
        <v>7631102</v>
      </c>
      <c r="G95" s="6" t="s">
        <v>223</v>
      </c>
      <c r="H95" s="6" t="s">
        <v>518</v>
      </c>
      <c r="I95" s="10" t="str">
        <f>_xlfn.IFNA(VLOOKUP(E95,[13]Master!$J:$M,4,0),"")</f>
        <v>IND</v>
      </c>
      <c r="J95" s="10" t="str">
        <f>_xlfn.IFNA(VLOOKUP($E95,[13]Master!$J:$M,3,0),"")</f>
        <v>MFG</v>
      </c>
      <c r="K95" s="14">
        <v>16090.204965648167</v>
      </c>
      <c r="L95" s="14">
        <v>18396.012712975989</v>
      </c>
      <c r="M95" s="14">
        <v>10848.349609493436</v>
      </c>
      <c r="N95" s="14">
        <v>10916.227587623584</v>
      </c>
      <c r="O95" s="14">
        <v>11103.22010193122</v>
      </c>
      <c r="P95" s="14">
        <v>10275.268470467679</v>
      </c>
      <c r="Q95" s="14">
        <v>8738.5280597448764</v>
      </c>
      <c r="R95" s="14">
        <v>8930.3405291174549</v>
      </c>
      <c r="S95" s="14">
        <v>9270.1786371952421</v>
      </c>
      <c r="T95" s="14">
        <v>9515.0080239235886</v>
      </c>
      <c r="U95" s="14">
        <v>9650.2536421509612</v>
      </c>
      <c r="V95" s="14">
        <v>9801.7584661778146</v>
      </c>
      <c r="W95" s="14">
        <v>10247.906069155673</v>
      </c>
      <c r="X95" s="14">
        <v>10098.453813481006</v>
      </c>
      <c r="Y95" s="14">
        <v>8906.6695585304733</v>
      </c>
      <c r="Z95" s="14">
        <v>8670.7178103308488</v>
      </c>
      <c r="AA95" s="14">
        <v>9513.5110898794337</v>
      </c>
      <c r="AB95" s="14">
        <v>8559.4313332787842</v>
      </c>
      <c r="AC95" s="14">
        <f t="shared" si="2"/>
        <v>77629.283448140079</v>
      </c>
      <c r="AD95" s="14">
        <f t="shared" si="3"/>
        <v>111902.75703296617</v>
      </c>
      <c r="AE95" s="14">
        <v>114290.98976502441</v>
      </c>
      <c r="AF95" s="14">
        <v>106441.38471140146</v>
      </c>
    </row>
    <row r="96" spans="1:32" ht="15" customHeight="1">
      <c r="A96" s="6" t="s">
        <v>13</v>
      </c>
      <c r="B96" s="10" t="s">
        <v>192</v>
      </c>
      <c r="C96" s="6" t="s">
        <v>108</v>
      </c>
      <c r="D96" s="17" t="str">
        <f>_xlfn.IFNA(VLOOKUP(E96,[13]Master!$J:$K,2,0),"")</f>
        <v>B5104</v>
      </c>
      <c r="E96" s="6" t="s">
        <v>193</v>
      </c>
      <c r="F96" s="17">
        <f>_xlfn.IFNA(VLOOKUP(G96,[13]Master!B:C,2,0),"")</f>
        <v>7631102</v>
      </c>
      <c r="G96" s="6" t="s">
        <v>223</v>
      </c>
      <c r="H96" s="6" t="s">
        <v>518</v>
      </c>
      <c r="I96" s="10" t="str">
        <f>_xlfn.IFNA(VLOOKUP(E96,[13]Master!$J:$M,4,0),"")</f>
        <v>IND</v>
      </c>
      <c r="J96" s="10" t="str">
        <f>_xlfn.IFNA(VLOOKUP($E96,[13]Master!$J:$M,3,0),"")</f>
        <v>MFG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f t="shared" si="2"/>
        <v>0</v>
      </c>
      <c r="AD96" s="14">
        <f t="shared" si="3"/>
        <v>0</v>
      </c>
      <c r="AE96" s="14">
        <v>0</v>
      </c>
      <c r="AF96" s="14">
        <v>0</v>
      </c>
    </row>
    <row r="97" spans="1:32" ht="15" customHeight="1">
      <c r="A97" s="6" t="s">
        <v>13</v>
      </c>
      <c r="B97" s="10" t="s">
        <v>175</v>
      </c>
      <c r="C97" s="6" t="s">
        <v>108</v>
      </c>
      <c r="D97" s="17" t="str">
        <f>_xlfn.IFNA(VLOOKUP(E97,[13]Master!$J:$K,2,0),"")</f>
        <v>B5800</v>
      </c>
      <c r="E97" s="6" t="s">
        <v>176</v>
      </c>
      <c r="F97" s="17">
        <f>_xlfn.IFNA(VLOOKUP(G97,[13]Master!B:C,2,0),"")</f>
        <v>7631102</v>
      </c>
      <c r="G97" s="6" t="s">
        <v>223</v>
      </c>
      <c r="H97" s="6" t="s">
        <v>518</v>
      </c>
      <c r="I97" s="10" t="str">
        <f>_xlfn.IFNA(VLOOKUP(E97,[13]Master!$J:$M,4,0),"")</f>
        <v>IND</v>
      </c>
      <c r="J97" s="10" t="str">
        <f>_xlfn.IFNA(VLOOKUP($E97,[13]Master!$J:$M,3,0),"")</f>
        <v>MFG</v>
      </c>
      <c r="K97" s="14">
        <v>24135.307448472249</v>
      </c>
      <c r="L97" s="14">
        <v>27594.019069463982</v>
      </c>
      <c r="M97" s="14">
        <v>16272.524414240153</v>
      </c>
      <c r="N97" s="14">
        <v>16374.341381435372</v>
      </c>
      <c r="O97" s="14">
        <v>16654.83015289683</v>
      </c>
      <c r="P97" s="14">
        <v>15412.902705701521</v>
      </c>
      <c r="Q97" s="14">
        <v>13107.792089617313</v>
      </c>
      <c r="R97" s="14">
        <v>13395.510793676181</v>
      </c>
      <c r="S97" s="14">
        <v>13905.267955792862</v>
      </c>
      <c r="T97" s="14">
        <v>14272.512035885382</v>
      </c>
      <c r="U97" s="14">
        <v>14475.380463226442</v>
      </c>
      <c r="V97" s="14">
        <v>14702.637699266725</v>
      </c>
      <c r="W97" s="14">
        <v>15371.859103733508</v>
      </c>
      <c r="X97" s="14">
        <v>15147.68072022151</v>
      </c>
      <c r="Y97" s="14">
        <v>13360.00433779571</v>
      </c>
      <c r="Z97" s="14">
        <v>13006.076715496272</v>
      </c>
      <c r="AA97" s="14">
        <v>14270.266634819149</v>
      </c>
      <c r="AB97" s="14">
        <v>12839.146999918177</v>
      </c>
      <c r="AC97" s="14">
        <f t="shared" si="2"/>
        <v>116443.9251722101</v>
      </c>
      <c r="AD97" s="14">
        <f t="shared" si="3"/>
        <v>167854.13554944925</v>
      </c>
      <c r="AE97" s="14">
        <v>171436.48464753659</v>
      </c>
      <c r="AF97" s="14">
        <v>159662.07706710222</v>
      </c>
    </row>
    <row r="98" spans="1:32" ht="15" customHeight="1">
      <c r="A98" s="6" t="s">
        <v>13</v>
      </c>
      <c r="B98" s="10" t="s">
        <v>177</v>
      </c>
      <c r="C98" s="6" t="s">
        <v>108</v>
      </c>
      <c r="D98" s="17" t="str">
        <f>_xlfn.IFNA(VLOOKUP(E98,[13]Master!$J:$K,2,0),"")</f>
        <v>B5900</v>
      </c>
      <c r="E98" s="6" t="s">
        <v>178</v>
      </c>
      <c r="F98" s="17">
        <f>_xlfn.IFNA(VLOOKUP(G98,[13]Master!B:C,2,0),"")</f>
        <v>7631102</v>
      </c>
      <c r="G98" s="6" t="s">
        <v>223</v>
      </c>
      <c r="H98" s="6" t="s">
        <v>518</v>
      </c>
      <c r="I98" s="10" t="str">
        <f>_xlfn.IFNA(VLOOKUP(E98,[13]Master!$J:$M,4,0),"")</f>
        <v>IND</v>
      </c>
      <c r="J98" s="10" t="str">
        <f>_xlfn.IFNA(VLOOKUP($E98,[13]Master!$J:$M,3,0),"")</f>
        <v>MFG</v>
      </c>
      <c r="K98" s="14">
        <v>53634.01655216056</v>
      </c>
      <c r="L98" s="14">
        <v>61320.042376586636</v>
      </c>
      <c r="M98" s="14">
        <v>36161.165364978122</v>
      </c>
      <c r="N98" s="14">
        <v>36387.425292078617</v>
      </c>
      <c r="O98" s="14">
        <v>37010.73367310407</v>
      </c>
      <c r="P98" s="14">
        <v>34250.894901558939</v>
      </c>
      <c r="Q98" s="14">
        <v>29128.426865816258</v>
      </c>
      <c r="R98" s="14">
        <v>29767.801763724852</v>
      </c>
      <c r="S98" s="14">
        <v>30900.595457317479</v>
      </c>
      <c r="T98" s="14">
        <v>31716.693413078632</v>
      </c>
      <c r="U98" s="14">
        <v>32167.512140503208</v>
      </c>
      <c r="V98" s="14">
        <v>32672.528220592721</v>
      </c>
      <c r="W98" s="14">
        <v>34159.68689718558</v>
      </c>
      <c r="X98" s="14">
        <v>33661.512711603355</v>
      </c>
      <c r="Y98" s="14">
        <v>29688.898528434915</v>
      </c>
      <c r="Z98" s="14">
        <v>28902.392701102832</v>
      </c>
      <c r="AA98" s="14">
        <v>31711.703632931447</v>
      </c>
      <c r="AB98" s="14">
        <v>28531.437777595955</v>
      </c>
      <c r="AC98" s="14">
        <f t="shared" si="2"/>
        <v>258764.27816046693</v>
      </c>
      <c r="AD98" s="14">
        <f t="shared" si="3"/>
        <v>373009.19010988722</v>
      </c>
      <c r="AE98" s="14">
        <v>380969.96588341478</v>
      </c>
      <c r="AF98" s="14">
        <v>354804.6157046716</v>
      </c>
    </row>
    <row r="99" spans="1:32" ht="15" customHeight="1">
      <c r="A99" s="6" t="s">
        <v>13</v>
      </c>
      <c r="B99" s="10" t="s">
        <v>107</v>
      </c>
      <c r="C99" s="6" t="s">
        <v>108</v>
      </c>
      <c r="D99" s="17" t="str">
        <f>_xlfn.IFNA(VLOOKUP(E99,[13]Master!$J:$K,2,0),"")</f>
        <v>B5500</v>
      </c>
      <c r="E99" s="6" t="s">
        <v>108</v>
      </c>
      <c r="F99" s="17">
        <f>_xlfn.IFNA(VLOOKUP(G99,[13]Master!B:C,2,0),"")</f>
        <v>7631102</v>
      </c>
      <c r="G99" s="6" t="s">
        <v>223</v>
      </c>
      <c r="H99" s="6" t="s">
        <v>518</v>
      </c>
      <c r="I99" s="10" t="str">
        <f>_xlfn.IFNA(VLOOKUP(E99,[13]Master!$J:$M,4,0),"")</f>
        <v>IND</v>
      </c>
      <c r="J99" s="10" t="str">
        <f>_xlfn.IFNA(VLOOKUP($E99,[13]Master!$J:$M,3,0),"")</f>
        <v>MFG</v>
      </c>
      <c r="K99" s="14">
        <v>34862.110758904346</v>
      </c>
      <c r="L99" s="14">
        <v>39858.027544781296</v>
      </c>
      <c r="M99" s="14">
        <v>23504.757487235769</v>
      </c>
      <c r="N99" s="14">
        <v>23651.826439851087</v>
      </c>
      <c r="O99" s="14">
        <v>24056.976887517638</v>
      </c>
      <c r="P99" s="14">
        <v>22263.081686013298</v>
      </c>
      <c r="Q99" s="14">
        <v>18933.47746278056</v>
      </c>
      <c r="R99" s="14">
        <v>19349.071146421145</v>
      </c>
      <c r="S99" s="14">
        <v>20085.38704725635</v>
      </c>
      <c r="T99" s="14">
        <v>20615.850718501104</v>
      </c>
      <c r="U99" s="14">
        <v>20908.882891327074</v>
      </c>
      <c r="V99" s="14">
        <v>21237.143343385262</v>
      </c>
      <c r="W99" s="14">
        <v>22203.796483170619</v>
      </c>
      <c r="X99" s="14">
        <v>21879.983262542173</v>
      </c>
      <c r="Y99" s="14">
        <v>19297.784043482687</v>
      </c>
      <c r="Z99" s="14">
        <v>18786.555255716834</v>
      </c>
      <c r="AA99" s="14">
        <v>20612.607361405433</v>
      </c>
      <c r="AB99" s="14">
        <v>18545.434555437358</v>
      </c>
      <c r="AC99" s="14">
        <f t="shared" si="2"/>
        <v>168196.78080430342</v>
      </c>
      <c r="AD99" s="14">
        <f t="shared" si="3"/>
        <v>242455.97357142658</v>
      </c>
      <c r="AE99" s="14">
        <v>247630.47782421947</v>
      </c>
      <c r="AF99" s="14">
        <v>230623.00020803645</v>
      </c>
    </row>
    <row r="100" spans="1:32" ht="15" customHeight="1">
      <c r="A100" s="6" t="s">
        <v>13</v>
      </c>
      <c r="B100" s="10" t="s">
        <v>171</v>
      </c>
      <c r="C100" s="6" t="s">
        <v>108</v>
      </c>
      <c r="D100" s="17" t="str">
        <f>_xlfn.IFNA(VLOOKUP(E100,[13]Master!$J:$K,2,0),"")</f>
        <v>B5600</v>
      </c>
      <c r="E100" s="6" t="s">
        <v>172</v>
      </c>
      <c r="F100" s="17">
        <f>_xlfn.IFNA(VLOOKUP(G100,[13]Master!B:C,2,0),"")</f>
        <v>7631102</v>
      </c>
      <c r="G100" s="6" t="s">
        <v>223</v>
      </c>
      <c r="H100" s="6" t="s">
        <v>518</v>
      </c>
      <c r="I100" s="10" t="str">
        <f>_xlfn.IFNA(VLOOKUP(E100,[13]Master!$J:$M,4,0),"")</f>
        <v>IND</v>
      </c>
      <c r="J100" s="10" t="str">
        <f>_xlfn.IFNA(VLOOKUP($E100,[13]Master!$J:$M,3,0),"")</f>
        <v>MFG</v>
      </c>
      <c r="K100" s="14">
        <v>37543.811586512384</v>
      </c>
      <c r="L100" s="14">
        <v>42924.029663610643</v>
      </c>
      <c r="M100" s="14">
        <v>25312.81575548468</v>
      </c>
      <c r="N100" s="14">
        <v>25471.197704455026</v>
      </c>
      <c r="O100" s="14">
        <v>25907.513571172847</v>
      </c>
      <c r="P100" s="14">
        <v>23975.626431091252</v>
      </c>
      <c r="Q100" s="14">
        <v>20389.898806071375</v>
      </c>
      <c r="R100" s="14">
        <v>20837.461234607392</v>
      </c>
      <c r="S100" s="14">
        <v>21630.416820122235</v>
      </c>
      <c r="T100" s="14">
        <v>22201.685389155038</v>
      </c>
      <c r="U100" s="14">
        <v>22517.258498352243</v>
      </c>
      <c r="V100" s="14">
        <v>22870.769754414901</v>
      </c>
      <c r="W100" s="14">
        <v>23911.780828029903</v>
      </c>
      <c r="X100" s="14">
        <v>23563.058898122348</v>
      </c>
      <c r="Y100" s="14">
        <v>20782.228969904434</v>
      </c>
      <c r="Z100" s="14">
        <v>20231.674890771981</v>
      </c>
      <c r="AA100" s="14">
        <v>22198.19254305201</v>
      </c>
      <c r="AB100" s="14">
        <v>19972.006444317161</v>
      </c>
      <c r="AC100" s="14">
        <f t="shared" si="2"/>
        <v>181134.99471232682</v>
      </c>
      <c r="AD100" s="14">
        <f t="shared" si="3"/>
        <v>261106.43307692104</v>
      </c>
      <c r="AE100" s="14">
        <v>266678.97611839022</v>
      </c>
      <c r="AF100" s="14">
        <v>248363.23099327015</v>
      </c>
    </row>
    <row r="101" spans="1:32" ht="15" customHeight="1">
      <c r="A101" s="6" t="s">
        <v>13</v>
      </c>
      <c r="B101" s="10" t="s">
        <v>169</v>
      </c>
      <c r="C101" s="6" t="s">
        <v>108</v>
      </c>
      <c r="D101" s="17" t="str">
        <f>_xlfn.IFNA(VLOOKUP(E101,[13]Master!$J:$K,2,0),"")</f>
        <v>B5130</v>
      </c>
      <c r="E101" s="6" t="s">
        <v>170</v>
      </c>
      <c r="F101" s="17">
        <f>_xlfn.IFNA(VLOOKUP(G101,[13]Master!B:C,2,0),"")</f>
        <v>7631102</v>
      </c>
      <c r="G101" s="6" t="s">
        <v>223</v>
      </c>
      <c r="H101" s="6" t="s">
        <v>518</v>
      </c>
      <c r="I101" s="10" t="str">
        <f>_xlfn.IFNA(VLOOKUP(E101,[13]Master!$J:$M,4,0),"")</f>
        <v>IND</v>
      </c>
      <c r="J101" s="10" t="str">
        <f>_xlfn.IFNA(VLOOKUP($E101,[13]Master!$J:$M,3,0),"")</f>
        <v>MFG</v>
      </c>
      <c r="K101" s="14">
        <v>21453.606620864215</v>
      </c>
      <c r="L101" s="14">
        <v>24528.016950634646</v>
      </c>
      <c r="M101" s="14">
        <v>14464.466145991244</v>
      </c>
      <c r="N101" s="14">
        <v>14554.97011683144</v>
      </c>
      <c r="O101" s="14">
        <v>14804.293469241624</v>
      </c>
      <c r="P101" s="14">
        <v>13700.357960623571</v>
      </c>
      <c r="Q101" s="14">
        <v>11651.3707463265</v>
      </c>
      <c r="R101" s="14">
        <v>11907.120705489937</v>
      </c>
      <c r="S101" s="14">
        <v>12360.238182926987</v>
      </c>
      <c r="T101" s="14">
        <v>12686.67736523145</v>
      </c>
      <c r="U101" s="14">
        <v>12867.00485620128</v>
      </c>
      <c r="V101" s="14">
        <v>13069.011288237085</v>
      </c>
      <c r="W101" s="14">
        <v>13663.874758874228</v>
      </c>
      <c r="X101" s="14">
        <v>13464.605084641338</v>
      </c>
      <c r="Y101" s="14">
        <v>11875.559411373961</v>
      </c>
      <c r="Z101" s="14">
        <v>11560.957080441129</v>
      </c>
      <c r="AA101" s="14">
        <v>12684.681453172576</v>
      </c>
      <c r="AB101" s="14">
        <v>11412.575111038375</v>
      </c>
      <c r="AC101" s="14">
        <f t="shared" si="2"/>
        <v>103505.71126418674</v>
      </c>
      <c r="AD101" s="14">
        <f t="shared" si="3"/>
        <v>149203.67604395485</v>
      </c>
      <c r="AE101" s="14">
        <v>152387.98635336582</v>
      </c>
      <c r="AF101" s="14">
        <v>141921.84628186861</v>
      </c>
    </row>
    <row r="102" spans="1:32" ht="15" customHeight="1">
      <c r="A102" s="6" t="s">
        <v>13</v>
      </c>
      <c r="B102" s="10" t="s">
        <v>111</v>
      </c>
      <c r="C102" s="6" t="s">
        <v>108</v>
      </c>
      <c r="D102" s="17" t="str">
        <f>_xlfn.IFNA(VLOOKUP(E102,[13]Master!$J:$K,2,0),"")</f>
        <v>B5200</v>
      </c>
      <c r="E102" s="6" t="s">
        <v>112</v>
      </c>
      <c r="F102" s="17">
        <f>_xlfn.IFNA(VLOOKUP(G102,[13]Master!B:C,2,0),"")</f>
        <v>7631102</v>
      </c>
      <c r="G102" s="6" t="s">
        <v>223</v>
      </c>
      <c r="H102" s="6" t="s">
        <v>518</v>
      </c>
      <c r="I102" s="10" t="str">
        <f>_xlfn.IFNA(VLOOKUP(E102,[13]Master!$J:$M,4,0),"")</f>
        <v>IND</v>
      </c>
      <c r="J102" s="10" t="str">
        <f>_xlfn.IFNA(VLOOKUP($E102,[13]Master!$J:$M,3,0),"")</f>
        <v>MFG</v>
      </c>
      <c r="K102" s="14">
        <v>5363.4016552160538</v>
      </c>
      <c r="L102" s="14">
        <v>6132.0042376586616</v>
      </c>
      <c r="M102" s="14">
        <v>3616.116536497811</v>
      </c>
      <c r="N102" s="14">
        <v>3638.7425292078601</v>
      </c>
      <c r="O102" s="14">
        <v>3701.073367310406</v>
      </c>
      <c r="P102" s="14">
        <v>3425.0894901558927</v>
      </c>
      <c r="Q102" s="14">
        <v>2912.842686581625</v>
      </c>
      <c r="R102" s="14">
        <v>2976.7801763724842</v>
      </c>
      <c r="S102" s="14">
        <v>3090.0595457317468</v>
      </c>
      <c r="T102" s="14">
        <v>3171.6693413078624</v>
      </c>
      <c r="U102" s="14">
        <v>3216.75121405032</v>
      </c>
      <c r="V102" s="14">
        <v>3267.2528220592712</v>
      </c>
      <c r="W102" s="14">
        <v>3415.968689718557</v>
      </c>
      <c r="X102" s="14">
        <v>3366.1512711603345</v>
      </c>
      <c r="Y102" s="14">
        <v>2968.8898528434902</v>
      </c>
      <c r="Z102" s="14">
        <v>2890.2392701102822</v>
      </c>
      <c r="AA102" s="14">
        <v>3171.170363293144</v>
      </c>
      <c r="AB102" s="14">
        <v>2853.1437777595938</v>
      </c>
      <c r="AC102" s="14">
        <f t="shared" si="2"/>
        <v>25876.427816046686</v>
      </c>
      <c r="AD102" s="14">
        <f t="shared" si="3"/>
        <v>37300.919010988713</v>
      </c>
      <c r="AE102" s="14">
        <v>38096.996588341455</v>
      </c>
      <c r="AF102" s="14">
        <v>35480.461570467152</v>
      </c>
    </row>
    <row r="103" spans="1:32" ht="15" customHeight="1">
      <c r="A103" s="6" t="s">
        <v>13</v>
      </c>
      <c r="B103" s="10" t="s">
        <v>173</v>
      </c>
      <c r="C103" s="6" t="s">
        <v>108</v>
      </c>
      <c r="D103" s="17" t="str">
        <f>_xlfn.IFNA(VLOOKUP(E103,[13]Master!$J:$K,2,0),"")</f>
        <v>B5710</v>
      </c>
      <c r="E103" s="6" t="s">
        <v>174</v>
      </c>
      <c r="F103" s="17">
        <f>_xlfn.IFNA(VLOOKUP(G103,[13]Master!B:C,2,0),"")</f>
        <v>7631102</v>
      </c>
      <c r="G103" s="6" t="s">
        <v>223</v>
      </c>
      <c r="H103" s="6" t="s">
        <v>518</v>
      </c>
      <c r="I103" s="10" t="str">
        <f>_xlfn.IFNA(VLOOKUP(E103,[13]Master!$J:$M,4,0),"")</f>
        <v>IND</v>
      </c>
      <c r="J103" s="10" t="str">
        <f>_xlfn.IFNA(VLOOKUP($E103,[13]Master!$J:$M,3,0),"")</f>
        <v>MFG</v>
      </c>
      <c r="K103" s="14">
        <v>21453.606620864215</v>
      </c>
      <c r="L103" s="14">
        <v>24528.016950634646</v>
      </c>
      <c r="M103" s="14">
        <v>14464.466145991244</v>
      </c>
      <c r="N103" s="14">
        <v>14554.97011683144</v>
      </c>
      <c r="O103" s="14">
        <v>14804.293469241624</v>
      </c>
      <c r="P103" s="14">
        <v>13700.357960623571</v>
      </c>
      <c r="Q103" s="14">
        <v>11651.3707463265</v>
      </c>
      <c r="R103" s="14">
        <v>11907.120705489937</v>
      </c>
      <c r="S103" s="14">
        <v>12360.238182926987</v>
      </c>
      <c r="T103" s="14">
        <v>12686.67736523145</v>
      </c>
      <c r="U103" s="14">
        <v>12867.00485620128</v>
      </c>
      <c r="V103" s="14">
        <v>13069.011288237085</v>
      </c>
      <c r="W103" s="14">
        <v>13663.874758874228</v>
      </c>
      <c r="X103" s="14">
        <v>13464.605084641338</v>
      </c>
      <c r="Y103" s="14">
        <v>11875.559411373961</v>
      </c>
      <c r="Z103" s="14">
        <v>11560.957080441129</v>
      </c>
      <c r="AA103" s="14">
        <v>12684.681453172576</v>
      </c>
      <c r="AB103" s="14">
        <v>11412.575111038375</v>
      </c>
      <c r="AC103" s="14">
        <f t="shared" si="2"/>
        <v>103505.71126418674</v>
      </c>
      <c r="AD103" s="14">
        <f t="shared" si="3"/>
        <v>149203.67604395485</v>
      </c>
      <c r="AE103" s="14">
        <v>152387.98635336582</v>
      </c>
      <c r="AF103" s="14">
        <v>141921.84628186861</v>
      </c>
    </row>
    <row r="104" spans="1:32" ht="15" customHeight="1">
      <c r="A104" s="6" t="s">
        <v>13</v>
      </c>
      <c r="B104" s="10" t="s">
        <v>99</v>
      </c>
      <c r="C104" s="6" t="s">
        <v>108</v>
      </c>
      <c r="D104" s="17" t="str">
        <f>_xlfn.IFNA(VLOOKUP(E104,[13]Master!$J:$K,2,0),"")</f>
        <v>B3150</v>
      </c>
      <c r="E104" s="6" t="s">
        <v>100</v>
      </c>
      <c r="F104" s="17">
        <f>_xlfn.IFNA(VLOOKUP(G104,[13]Master!B:C,2,0),"")</f>
        <v>7631102</v>
      </c>
      <c r="G104" s="6" t="s">
        <v>223</v>
      </c>
      <c r="H104" s="6" t="s">
        <v>518</v>
      </c>
      <c r="I104" s="10" t="str">
        <f>_xlfn.IFNA(VLOOKUP(E104,[13]Master!$J:$M,4,0),"")</f>
        <v>ADM</v>
      </c>
      <c r="J104" s="10" t="str">
        <f>_xlfn.IFNA(VLOOKUP($E104,[13]Master!$J:$M,3,0),"")</f>
        <v>SGA</v>
      </c>
      <c r="K104" s="14">
        <v>58997.418207376599</v>
      </c>
      <c r="L104" s="14">
        <v>67452.046614245293</v>
      </c>
      <c r="M104" s="14">
        <v>39777.28190147593</v>
      </c>
      <c r="N104" s="14">
        <v>40026.167821286464</v>
      </c>
      <c r="O104" s="14">
        <v>40711.807040414467</v>
      </c>
      <c r="P104" s="14">
        <v>37675.984391714825</v>
      </c>
      <c r="Q104" s="14">
        <v>32041.269552397876</v>
      </c>
      <c r="R104" s="14">
        <v>32744.581940097327</v>
      </c>
      <c r="S104" s="14">
        <v>33990.655003049222</v>
      </c>
      <c r="T104" s="14">
        <v>34888.362754386486</v>
      </c>
      <c r="U104" s="14">
        <v>35384.263354553521</v>
      </c>
      <c r="V104" s="14">
        <v>35939.781042651986</v>
      </c>
      <c r="W104" s="14">
        <v>37575.655586904133</v>
      </c>
      <c r="X104" s="14">
        <v>37027.663982763683</v>
      </c>
      <c r="Y104" s="14">
        <v>32657.788381278398</v>
      </c>
      <c r="Z104" s="14">
        <v>31792.631971213104</v>
      </c>
      <c r="AA104" s="14">
        <v>34882.873996224589</v>
      </c>
      <c r="AB104" s="14">
        <v>31384.58155535554</v>
      </c>
      <c r="AC104" s="14">
        <f t="shared" si="2"/>
        <v>284640.70597651356</v>
      </c>
      <c r="AD104" s="14">
        <f t="shared" si="3"/>
        <v>410310.10912087583</v>
      </c>
      <c r="AE104" s="14">
        <v>419066.96247175609</v>
      </c>
      <c r="AF104" s="14">
        <v>390285.07727513876</v>
      </c>
    </row>
    <row r="105" spans="1:32" ht="15" customHeight="1">
      <c r="A105" s="6" t="s">
        <v>13</v>
      </c>
      <c r="B105" s="10" t="s">
        <v>61</v>
      </c>
      <c r="C105" s="6" t="s">
        <v>108</v>
      </c>
      <c r="D105" s="17" t="str">
        <f>_xlfn.IFNA(VLOOKUP(E105,[13]Master!$J:$K,2,0),"")</f>
        <v>B5007</v>
      </c>
      <c r="E105" s="6" t="s">
        <v>62</v>
      </c>
      <c r="F105" s="17">
        <f>_xlfn.IFNA(VLOOKUP(G105,[13]Master!B:C,2,0),"")</f>
        <v>7631102</v>
      </c>
      <c r="G105" s="6" t="s">
        <v>223</v>
      </c>
      <c r="H105" s="6" t="s">
        <v>518</v>
      </c>
      <c r="I105" s="10" t="str">
        <f>_xlfn.IFNA(VLOOKUP(E105,[13]Master!$J:$M,4,0),"")</f>
        <v>IND</v>
      </c>
      <c r="J105" s="10" t="str">
        <f>_xlfn.IFNA(VLOOKUP($E105,[13]Master!$J:$M,3,0),"")</f>
        <v>MFG</v>
      </c>
      <c r="K105" s="14">
        <v>5363.4016552160538</v>
      </c>
      <c r="L105" s="14">
        <v>6132.0042376586616</v>
      </c>
      <c r="M105" s="14">
        <v>3616.116536497811</v>
      </c>
      <c r="N105" s="14">
        <v>3638.7425292078601</v>
      </c>
      <c r="O105" s="14">
        <v>3701.073367310406</v>
      </c>
      <c r="P105" s="14">
        <v>3425.0894901558927</v>
      </c>
      <c r="Q105" s="14">
        <v>2912.842686581625</v>
      </c>
      <c r="R105" s="14">
        <v>2976.7801763724842</v>
      </c>
      <c r="S105" s="14">
        <v>3090.0595457317468</v>
      </c>
      <c r="T105" s="14">
        <v>3171.6693413078624</v>
      </c>
      <c r="U105" s="14">
        <v>3216.75121405032</v>
      </c>
      <c r="V105" s="14">
        <v>3267.2528220592712</v>
      </c>
      <c r="W105" s="14">
        <v>3415.968689718557</v>
      </c>
      <c r="X105" s="14">
        <v>3366.1512711603345</v>
      </c>
      <c r="Y105" s="14">
        <v>2968.8898528434902</v>
      </c>
      <c r="Z105" s="14">
        <v>2890.2392701102822</v>
      </c>
      <c r="AA105" s="14">
        <v>3171.170363293144</v>
      </c>
      <c r="AB105" s="14">
        <v>2853.1437777595938</v>
      </c>
      <c r="AC105" s="14">
        <f t="shared" si="2"/>
        <v>25876.427816046686</v>
      </c>
      <c r="AD105" s="14">
        <f t="shared" si="3"/>
        <v>37300.919010988713</v>
      </c>
      <c r="AE105" s="14">
        <v>38096.996588341455</v>
      </c>
      <c r="AF105" s="14">
        <v>35480.461570467152</v>
      </c>
    </row>
    <row r="106" spans="1:32" ht="15" customHeight="1">
      <c r="A106" s="6" t="s">
        <v>13</v>
      </c>
      <c r="B106" s="10" t="s">
        <v>81</v>
      </c>
      <c r="C106" s="6" t="s">
        <v>108</v>
      </c>
      <c r="D106" s="17" t="str">
        <f>_xlfn.IFNA(VLOOKUP(E106,[13]Master!$J:$K,2,0),"")</f>
        <v>B3100</v>
      </c>
      <c r="E106" s="6" t="s">
        <v>82</v>
      </c>
      <c r="F106" s="17">
        <f>_xlfn.IFNA(VLOOKUP(G106,[13]Master!B:C,2,0),"")</f>
        <v>7631102</v>
      </c>
      <c r="G106" s="6" t="s">
        <v>223</v>
      </c>
      <c r="H106" s="6" t="s">
        <v>518</v>
      </c>
      <c r="I106" s="10" t="str">
        <f>_xlfn.IFNA(VLOOKUP(E106,[13]Master!$J:$M,4,0),"")</f>
        <v>ADM</v>
      </c>
      <c r="J106" s="10" t="str">
        <f>_xlfn.IFNA(VLOOKUP($E106,[13]Master!$J:$M,3,0),"")</f>
        <v>SGA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f t="shared" ref="AC106:AC169" si="4">SUM(K106:P106)</f>
        <v>0</v>
      </c>
      <c r="AD106" s="14">
        <f t="shared" si="3"/>
        <v>0</v>
      </c>
      <c r="AE106" s="14">
        <v>0</v>
      </c>
      <c r="AF106" s="14">
        <v>0</v>
      </c>
    </row>
    <row r="107" spans="1:32" ht="15" customHeight="1">
      <c r="A107" s="6" t="s">
        <v>13</v>
      </c>
      <c r="B107" s="10" t="s">
        <v>109</v>
      </c>
      <c r="C107" s="6" t="s">
        <v>108</v>
      </c>
      <c r="D107" s="17" t="str">
        <f>_xlfn.IFNA(VLOOKUP(E107,[13]Master!$J:$K,2,0),"")</f>
        <v>B3160</v>
      </c>
      <c r="E107" s="6" t="s">
        <v>110</v>
      </c>
      <c r="F107" s="17">
        <f>_xlfn.IFNA(VLOOKUP(G107,[13]Master!B:C,2,0),"")</f>
        <v>7631102</v>
      </c>
      <c r="G107" s="6" t="s">
        <v>223</v>
      </c>
      <c r="H107" s="6" t="s">
        <v>518</v>
      </c>
      <c r="I107" s="10" t="str">
        <f>_xlfn.IFNA(VLOOKUP(E107,[13]Master!$J:$M,4,0),"")</f>
        <v>ADM</v>
      </c>
      <c r="J107" s="10" t="str">
        <f>_xlfn.IFNA(VLOOKUP($E107,[13]Master!$J:$M,3,0),"")</f>
        <v>SGA</v>
      </c>
      <c r="K107" s="14">
        <v>16090.204965648167</v>
      </c>
      <c r="L107" s="14">
        <v>18396.012712975989</v>
      </c>
      <c r="M107" s="14">
        <v>10848.349609493436</v>
      </c>
      <c r="N107" s="14">
        <v>10916.227587623584</v>
      </c>
      <c r="O107" s="14">
        <v>11103.22010193122</v>
      </c>
      <c r="P107" s="14">
        <v>10275.268470467679</v>
      </c>
      <c r="Q107" s="14">
        <v>8738.5280597448764</v>
      </c>
      <c r="R107" s="14">
        <v>8930.3405291174549</v>
      </c>
      <c r="S107" s="14">
        <v>9270.1786371952421</v>
      </c>
      <c r="T107" s="14">
        <v>9515.0080239235886</v>
      </c>
      <c r="U107" s="14">
        <v>9650.2536421509612</v>
      </c>
      <c r="V107" s="14">
        <v>9801.7584661778146</v>
      </c>
      <c r="W107" s="14">
        <v>10247.906069155673</v>
      </c>
      <c r="X107" s="14">
        <v>10098.453813481006</v>
      </c>
      <c r="Y107" s="14">
        <v>8906.6695585304733</v>
      </c>
      <c r="Z107" s="14">
        <v>8670.7178103308488</v>
      </c>
      <c r="AA107" s="14">
        <v>9513.5110898794337</v>
      </c>
      <c r="AB107" s="14">
        <v>8559.4313332787842</v>
      </c>
      <c r="AC107" s="14">
        <f t="shared" si="4"/>
        <v>77629.283448140079</v>
      </c>
      <c r="AD107" s="14">
        <f t="shared" si="3"/>
        <v>111902.75703296617</v>
      </c>
      <c r="AE107" s="14">
        <v>114290.98976502441</v>
      </c>
      <c r="AF107" s="14">
        <v>106441.38471140146</v>
      </c>
    </row>
    <row r="108" spans="1:32" ht="15" customHeight="1">
      <c r="A108" s="6" t="s">
        <v>13</v>
      </c>
      <c r="B108" s="10" t="s">
        <v>165</v>
      </c>
      <c r="C108" s="6" t="s">
        <v>108</v>
      </c>
      <c r="D108" s="17" t="str">
        <f>_xlfn.IFNA(VLOOKUP(E108,[13]Master!$J:$K,2,0),"")</f>
        <v>B3110</v>
      </c>
      <c r="E108" s="6" t="s">
        <v>166</v>
      </c>
      <c r="F108" s="17">
        <f>_xlfn.IFNA(VLOOKUP(G108,[13]Master!B:C,2,0),"")</f>
        <v>7631102</v>
      </c>
      <c r="G108" s="6" t="s">
        <v>223</v>
      </c>
      <c r="H108" s="6" t="s">
        <v>518</v>
      </c>
      <c r="I108" s="10" t="str">
        <f>_xlfn.IFNA(VLOOKUP(E108,[13]Master!$J:$M,4,0),"")</f>
        <v>ADM</v>
      </c>
      <c r="J108" s="10" t="str">
        <f>_xlfn.IFNA(VLOOKUP($E108,[13]Master!$J:$M,3,0),"")</f>
        <v>SGA</v>
      </c>
      <c r="K108" s="14">
        <v>13408.50413804014</v>
      </c>
      <c r="L108" s="14">
        <v>15330.010594146659</v>
      </c>
      <c r="M108" s="14">
        <v>9040.2913412445305</v>
      </c>
      <c r="N108" s="14">
        <v>9096.8563230196542</v>
      </c>
      <c r="O108" s="14">
        <v>9252.6834182760176</v>
      </c>
      <c r="P108" s="14">
        <v>8562.7237253897347</v>
      </c>
      <c r="Q108" s="14">
        <v>7282.1067164540646</v>
      </c>
      <c r="R108" s="14">
        <v>7441.9504409312131</v>
      </c>
      <c r="S108" s="14">
        <v>7725.1488643293696</v>
      </c>
      <c r="T108" s="14">
        <v>7929.173353269658</v>
      </c>
      <c r="U108" s="14">
        <v>8041.8780351258019</v>
      </c>
      <c r="V108" s="14">
        <v>8168.1320551481804</v>
      </c>
      <c r="W108" s="14">
        <v>8539.921724296395</v>
      </c>
      <c r="X108" s="14">
        <v>8415.3781779008386</v>
      </c>
      <c r="Y108" s="14">
        <v>7422.2246321087287</v>
      </c>
      <c r="Z108" s="14">
        <v>7225.5981752757079</v>
      </c>
      <c r="AA108" s="14">
        <v>7927.9259082328617</v>
      </c>
      <c r="AB108" s="14">
        <v>7132.8594443989887</v>
      </c>
      <c r="AC108" s="14">
        <f t="shared" si="4"/>
        <v>64691.069540116732</v>
      </c>
      <c r="AD108" s="14">
        <f t="shared" si="3"/>
        <v>93252.297527471805</v>
      </c>
      <c r="AE108" s="14">
        <v>95242.491470853696</v>
      </c>
      <c r="AF108" s="14">
        <v>88701.153926167899</v>
      </c>
    </row>
    <row r="109" spans="1:32" ht="15" customHeight="1">
      <c r="A109" s="6" t="s">
        <v>13</v>
      </c>
      <c r="B109" s="10" t="s">
        <v>119</v>
      </c>
      <c r="C109" s="6" t="s">
        <v>108</v>
      </c>
      <c r="D109" s="17" t="str">
        <f>_xlfn.IFNA(VLOOKUP(E109,[13]Master!$J:$K,2,0),"")</f>
        <v>B3120</v>
      </c>
      <c r="E109" s="6" t="s">
        <v>120</v>
      </c>
      <c r="F109" s="17">
        <f>_xlfn.IFNA(VLOOKUP(G109,[13]Master!B:C,2,0),"")</f>
        <v>7631102</v>
      </c>
      <c r="G109" s="6" t="s">
        <v>223</v>
      </c>
      <c r="H109" s="6" t="s">
        <v>518</v>
      </c>
      <c r="I109" s="10" t="str">
        <f>_xlfn.IFNA(VLOOKUP(E109,[13]Master!$J:$M,4,0),"")</f>
        <v>ADM</v>
      </c>
      <c r="J109" s="10" t="str">
        <f>_xlfn.IFNA(VLOOKUP($E109,[13]Master!$J:$M,3,0),"")</f>
        <v>SGA</v>
      </c>
      <c r="K109" s="14">
        <v>5363.4016552160538</v>
      </c>
      <c r="L109" s="14">
        <v>6132.0042376586616</v>
      </c>
      <c r="M109" s="14">
        <v>3616.116536497811</v>
      </c>
      <c r="N109" s="14">
        <v>3638.7425292078601</v>
      </c>
      <c r="O109" s="14">
        <v>3701.073367310406</v>
      </c>
      <c r="P109" s="14">
        <v>3425.0894901558927</v>
      </c>
      <c r="Q109" s="14">
        <v>2912.842686581625</v>
      </c>
      <c r="R109" s="14">
        <v>2976.7801763724842</v>
      </c>
      <c r="S109" s="14">
        <v>3090.0595457317468</v>
      </c>
      <c r="T109" s="14">
        <v>3171.6693413078624</v>
      </c>
      <c r="U109" s="14">
        <v>3216.75121405032</v>
      </c>
      <c r="V109" s="14">
        <v>3267.2528220592712</v>
      </c>
      <c r="W109" s="14">
        <v>3415.968689718557</v>
      </c>
      <c r="X109" s="14">
        <v>3366.1512711603345</v>
      </c>
      <c r="Y109" s="14">
        <v>2968.8898528434902</v>
      </c>
      <c r="Z109" s="14">
        <v>2890.2392701102822</v>
      </c>
      <c r="AA109" s="14">
        <v>3171.170363293144</v>
      </c>
      <c r="AB109" s="14">
        <v>2853.1437777595938</v>
      </c>
      <c r="AC109" s="14">
        <f t="shared" si="4"/>
        <v>25876.427816046686</v>
      </c>
      <c r="AD109" s="14">
        <f t="shared" si="3"/>
        <v>37300.919010988713</v>
      </c>
      <c r="AE109" s="14">
        <v>38096.996588341455</v>
      </c>
      <c r="AF109" s="14">
        <v>35480.461570467152</v>
      </c>
    </row>
    <row r="110" spans="1:32" ht="15" customHeight="1">
      <c r="A110" s="6" t="s">
        <v>13</v>
      </c>
      <c r="B110" s="10" t="s">
        <v>103</v>
      </c>
      <c r="C110" s="6" t="s">
        <v>108</v>
      </c>
      <c r="D110" s="17" t="str">
        <f>_xlfn.IFNA(VLOOKUP(E110,[13]Master!$J:$K,2,0),"")</f>
        <v>B3130</v>
      </c>
      <c r="E110" s="6" t="s">
        <v>104</v>
      </c>
      <c r="F110" s="17">
        <f>_xlfn.IFNA(VLOOKUP(G110,[13]Master!B:C,2,0),"")</f>
        <v>7631102</v>
      </c>
      <c r="G110" s="6" t="s">
        <v>223</v>
      </c>
      <c r="H110" s="6" t="s">
        <v>518</v>
      </c>
      <c r="I110" s="10" t="str">
        <f>_xlfn.IFNA(VLOOKUP(E110,[13]Master!$J:$M,4,0),"")</f>
        <v>ADM</v>
      </c>
      <c r="J110" s="10" t="str">
        <f>_xlfn.IFNA(VLOOKUP($E110,[13]Master!$J:$M,3,0),"")</f>
        <v>SGA</v>
      </c>
      <c r="K110" s="14">
        <v>29498.709103688299</v>
      </c>
      <c r="L110" s="14">
        <v>33726.023307122647</v>
      </c>
      <c r="M110" s="14">
        <v>19888.640950737965</v>
      </c>
      <c r="N110" s="14">
        <v>20013.083910643232</v>
      </c>
      <c r="O110" s="14">
        <v>20355.903520207234</v>
      </c>
      <c r="P110" s="14">
        <v>18837.992195857412</v>
      </c>
      <c r="Q110" s="14">
        <v>16020.634776198938</v>
      </c>
      <c r="R110" s="14">
        <v>16372.290970048663</v>
      </c>
      <c r="S110" s="14">
        <v>16995.327501524611</v>
      </c>
      <c r="T110" s="14">
        <v>17444.181377193243</v>
      </c>
      <c r="U110" s="14">
        <v>17692.13167727676</v>
      </c>
      <c r="V110" s="14">
        <v>17969.890521325993</v>
      </c>
      <c r="W110" s="14">
        <v>18787.827793452067</v>
      </c>
      <c r="X110" s="14">
        <v>18513.831991381841</v>
      </c>
      <c r="Y110" s="14">
        <v>16328.894190639199</v>
      </c>
      <c r="Z110" s="14">
        <v>15896.315985606552</v>
      </c>
      <c r="AA110" s="14">
        <v>17441.436998112295</v>
      </c>
      <c r="AB110" s="14">
        <v>15692.29077767777</v>
      </c>
      <c r="AC110" s="14">
        <f t="shared" si="4"/>
        <v>142320.35298825678</v>
      </c>
      <c r="AD110" s="14">
        <f t="shared" si="3"/>
        <v>205155.05456043791</v>
      </c>
      <c r="AE110" s="14">
        <v>209533.48123587805</v>
      </c>
      <c r="AF110" s="14">
        <v>195142.53863756938</v>
      </c>
    </row>
    <row r="111" spans="1:32" ht="15" customHeight="1">
      <c r="A111" s="6" t="s">
        <v>13</v>
      </c>
      <c r="B111" s="10" t="s">
        <v>35</v>
      </c>
      <c r="C111" s="6" t="s">
        <v>108</v>
      </c>
      <c r="D111" s="17" t="str">
        <f>_xlfn.IFNA(VLOOKUP(E111,[13]Master!$J:$K,2,0),"")</f>
        <v>B1000</v>
      </c>
      <c r="E111" s="6" t="s">
        <v>16</v>
      </c>
      <c r="F111" s="17">
        <f>_xlfn.IFNA(VLOOKUP(G111,[13]Master!B:C,2,0),"")</f>
        <v>7631102</v>
      </c>
      <c r="G111" s="6" t="s">
        <v>223</v>
      </c>
      <c r="H111" s="6" t="s">
        <v>518</v>
      </c>
      <c r="I111" s="10" t="str">
        <f>_xlfn.IFNA(VLOOKUP(E111,[13]Master!$J:$M,4,0),"")</f>
        <v>ADM</v>
      </c>
      <c r="J111" s="10" t="str">
        <f>_xlfn.IFNA(VLOOKUP($E111,[13]Master!$J:$M,3,0),"")</f>
        <v>SGA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f t="shared" si="4"/>
        <v>0</v>
      </c>
      <c r="AD111" s="14">
        <f t="shared" si="3"/>
        <v>0</v>
      </c>
      <c r="AE111" s="14">
        <v>0</v>
      </c>
      <c r="AF111" s="14">
        <v>0</v>
      </c>
    </row>
    <row r="112" spans="1:32" ht="15" customHeight="1">
      <c r="A112" s="6" t="s">
        <v>13</v>
      </c>
      <c r="B112" s="10" t="s">
        <v>115</v>
      </c>
      <c r="C112" s="6" t="s">
        <v>108</v>
      </c>
      <c r="D112" s="17" t="str">
        <f>_xlfn.IFNA(VLOOKUP(E112,[13]Master!$J:$K,2,0),"")</f>
        <v>B1001</v>
      </c>
      <c r="E112" s="6" t="s">
        <v>116</v>
      </c>
      <c r="F112" s="17">
        <f>_xlfn.IFNA(VLOOKUP(G112,[13]Master!B:C,2,0),"")</f>
        <v>7631102</v>
      </c>
      <c r="G112" s="6" t="s">
        <v>223</v>
      </c>
      <c r="H112" s="6" t="s">
        <v>518</v>
      </c>
      <c r="I112" s="10" t="str">
        <f>_xlfn.IFNA(VLOOKUP(E112,[13]Master!$J:$M,4,0),"")</f>
        <v>ADM</v>
      </c>
      <c r="J112" s="10" t="str">
        <f>_xlfn.IFNA(VLOOKUP($E112,[13]Master!$J:$M,3,0),"")</f>
        <v>SGA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f t="shared" si="4"/>
        <v>0</v>
      </c>
      <c r="AD112" s="14">
        <f t="shared" si="3"/>
        <v>0</v>
      </c>
      <c r="AE112" s="14">
        <v>0</v>
      </c>
      <c r="AF112" s="14">
        <v>0</v>
      </c>
    </row>
    <row r="113" spans="1:32" ht="15" customHeight="1">
      <c r="A113" s="6" t="s">
        <v>13</v>
      </c>
      <c r="B113" s="10" t="s">
        <v>83</v>
      </c>
      <c r="C113" s="6" t="s">
        <v>108</v>
      </c>
      <c r="D113" s="17" t="str">
        <f>_xlfn.IFNA(VLOOKUP(E113,[13]Master!$J:$K,2,0),"")</f>
        <v>B2200</v>
      </c>
      <c r="E113" s="6" t="s">
        <v>84</v>
      </c>
      <c r="F113" s="17">
        <f>_xlfn.IFNA(VLOOKUP(G113,[13]Master!B:C,2,0),"")</f>
        <v>7631102</v>
      </c>
      <c r="G113" s="6" t="s">
        <v>223</v>
      </c>
      <c r="H113" s="6" t="s">
        <v>518</v>
      </c>
      <c r="I113" s="10" t="str">
        <f>_xlfn.IFNA(VLOOKUP(E113,[13]Master!$J:$M,4,0),"")</f>
        <v>ADM</v>
      </c>
      <c r="J113" s="10" t="str">
        <f>_xlfn.IFNA(VLOOKUP($E113,[13]Master!$J:$M,3,0),"")</f>
        <v>SGA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f t="shared" si="4"/>
        <v>0</v>
      </c>
      <c r="AD113" s="14">
        <f t="shared" si="3"/>
        <v>0</v>
      </c>
      <c r="AE113" s="14">
        <v>0</v>
      </c>
      <c r="AF113" s="14">
        <v>0</v>
      </c>
    </row>
    <row r="114" spans="1:32" ht="15" customHeight="1">
      <c r="A114" s="6" t="s">
        <v>13</v>
      </c>
      <c r="B114" s="10" t="s">
        <v>159</v>
      </c>
      <c r="C114" s="6" t="s">
        <v>108</v>
      </c>
      <c r="D114" s="17" t="str">
        <f>_xlfn.IFNA(VLOOKUP(E114,[13]Master!$J:$K,2,0),"")</f>
        <v>B2210</v>
      </c>
      <c r="E114" s="6" t="s">
        <v>160</v>
      </c>
      <c r="F114" s="17">
        <f>_xlfn.IFNA(VLOOKUP(G114,[13]Master!B:C,2,0),"")</f>
        <v>7631102</v>
      </c>
      <c r="G114" s="6" t="s">
        <v>223</v>
      </c>
      <c r="H114" s="6" t="s">
        <v>518</v>
      </c>
      <c r="I114" s="10" t="str">
        <f>_xlfn.IFNA(VLOOKUP(E114,[13]Master!$J:$M,4,0),"")</f>
        <v>ADM</v>
      </c>
      <c r="J114" s="10" t="str">
        <f>_xlfn.IFNA(VLOOKUP($E114,[13]Master!$J:$M,3,0),"")</f>
        <v>SGA</v>
      </c>
      <c r="K114" s="14">
        <v>50952.315724552522</v>
      </c>
      <c r="L114" s="14">
        <v>58254.040257757297</v>
      </c>
      <c r="M114" s="14">
        <v>34353.107096729211</v>
      </c>
      <c r="N114" s="14">
        <v>34568.054027474675</v>
      </c>
      <c r="O114" s="14">
        <v>35160.196989448857</v>
      </c>
      <c r="P114" s="14">
        <v>32538.350156480981</v>
      </c>
      <c r="Q114" s="14">
        <v>27672.005522525436</v>
      </c>
      <c r="R114" s="14">
        <v>28279.411675538602</v>
      </c>
      <c r="S114" s="14">
        <v>29355.565684451598</v>
      </c>
      <c r="T114" s="14">
        <v>30130.858742424694</v>
      </c>
      <c r="U114" s="14">
        <v>30559.136533478042</v>
      </c>
      <c r="V114" s="14">
        <v>31038.901809563078</v>
      </c>
      <c r="W114" s="14">
        <v>32451.702552326293</v>
      </c>
      <c r="X114" s="14">
        <v>31978.43707602318</v>
      </c>
      <c r="Y114" s="14">
        <v>28204.45360201316</v>
      </c>
      <c r="Z114" s="14">
        <v>27457.273066047681</v>
      </c>
      <c r="AA114" s="14">
        <v>30126.11845128487</v>
      </c>
      <c r="AB114" s="14">
        <v>27104.865888716147</v>
      </c>
      <c r="AC114" s="14">
        <f t="shared" si="4"/>
        <v>245826.06425244355</v>
      </c>
      <c r="AD114" s="14">
        <f t="shared" si="3"/>
        <v>354358.73060439277</v>
      </c>
      <c r="AE114" s="14">
        <v>361921.4675892439</v>
      </c>
      <c r="AF114" s="14">
        <v>337064.38491943799</v>
      </c>
    </row>
    <row r="115" spans="1:32" ht="15" customHeight="1">
      <c r="A115" s="6" t="s">
        <v>13</v>
      </c>
      <c r="B115" s="10" t="s">
        <v>161</v>
      </c>
      <c r="C115" s="6" t="s">
        <v>108</v>
      </c>
      <c r="D115" s="17" t="str">
        <f>_xlfn.IFNA(VLOOKUP(E115,[13]Master!$J:$K,2,0),"")</f>
        <v>B2220</v>
      </c>
      <c r="E115" s="6" t="s">
        <v>162</v>
      </c>
      <c r="F115" s="17">
        <f>_xlfn.IFNA(VLOOKUP(G115,[13]Master!B:C,2,0),"")</f>
        <v>7631102</v>
      </c>
      <c r="G115" s="6" t="s">
        <v>223</v>
      </c>
      <c r="H115" s="6" t="s">
        <v>518</v>
      </c>
      <c r="I115" s="10" t="str">
        <f>_xlfn.IFNA(VLOOKUP(E115,[13]Master!$J:$M,4,0),"")</f>
        <v>ADM</v>
      </c>
      <c r="J115" s="10" t="str">
        <f>_xlfn.IFNA(VLOOKUP($E115,[13]Master!$J:$M,3,0),"")</f>
        <v>SGA</v>
      </c>
      <c r="K115" s="14">
        <v>16090.204965648167</v>
      </c>
      <c r="L115" s="14">
        <v>18396.012712975989</v>
      </c>
      <c r="M115" s="14">
        <v>10848.349609493436</v>
      </c>
      <c r="N115" s="14">
        <v>10916.227587623584</v>
      </c>
      <c r="O115" s="14">
        <v>11103.22010193122</v>
      </c>
      <c r="P115" s="14">
        <v>10275.268470467679</v>
      </c>
      <c r="Q115" s="14">
        <v>8738.5280597448764</v>
      </c>
      <c r="R115" s="14">
        <v>8930.3405291174549</v>
      </c>
      <c r="S115" s="14">
        <v>9270.1786371952421</v>
      </c>
      <c r="T115" s="14">
        <v>9515.0080239235886</v>
      </c>
      <c r="U115" s="14">
        <v>9650.2536421509612</v>
      </c>
      <c r="V115" s="14">
        <v>9801.7584661778146</v>
      </c>
      <c r="W115" s="14">
        <v>10247.906069155673</v>
      </c>
      <c r="X115" s="14">
        <v>10098.453813481006</v>
      </c>
      <c r="Y115" s="14">
        <v>8906.6695585304733</v>
      </c>
      <c r="Z115" s="14">
        <v>8670.7178103308488</v>
      </c>
      <c r="AA115" s="14">
        <v>9513.5110898794337</v>
      </c>
      <c r="AB115" s="14">
        <v>8559.4313332787842</v>
      </c>
      <c r="AC115" s="14">
        <f t="shared" si="4"/>
        <v>77629.283448140079</v>
      </c>
      <c r="AD115" s="14">
        <f t="shared" si="3"/>
        <v>111902.75703296617</v>
      </c>
      <c r="AE115" s="14">
        <v>114290.98976502441</v>
      </c>
      <c r="AF115" s="14">
        <v>106441.38471140146</v>
      </c>
    </row>
    <row r="116" spans="1:32" ht="15" customHeight="1">
      <c r="A116" s="6" t="s">
        <v>13</v>
      </c>
      <c r="B116" s="10" t="s">
        <v>163</v>
      </c>
      <c r="C116" s="6" t="s">
        <v>108</v>
      </c>
      <c r="D116" s="17" t="str">
        <f>_xlfn.IFNA(VLOOKUP(E116,[13]Master!$J:$K,2,0),"")</f>
        <v>B2230</v>
      </c>
      <c r="E116" s="6" t="s">
        <v>164</v>
      </c>
      <c r="F116" s="17">
        <f>_xlfn.IFNA(VLOOKUP(G116,[13]Master!B:C,2,0),"")</f>
        <v>7631102</v>
      </c>
      <c r="G116" s="6" t="s">
        <v>223</v>
      </c>
      <c r="H116" s="6" t="s">
        <v>518</v>
      </c>
      <c r="I116" s="10" t="str">
        <f>_xlfn.IFNA(VLOOKUP(E116,[13]Master!$J:$M,4,0),"")</f>
        <v>ADM</v>
      </c>
      <c r="J116" s="10" t="str">
        <f>_xlfn.IFNA(VLOOKUP($E116,[13]Master!$J:$M,3,0),"")</f>
        <v>SGA</v>
      </c>
      <c r="K116" s="14">
        <v>13408.50413804014</v>
      </c>
      <c r="L116" s="14">
        <v>15330.010594146659</v>
      </c>
      <c r="M116" s="14">
        <v>9040.2913412445305</v>
      </c>
      <c r="N116" s="14">
        <v>9096.8563230196542</v>
      </c>
      <c r="O116" s="14">
        <v>9252.6834182760176</v>
      </c>
      <c r="P116" s="14">
        <v>8562.7237253897347</v>
      </c>
      <c r="Q116" s="14">
        <v>7282.1067164540646</v>
      </c>
      <c r="R116" s="14">
        <v>7441.9504409312131</v>
      </c>
      <c r="S116" s="14">
        <v>7725.1488643293696</v>
      </c>
      <c r="T116" s="14">
        <v>7929.173353269658</v>
      </c>
      <c r="U116" s="14">
        <v>8041.8780351258019</v>
      </c>
      <c r="V116" s="14">
        <v>8168.1320551481804</v>
      </c>
      <c r="W116" s="14">
        <v>8539.921724296395</v>
      </c>
      <c r="X116" s="14">
        <v>8415.3781779008386</v>
      </c>
      <c r="Y116" s="14">
        <v>7422.2246321087287</v>
      </c>
      <c r="Z116" s="14">
        <v>7225.5981752757079</v>
      </c>
      <c r="AA116" s="14">
        <v>7927.9259082328617</v>
      </c>
      <c r="AB116" s="14">
        <v>7132.8594443989887</v>
      </c>
      <c r="AC116" s="14">
        <f t="shared" si="4"/>
        <v>64691.069540116732</v>
      </c>
      <c r="AD116" s="14">
        <f t="shared" si="3"/>
        <v>93252.297527471805</v>
      </c>
      <c r="AE116" s="14">
        <v>95242.491470853696</v>
      </c>
      <c r="AF116" s="14">
        <v>88701.153926167899</v>
      </c>
    </row>
    <row r="117" spans="1:32" ht="15" customHeight="1">
      <c r="A117" s="6" t="s">
        <v>13</v>
      </c>
      <c r="B117" s="10" t="s">
        <v>30</v>
      </c>
      <c r="C117" s="6" t="s">
        <v>108</v>
      </c>
      <c r="D117" s="17" t="str">
        <f>_xlfn.IFNA(VLOOKUP(E117,[13]Master!$J:$K,2,0),"")</f>
        <v>B2300</v>
      </c>
      <c r="E117" s="6" t="s">
        <v>14</v>
      </c>
      <c r="F117" s="17">
        <f>_xlfn.IFNA(VLOOKUP(G117,[13]Master!B:C,2,0),"")</f>
        <v>7631102</v>
      </c>
      <c r="G117" s="6" t="s">
        <v>223</v>
      </c>
      <c r="H117" s="6" t="s">
        <v>518</v>
      </c>
      <c r="I117" s="10" t="str">
        <f>_xlfn.IFNA(VLOOKUP(E117,[13]Master!$J:$M,4,0),"")</f>
        <v>ADM</v>
      </c>
      <c r="J117" s="10" t="str">
        <f>_xlfn.IFNA(VLOOKUP($E117,[13]Master!$J:$M,3,0),"")</f>
        <v>SGA</v>
      </c>
      <c r="K117" s="14">
        <v>18771.905793256192</v>
      </c>
      <c r="L117" s="14">
        <v>21462.014831805322</v>
      </c>
      <c r="M117" s="14">
        <v>12656.40787774234</v>
      </c>
      <c r="N117" s="14">
        <v>12735.598852227513</v>
      </c>
      <c r="O117" s="14">
        <v>12953.756785586424</v>
      </c>
      <c r="P117" s="14">
        <v>11987.813215545626</v>
      </c>
      <c r="Q117" s="14">
        <v>10194.949403035687</v>
      </c>
      <c r="R117" s="14">
        <v>10418.730617303696</v>
      </c>
      <c r="S117" s="14">
        <v>10815.208410061117</v>
      </c>
      <c r="T117" s="14">
        <v>11100.842694577519</v>
      </c>
      <c r="U117" s="14">
        <v>11258.629249176121</v>
      </c>
      <c r="V117" s="14">
        <v>11435.384877207451</v>
      </c>
      <c r="W117" s="14">
        <v>11955.890414014952</v>
      </c>
      <c r="X117" s="14">
        <v>11781.529449061174</v>
      </c>
      <c r="Y117" s="14">
        <v>10391.114484952217</v>
      </c>
      <c r="Z117" s="14">
        <v>10115.837445385991</v>
      </c>
      <c r="AA117" s="14">
        <v>11099.096271526005</v>
      </c>
      <c r="AB117" s="14">
        <v>9986.0032221585807</v>
      </c>
      <c r="AC117" s="14">
        <f t="shared" si="4"/>
        <v>90567.497356163411</v>
      </c>
      <c r="AD117" s="14">
        <f t="shared" si="3"/>
        <v>130553.21653846052</v>
      </c>
      <c r="AE117" s="14">
        <v>133339.48805919511</v>
      </c>
      <c r="AF117" s="14">
        <v>124181.61549663507</v>
      </c>
    </row>
    <row r="118" spans="1:32" ht="15" customHeight="1">
      <c r="A118" s="6" t="s">
        <v>13</v>
      </c>
      <c r="B118" s="10" t="s">
        <v>105</v>
      </c>
      <c r="C118" s="6" t="s">
        <v>108</v>
      </c>
      <c r="D118" s="17" t="str">
        <f>_xlfn.IFNA(VLOOKUP(E118,[13]Master!$J:$K,2,0),"")</f>
        <v>B2400</v>
      </c>
      <c r="E118" s="6" t="s">
        <v>106</v>
      </c>
      <c r="F118" s="17">
        <f>_xlfn.IFNA(VLOOKUP(G118,[13]Master!B:C,2,0),"")</f>
        <v>7631102</v>
      </c>
      <c r="G118" s="6" t="s">
        <v>223</v>
      </c>
      <c r="H118" s="6" t="s">
        <v>518</v>
      </c>
      <c r="I118" s="10" t="str">
        <f>_xlfn.IFNA(VLOOKUP(E118,[13]Master!$J:$M,4,0),"")</f>
        <v>ADM</v>
      </c>
      <c r="J118" s="10" t="str">
        <f>_xlfn.IFNA(VLOOKUP($E118,[13]Master!$J:$M,3,0),"")</f>
        <v>SGA</v>
      </c>
      <c r="K118" s="14">
        <v>10726.803310432108</v>
      </c>
      <c r="L118" s="14">
        <v>12264.008475317323</v>
      </c>
      <c r="M118" s="14">
        <v>7232.233072995622</v>
      </c>
      <c r="N118" s="14">
        <v>7277.4850584157202</v>
      </c>
      <c r="O118" s="14">
        <v>7402.1467346208119</v>
      </c>
      <c r="P118" s="14">
        <v>6850.1789803117854</v>
      </c>
      <c r="Q118" s="14">
        <v>5825.68537316325</v>
      </c>
      <c r="R118" s="14">
        <v>5953.5603527449684</v>
      </c>
      <c r="S118" s="14">
        <v>6180.1190914634935</v>
      </c>
      <c r="T118" s="14">
        <v>6343.3386826157248</v>
      </c>
      <c r="U118" s="14">
        <v>6433.5024281006399</v>
      </c>
      <c r="V118" s="14">
        <v>6534.5056441185425</v>
      </c>
      <c r="W118" s="14">
        <v>6831.937379437114</v>
      </c>
      <c r="X118" s="14">
        <v>6732.3025423206691</v>
      </c>
      <c r="Y118" s="14">
        <v>5937.7797056869804</v>
      </c>
      <c r="Z118" s="14">
        <v>5780.4785402205644</v>
      </c>
      <c r="AA118" s="14">
        <v>6342.3407265862879</v>
      </c>
      <c r="AB118" s="14">
        <v>5706.2875555191877</v>
      </c>
      <c r="AC118" s="14">
        <f t="shared" si="4"/>
        <v>51752.855632093371</v>
      </c>
      <c r="AD118" s="14">
        <f t="shared" si="3"/>
        <v>74601.838021977426</v>
      </c>
      <c r="AE118" s="14">
        <v>76193.99317668291</v>
      </c>
      <c r="AF118" s="14">
        <v>70960.923140934305</v>
      </c>
    </row>
    <row r="119" spans="1:32" ht="15" customHeight="1">
      <c r="A119" s="6" t="s">
        <v>13</v>
      </c>
      <c r="B119" s="10" t="s">
        <v>132</v>
      </c>
      <c r="C119" s="6" t="s">
        <v>108</v>
      </c>
      <c r="D119" s="17" t="str">
        <f>_xlfn.IFNA(VLOOKUP(E119,[13]Master!$J:$K,2,0),"")</f>
        <v>B4101</v>
      </c>
      <c r="E119" s="6" t="s">
        <v>133</v>
      </c>
      <c r="F119" s="17">
        <f>_xlfn.IFNA(VLOOKUP(G119,[13]Master!B:C,2,0),"")</f>
        <v>7631102</v>
      </c>
      <c r="G119" s="6" t="s">
        <v>223</v>
      </c>
      <c r="H119" s="6" t="s">
        <v>519</v>
      </c>
      <c r="I119" s="10" t="str">
        <f>_xlfn.IFNA(VLOOKUP(E119,[13]Master!$J:$M,4,0),"")</f>
        <v>DIR</v>
      </c>
      <c r="J119" s="10" t="str">
        <f>_xlfn.IFNA(VLOOKUP($E119,[13]Master!$J:$M,3,0),"")</f>
        <v>MFG</v>
      </c>
      <c r="K119" s="14">
        <v>441850.71525775996</v>
      </c>
      <c r="L119" s="14">
        <v>303850.47166412423</v>
      </c>
      <c r="M119" s="14">
        <v>297780.60325250251</v>
      </c>
      <c r="N119" s="14">
        <v>298316.17987705732</v>
      </c>
      <c r="O119" s="14">
        <v>288140.22401051503</v>
      </c>
      <c r="P119" s="14">
        <v>262968.12265643652</v>
      </c>
      <c r="Q119" s="14">
        <v>236189.29142869351</v>
      </c>
      <c r="R119" s="14">
        <v>246365.24729523587</v>
      </c>
      <c r="S119" s="14">
        <v>255470.0499126685</v>
      </c>
      <c r="T119" s="14">
        <v>258683.50965999765</v>
      </c>
      <c r="U119" s="14">
        <v>264574.85253010114</v>
      </c>
      <c r="V119" s="14">
        <v>269930.61877564975</v>
      </c>
      <c r="W119" s="14">
        <v>275286.38502119831</v>
      </c>
      <c r="X119" s="14">
        <v>264039.27590554627</v>
      </c>
      <c r="Y119" s="14">
        <v>247436.40054434558</v>
      </c>
      <c r="Z119" s="14">
        <v>250649.86029167476</v>
      </c>
      <c r="AA119" s="14">
        <v>256541.20316177822</v>
      </c>
      <c r="AB119" s="14">
        <v>237796.0213023581</v>
      </c>
      <c r="AC119" s="14">
        <f t="shared" si="4"/>
        <v>1892906.3167183958</v>
      </c>
      <c r="AD119" s="14">
        <f t="shared" si="3"/>
        <v>3062962.7158292476</v>
      </c>
      <c r="AE119" s="14">
        <v>3179718.4199822075</v>
      </c>
      <c r="AF119" s="14">
        <v>2819810.9282813412</v>
      </c>
    </row>
    <row r="120" spans="1:32" ht="15" customHeight="1">
      <c r="A120" s="6" t="s">
        <v>13</v>
      </c>
      <c r="B120" s="10" t="s">
        <v>136</v>
      </c>
      <c r="C120" s="6" t="s">
        <v>108</v>
      </c>
      <c r="D120" s="17" t="str">
        <f>_xlfn.IFNA(VLOOKUP(E120,[13]Master!$J:$K,2,0),"")</f>
        <v>B4102</v>
      </c>
      <c r="E120" s="6" t="s">
        <v>137</v>
      </c>
      <c r="F120" s="17">
        <f>_xlfn.IFNA(VLOOKUP(G120,[13]Master!B:C,2,0),"")</f>
        <v>7631102</v>
      </c>
      <c r="G120" s="6" t="s">
        <v>223</v>
      </c>
      <c r="H120" s="6" t="s">
        <v>519</v>
      </c>
      <c r="I120" s="10" t="str">
        <f>_xlfn.IFNA(VLOOKUP(E120,[13]Master!$J:$M,4,0),"")</f>
        <v>DIR</v>
      </c>
      <c r="J120" s="10" t="str">
        <f>_xlfn.IFNA(VLOOKUP($E120,[13]Master!$J:$M,3,0),"")</f>
        <v>MFG</v>
      </c>
      <c r="K120" s="14">
        <v>1226894.9283997382</v>
      </c>
      <c r="L120" s="14">
        <v>947759.27010699478</v>
      </c>
      <c r="M120" s="14">
        <v>878828.45962394588</v>
      </c>
      <c r="N120" s="14">
        <v>881978.382418297</v>
      </c>
      <c r="O120" s="14">
        <v>853629.07726913737</v>
      </c>
      <c r="P120" s="14">
        <v>774881.00741036085</v>
      </c>
      <c r="Q120" s="14">
        <v>696132.93755158433</v>
      </c>
      <c r="R120" s="14">
        <v>722907.28130356839</v>
      </c>
      <c r="S120" s="14">
        <v>748106.6636583769</v>
      </c>
      <c r="T120" s="14">
        <v>760706.35483578104</v>
      </c>
      <c r="U120" s="14">
        <v>778030.93020471185</v>
      </c>
      <c r="V120" s="14">
        <v>792205.58277929178</v>
      </c>
      <c r="W120" s="14">
        <v>811105.11954539805</v>
      </c>
      <c r="X120" s="14">
        <v>784330.7757934141</v>
      </c>
      <c r="Y120" s="14">
        <v>727632.16549509484</v>
      </c>
      <c r="Z120" s="14">
        <v>737081.93387814821</v>
      </c>
      <c r="AA120" s="14">
        <v>757556.43204143003</v>
      </c>
      <c r="AB120" s="14">
        <v>700857.82174311101</v>
      </c>
      <c r="AC120" s="14">
        <f t="shared" si="4"/>
        <v>5563971.1252284739</v>
      </c>
      <c r="AD120" s="14">
        <f t="shared" si="3"/>
        <v>9016653.9988299105</v>
      </c>
      <c r="AE120" s="14">
        <v>9356845.6606198233</v>
      </c>
      <c r="AF120" s="14">
        <v>8394544.2469455767</v>
      </c>
    </row>
    <row r="121" spans="1:32" ht="15" customHeight="1">
      <c r="A121" s="6" t="s">
        <v>13</v>
      </c>
      <c r="B121" s="10" t="s">
        <v>31</v>
      </c>
      <c r="C121" s="6" t="s">
        <v>108</v>
      </c>
      <c r="D121" s="17" t="str">
        <f>_xlfn.IFNA(VLOOKUP(E121,[13]Master!$J:$K,2,0),"")</f>
        <v>B4103</v>
      </c>
      <c r="E121" s="6" t="s">
        <v>15</v>
      </c>
      <c r="F121" s="17">
        <f>_xlfn.IFNA(VLOOKUP(G121,[13]Master!B:C,2,0),"")</f>
        <v>7631102</v>
      </c>
      <c r="G121" s="6" t="s">
        <v>223</v>
      </c>
      <c r="H121" s="6" t="s">
        <v>519</v>
      </c>
      <c r="I121" s="10" t="str">
        <f>_xlfn.IFNA(VLOOKUP(E121,[13]Master!$J:$M,4,0),"")</f>
        <v>DIR</v>
      </c>
      <c r="J121" s="10" t="str">
        <f>_xlfn.IFNA(VLOOKUP($E121,[13]Master!$J:$M,3,0),"")</f>
        <v>MFG</v>
      </c>
      <c r="K121" s="14">
        <v>693626.86444606713</v>
      </c>
      <c r="L121" s="14">
        <v>534336.37629564211</v>
      </c>
      <c r="M121" s="14">
        <v>515316.61651648686</v>
      </c>
      <c r="N121" s="14">
        <v>517991.27023543062</v>
      </c>
      <c r="O121" s="14">
        <v>508184.20659930364</v>
      </c>
      <c r="P121" s="14">
        <v>457365.78593937331</v>
      </c>
      <c r="Q121" s="14">
        <v>408330.46775873873</v>
      </c>
      <c r="R121" s="14">
        <v>417245.98015521775</v>
      </c>
      <c r="S121" s="14">
        <v>439534.76114641526</v>
      </c>
      <c r="T121" s="14">
        <v>443100.96610500693</v>
      </c>
      <c r="U121" s="14">
        <v>452908.0297411338</v>
      </c>
      <c r="V121" s="14">
        <v>464498.19585655647</v>
      </c>
      <c r="W121" s="14">
        <v>481437.66940986662</v>
      </c>
      <c r="X121" s="14">
        <v>460931.99089796486</v>
      </c>
      <c r="Y121" s="14">
        <v>427944.59503099258</v>
      </c>
      <c r="Z121" s="14">
        <v>428836.14627064049</v>
      </c>
      <c r="AA121" s="14">
        <v>448450.27354289428</v>
      </c>
      <c r="AB121" s="14">
        <v>409222.01899838663</v>
      </c>
      <c r="AC121" s="14">
        <f t="shared" si="4"/>
        <v>3226821.120032303</v>
      </c>
      <c r="AD121" s="14">
        <f t="shared" si="3"/>
        <v>5282441.0949138133</v>
      </c>
      <c r="AE121" s="14">
        <v>5478582.3676363518</v>
      </c>
      <c r="AF121" s="14">
        <v>4981096.7759128232</v>
      </c>
    </row>
    <row r="122" spans="1:32" ht="15" customHeight="1">
      <c r="A122" s="6" t="s">
        <v>13</v>
      </c>
      <c r="B122" s="10" t="s">
        <v>138</v>
      </c>
      <c r="C122" s="6" t="s">
        <v>108</v>
      </c>
      <c r="D122" s="17" t="str">
        <f>_xlfn.IFNA(VLOOKUP(E122,[13]Master!$J:$K,2,0),"")</f>
        <v>B4105</v>
      </c>
      <c r="E122" s="6" t="s">
        <v>139</v>
      </c>
      <c r="F122" s="17">
        <f>_xlfn.IFNA(VLOOKUP(G122,[13]Master!B:C,2,0),"")</f>
        <v>7631102</v>
      </c>
      <c r="G122" s="6" t="s">
        <v>223</v>
      </c>
      <c r="H122" s="6" t="s">
        <v>519</v>
      </c>
      <c r="I122" s="10" t="str">
        <f>_xlfn.IFNA(VLOOKUP(E122,[13]Master!$J:$M,4,0),"")</f>
        <v>DIR</v>
      </c>
      <c r="J122" s="10" t="str">
        <f>_xlfn.IFNA(VLOOKUP($E122,[13]Master!$J:$M,3,0),"")</f>
        <v>MFG</v>
      </c>
      <c r="K122" s="14">
        <v>28366136.152636122</v>
      </c>
      <c r="L122" s="14">
        <v>21593022.323217053</v>
      </c>
      <c r="M122" s="14">
        <v>21110530.63287444</v>
      </c>
      <c r="N122" s="14">
        <v>21074070.303629406</v>
      </c>
      <c r="O122" s="14">
        <v>21074070.303629406</v>
      </c>
      <c r="P122" s="14">
        <v>18849990.219682358</v>
      </c>
      <c r="Q122" s="14">
        <v>16698830.794225378</v>
      </c>
      <c r="R122" s="14">
        <v>17026973.75743068</v>
      </c>
      <c r="S122" s="14">
        <v>17829101.000821419</v>
      </c>
      <c r="T122" s="14">
        <v>18230164.622516789</v>
      </c>
      <c r="U122" s="14">
        <v>18448926.597986989</v>
      </c>
      <c r="V122" s="14">
        <v>18922910.878172424</v>
      </c>
      <c r="W122" s="14">
        <v>19725038.121563166</v>
      </c>
      <c r="X122" s="14">
        <v>19105212.524397597</v>
      </c>
      <c r="Y122" s="14">
        <v>17355116.720635984</v>
      </c>
      <c r="Z122" s="14">
        <v>17573878.696106184</v>
      </c>
      <c r="AA122" s="14">
        <v>18448926.597986989</v>
      </c>
      <c r="AB122" s="14">
        <v>16698830.794225378</v>
      </c>
      <c r="AC122" s="14">
        <f t="shared" si="4"/>
        <v>132067819.9356688</v>
      </c>
      <c r="AD122" s="14">
        <f t="shared" si="3"/>
        <v>216063911.10606897</v>
      </c>
      <c r="AE122" s="14">
        <v>224267485.18620157</v>
      </c>
      <c r="AF122" s="14">
        <v>206183161.88066491</v>
      </c>
    </row>
    <row r="123" spans="1:32" ht="15" customHeight="1">
      <c r="A123" s="6" t="s">
        <v>13</v>
      </c>
      <c r="B123" s="10" t="s">
        <v>140</v>
      </c>
      <c r="C123" s="6" t="s">
        <v>108</v>
      </c>
      <c r="D123" s="17" t="str">
        <f>_xlfn.IFNA(VLOOKUP(E123,[13]Master!$J:$K,2,0),"")</f>
        <v>B4106</v>
      </c>
      <c r="E123" s="6" t="s">
        <v>141</v>
      </c>
      <c r="F123" s="17">
        <f>_xlfn.IFNA(VLOOKUP(G123,[13]Master!B:C,2,0),"")</f>
        <v>7631102</v>
      </c>
      <c r="G123" s="6" t="s">
        <v>223</v>
      </c>
      <c r="H123" s="6" t="s">
        <v>519</v>
      </c>
      <c r="I123" s="10" t="str">
        <f>_xlfn.IFNA(VLOOKUP(E123,[13]Master!$J:$M,4,0),"")</f>
        <v>DIR</v>
      </c>
      <c r="J123" s="10" t="str">
        <f>_xlfn.IFNA(VLOOKUP($E123,[13]Master!$J:$M,3,0),"")</f>
        <v>MFG</v>
      </c>
      <c r="K123" s="14">
        <v>558333.38770698907</v>
      </c>
      <c r="L123" s="14">
        <v>407038.86465701926</v>
      </c>
      <c r="M123" s="14">
        <v>381317.16605633585</v>
      </c>
      <c r="N123" s="14">
        <v>358658.17877099052</v>
      </c>
      <c r="O123" s="14">
        <v>369532.21538280195</v>
      </c>
      <c r="P123" s="14">
        <v>378541.72477452533</v>
      </c>
      <c r="Q123" s="14">
        <v>306636.44602731138</v>
      </c>
      <c r="R123" s="14">
        <v>312557.38742850715</v>
      </c>
      <c r="S123" s="14">
        <v>324242.70687654009</v>
      </c>
      <c r="T123" s="14">
        <v>330647.57137302594</v>
      </c>
      <c r="U123" s="14">
        <v>328412.98531536316</v>
      </c>
      <c r="V123" s="14">
        <v>329736.65731130354</v>
      </c>
      <c r="W123" s="14">
        <v>341051.91792176175</v>
      </c>
      <c r="X123" s="14">
        <v>348068.80280346732</v>
      </c>
      <c r="Y123" s="14">
        <v>309824.64524333988</v>
      </c>
      <c r="Z123" s="14">
        <v>282724.95190709771</v>
      </c>
      <c r="AA123" s="14">
        <v>340098.3047633961</v>
      </c>
      <c r="AB123" s="14">
        <v>311646.47336678469</v>
      </c>
      <c r="AC123" s="14">
        <f t="shared" si="4"/>
        <v>2453421.537348662</v>
      </c>
      <c r="AD123" s="14">
        <f t="shared" si="3"/>
        <v>3865648.8503378988</v>
      </c>
      <c r="AE123" s="14">
        <v>3967130.3700266629</v>
      </c>
      <c r="AF123" s="14">
        <v>3754659.6651299065</v>
      </c>
    </row>
    <row r="124" spans="1:32" ht="15" customHeight="1">
      <c r="A124" s="6" t="s">
        <v>13</v>
      </c>
      <c r="B124" s="10" t="s">
        <v>142</v>
      </c>
      <c r="C124" s="6" t="s">
        <v>108</v>
      </c>
      <c r="D124" s="17" t="str">
        <f>_xlfn.IFNA(VLOOKUP(E124,[13]Master!$J:$K,2,0),"")</f>
        <v>B4110</v>
      </c>
      <c r="E124" s="6" t="s">
        <v>143</v>
      </c>
      <c r="F124" s="17">
        <f>_xlfn.IFNA(VLOOKUP(G124,[13]Master!B:C,2,0),"")</f>
        <v>7631102</v>
      </c>
      <c r="G124" s="6" t="s">
        <v>223</v>
      </c>
      <c r="H124" s="6" t="s">
        <v>519</v>
      </c>
      <c r="I124" s="10" t="str">
        <f>_xlfn.IFNA(VLOOKUP(E124,[13]Master!$J:$M,4,0),"")</f>
        <v>DIR</v>
      </c>
      <c r="J124" s="10" t="str">
        <f>_xlfn.IFNA(VLOOKUP($E124,[13]Master!$J:$M,3,0),"")</f>
        <v>MFG</v>
      </c>
      <c r="K124" s="14">
        <v>3165347.1277628979</v>
      </c>
      <c r="L124" s="14">
        <v>2725505.0867012516</v>
      </c>
      <c r="M124" s="14">
        <v>2028631.403528682</v>
      </c>
      <c r="N124" s="14">
        <v>2285207.4020560132</v>
      </c>
      <c r="O124" s="14">
        <v>2968318.8795144702</v>
      </c>
      <c r="P124" s="14">
        <v>1986517.5499772993</v>
      </c>
      <c r="Q124" s="14">
        <v>1728349.0107694536</v>
      </c>
      <c r="R124" s="14">
        <v>2033762.9234992289</v>
      </c>
      <c r="S124" s="14">
        <v>1626868.7796277816</v>
      </c>
      <c r="T124" s="14">
        <v>1737196.4589945341</v>
      </c>
      <c r="U124" s="14">
        <v>1753829.6616576854</v>
      </c>
      <c r="V124" s="14">
        <v>1796385.8876203219</v>
      </c>
      <c r="W124" s="14">
        <v>1987579.2437643092</v>
      </c>
      <c r="X124" s="14">
        <v>2046768.6723900968</v>
      </c>
      <c r="Y124" s="14">
        <v>639139.6597798072</v>
      </c>
      <c r="Z124" s="14">
        <v>562609.23263286182</v>
      </c>
      <c r="AA124" s="14">
        <v>904032.25963871402</v>
      </c>
      <c r="AB124" s="14">
        <v>456793.75186090043</v>
      </c>
      <c r="AC124" s="14">
        <f t="shared" si="4"/>
        <v>15159527.449540615</v>
      </c>
      <c r="AD124" s="14">
        <f t="shared" si="3"/>
        <v>17273315.542235699</v>
      </c>
      <c r="AE124" s="14">
        <v>11212901.982537882</v>
      </c>
      <c r="AF124" s="14">
        <v>10429548.916689264</v>
      </c>
    </row>
    <row r="125" spans="1:32" ht="15" customHeight="1">
      <c r="A125" s="6" t="s">
        <v>13</v>
      </c>
      <c r="B125" s="10" t="s">
        <v>146</v>
      </c>
      <c r="C125" s="6" t="s">
        <v>108</v>
      </c>
      <c r="D125" s="17" t="str">
        <f>_xlfn.IFNA(VLOOKUP(E125,[13]Master!$J:$K,2,0),"")</f>
        <v>B4115</v>
      </c>
      <c r="E125" s="6" t="s">
        <v>147</v>
      </c>
      <c r="F125" s="17">
        <f>_xlfn.IFNA(VLOOKUP(G125,[13]Master!B:C,2,0),"")</f>
        <v>7631102</v>
      </c>
      <c r="G125" s="6" t="s">
        <v>223</v>
      </c>
      <c r="H125" s="6" t="s">
        <v>519</v>
      </c>
      <c r="I125" s="10" t="str">
        <f>_xlfn.IFNA(VLOOKUP(E125,[13]Master!$J:$M,4,0),"")</f>
        <v>DIR</v>
      </c>
      <c r="J125" s="10" t="str">
        <f>_xlfn.IFNA(VLOOKUP($E125,[13]Master!$J:$M,3,0),"")</f>
        <v>MFG</v>
      </c>
      <c r="K125" s="14">
        <v>134997.96142825935</v>
      </c>
      <c r="L125" s="14">
        <v>130093.14950932005</v>
      </c>
      <c r="M125" s="14">
        <v>131276.96757440324</v>
      </c>
      <c r="N125" s="14">
        <v>120337.2202765363</v>
      </c>
      <c r="O125" s="14">
        <v>98457.725680802439</v>
      </c>
      <c r="P125" s="14">
        <v>125807.09392546977</v>
      </c>
      <c r="Q125" s="14">
        <v>98457.725680802439</v>
      </c>
      <c r="R125" s="14">
        <v>87517.9783829355</v>
      </c>
      <c r="S125" s="14">
        <v>112023.01233015743</v>
      </c>
      <c r="T125" s="14">
        <v>115961.32135738952</v>
      </c>
      <c r="U125" s="14">
        <v>116617.70619526155</v>
      </c>
      <c r="V125" s="14">
        <v>116398.9112493042</v>
      </c>
      <c r="W125" s="14">
        <v>120337.2202765363</v>
      </c>
      <c r="X125" s="14">
        <v>118805.65565483493</v>
      </c>
      <c r="Y125" s="14">
        <v>152864.73557552733</v>
      </c>
      <c r="Z125" s="14">
        <v>143164.82630475197</v>
      </c>
      <c r="AA125" s="14">
        <v>153156.46217013712</v>
      </c>
      <c r="AB125" s="14">
        <v>149801.60633212459</v>
      </c>
      <c r="AC125" s="14">
        <f t="shared" si="4"/>
        <v>740970.11839479127</v>
      </c>
      <c r="AD125" s="14">
        <f t="shared" si="3"/>
        <v>1485107.161509763</v>
      </c>
      <c r="AE125" s="14">
        <v>1793753.898606915</v>
      </c>
      <c r="AF125" s="14">
        <v>1726656.7818466648</v>
      </c>
    </row>
    <row r="126" spans="1:32" ht="15" customHeight="1">
      <c r="A126" s="6" t="s">
        <v>13</v>
      </c>
      <c r="B126" s="10" t="s">
        <v>144</v>
      </c>
      <c r="C126" s="6" t="s">
        <v>108</v>
      </c>
      <c r="D126" s="17" t="str">
        <f>_xlfn.IFNA(VLOOKUP(E126,[13]Master!$J:$K,2,0),"")</f>
        <v>B4114</v>
      </c>
      <c r="E126" s="6" t="s">
        <v>145</v>
      </c>
      <c r="F126" s="17">
        <f>_xlfn.IFNA(VLOOKUP(G126,[13]Master!B:C,2,0),"")</f>
        <v>7631102</v>
      </c>
      <c r="G126" s="6" t="s">
        <v>223</v>
      </c>
      <c r="H126" s="6" t="s">
        <v>519</v>
      </c>
      <c r="I126" s="10" t="str">
        <f>_xlfn.IFNA(VLOOKUP(E126,[13]Master!$J:$M,4,0),"")</f>
        <v>DIR</v>
      </c>
      <c r="J126" s="10" t="str">
        <f>_xlfn.IFNA(VLOOKUP($E126,[13]Master!$J:$M,3,0),"")</f>
        <v>MFG</v>
      </c>
      <c r="K126" s="14">
        <v>630360.12450910802</v>
      </c>
      <c r="L126" s="14">
        <v>533577.84620412416</v>
      </c>
      <c r="M126" s="14">
        <v>385131.29383515357</v>
      </c>
      <c r="N126" s="14">
        <v>448652.15360873711</v>
      </c>
      <c r="O126" s="14">
        <v>593292.87754373823</v>
      </c>
      <c r="P126" s="14">
        <v>426137.32393960963</v>
      </c>
      <c r="Q126" s="14">
        <v>330759.81705842598</v>
      </c>
      <c r="R126" s="14">
        <v>398304.30606580857</v>
      </c>
      <c r="S126" s="14">
        <v>323429.81423685304</v>
      </c>
      <c r="T126" s="14">
        <v>340538.98550057231</v>
      </c>
      <c r="U126" s="14">
        <v>338877.05168661184</v>
      </c>
      <c r="V126" s="14">
        <v>354569.20569842804</v>
      </c>
      <c r="W126" s="14">
        <v>389382.34559086297</v>
      </c>
      <c r="X126" s="14">
        <v>414031.44815791864</v>
      </c>
      <c r="Y126" s="14">
        <v>130960.38454008447</v>
      </c>
      <c r="Z126" s="14">
        <v>98089.083103961209</v>
      </c>
      <c r="AA126" s="14">
        <v>188410.81238267562</v>
      </c>
      <c r="AB126" s="14">
        <v>104684.33623936221</v>
      </c>
      <c r="AC126" s="14">
        <f t="shared" si="4"/>
        <v>3017151.6196404709</v>
      </c>
      <c r="AD126" s="14">
        <f t="shared" si="3"/>
        <v>3412037.5902615651</v>
      </c>
      <c r="AE126" s="14">
        <v>2209882.1394433007</v>
      </c>
      <c r="AF126" s="14">
        <v>2127555.1865117433</v>
      </c>
    </row>
    <row r="127" spans="1:32" ht="15" customHeight="1">
      <c r="A127" s="6" t="s">
        <v>13</v>
      </c>
      <c r="B127" s="10" t="s">
        <v>148</v>
      </c>
      <c r="C127" s="6" t="s">
        <v>108</v>
      </c>
      <c r="D127" s="17" t="str">
        <f>_xlfn.IFNA(VLOOKUP(E127,[13]Master!$J:$K,2,0),"")</f>
        <v>B4120</v>
      </c>
      <c r="E127" s="6" t="s">
        <v>149</v>
      </c>
      <c r="F127" s="17">
        <f>_xlfn.IFNA(VLOOKUP(G127,[13]Master!B:C,2,0),"")</f>
        <v>7631102</v>
      </c>
      <c r="G127" s="6" t="s">
        <v>223</v>
      </c>
      <c r="H127" s="6" t="s">
        <v>519</v>
      </c>
      <c r="I127" s="10" t="str">
        <f>_xlfn.IFNA(VLOOKUP(E127,[13]Master!$J:$M,4,0),"")</f>
        <v>DIR</v>
      </c>
      <c r="J127" s="10" t="str">
        <f>_xlfn.IFNA(VLOOKUP($E127,[13]Master!$J:$M,3,0),"")</f>
        <v>MFG</v>
      </c>
      <c r="K127" s="14">
        <v>3710384.7243759469</v>
      </c>
      <c r="L127" s="14">
        <v>3534369.084835724</v>
      </c>
      <c r="M127" s="14">
        <v>3100424.1255323137</v>
      </c>
      <c r="N127" s="14">
        <v>2983263.2088750442</v>
      </c>
      <c r="O127" s="14">
        <v>3065749.9229434556</v>
      </c>
      <c r="P127" s="14">
        <v>3165682.1246421952</v>
      </c>
      <c r="Q127" s="14">
        <v>2513111.5584421535</v>
      </c>
      <c r="R127" s="14">
        <v>2464186.9089072905</v>
      </c>
      <c r="S127" s="14">
        <v>2597275.9044923042</v>
      </c>
      <c r="T127" s="14">
        <v>2713089.0606249194</v>
      </c>
      <c r="U127" s="14">
        <v>2737584.3725380595</v>
      </c>
      <c r="V127" s="14">
        <v>2719347.1934107314</v>
      </c>
      <c r="W127" s="14">
        <v>2949767.1186329126</v>
      </c>
      <c r="X127" s="14">
        <v>3034148.2373548606</v>
      </c>
      <c r="Y127" s="14">
        <v>2737848.2697037258</v>
      </c>
      <c r="Z127" s="14">
        <v>2411087.0292156273</v>
      </c>
      <c r="AA127" s="14">
        <v>2889127.3199221995</v>
      </c>
      <c r="AB127" s="14">
        <v>2621969.1392796948</v>
      </c>
      <c r="AC127" s="14">
        <f t="shared" si="4"/>
        <v>19559873.191204682</v>
      </c>
      <c r="AD127" s="14">
        <f t="shared" si="3"/>
        <v>32388542.11252448</v>
      </c>
      <c r="AE127" s="14">
        <v>33577643.891221374</v>
      </c>
      <c r="AF127" s="14">
        <v>32432245.368138649</v>
      </c>
    </row>
    <row r="128" spans="1:32" ht="15" customHeight="1">
      <c r="A128" s="6" t="s">
        <v>13</v>
      </c>
      <c r="B128" s="10" t="s">
        <v>150</v>
      </c>
      <c r="C128" s="6" t="s">
        <v>108</v>
      </c>
      <c r="D128" s="17" t="str">
        <f>_xlfn.IFNA(VLOOKUP(E128,[13]Master!$J:$K,2,0),"")</f>
        <v>B4121</v>
      </c>
      <c r="E128" s="6" t="s">
        <v>151</v>
      </c>
      <c r="F128" s="17">
        <f>_xlfn.IFNA(VLOOKUP(G128,[13]Master!B:C,2,0),"")</f>
        <v>7631102</v>
      </c>
      <c r="G128" s="6" t="s">
        <v>223</v>
      </c>
      <c r="H128" s="6" t="s">
        <v>519</v>
      </c>
      <c r="I128" s="10" t="str">
        <f>_xlfn.IFNA(VLOOKUP(E128,[13]Master!$J:$M,4,0),"")</f>
        <v>DIR</v>
      </c>
      <c r="J128" s="10" t="str">
        <f>_xlfn.IFNA(VLOOKUP($E128,[13]Master!$J:$M,3,0),"")</f>
        <v>MFG</v>
      </c>
      <c r="K128" s="14">
        <v>1011887.8497989149</v>
      </c>
      <c r="L128" s="14">
        <v>883775.99351604725</v>
      </c>
      <c r="M128" s="14">
        <v>912234.41631025448</v>
      </c>
      <c r="N128" s="14">
        <v>1008209.7944675994</v>
      </c>
      <c r="O128" s="14">
        <v>1023886.4038588807</v>
      </c>
      <c r="P128" s="14">
        <v>861578.75009462505</v>
      </c>
      <c r="Q128" s="14">
        <v>570925.89403491153</v>
      </c>
      <c r="R128" s="14">
        <v>629768.25217476895</v>
      </c>
      <c r="S128" s="14">
        <v>746374.35506761621</v>
      </c>
      <c r="T128" s="14">
        <v>773971.1925845677</v>
      </c>
      <c r="U128" s="14">
        <v>796316.92892309255</v>
      </c>
      <c r="V128" s="14">
        <v>820710.56208539789</v>
      </c>
      <c r="W128" s="14">
        <v>821219.68065832183</v>
      </c>
      <c r="X128" s="14">
        <v>761502.68291882589</v>
      </c>
      <c r="Y128" s="14">
        <v>741185.26192050742</v>
      </c>
      <c r="Z128" s="14">
        <v>737068.25499907474</v>
      </c>
      <c r="AA128" s="14">
        <v>811306.5545989864</v>
      </c>
      <c r="AB128" s="14">
        <v>653128.96207854594</v>
      </c>
      <c r="AC128" s="14">
        <f t="shared" si="4"/>
        <v>5701573.2080463218</v>
      </c>
      <c r="AD128" s="14">
        <f t="shared" si="3"/>
        <v>8863478.5820446163</v>
      </c>
      <c r="AE128" s="14">
        <v>9617168.2530174181</v>
      </c>
      <c r="AF128" s="14">
        <v>9334468.7428693436</v>
      </c>
    </row>
    <row r="129" spans="1:32" ht="15" customHeight="1">
      <c r="A129" s="6" t="s">
        <v>13</v>
      </c>
      <c r="B129" s="10" t="s">
        <v>152</v>
      </c>
      <c r="C129" s="6" t="s">
        <v>108</v>
      </c>
      <c r="D129" s="17" t="str">
        <f>_xlfn.IFNA(VLOOKUP(E129,[13]Master!$J:$K,2,0),"")</f>
        <v>B4410</v>
      </c>
      <c r="E129" s="6" t="s">
        <v>153</v>
      </c>
      <c r="F129" s="17">
        <f>_xlfn.IFNA(VLOOKUP(G129,[13]Master!B:C,2,0),"")</f>
        <v>7631102</v>
      </c>
      <c r="G129" s="6" t="s">
        <v>223</v>
      </c>
      <c r="H129" s="6" t="s">
        <v>519</v>
      </c>
      <c r="I129" s="10" t="str">
        <f>_xlfn.IFNA(VLOOKUP(E129,[13]Master!$J:$M,4,0),"")</f>
        <v>DIR</v>
      </c>
      <c r="J129" s="10" t="str">
        <f>_xlfn.IFNA(VLOOKUP($E129,[13]Master!$J:$M,3,0),"")</f>
        <v>MFG</v>
      </c>
      <c r="K129" s="14">
        <v>604554.21967898135</v>
      </c>
      <c r="L129" s="14">
        <v>400261.00349508825</v>
      </c>
      <c r="M129" s="14">
        <v>741603.5872756996</v>
      </c>
      <c r="N129" s="14">
        <v>828700.38163623074</v>
      </c>
      <c r="O129" s="14">
        <v>844070.40417044214</v>
      </c>
      <c r="P129" s="14">
        <v>828700.38163623074</v>
      </c>
      <c r="Q129" s="14">
        <v>735199.41121977824</v>
      </c>
      <c r="R129" s="14">
        <v>685246.83798359113</v>
      </c>
      <c r="S129" s="14">
        <v>731356.90558622533</v>
      </c>
      <c r="T129" s="14">
        <v>767220.29149938526</v>
      </c>
      <c r="U129" s="14">
        <v>813330.35910201934</v>
      </c>
      <c r="V129" s="14">
        <v>822296.20558030938</v>
      </c>
      <c r="W129" s="14">
        <v>833823.72248096799</v>
      </c>
      <c r="X129" s="14">
        <v>777466.97318885941</v>
      </c>
      <c r="Y129" s="14">
        <v>771062.79713293805</v>
      </c>
      <c r="Z129" s="14">
        <v>904269.65909610351</v>
      </c>
      <c r="AA129" s="14">
        <v>887618.80135070777</v>
      </c>
      <c r="AB129" s="14">
        <v>791556.16051188658</v>
      </c>
      <c r="AC129" s="14">
        <f t="shared" si="4"/>
        <v>4247889.9778926726</v>
      </c>
      <c r="AD129" s="14">
        <f t="shared" si="3"/>
        <v>9520448.1247327719</v>
      </c>
      <c r="AE129" s="14">
        <v>9996918.8232933246</v>
      </c>
      <c r="AF129" s="14">
        <v>10196729.116238073</v>
      </c>
    </row>
    <row r="130" spans="1:32" ht="15" customHeight="1">
      <c r="A130" s="6" t="s">
        <v>13</v>
      </c>
      <c r="B130" s="10" t="s">
        <v>154</v>
      </c>
      <c r="C130" s="6" t="s">
        <v>108</v>
      </c>
      <c r="D130" s="17" t="str">
        <f>_xlfn.IFNA(VLOOKUP(E130,[13]Master!$J:$K,2,0),"")</f>
        <v>B4430</v>
      </c>
      <c r="E130" s="6" t="s">
        <v>155</v>
      </c>
      <c r="F130" s="17">
        <f>_xlfn.IFNA(VLOOKUP(G130,[13]Master!B:C,2,0),"")</f>
        <v>7631102</v>
      </c>
      <c r="G130" s="6" t="s">
        <v>223</v>
      </c>
      <c r="H130" s="6" t="s">
        <v>519</v>
      </c>
      <c r="I130" s="10" t="str">
        <f>_xlfn.IFNA(VLOOKUP(E130,[13]Master!$J:$M,4,0),"")</f>
        <v>DIR</v>
      </c>
      <c r="J130" s="10" t="str">
        <f>_xlfn.IFNA(VLOOKUP($E130,[13]Master!$J:$M,3,0),"")</f>
        <v>MFG</v>
      </c>
      <c r="K130" s="14">
        <v>1474740.9980032826</v>
      </c>
      <c r="L130" s="14">
        <v>1343363.5540885977</v>
      </c>
      <c r="M130" s="14">
        <v>1368548.2952777778</v>
      </c>
      <c r="N130" s="14">
        <v>1477238.7804334301</v>
      </c>
      <c r="O130" s="14">
        <v>1523218.6688369159</v>
      </c>
      <c r="P130" s="14">
        <v>1589949.3651216275</v>
      </c>
      <c r="Q130" s="14">
        <v>1430194.7480360353</v>
      </c>
      <c r="R130" s="14">
        <v>1240304.1642340471</v>
      </c>
      <c r="S130" s="14">
        <v>1428849.7882659559</v>
      </c>
      <c r="T130" s="14">
        <v>1437023.0053302848</v>
      </c>
      <c r="U130" s="14">
        <v>1473735.9731201462</v>
      </c>
      <c r="V130" s="14">
        <v>1492861.0054551221</v>
      </c>
      <c r="W130" s="14">
        <v>1571873.6970028672</v>
      </c>
      <c r="X130" s="14">
        <v>1470203.6062514759</v>
      </c>
      <c r="Y130" s="14">
        <v>1380046.9623230726</v>
      </c>
      <c r="Z130" s="14">
        <v>1595624.7997558089</v>
      </c>
      <c r="AA130" s="14">
        <v>1617484.0909640235</v>
      </c>
      <c r="AB130" s="14">
        <v>1472464.9122385327</v>
      </c>
      <c r="AC130" s="14">
        <f t="shared" si="4"/>
        <v>8777059.6617616322</v>
      </c>
      <c r="AD130" s="14">
        <f t="shared" ref="AD130:AD185" si="5">SUM(Q130:AB130)</f>
        <v>17610666.752977371</v>
      </c>
      <c r="AE130" s="14">
        <v>18501429.174767692</v>
      </c>
      <c r="AF130" s="14">
        <v>18864790.009354543</v>
      </c>
    </row>
    <row r="131" spans="1:32" ht="15" customHeight="1">
      <c r="A131" s="6" t="s">
        <v>13</v>
      </c>
      <c r="B131" s="10" t="s">
        <v>156</v>
      </c>
      <c r="C131" s="6" t="s">
        <v>108</v>
      </c>
      <c r="D131" s="17" t="str">
        <f>_xlfn.IFNA(VLOOKUP(E131,[13]Master!$J:$K,2,0),"")</f>
        <v>B4440</v>
      </c>
      <c r="E131" s="6" t="s">
        <v>157</v>
      </c>
      <c r="F131" s="17">
        <f>_xlfn.IFNA(VLOOKUP(G131,[13]Master!B:C,2,0),"")</f>
        <v>7631102</v>
      </c>
      <c r="G131" s="6" t="s">
        <v>223</v>
      </c>
      <c r="H131" s="6" t="s">
        <v>519</v>
      </c>
      <c r="I131" s="10" t="str">
        <f>_xlfn.IFNA(VLOOKUP(E131,[13]Master!$J:$M,4,0),"")</f>
        <v>DIR</v>
      </c>
      <c r="J131" s="10" t="str">
        <f>_xlfn.IFNA(VLOOKUP($E131,[13]Master!$J:$M,3,0),"")</f>
        <v>MFG</v>
      </c>
      <c r="K131" s="14">
        <v>122070.14516803635</v>
      </c>
      <c r="L131" s="14">
        <v>133590.33810239803</v>
      </c>
      <c r="M131" s="14">
        <v>103442.62881631924</v>
      </c>
      <c r="N131" s="14">
        <v>124973.20546495602</v>
      </c>
      <c r="O131" s="14">
        <v>131944.90749132968</v>
      </c>
      <c r="P131" s="14">
        <v>148312.06732668346</v>
      </c>
      <c r="Q131" s="14">
        <v>147386.13815130573</v>
      </c>
      <c r="R131" s="14">
        <v>122105.54834238903</v>
      </c>
      <c r="S131" s="14">
        <v>142102.89520944442</v>
      </c>
      <c r="T131" s="14">
        <v>144692.77357939808</v>
      </c>
      <c r="U131" s="14">
        <v>147102.91275648429</v>
      </c>
      <c r="V131" s="14">
        <v>142859.97847637092</v>
      </c>
      <c r="W131" s="14">
        <v>148197.68784031327</v>
      </c>
      <c r="X131" s="14">
        <v>145659.55257133659</v>
      </c>
      <c r="Y131" s="14">
        <v>118921.98597175199</v>
      </c>
      <c r="Z131" s="14">
        <v>138617.0441962576</v>
      </c>
      <c r="AA131" s="14">
        <v>142165.53159483764</v>
      </c>
      <c r="AB131" s="14">
        <v>142007.5789708026</v>
      </c>
      <c r="AC131" s="14">
        <f t="shared" si="4"/>
        <v>764333.29236972274</v>
      </c>
      <c r="AD131" s="14">
        <f t="shared" si="5"/>
        <v>1681819.6276606922</v>
      </c>
      <c r="AE131" s="14">
        <v>1710942.8235474266</v>
      </c>
      <c r="AF131" s="14">
        <v>1715379.1136259276</v>
      </c>
    </row>
    <row r="132" spans="1:32" ht="15" customHeight="1">
      <c r="A132" s="6" t="s">
        <v>13</v>
      </c>
      <c r="B132" s="10" t="s">
        <v>78</v>
      </c>
      <c r="C132" s="6" t="s">
        <v>108</v>
      </c>
      <c r="D132" s="17" t="str">
        <f>_xlfn.IFNA(VLOOKUP(E132,[13]Master!$J:$K,2,0),"")</f>
        <v>B5000</v>
      </c>
      <c r="E132" s="6" t="s">
        <v>79</v>
      </c>
      <c r="F132" s="17">
        <f>_xlfn.IFNA(VLOOKUP(G132,[13]Master!B:C,2,0),"")</f>
        <v>7631102</v>
      </c>
      <c r="G132" s="6" t="s">
        <v>223</v>
      </c>
      <c r="H132" s="6" t="s">
        <v>519</v>
      </c>
      <c r="I132" s="10" t="str">
        <f>_xlfn.IFNA(VLOOKUP(E132,[13]Master!$J:$M,4,0),"")</f>
        <v>IND</v>
      </c>
      <c r="J132" s="10" t="str">
        <f>_xlfn.IFNA(VLOOKUP($E132,[13]Master!$J:$M,3,0),"")</f>
        <v>MFG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f t="shared" si="4"/>
        <v>0</v>
      </c>
      <c r="AD132" s="14">
        <f t="shared" si="5"/>
        <v>0</v>
      </c>
      <c r="AE132" s="14">
        <v>0</v>
      </c>
      <c r="AF132" s="14">
        <v>0</v>
      </c>
    </row>
    <row r="133" spans="1:32" ht="15" customHeight="1">
      <c r="A133" s="6" t="s">
        <v>13</v>
      </c>
      <c r="B133" s="10" t="s">
        <v>182</v>
      </c>
      <c r="C133" s="6" t="s">
        <v>108</v>
      </c>
      <c r="D133" s="17" t="str">
        <f>_xlfn.IFNA(VLOOKUP(E133,[13]Master!$J:$K,2,0),"")</f>
        <v>B5100</v>
      </c>
      <c r="E133" s="6" t="s">
        <v>183</v>
      </c>
      <c r="F133" s="17">
        <f>_xlfn.IFNA(VLOOKUP(G133,[13]Master!B:C,2,0),"")</f>
        <v>7631102</v>
      </c>
      <c r="G133" s="6" t="s">
        <v>223</v>
      </c>
      <c r="H133" s="6" t="s">
        <v>519</v>
      </c>
      <c r="I133" s="10" t="str">
        <f>_xlfn.IFNA(VLOOKUP(E133,[13]Master!$J:$M,4,0),"")</f>
        <v>IND</v>
      </c>
      <c r="J133" s="10" t="str">
        <f>_xlfn.IFNA(VLOOKUP($E133,[13]Master!$J:$M,3,0),"")</f>
        <v>MFG</v>
      </c>
      <c r="K133" s="14">
        <v>404958.97462394327</v>
      </c>
      <c r="L133" s="14">
        <v>462991.64375596162</v>
      </c>
      <c r="M133" s="14">
        <v>273031.73226205993</v>
      </c>
      <c r="N133" s="14">
        <v>274740.08815198269</v>
      </c>
      <c r="O133" s="14">
        <v>279446.32384121366</v>
      </c>
      <c r="P133" s="14">
        <v>258608.40136405957</v>
      </c>
      <c r="Q133" s="14">
        <v>219931.65222891173</v>
      </c>
      <c r="R133" s="14">
        <v>224759.19675572423</v>
      </c>
      <c r="S133" s="14">
        <v>233312.25696093199</v>
      </c>
      <c r="T133" s="14">
        <v>239474.13355722095</v>
      </c>
      <c r="U133" s="14">
        <v>242878.0011273773</v>
      </c>
      <c r="V133" s="14">
        <v>246691.08109245432</v>
      </c>
      <c r="W133" s="14">
        <v>257919.74326416489</v>
      </c>
      <c r="X133" s="14">
        <v>254158.32242816809</v>
      </c>
      <c r="Y133" s="14">
        <v>224163.44474400513</v>
      </c>
      <c r="Z133" s="14">
        <v>218225.00093824608</v>
      </c>
      <c r="AA133" s="14">
        <v>239436.45865644159</v>
      </c>
      <c r="AB133" s="14">
        <v>215424.13806964189</v>
      </c>
      <c r="AC133" s="14">
        <f t="shared" si="4"/>
        <v>1953777.1639992211</v>
      </c>
      <c r="AD133" s="14">
        <f t="shared" si="5"/>
        <v>2816373.4298232878</v>
      </c>
      <c r="AE133" s="14">
        <v>2876480.5745366365</v>
      </c>
      <c r="AF133" s="14">
        <v>2678921.3749798513</v>
      </c>
    </row>
    <row r="134" spans="1:32" ht="15" customHeight="1">
      <c r="A134" s="6" t="s">
        <v>13</v>
      </c>
      <c r="B134" s="10" t="s">
        <v>167</v>
      </c>
      <c r="C134" s="6" t="s">
        <v>108</v>
      </c>
      <c r="D134" s="17" t="str">
        <f>_xlfn.IFNA(VLOOKUP(E134,[13]Master!$J:$K,2,0),"")</f>
        <v>B5101</v>
      </c>
      <c r="E134" s="6" t="s">
        <v>168</v>
      </c>
      <c r="F134" s="17">
        <f>_xlfn.IFNA(VLOOKUP(G134,[13]Master!B:C,2,0),"")</f>
        <v>7631102</v>
      </c>
      <c r="G134" s="6" t="s">
        <v>223</v>
      </c>
      <c r="H134" s="6" t="s">
        <v>519</v>
      </c>
      <c r="I134" s="10" t="str">
        <f>_xlfn.IFNA(VLOOKUP(E134,[13]Master!$J:$M,4,0),"")</f>
        <v>IND</v>
      </c>
      <c r="J134" s="10" t="str">
        <f>_xlfn.IFNA(VLOOKUP($E134,[13]Master!$J:$M,3,0),"")</f>
        <v>MFG</v>
      </c>
      <c r="K134" s="14">
        <v>303719.23096795741</v>
      </c>
      <c r="L134" s="14">
        <v>347243.73281697126</v>
      </c>
      <c r="M134" s="14">
        <v>204773.79919654489</v>
      </c>
      <c r="N134" s="14">
        <v>206055.06611398704</v>
      </c>
      <c r="O134" s="14">
        <v>209584.74288091023</v>
      </c>
      <c r="P134" s="14">
        <v>193956.30102304468</v>
      </c>
      <c r="Q134" s="14">
        <v>164948.73917168379</v>
      </c>
      <c r="R134" s="14">
        <v>168569.39756679317</v>
      </c>
      <c r="S134" s="14">
        <v>174984.19272069898</v>
      </c>
      <c r="T134" s="14">
        <v>179605.60016791572</v>
      </c>
      <c r="U134" s="14">
        <v>182158.50084553298</v>
      </c>
      <c r="V134" s="14">
        <v>185018.31081934075</v>
      </c>
      <c r="W134" s="14">
        <v>193439.80744812367</v>
      </c>
      <c r="X134" s="14">
        <v>190618.74182112605</v>
      </c>
      <c r="Y134" s="14">
        <v>168122.58355800385</v>
      </c>
      <c r="Z134" s="14">
        <v>163668.75070368455</v>
      </c>
      <c r="AA134" s="14">
        <v>179577.34399233118</v>
      </c>
      <c r="AB134" s="14">
        <v>161568.10355223142</v>
      </c>
      <c r="AC134" s="14">
        <f t="shared" si="4"/>
        <v>1465332.8729994155</v>
      </c>
      <c r="AD134" s="14">
        <f t="shared" si="5"/>
        <v>2112280.0723674661</v>
      </c>
      <c r="AE134" s="14">
        <v>2157360.4309024764</v>
      </c>
      <c r="AF134" s="14">
        <v>2009191.0312348884</v>
      </c>
    </row>
    <row r="135" spans="1:32" ht="15" customHeight="1">
      <c r="A135" s="6" t="s">
        <v>13</v>
      </c>
      <c r="B135" s="10" t="s">
        <v>192</v>
      </c>
      <c r="C135" s="6" t="s">
        <v>108</v>
      </c>
      <c r="D135" s="17" t="str">
        <f>_xlfn.IFNA(VLOOKUP(E135,[13]Master!$J:$K,2,0),"")</f>
        <v>B5104</v>
      </c>
      <c r="E135" s="6" t="s">
        <v>193</v>
      </c>
      <c r="F135" s="17">
        <f>_xlfn.IFNA(VLOOKUP(G135,[13]Master!B:C,2,0),"")</f>
        <v>7631102</v>
      </c>
      <c r="G135" s="6" t="s">
        <v>223</v>
      </c>
      <c r="H135" s="6" t="s">
        <v>519</v>
      </c>
      <c r="I135" s="10" t="str">
        <f>_xlfn.IFNA(VLOOKUP(E135,[13]Master!$J:$M,4,0),"")</f>
        <v>IND</v>
      </c>
      <c r="J135" s="10" t="str">
        <f>_xlfn.IFNA(VLOOKUP($E135,[13]Master!$J:$M,3,0),"")</f>
        <v>MFG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f t="shared" si="4"/>
        <v>0</v>
      </c>
      <c r="AD135" s="14">
        <f t="shared" si="5"/>
        <v>0</v>
      </c>
      <c r="AE135" s="14">
        <v>0</v>
      </c>
      <c r="AF135" s="14">
        <v>0</v>
      </c>
    </row>
    <row r="136" spans="1:32" ht="15" customHeight="1">
      <c r="A136" s="6" t="s">
        <v>13</v>
      </c>
      <c r="B136" s="10" t="s">
        <v>175</v>
      </c>
      <c r="C136" s="6" t="s">
        <v>108</v>
      </c>
      <c r="D136" s="17" t="str">
        <f>_xlfn.IFNA(VLOOKUP(E136,[13]Master!$J:$K,2,0),"")</f>
        <v>B5800</v>
      </c>
      <c r="E136" s="6" t="s">
        <v>176</v>
      </c>
      <c r="F136" s="17">
        <f>_xlfn.IFNA(VLOOKUP(G136,[13]Master!B:C,2,0),"")</f>
        <v>7631102</v>
      </c>
      <c r="G136" s="6" t="s">
        <v>223</v>
      </c>
      <c r="H136" s="6" t="s">
        <v>519</v>
      </c>
      <c r="I136" s="10" t="str">
        <f>_xlfn.IFNA(VLOOKUP(E136,[13]Master!$J:$M,4,0),"")</f>
        <v>IND</v>
      </c>
      <c r="J136" s="10" t="str">
        <f>_xlfn.IFNA(VLOOKUP($E136,[13]Master!$J:$M,3,0),"")</f>
        <v>MFG</v>
      </c>
      <c r="K136" s="14">
        <v>455578.84645193606</v>
      </c>
      <c r="L136" s="14">
        <v>520865.59922545683</v>
      </c>
      <c r="M136" s="14">
        <v>307160.69879481732</v>
      </c>
      <c r="N136" s="14">
        <v>309082.59917098051</v>
      </c>
      <c r="O136" s="14">
        <v>314377.11432136537</v>
      </c>
      <c r="P136" s="14">
        <v>290934.45153456699</v>
      </c>
      <c r="Q136" s="14">
        <v>247423.10875752568</v>
      </c>
      <c r="R136" s="14">
        <v>252854.09635018973</v>
      </c>
      <c r="S136" s="14">
        <v>262476.28908104845</v>
      </c>
      <c r="T136" s="14">
        <v>269408.40025187354</v>
      </c>
      <c r="U136" s="14">
        <v>273237.75126829941</v>
      </c>
      <c r="V136" s="14">
        <v>277527.46622901113</v>
      </c>
      <c r="W136" s="14">
        <v>290159.71117218549</v>
      </c>
      <c r="X136" s="14">
        <v>285928.11273168906</v>
      </c>
      <c r="Y136" s="14">
        <v>252183.87533700574</v>
      </c>
      <c r="Z136" s="14">
        <v>245503.12605552681</v>
      </c>
      <c r="AA136" s="14">
        <v>269366.01598849677</v>
      </c>
      <c r="AB136" s="14">
        <v>242352.15532834709</v>
      </c>
      <c r="AC136" s="14">
        <f t="shared" si="4"/>
        <v>2197999.3094991231</v>
      </c>
      <c r="AD136" s="14">
        <f t="shared" si="5"/>
        <v>3168420.1085511986</v>
      </c>
      <c r="AE136" s="14">
        <v>3236040.6463537156</v>
      </c>
      <c r="AF136" s="14">
        <v>3013786.5468523316</v>
      </c>
    </row>
    <row r="137" spans="1:32" ht="15" customHeight="1">
      <c r="A137" s="6" t="s">
        <v>13</v>
      </c>
      <c r="B137" s="10" t="s">
        <v>177</v>
      </c>
      <c r="C137" s="6" t="s">
        <v>108</v>
      </c>
      <c r="D137" s="17" t="str">
        <f>_xlfn.IFNA(VLOOKUP(E137,[13]Master!$J:$K,2,0),"")</f>
        <v>B5900</v>
      </c>
      <c r="E137" s="6" t="s">
        <v>178</v>
      </c>
      <c r="F137" s="17">
        <f>_xlfn.IFNA(VLOOKUP(G137,[13]Master!B:C,2,0),"")</f>
        <v>7631102</v>
      </c>
      <c r="G137" s="6" t="s">
        <v>223</v>
      </c>
      <c r="H137" s="6" t="s">
        <v>519</v>
      </c>
      <c r="I137" s="10" t="str">
        <f>_xlfn.IFNA(VLOOKUP(E137,[13]Master!$J:$M,4,0),"")</f>
        <v>IND</v>
      </c>
      <c r="J137" s="10" t="str">
        <f>_xlfn.IFNA(VLOOKUP($E137,[13]Master!$J:$M,3,0),"")</f>
        <v>MFG</v>
      </c>
      <c r="K137" s="14">
        <v>1012397.436559858</v>
      </c>
      <c r="L137" s="14">
        <v>1157479.109389904</v>
      </c>
      <c r="M137" s="14">
        <v>682579.33065514977</v>
      </c>
      <c r="N137" s="14">
        <v>686850.22037995677</v>
      </c>
      <c r="O137" s="14">
        <v>698615.80960303417</v>
      </c>
      <c r="P137" s="14">
        <v>646521.00341014902</v>
      </c>
      <c r="Q137" s="14">
        <v>549829.13057227933</v>
      </c>
      <c r="R137" s="14">
        <v>561897.99188931054</v>
      </c>
      <c r="S137" s="14">
        <v>583280.64240232995</v>
      </c>
      <c r="T137" s="14">
        <v>598685.33389305242</v>
      </c>
      <c r="U137" s="14">
        <v>607195.00281844323</v>
      </c>
      <c r="V137" s="14">
        <v>616727.70273113577</v>
      </c>
      <c r="W137" s="14">
        <v>644799.35816041229</v>
      </c>
      <c r="X137" s="14">
        <v>635395.80607042019</v>
      </c>
      <c r="Y137" s="14">
        <v>560408.61186001287</v>
      </c>
      <c r="Z137" s="14">
        <v>545562.50234561518</v>
      </c>
      <c r="AA137" s="14">
        <v>598591.14664110402</v>
      </c>
      <c r="AB137" s="14">
        <v>538560.34517410479</v>
      </c>
      <c r="AC137" s="14">
        <f t="shared" si="4"/>
        <v>4884442.9099980518</v>
      </c>
      <c r="AD137" s="14">
        <f t="shared" si="5"/>
        <v>7040933.5745582199</v>
      </c>
      <c r="AE137" s="14">
        <v>7191201.4363415902</v>
      </c>
      <c r="AF137" s="14">
        <v>6697303.4374496266</v>
      </c>
    </row>
    <row r="138" spans="1:32" ht="15" customHeight="1">
      <c r="A138" s="6" t="s">
        <v>13</v>
      </c>
      <c r="B138" s="10" t="s">
        <v>107</v>
      </c>
      <c r="C138" s="6" t="s">
        <v>108</v>
      </c>
      <c r="D138" s="17" t="str">
        <f>_xlfn.IFNA(VLOOKUP(E138,[13]Master!$J:$K,2,0),"")</f>
        <v>B5500</v>
      </c>
      <c r="E138" s="6" t="s">
        <v>108</v>
      </c>
      <c r="F138" s="17">
        <f>_xlfn.IFNA(VLOOKUP(G138,[13]Master!B:C,2,0),"")</f>
        <v>7631102</v>
      </c>
      <c r="G138" s="6" t="s">
        <v>223</v>
      </c>
      <c r="H138" s="6" t="s">
        <v>519</v>
      </c>
      <c r="I138" s="10" t="str">
        <f>_xlfn.IFNA(VLOOKUP(E138,[13]Master!$J:$M,4,0),"")</f>
        <v>IND</v>
      </c>
      <c r="J138" s="10" t="str">
        <f>_xlfn.IFNA(VLOOKUP($E138,[13]Master!$J:$M,3,0),"")</f>
        <v>MFG</v>
      </c>
      <c r="K138" s="14">
        <v>658058.33376390778</v>
      </c>
      <c r="L138" s="14">
        <v>752361.42110343766</v>
      </c>
      <c r="M138" s="14">
        <v>443676.56492584734</v>
      </c>
      <c r="N138" s="14">
        <v>446452.64324697194</v>
      </c>
      <c r="O138" s="14">
        <v>454100.27624197217</v>
      </c>
      <c r="P138" s="14">
        <v>420238.65221659682</v>
      </c>
      <c r="Q138" s="14">
        <v>357388.93487198162</v>
      </c>
      <c r="R138" s="14">
        <v>365233.69472805184</v>
      </c>
      <c r="S138" s="14">
        <v>379132.41756151454</v>
      </c>
      <c r="T138" s="14">
        <v>389145.46703048405</v>
      </c>
      <c r="U138" s="14">
        <v>394676.75183198811</v>
      </c>
      <c r="V138" s="14">
        <v>400873.00677523826</v>
      </c>
      <c r="W138" s="14">
        <v>419119.58280426799</v>
      </c>
      <c r="X138" s="14">
        <v>413007.27394577314</v>
      </c>
      <c r="Y138" s="14">
        <v>364265.59770900838</v>
      </c>
      <c r="Z138" s="14">
        <v>354615.62652464985</v>
      </c>
      <c r="AA138" s="14">
        <v>389084.2453167176</v>
      </c>
      <c r="AB138" s="14">
        <v>350064.22436316806</v>
      </c>
      <c r="AC138" s="14">
        <f t="shared" si="4"/>
        <v>3174887.8914987338</v>
      </c>
      <c r="AD138" s="14">
        <f t="shared" si="5"/>
        <v>4576606.823462843</v>
      </c>
      <c r="AE138" s="14">
        <v>4674280.9336220343</v>
      </c>
      <c r="AF138" s="14">
        <v>4353247.2343422575</v>
      </c>
    </row>
    <row r="139" spans="1:32" ht="15" customHeight="1">
      <c r="A139" s="6" t="s">
        <v>13</v>
      </c>
      <c r="B139" s="10" t="s">
        <v>171</v>
      </c>
      <c r="C139" s="6" t="s">
        <v>108</v>
      </c>
      <c r="D139" s="17" t="str">
        <f>_xlfn.IFNA(VLOOKUP(E139,[13]Master!$J:$K,2,0),"")</f>
        <v>B5600</v>
      </c>
      <c r="E139" s="6" t="s">
        <v>172</v>
      </c>
      <c r="F139" s="17">
        <f>_xlfn.IFNA(VLOOKUP(G139,[13]Master!B:C,2,0),"")</f>
        <v>7631102</v>
      </c>
      <c r="G139" s="6" t="s">
        <v>223</v>
      </c>
      <c r="H139" s="6" t="s">
        <v>519</v>
      </c>
      <c r="I139" s="10" t="str">
        <f>_xlfn.IFNA(VLOOKUP(E139,[13]Master!$J:$M,4,0),"")</f>
        <v>IND</v>
      </c>
      <c r="J139" s="10" t="str">
        <f>_xlfn.IFNA(VLOOKUP($E139,[13]Master!$J:$M,3,0),"")</f>
        <v>MFG</v>
      </c>
      <c r="K139" s="14">
        <v>708678.20559190074</v>
      </c>
      <c r="L139" s="14">
        <v>810235.37657293293</v>
      </c>
      <c r="M139" s="14">
        <v>477805.53145860479</v>
      </c>
      <c r="N139" s="14">
        <v>480795.15426596976</v>
      </c>
      <c r="O139" s="14">
        <v>489031.06672212388</v>
      </c>
      <c r="P139" s="14">
        <v>452564.70238710428</v>
      </c>
      <c r="Q139" s="14">
        <v>384880.39140059554</v>
      </c>
      <c r="R139" s="14">
        <v>393328.5943225174</v>
      </c>
      <c r="S139" s="14">
        <v>408296.449681631</v>
      </c>
      <c r="T139" s="14">
        <v>419079.73372513667</v>
      </c>
      <c r="U139" s="14">
        <v>425036.50197291025</v>
      </c>
      <c r="V139" s="14">
        <v>431709.39191179507</v>
      </c>
      <c r="W139" s="14">
        <v>451359.55071228859</v>
      </c>
      <c r="X139" s="14">
        <v>444777.06424929411</v>
      </c>
      <c r="Y139" s="14">
        <v>392286.02830200893</v>
      </c>
      <c r="Z139" s="14">
        <v>381893.75164193066</v>
      </c>
      <c r="AA139" s="14">
        <v>419013.80264877278</v>
      </c>
      <c r="AB139" s="14">
        <v>376992.24162187328</v>
      </c>
      <c r="AC139" s="14">
        <f t="shared" si="4"/>
        <v>3419110.0369986366</v>
      </c>
      <c r="AD139" s="14">
        <f t="shared" si="5"/>
        <v>4928653.5021907538</v>
      </c>
      <c r="AE139" s="14">
        <v>5033841.0054391129</v>
      </c>
      <c r="AF139" s="14">
        <v>4688112.4062147383</v>
      </c>
    </row>
    <row r="140" spans="1:32" ht="15" customHeight="1">
      <c r="A140" s="6" t="s">
        <v>13</v>
      </c>
      <c r="B140" s="10" t="s">
        <v>169</v>
      </c>
      <c r="C140" s="6" t="s">
        <v>108</v>
      </c>
      <c r="D140" s="17" t="str">
        <f>_xlfn.IFNA(VLOOKUP(E140,[13]Master!$J:$K,2,0),"")</f>
        <v>B5130</v>
      </c>
      <c r="E140" s="6" t="s">
        <v>170</v>
      </c>
      <c r="F140" s="17">
        <f>_xlfn.IFNA(VLOOKUP(G140,[13]Master!B:C,2,0),"")</f>
        <v>7631102</v>
      </c>
      <c r="G140" s="6" t="s">
        <v>223</v>
      </c>
      <c r="H140" s="6" t="s">
        <v>519</v>
      </c>
      <c r="I140" s="10" t="str">
        <f>_xlfn.IFNA(VLOOKUP(E140,[13]Master!$J:$M,4,0),"")</f>
        <v>IND</v>
      </c>
      <c r="J140" s="10" t="str">
        <f>_xlfn.IFNA(VLOOKUP($E140,[13]Master!$J:$M,3,0),"")</f>
        <v>MFG</v>
      </c>
      <c r="K140" s="14">
        <v>404958.97462394327</v>
      </c>
      <c r="L140" s="14">
        <v>462991.64375596162</v>
      </c>
      <c r="M140" s="14">
        <v>273031.73226205993</v>
      </c>
      <c r="N140" s="14">
        <v>274740.08815198269</v>
      </c>
      <c r="O140" s="14">
        <v>279446.32384121366</v>
      </c>
      <c r="P140" s="14">
        <v>258608.40136405957</v>
      </c>
      <c r="Q140" s="14">
        <v>219931.65222891173</v>
      </c>
      <c r="R140" s="14">
        <v>224759.19675572423</v>
      </c>
      <c r="S140" s="14">
        <v>233312.25696093199</v>
      </c>
      <c r="T140" s="14">
        <v>239474.13355722095</v>
      </c>
      <c r="U140" s="14">
        <v>242878.0011273773</v>
      </c>
      <c r="V140" s="14">
        <v>246691.08109245432</v>
      </c>
      <c r="W140" s="14">
        <v>257919.74326416489</v>
      </c>
      <c r="X140" s="14">
        <v>254158.32242816809</v>
      </c>
      <c r="Y140" s="14">
        <v>224163.44474400513</v>
      </c>
      <c r="Z140" s="14">
        <v>218225.00093824608</v>
      </c>
      <c r="AA140" s="14">
        <v>239436.45865644159</v>
      </c>
      <c r="AB140" s="14">
        <v>215424.13806964189</v>
      </c>
      <c r="AC140" s="14">
        <f t="shared" si="4"/>
        <v>1953777.1639992211</v>
      </c>
      <c r="AD140" s="14">
        <f t="shared" si="5"/>
        <v>2816373.4298232878</v>
      </c>
      <c r="AE140" s="14">
        <v>2876480.5745366365</v>
      </c>
      <c r="AF140" s="14">
        <v>2678921.3749798513</v>
      </c>
    </row>
    <row r="141" spans="1:32" ht="15" customHeight="1">
      <c r="A141" s="6" t="s">
        <v>13</v>
      </c>
      <c r="B141" s="10" t="s">
        <v>111</v>
      </c>
      <c r="C141" s="6" t="s">
        <v>108</v>
      </c>
      <c r="D141" s="17" t="str">
        <f>_xlfn.IFNA(VLOOKUP(E141,[13]Master!$J:$K,2,0),"")</f>
        <v>B5200</v>
      </c>
      <c r="E141" s="6" t="s">
        <v>112</v>
      </c>
      <c r="F141" s="17">
        <f>_xlfn.IFNA(VLOOKUP(G141,[13]Master!B:C,2,0),"")</f>
        <v>7631102</v>
      </c>
      <c r="G141" s="6" t="s">
        <v>223</v>
      </c>
      <c r="H141" s="6" t="s">
        <v>519</v>
      </c>
      <c r="I141" s="10" t="str">
        <f>_xlfn.IFNA(VLOOKUP(E141,[13]Master!$J:$M,4,0),"")</f>
        <v>IND</v>
      </c>
      <c r="J141" s="10" t="str">
        <f>_xlfn.IFNA(VLOOKUP($E141,[13]Master!$J:$M,3,0),"")</f>
        <v>MFG</v>
      </c>
      <c r="K141" s="14">
        <v>101239.74365598582</v>
      </c>
      <c r="L141" s="14">
        <v>115747.9109389904</v>
      </c>
      <c r="M141" s="14">
        <v>68257.933065514982</v>
      </c>
      <c r="N141" s="14">
        <v>68685.022037995674</v>
      </c>
      <c r="O141" s="14">
        <v>69861.580960303414</v>
      </c>
      <c r="P141" s="14">
        <v>64652.100341014891</v>
      </c>
      <c r="Q141" s="14">
        <v>54982.913057227932</v>
      </c>
      <c r="R141" s="14">
        <v>56189.799188931058</v>
      </c>
      <c r="S141" s="14">
        <v>58328.064240232998</v>
      </c>
      <c r="T141" s="14">
        <v>59868.533389305238</v>
      </c>
      <c r="U141" s="14">
        <v>60719.500281844324</v>
      </c>
      <c r="V141" s="14">
        <v>61672.77027311358</v>
      </c>
      <c r="W141" s="14">
        <v>64479.935816041223</v>
      </c>
      <c r="X141" s="14">
        <v>63539.580607042022</v>
      </c>
      <c r="Y141" s="14">
        <v>56040.861186001282</v>
      </c>
      <c r="Z141" s="14">
        <v>54556.250234561521</v>
      </c>
      <c r="AA141" s="14">
        <v>59859.114664110399</v>
      </c>
      <c r="AB141" s="14">
        <v>53856.034517410473</v>
      </c>
      <c r="AC141" s="14">
        <f t="shared" si="4"/>
        <v>488444.29099980526</v>
      </c>
      <c r="AD141" s="14">
        <f t="shared" si="5"/>
        <v>704093.35745582194</v>
      </c>
      <c r="AE141" s="14">
        <v>719120.14363415912</v>
      </c>
      <c r="AF141" s="14">
        <v>669730.34374496283</v>
      </c>
    </row>
    <row r="142" spans="1:32" ht="15" customHeight="1">
      <c r="A142" s="6" t="s">
        <v>13</v>
      </c>
      <c r="B142" s="10" t="s">
        <v>173</v>
      </c>
      <c r="C142" s="6" t="s">
        <v>108</v>
      </c>
      <c r="D142" s="17" t="str">
        <f>_xlfn.IFNA(VLOOKUP(E142,[13]Master!$J:$K,2,0),"")</f>
        <v>B5710</v>
      </c>
      <c r="E142" s="6" t="s">
        <v>174</v>
      </c>
      <c r="F142" s="17">
        <f>_xlfn.IFNA(VLOOKUP(G142,[13]Master!B:C,2,0),"")</f>
        <v>7631102</v>
      </c>
      <c r="G142" s="6" t="s">
        <v>223</v>
      </c>
      <c r="H142" s="6" t="s">
        <v>519</v>
      </c>
      <c r="I142" s="10" t="str">
        <f>_xlfn.IFNA(VLOOKUP(E142,[13]Master!$J:$M,4,0),"")</f>
        <v>IND</v>
      </c>
      <c r="J142" s="10" t="str">
        <f>_xlfn.IFNA(VLOOKUP($E142,[13]Master!$J:$M,3,0),"")</f>
        <v>MFG</v>
      </c>
      <c r="K142" s="14">
        <v>404958.97462394327</v>
      </c>
      <c r="L142" s="14">
        <v>462991.64375596162</v>
      </c>
      <c r="M142" s="14">
        <v>273031.73226205993</v>
      </c>
      <c r="N142" s="14">
        <v>274740.08815198269</v>
      </c>
      <c r="O142" s="14">
        <v>279446.32384121366</v>
      </c>
      <c r="P142" s="14">
        <v>258608.40136405957</v>
      </c>
      <c r="Q142" s="14">
        <v>219931.65222891173</v>
      </c>
      <c r="R142" s="14">
        <v>224759.19675572423</v>
      </c>
      <c r="S142" s="14">
        <v>233312.25696093199</v>
      </c>
      <c r="T142" s="14">
        <v>239474.13355722095</v>
      </c>
      <c r="U142" s="14">
        <v>242878.0011273773</v>
      </c>
      <c r="V142" s="14">
        <v>246691.08109245432</v>
      </c>
      <c r="W142" s="14">
        <v>257919.74326416489</v>
      </c>
      <c r="X142" s="14">
        <v>254158.32242816809</v>
      </c>
      <c r="Y142" s="14">
        <v>224163.44474400513</v>
      </c>
      <c r="Z142" s="14">
        <v>218225.00093824608</v>
      </c>
      <c r="AA142" s="14">
        <v>239436.45865644159</v>
      </c>
      <c r="AB142" s="14">
        <v>215424.13806964189</v>
      </c>
      <c r="AC142" s="14">
        <f t="shared" si="4"/>
        <v>1953777.1639992211</v>
      </c>
      <c r="AD142" s="14">
        <f t="shared" si="5"/>
        <v>2816373.4298232878</v>
      </c>
      <c r="AE142" s="14">
        <v>2876480.5745366365</v>
      </c>
      <c r="AF142" s="14">
        <v>2678921.3749798513</v>
      </c>
    </row>
    <row r="143" spans="1:32" ht="15" customHeight="1">
      <c r="A143" s="6" t="s">
        <v>13</v>
      </c>
      <c r="B143" s="10" t="s">
        <v>99</v>
      </c>
      <c r="C143" s="6" t="s">
        <v>108</v>
      </c>
      <c r="D143" s="17" t="str">
        <f>_xlfn.IFNA(VLOOKUP(E143,[13]Master!$J:$K,2,0),"")</f>
        <v>B3150</v>
      </c>
      <c r="E143" s="6" t="s">
        <v>100</v>
      </c>
      <c r="F143" s="17">
        <f>_xlfn.IFNA(VLOOKUP(G143,[13]Master!B:C,2,0),"")</f>
        <v>7631102</v>
      </c>
      <c r="G143" s="6" t="s">
        <v>223</v>
      </c>
      <c r="H143" s="6" t="s">
        <v>519</v>
      </c>
      <c r="I143" s="10" t="str">
        <f>_xlfn.IFNA(VLOOKUP(E143,[13]Master!$J:$M,4,0),"")</f>
        <v>ADM</v>
      </c>
      <c r="J143" s="10" t="str">
        <f>_xlfn.IFNA(VLOOKUP($E143,[13]Master!$J:$M,3,0),"")</f>
        <v>SGA</v>
      </c>
      <c r="K143" s="14">
        <v>1113637.1802158442</v>
      </c>
      <c r="L143" s="14">
        <v>1273227.0203288947</v>
      </c>
      <c r="M143" s="14">
        <v>750837.26372066478</v>
      </c>
      <c r="N143" s="14">
        <v>755535.24241795274</v>
      </c>
      <c r="O143" s="14">
        <v>768477.39056333771</v>
      </c>
      <c r="P143" s="14">
        <v>711173.10375116393</v>
      </c>
      <c r="Q143" s="14">
        <v>604812.04362950742</v>
      </c>
      <c r="R143" s="14">
        <v>618087.79107824166</v>
      </c>
      <c r="S143" s="14">
        <v>641608.70664256311</v>
      </c>
      <c r="T143" s="14">
        <v>658553.86728235777</v>
      </c>
      <c r="U143" s="14">
        <v>667914.50310028775</v>
      </c>
      <c r="V143" s="14">
        <v>678400.47300424951</v>
      </c>
      <c r="W143" s="14">
        <v>709279.29397645372</v>
      </c>
      <c r="X143" s="14">
        <v>698935.38667746237</v>
      </c>
      <c r="Y143" s="14">
        <v>616449.4730460142</v>
      </c>
      <c r="Z143" s="14">
        <v>600118.75258017681</v>
      </c>
      <c r="AA143" s="14">
        <v>658450.26130521449</v>
      </c>
      <c r="AB143" s="14">
        <v>592416.37969151523</v>
      </c>
      <c r="AC143" s="14">
        <f t="shared" si="4"/>
        <v>5372887.2009978583</v>
      </c>
      <c r="AD143" s="14">
        <f t="shared" si="5"/>
        <v>7745026.9320140444</v>
      </c>
      <c r="AE143" s="14">
        <v>7910321.5799757531</v>
      </c>
      <c r="AF143" s="14">
        <v>7367033.7811945928</v>
      </c>
    </row>
    <row r="144" spans="1:32" ht="15" customHeight="1">
      <c r="A144" s="6" t="s">
        <v>13</v>
      </c>
      <c r="B144" s="10" t="s">
        <v>61</v>
      </c>
      <c r="C144" s="6" t="s">
        <v>108</v>
      </c>
      <c r="D144" s="17" t="str">
        <f>_xlfn.IFNA(VLOOKUP(E144,[13]Master!$J:$K,2,0),"")</f>
        <v>B5007</v>
      </c>
      <c r="E144" s="6" t="s">
        <v>62</v>
      </c>
      <c r="F144" s="17">
        <f>_xlfn.IFNA(VLOOKUP(G144,[13]Master!B:C,2,0),"")</f>
        <v>7631102</v>
      </c>
      <c r="G144" s="6" t="s">
        <v>223</v>
      </c>
      <c r="H144" s="6" t="s">
        <v>519</v>
      </c>
      <c r="I144" s="10" t="str">
        <f>_xlfn.IFNA(VLOOKUP(E144,[13]Master!$J:$M,4,0),"")</f>
        <v>IND</v>
      </c>
      <c r="J144" s="10" t="str">
        <f>_xlfn.IFNA(VLOOKUP($E144,[13]Master!$J:$M,3,0),"")</f>
        <v>MFG</v>
      </c>
      <c r="K144" s="14">
        <v>101239.74365598582</v>
      </c>
      <c r="L144" s="14">
        <v>115747.9109389904</v>
      </c>
      <c r="M144" s="14">
        <v>68257.933065514982</v>
      </c>
      <c r="N144" s="14">
        <v>68685.022037995674</v>
      </c>
      <c r="O144" s="14">
        <v>69861.580960303414</v>
      </c>
      <c r="P144" s="14">
        <v>64652.100341014891</v>
      </c>
      <c r="Q144" s="14">
        <v>54982.913057227932</v>
      </c>
      <c r="R144" s="14">
        <v>56189.799188931058</v>
      </c>
      <c r="S144" s="14">
        <v>58328.064240232998</v>
      </c>
      <c r="T144" s="14">
        <v>59868.533389305238</v>
      </c>
      <c r="U144" s="14">
        <v>60719.500281844324</v>
      </c>
      <c r="V144" s="14">
        <v>61672.77027311358</v>
      </c>
      <c r="W144" s="14">
        <v>64479.935816041223</v>
      </c>
      <c r="X144" s="14">
        <v>63539.580607042022</v>
      </c>
      <c r="Y144" s="14">
        <v>56040.861186001282</v>
      </c>
      <c r="Z144" s="14">
        <v>54556.250234561521</v>
      </c>
      <c r="AA144" s="14">
        <v>59859.114664110399</v>
      </c>
      <c r="AB144" s="14">
        <v>53856.034517410473</v>
      </c>
      <c r="AC144" s="14">
        <f t="shared" si="4"/>
        <v>488444.29099980526</v>
      </c>
      <c r="AD144" s="14">
        <f t="shared" si="5"/>
        <v>704093.35745582194</v>
      </c>
      <c r="AE144" s="14">
        <v>719120.14363415912</v>
      </c>
      <c r="AF144" s="14">
        <v>669730.34374496283</v>
      </c>
    </row>
    <row r="145" spans="1:32" ht="15" customHeight="1">
      <c r="A145" s="6" t="s">
        <v>13</v>
      </c>
      <c r="B145" s="10" t="s">
        <v>81</v>
      </c>
      <c r="C145" s="6" t="s">
        <v>108</v>
      </c>
      <c r="D145" s="17" t="str">
        <f>_xlfn.IFNA(VLOOKUP(E145,[13]Master!$J:$K,2,0),"")</f>
        <v>B3100</v>
      </c>
      <c r="E145" s="6" t="s">
        <v>82</v>
      </c>
      <c r="F145" s="17">
        <f>_xlfn.IFNA(VLOOKUP(G145,[13]Master!B:C,2,0),"")</f>
        <v>7631102</v>
      </c>
      <c r="G145" s="6" t="s">
        <v>223</v>
      </c>
      <c r="H145" s="6" t="s">
        <v>519</v>
      </c>
      <c r="I145" s="10" t="str">
        <f>_xlfn.IFNA(VLOOKUP(E145,[13]Master!$J:$M,4,0),"")</f>
        <v>ADM</v>
      </c>
      <c r="J145" s="10" t="str">
        <f>_xlfn.IFNA(VLOOKUP($E145,[13]Master!$J:$M,3,0),"")</f>
        <v>SGA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f t="shared" si="4"/>
        <v>0</v>
      </c>
      <c r="AD145" s="14">
        <f t="shared" si="5"/>
        <v>0</v>
      </c>
      <c r="AE145" s="14">
        <v>0</v>
      </c>
      <c r="AF145" s="14">
        <v>0</v>
      </c>
    </row>
    <row r="146" spans="1:32" ht="15" customHeight="1">
      <c r="A146" s="6" t="s">
        <v>13</v>
      </c>
      <c r="B146" s="10" t="s">
        <v>109</v>
      </c>
      <c r="C146" s="6" t="s">
        <v>108</v>
      </c>
      <c r="D146" s="17" t="str">
        <f>_xlfn.IFNA(VLOOKUP(E146,[13]Master!$J:$K,2,0),"")</f>
        <v>B3160</v>
      </c>
      <c r="E146" s="6" t="s">
        <v>110</v>
      </c>
      <c r="F146" s="17">
        <f>_xlfn.IFNA(VLOOKUP(G146,[13]Master!B:C,2,0),"")</f>
        <v>7631102</v>
      </c>
      <c r="G146" s="6" t="s">
        <v>223</v>
      </c>
      <c r="H146" s="6" t="s">
        <v>519</v>
      </c>
      <c r="I146" s="10" t="str">
        <f>_xlfn.IFNA(VLOOKUP(E146,[13]Master!$J:$M,4,0),"")</f>
        <v>ADM</v>
      </c>
      <c r="J146" s="10" t="str">
        <f>_xlfn.IFNA(VLOOKUP($E146,[13]Master!$J:$M,3,0),"")</f>
        <v>SGA</v>
      </c>
      <c r="K146" s="14">
        <v>303719.23096795741</v>
      </c>
      <c r="L146" s="14">
        <v>347243.73281697126</v>
      </c>
      <c r="M146" s="14">
        <v>204773.79919654489</v>
      </c>
      <c r="N146" s="14">
        <v>206055.06611398704</v>
      </c>
      <c r="O146" s="14">
        <v>209584.74288091023</v>
      </c>
      <c r="P146" s="14">
        <v>193956.30102304468</v>
      </c>
      <c r="Q146" s="14">
        <v>164948.73917168379</v>
      </c>
      <c r="R146" s="14">
        <v>168569.39756679317</v>
      </c>
      <c r="S146" s="14">
        <v>174984.19272069898</v>
      </c>
      <c r="T146" s="14">
        <v>179605.60016791572</v>
      </c>
      <c r="U146" s="14">
        <v>182158.50084553298</v>
      </c>
      <c r="V146" s="14">
        <v>185018.31081934075</v>
      </c>
      <c r="W146" s="14">
        <v>193439.80744812367</v>
      </c>
      <c r="X146" s="14">
        <v>190618.74182112605</v>
      </c>
      <c r="Y146" s="14">
        <v>168122.58355800385</v>
      </c>
      <c r="Z146" s="14">
        <v>163668.75070368455</v>
      </c>
      <c r="AA146" s="14">
        <v>179577.34399233118</v>
      </c>
      <c r="AB146" s="14">
        <v>161568.10355223142</v>
      </c>
      <c r="AC146" s="14">
        <f t="shared" si="4"/>
        <v>1465332.8729994155</v>
      </c>
      <c r="AD146" s="14">
        <f t="shared" si="5"/>
        <v>2112280.0723674661</v>
      </c>
      <c r="AE146" s="14">
        <v>2157360.4309024764</v>
      </c>
      <c r="AF146" s="14">
        <v>2009191.0312348884</v>
      </c>
    </row>
    <row r="147" spans="1:32" ht="15" customHeight="1">
      <c r="A147" s="6" t="s">
        <v>13</v>
      </c>
      <c r="B147" s="10" t="s">
        <v>165</v>
      </c>
      <c r="C147" s="6" t="s">
        <v>108</v>
      </c>
      <c r="D147" s="17" t="str">
        <f>_xlfn.IFNA(VLOOKUP(E147,[13]Master!$J:$K,2,0),"")</f>
        <v>B3110</v>
      </c>
      <c r="E147" s="6" t="s">
        <v>166</v>
      </c>
      <c r="F147" s="17">
        <f>_xlfn.IFNA(VLOOKUP(G147,[13]Master!B:C,2,0),"")</f>
        <v>7631102</v>
      </c>
      <c r="G147" s="6" t="s">
        <v>223</v>
      </c>
      <c r="H147" s="6" t="s">
        <v>519</v>
      </c>
      <c r="I147" s="10" t="str">
        <f>_xlfn.IFNA(VLOOKUP(E147,[13]Master!$J:$M,4,0),"")</f>
        <v>ADM</v>
      </c>
      <c r="J147" s="10" t="str">
        <f>_xlfn.IFNA(VLOOKUP($E147,[13]Master!$J:$M,3,0),"")</f>
        <v>SGA</v>
      </c>
      <c r="K147" s="14">
        <v>253099.35913996451</v>
      </c>
      <c r="L147" s="14">
        <v>289369.77734747599</v>
      </c>
      <c r="M147" s="14">
        <v>170644.83266378744</v>
      </c>
      <c r="N147" s="14">
        <v>171712.55509498919</v>
      </c>
      <c r="O147" s="14">
        <v>174653.95240075854</v>
      </c>
      <c r="P147" s="14">
        <v>161630.25085253725</v>
      </c>
      <c r="Q147" s="14">
        <v>137457.28264306983</v>
      </c>
      <c r="R147" s="14">
        <v>140474.49797232763</v>
      </c>
      <c r="S147" s="14">
        <v>145820.16060058249</v>
      </c>
      <c r="T147" s="14">
        <v>149671.3334732631</v>
      </c>
      <c r="U147" s="14">
        <v>151798.75070461081</v>
      </c>
      <c r="V147" s="14">
        <v>154181.92568278394</v>
      </c>
      <c r="W147" s="14">
        <v>161199.83954010307</v>
      </c>
      <c r="X147" s="14">
        <v>158848.95151760505</v>
      </c>
      <c r="Y147" s="14">
        <v>140102.15296500322</v>
      </c>
      <c r="Z147" s="14">
        <v>136390.6255864038</v>
      </c>
      <c r="AA147" s="14">
        <v>149647.786660276</v>
      </c>
      <c r="AB147" s="14">
        <v>134640.0862935262</v>
      </c>
      <c r="AC147" s="14">
        <f t="shared" si="4"/>
        <v>1221110.727499513</v>
      </c>
      <c r="AD147" s="14">
        <f t="shared" si="5"/>
        <v>1760233.393639555</v>
      </c>
      <c r="AE147" s="14">
        <v>1797800.3590853976</v>
      </c>
      <c r="AF147" s="14">
        <v>1674325.8593624067</v>
      </c>
    </row>
    <row r="148" spans="1:32" ht="15" customHeight="1">
      <c r="A148" s="6" t="s">
        <v>13</v>
      </c>
      <c r="B148" s="10" t="s">
        <v>119</v>
      </c>
      <c r="C148" s="6" t="s">
        <v>108</v>
      </c>
      <c r="D148" s="17" t="str">
        <f>_xlfn.IFNA(VLOOKUP(E148,[13]Master!$J:$K,2,0),"")</f>
        <v>B3120</v>
      </c>
      <c r="E148" s="6" t="s">
        <v>120</v>
      </c>
      <c r="F148" s="17">
        <f>_xlfn.IFNA(VLOOKUP(G148,[13]Master!B:C,2,0),"")</f>
        <v>7631102</v>
      </c>
      <c r="G148" s="6" t="s">
        <v>223</v>
      </c>
      <c r="H148" s="6" t="s">
        <v>519</v>
      </c>
      <c r="I148" s="10" t="str">
        <f>_xlfn.IFNA(VLOOKUP(E148,[13]Master!$J:$M,4,0),"")</f>
        <v>ADM</v>
      </c>
      <c r="J148" s="10" t="str">
        <f>_xlfn.IFNA(VLOOKUP($E148,[13]Master!$J:$M,3,0),"")</f>
        <v>SGA</v>
      </c>
      <c r="K148" s="14">
        <v>101239.74365598582</v>
      </c>
      <c r="L148" s="14">
        <v>115747.9109389904</v>
      </c>
      <c r="M148" s="14">
        <v>68257.933065514982</v>
      </c>
      <c r="N148" s="14">
        <v>68685.022037995674</v>
      </c>
      <c r="O148" s="14">
        <v>69861.580960303414</v>
      </c>
      <c r="P148" s="14">
        <v>64652.100341014891</v>
      </c>
      <c r="Q148" s="14">
        <v>54982.913057227932</v>
      </c>
      <c r="R148" s="14">
        <v>56189.799188931058</v>
      </c>
      <c r="S148" s="14">
        <v>58328.064240232998</v>
      </c>
      <c r="T148" s="14">
        <v>59868.533389305238</v>
      </c>
      <c r="U148" s="14">
        <v>60719.500281844324</v>
      </c>
      <c r="V148" s="14">
        <v>61672.77027311358</v>
      </c>
      <c r="W148" s="14">
        <v>64479.935816041223</v>
      </c>
      <c r="X148" s="14">
        <v>63539.580607042022</v>
      </c>
      <c r="Y148" s="14">
        <v>56040.861186001282</v>
      </c>
      <c r="Z148" s="14">
        <v>54556.250234561521</v>
      </c>
      <c r="AA148" s="14">
        <v>59859.114664110399</v>
      </c>
      <c r="AB148" s="14">
        <v>53856.034517410473</v>
      </c>
      <c r="AC148" s="14">
        <f t="shared" si="4"/>
        <v>488444.29099980526</v>
      </c>
      <c r="AD148" s="14">
        <f t="shared" si="5"/>
        <v>704093.35745582194</v>
      </c>
      <c r="AE148" s="14">
        <v>719120.14363415912</v>
      </c>
      <c r="AF148" s="14">
        <v>669730.34374496283</v>
      </c>
    </row>
    <row r="149" spans="1:32" ht="15" customHeight="1">
      <c r="A149" s="6" t="s">
        <v>13</v>
      </c>
      <c r="B149" s="10" t="s">
        <v>103</v>
      </c>
      <c r="C149" s="6" t="s">
        <v>108</v>
      </c>
      <c r="D149" s="17" t="str">
        <f>_xlfn.IFNA(VLOOKUP(E149,[13]Master!$J:$K,2,0),"")</f>
        <v>B3130</v>
      </c>
      <c r="E149" s="6" t="s">
        <v>104</v>
      </c>
      <c r="F149" s="17">
        <f>_xlfn.IFNA(VLOOKUP(G149,[13]Master!B:C,2,0),"")</f>
        <v>7631102</v>
      </c>
      <c r="G149" s="6" t="s">
        <v>223</v>
      </c>
      <c r="H149" s="6" t="s">
        <v>519</v>
      </c>
      <c r="I149" s="10" t="str">
        <f>_xlfn.IFNA(VLOOKUP(E149,[13]Master!$J:$M,4,0),"")</f>
        <v>ADM</v>
      </c>
      <c r="J149" s="10" t="str">
        <f>_xlfn.IFNA(VLOOKUP($E149,[13]Master!$J:$M,3,0),"")</f>
        <v>SGA</v>
      </c>
      <c r="K149" s="14">
        <v>556818.59010792209</v>
      </c>
      <c r="L149" s="14">
        <v>636613.51016444736</v>
      </c>
      <c r="M149" s="14">
        <v>375418.63186033239</v>
      </c>
      <c r="N149" s="14">
        <v>377767.62120897637</v>
      </c>
      <c r="O149" s="14">
        <v>384238.69528166886</v>
      </c>
      <c r="P149" s="14">
        <v>355586.55187558196</v>
      </c>
      <c r="Q149" s="14">
        <v>302406.02181475371</v>
      </c>
      <c r="R149" s="14">
        <v>309043.89553912083</v>
      </c>
      <c r="S149" s="14">
        <v>320804.35332128155</v>
      </c>
      <c r="T149" s="14">
        <v>329276.93364117888</v>
      </c>
      <c r="U149" s="14">
        <v>333957.25155014388</v>
      </c>
      <c r="V149" s="14">
        <v>339200.23650212475</v>
      </c>
      <c r="W149" s="14">
        <v>354639.64698822686</v>
      </c>
      <c r="X149" s="14">
        <v>349467.69333873119</v>
      </c>
      <c r="Y149" s="14">
        <v>308224.7365230071</v>
      </c>
      <c r="Z149" s="14">
        <v>300059.3762900884</v>
      </c>
      <c r="AA149" s="14">
        <v>329225.13065260724</v>
      </c>
      <c r="AB149" s="14">
        <v>296208.18984575762</v>
      </c>
      <c r="AC149" s="14">
        <f t="shared" si="4"/>
        <v>2686443.6004989292</v>
      </c>
      <c r="AD149" s="14">
        <f t="shared" si="5"/>
        <v>3872513.4660070222</v>
      </c>
      <c r="AE149" s="14">
        <v>3955160.7899878765</v>
      </c>
      <c r="AF149" s="14">
        <v>3683516.8905972964</v>
      </c>
    </row>
    <row r="150" spans="1:32" ht="15" customHeight="1">
      <c r="A150" s="6" t="s">
        <v>13</v>
      </c>
      <c r="B150" s="10" t="s">
        <v>35</v>
      </c>
      <c r="C150" s="6" t="s">
        <v>108</v>
      </c>
      <c r="D150" s="17" t="str">
        <f>_xlfn.IFNA(VLOOKUP(E150,[13]Master!$J:$K,2,0),"")</f>
        <v>B1000</v>
      </c>
      <c r="E150" s="6" t="s">
        <v>16</v>
      </c>
      <c r="F150" s="17">
        <f>_xlfn.IFNA(VLOOKUP(G150,[13]Master!B:C,2,0),"")</f>
        <v>7631102</v>
      </c>
      <c r="G150" s="6" t="s">
        <v>223</v>
      </c>
      <c r="H150" s="6" t="s">
        <v>519</v>
      </c>
      <c r="I150" s="10" t="str">
        <f>_xlfn.IFNA(VLOOKUP(E150,[13]Master!$J:$M,4,0),"")</f>
        <v>ADM</v>
      </c>
      <c r="J150" s="10" t="str">
        <f>_xlfn.IFNA(VLOOKUP($E150,[13]Master!$J:$M,3,0),"")</f>
        <v>SGA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f t="shared" si="4"/>
        <v>0</v>
      </c>
      <c r="AD150" s="14">
        <f t="shared" si="5"/>
        <v>0</v>
      </c>
      <c r="AE150" s="14">
        <v>0</v>
      </c>
      <c r="AF150" s="14">
        <v>0</v>
      </c>
    </row>
    <row r="151" spans="1:32" ht="15" customHeight="1">
      <c r="A151" s="6" t="s">
        <v>13</v>
      </c>
      <c r="B151" s="10" t="s">
        <v>115</v>
      </c>
      <c r="C151" s="6" t="s">
        <v>108</v>
      </c>
      <c r="D151" s="17" t="str">
        <f>_xlfn.IFNA(VLOOKUP(E151,[13]Master!$J:$K,2,0),"")</f>
        <v>B1001</v>
      </c>
      <c r="E151" s="6" t="s">
        <v>116</v>
      </c>
      <c r="F151" s="17">
        <f>_xlfn.IFNA(VLOOKUP(G151,[13]Master!B:C,2,0),"")</f>
        <v>7631102</v>
      </c>
      <c r="G151" s="6" t="s">
        <v>223</v>
      </c>
      <c r="H151" s="6" t="s">
        <v>519</v>
      </c>
      <c r="I151" s="10" t="str">
        <f>_xlfn.IFNA(VLOOKUP(E151,[13]Master!$J:$M,4,0),"")</f>
        <v>ADM</v>
      </c>
      <c r="J151" s="10" t="str">
        <f>_xlfn.IFNA(VLOOKUP($E151,[13]Master!$J:$M,3,0),"")</f>
        <v>SGA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f t="shared" si="4"/>
        <v>0</v>
      </c>
      <c r="AD151" s="14">
        <f t="shared" si="5"/>
        <v>0</v>
      </c>
      <c r="AE151" s="14">
        <v>0</v>
      </c>
      <c r="AF151" s="14">
        <v>0</v>
      </c>
    </row>
    <row r="152" spans="1:32" ht="15" customHeight="1">
      <c r="A152" s="6" t="s">
        <v>13</v>
      </c>
      <c r="B152" s="10" t="s">
        <v>83</v>
      </c>
      <c r="C152" s="6" t="s">
        <v>108</v>
      </c>
      <c r="D152" s="17" t="str">
        <f>_xlfn.IFNA(VLOOKUP(E152,[13]Master!$J:$K,2,0),"")</f>
        <v>B2200</v>
      </c>
      <c r="E152" s="6" t="s">
        <v>84</v>
      </c>
      <c r="F152" s="17">
        <f>_xlfn.IFNA(VLOOKUP(G152,[13]Master!B:C,2,0),"")</f>
        <v>7631102</v>
      </c>
      <c r="G152" s="6" t="s">
        <v>223</v>
      </c>
      <c r="H152" s="6" t="s">
        <v>519</v>
      </c>
      <c r="I152" s="10" t="str">
        <f>_xlfn.IFNA(VLOOKUP(E152,[13]Master!$J:$M,4,0),"")</f>
        <v>ADM</v>
      </c>
      <c r="J152" s="10" t="str">
        <f>_xlfn.IFNA(VLOOKUP($E152,[13]Master!$J:$M,3,0),"")</f>
        <v>SGA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f t="shared" si="4"/>
        <v>0</v>
      </c>
      <c r="AD152" s="14">
        <f t="shared" si="5"/>
        <v>0</v>
      </c>
      <c r="AE152" s="14">
        <v>0</v>
      </c>
      <c r="AF152" s="14">
        <v>0</v>
      </c>
    </row>
    <row r="153" spans="1:32" ht="15" customHeight="1">
      <c r="A153" s="6" t="s">
        <v>13</v>
      </c>
      <c r="B153" s="10" t="s">
        <v>159</v>
      </c>
      <c r="C153" s="6" t="s">
        <v>108</v>
      </c>
      <c r="D153" s="17" t="str">
        <f>_xlfn.IFNA(VLOOKUP(E153,[13]Master!$J:$K,2,0),"")</f>
        <v>B2210</v>
      </c>
      <c r="E153" s="6" t="s">
        <v>160</v>
      </c>
      <c r="F153" s="17">
        <f>_xlfn.IFNA(VLOOKUP(G153,[13]Master!B:C,2,0),"")</f>
        <v>7631102</v>
      </c>
      <c r="G153" s="6" t="s">
        <v>223</v>
      </c>
      <c r="H153" s="6" t="s">
        <v>519</v>
      </c>
      <c r="I153" s="10" t="str">
        <f>_xlfn.IFNA(VLOOKUP(E153,[13]Master!$J:$M,4,0),"")</f>
        <v>ADM</v>
      </c>
      <c r="J153" s="10" t="str">
        <f>_xlfn.IFNA(VLOOKUP($E153,[13]Master!$J:$M,3,0),"")</f>
        <v>SGA</v>
      </c>
      <c r="K153" s="14">
        <v>961777.56473186531</v>
      </c>
      <c r="L153" s="14">
        <v>1099605.153920409</v>
      </c>
      <c r="M153" s="14">
        <v>648450.36412239226</v>
      </c>
      <c r="N153" s="14">
        <v>652507.70936095901</v>
      </c>
      <c r="O153" s="14">
        <v>663685.01912288251</v>
      </c>
      <c r="P153" s="14">
        <v>614194.95323964162</v>
      </c>
      <c r="Q153" s="14">
        <v>522337.67404366541</v>
      </c>
      <c r="R153" s="14">
        <v>533803.09229484515</v>
      </c>
      <c r="S153" s="14">
        <v>554116.61028221354</v>
      </c>
      <c r="T153" s="14">
        <v>568751.06719839992</v>
      </c>
      <c r="U153" s="14">
        <v>576835.2526775212</v>
      </c>
      <c r="V153" s="14">
        <v>585891.31759457907</v>
      </c>
      <c r="W153" s="14">
        <v>612559.39025239169</v>
      </c>
      <c r="X153" s="14">
        <v>603626.01576689922</v>
      </c>
      <c r="Y153" s="14">
        <v>532388.18126701226</v>
      </c>
      <c r="Z153" s="14">
        <v>518284.37722833449</v>
      </c>
      <c r="AA153" s="14">
        <v>568661.58930904884</v>
      </c>
      <c r="AB153" s="14">
        <v>511632.32791539957</v>
      </c>
      <c r="AC153" s="14">
        <f t="shared" si="4"/>
        <v>4640220.76449815</v>
      </c>
      <c r="AD153" s="14">
        <f t="shared" si="5"/>
        <v>6688886.8958303099</v>
      </c>
      <c r="AE153" s="14">
        <v>6831641.3645245116</v>
      </c>
      <c r="AF153" s="14">
        <v>6362438.2655771477</v>
      </c>
    </row>
    <row r="154" spans="1:32" ht="15" customHeight="1">
      <c r="A154" s="6" t="s">
        <v>13</v>
      </c>
      <c r="B154" s="10" t="s">
        <v>161</v>
      </c>
      <c r="C154" s="6" t="s">
        <v>108</v>
      </c>
      <c r="D154" s="17" t="str">
        <f>_xlfn.IFNA(VLOOKUP(E154,[13]Master!$J:$K,2,0),"")</f>
        <v>B2220</v>
      </c>
      <c r="E154" s="6" t="s">
        <v>162</v>
      </c>
      <c r="F154" s="17">
        <f>_xlfn.IFNA(VLOOKUP(G154,[13]Master!B:C,2,0),"")</f>
        <v>7631102</v>
      </c>
      <c r="G154" s="6" t="s">
        <v>223</v>
      </c>
      <c r="H154" s="6" t="s">
        <v>519</v>
      </c>
      <c r="I154" s="10" t="str">
        <f>_xlfn.IFNA(VLOOKUP(E154,[13]Master!$J:$M,4,0),"")</f>
        <v>ADM</v>
      </c>
      <c r="J154" s="10" t="str">
        <f>_xlfn.IFNA(VLOOKUP($E154,[13]Master!$J:$M,3,0),"")</f>
        <v>SGA</v>
      </c>
      <c r="K154" s="14">
        <v>303719.23096795741</v>
      </c>
      <c r="L154" s="14">
        <v>347243.73281697126</v>
      </c>
      <c r="M154" s="14">
        <v>204773.79919654489</v>
      </c>
      <c r="N154" s="14">
        <v>206055.06611398704</v>
      </c>
      <c r="O154" s="14">
        <v>209584.74288091023</v>
      </c>
      <c r="P154" s="14">
        <v>193956.30102304468</v>
      </c>
      <c r="Q154" s="14">
        <v>164948.73917168379</v>
      </c>
      <c r="R154" s="14">
        <v>168569.39756679317</v>
      </c>
      <c r="S154" s="14">
        <v>174984.19272069898</v>
      </c>
      <c r="T154" s="14">
        <v>179605.60016791572</v>
      </c>
      <c r="U154" s="14">
        <v>182158.50084553298</v>
      </c>
      <c r="V154" s="14">
        <v>185018.31081934075</v>
      </c>
      <c r="W154" s="14">
        <v>193439.80744812367</v>
      </c>
      <c r="X154" s="14">
        <v>190618.74182112605</v>
      </c>
      <c r="Y154" s="14">
        <v>168122.58355800385</v>
      </c>
      <c r="Z154" s="14">
        <v>163668.75070368455</v>
      </c>
      <c r="AA154" s="14">
        <v>179577.34399233118</v>
      </c>
      <c r="AB154" s="14">
        <v>161568.10355223142</v>
      </c>
      <c r="AC154" s="14">
        <f t="shared" si="4"/>
        <v>1465332.8729994155</v>
      </c>
      <c r="AD154" s="14">
        <f t="shared" si="5"/>
        <v>2112280.0723674661</v>
      </c>
      <c r="AE154" s="14">
        <v>2157360.4309024764</v>
      </c>
      <c r="AF154" s="14">
        <v>2009191.0312348884</v>
      </c>
    </row>
    <row r="155" spans="1:32" ht="15" customHeight="1">
      <c r="A155" s="6" t="s">
        <v>13</v>
      </c>
      <c r="B155" s="10" t="s">
        <v>163</v>
      </c>
      <c r="C155" s="6" t="s">
        <v>108</v>
      </c>
      <c r="D155" s="17" t="str">
        <f>_xlfn.IFNA(VLOOKUP(E155,[13]Master!$J:$K,2,0),"")</f>
        <v>B2230</v>
      </c>
      <c r="E155" s="6" t="s">
        <v>164</v>
      </c>
      <c r="F155" s="17">
        <f>_xlfn.IFNA(VLOOKUP(G155,[13]Master!B:C,2,0),"")</f>
        <v>7631102</v>
      </c>
      <c r="G155" s="6" t="s">
        <v>223</v>
      </c>
      <c r="H155" s="6" t="s">
        <v>519</v>
      </c>
      <c r="I155" s="10" t="str">
        <f>_xlfn.IFNA(VLOOKUP(E155,[13]Master!$J:$M,4,0),"")</f>
        <v>ADM</v>
      </c>
      <c r="J155" s="10" t="str">
        <f>_xlfn.IFNA(VLOOKUP($E155,[13]Master!$J:$M,3,0),"")</f>
        <v>SGA</v>
      </c>
      <c r="K155" s="14">
        <v>253099.35913996451</v>
      </c>
      <c r="L155" s="14">
        <v>289369.77734747599</v>
      </c>
      <c r="M155" s="14">
        <v>170644.83266378744</v>
      </c>
      <c r="N155" s="14">
        <v>171712.55509498919</v>
      </c>
      <c r="O155" s="14">
        <v>174653.95240075854</v>
      </c>
      <c r="P155" s="14">
        <v>161630.25085253725</v>
      </c>
      <c r="Q155" s="14">
        <v>137457.28264306983</v>
      </c>
      <c r="R155" s="14">
        <v>140474.49797232763</v>
      </c>
      <c r="S155" s="14">
        <v>145820.16060058249</v>
      </c>
      <c r="T155" s="14">
        <v>149671.3334732631</v>
      </c>
      <c r="U155" s="14">
        <v>151798.75070461081</v>
      </c>
      <c r="V155" s="14">
        <v>154181.92568278394</v>
      </c>
      <c r="W155" s="14">
        <v>161199.83954010307</v>
      </c>
      <c r="X155" s="14">
        <v>158848.95151760505</v>
      </c>
      <c r="Y155" s="14">
        <v>140102.15296500322</v>
      </c>
      <c r="Z155" s="14">
        <v>136390.6255864038</v>
      </c>
      <c r="AA155" s="14">
        <v>149647.786660276</v>
      </c>
      <c r="AB155" s="14">
        <v>134640.0862935262</v>
      </c>
      <c r="AC155" s="14">
        <f t="shared" si="4"/>
        <v>1221110.727499513</v>
      </c>
      <c r="AD155" s="14">
        <f t="shared" si="5"/>
        <v>1760233.393639555</v>
      </c>
      <c r="AE155" s="14">
        <v>1797800.3590853976</v>
      </c>
      <c r="AF155" s="14">
        <v>1674325.8593624067</v>
      </c>
    </row>
    <row r="156" spans="1:32" ht="15" customHeight="1">
      <c r="A156" s="6" t="s">
        <v>13</v>
      </c>
      <c r="B156" s="10" t="s">
        <v>30</v>
      </c>
      <c r="C156" s="6" t="s">
        <v>108</v>
      </c>
      <c r="D156" s="17" t="str">
        <f>_xlfn.IFNA(VLOOKUP(E156,[13]Master!$J:$K,2,0),"")</f>
        <v>B2300</v>
      </c>
      <c r="E156" s="6" t="s">
        <v>14</v>
      </c>
      <c r="F156" s="17">
        <f>_xlfn.IFNA(VLOOKUP(G156,[13]Master!B:C,2,0),"")</f>
        <v>7631102</v>
      </c>
      <c r="G156" s="6" t="s">
        <v>223</v>
      </c>
      <c r="H156" s="6" t="s">
        <v>519</v>
      </c>
      <c r="I156" s="10" t="str">
        <f>_xlfn.IFNA(VLOOKUP(E156,[13]Master!$J:$M,4,0),"")</f>
        <v>ADM</v>
      </c>
      <c r="J156" s="10" t="str">
        <f>_xlfn.IFNA(VLOOKUP($E156,[13]Master!$J:$M,3,0),"")</f>
        <v>SGA</v>
      </c>
      <c r="K156" s="14">
        <v>354339.10279595037</v>
      </c>
      <c r="L156" s="14">
        <v>405117.68828646647</v>
      </c>
      <c r="M156" s="14">
        <v>238902.76572930239</v>
      </c>
      <c r="N156" s="14">
        <v>240397.57713298488</v>
      </c>
      <c r="O156" s="14">
        <v>244515.53336106194</v>
      </c>
      <c r="P156" s="14">
        <v>226282.35119355214</v>
      </c>
      <c r="Q156" s="14">
        <v>192440.19570029777</v>
      </c>
      <c r="R156" s="14">
        <v>196664.2971612587</v>
      </c>
      <c r="S156" s="14">
        <v>204148.2248408155</v>
      </c>
      <c r="T156" s="14">
        <v>209539.86686256833</v>
      </c>
      <c r="U156" s="14">
        <v>212518.25098645512</v>
      </c>
      <c r="V156" s="14">
        <v>215854.69595589754</v>
      </c>
      <c r="W156" s="14">
        <v>225679.7753561443</v>
      </c>
      <c r="X156" s="14">
        <v>222388.53212464706</v>
      </c>
      <c r="Y156" s="14">
        <v>196143.01415100446</v>
      </c>
      <c r="Z156" s="14">
        <v>190946.87582096533</v>
      </c>
      <c r="AA156" s="14">
        <v>209506.90132438639</v>
      </c>
      <c r="AB156" s="14">
        <v>188496.12081093664</v>
      </c>
      <c r="AC156" s="14">
        <f t="shared" si="4"/>
        <v>1709555.0184993183</v>
      </c>
      <c r="AD156" s="14">
        <f t="shared" si="5"/>
        <v>2464326.7510953769</v>
      </c>
      <c r="AE156" s="14">
        <v>2516920.5027195564</v>
      </c>
      <c r="AF156" s="14">
        <v>2344056.2031073691</v>
      </c>
    </row>
    <row r="157" spans="1:32" ht="15" customHeight="1">
      <c r="A157" s="6" t="s">
        <v>13</v>
      </c>
      <c r="B157" s="10" t="s">
        <v>105</v>
      </c>
      <c r="C157" s="6" t="s">
        <v>108</v>
      </c>
      <c r="D157" s="17" t="str">
        <f>_xlfn.IFNA(VLOOKUP(E157,[13]Master!$J:$K,2,0),"")</f>
        <v>B2400</v>
      </c>
      <c r="E157" s="6" t="s">
        <v>106</v>
      </c>
      <c r="F157" s="17">
        <f>_xlfn.IFNA(VLOOKUP(G157,[13]Master!B:C,2,0),"")</f>
        <v>7631102</v>
      </c>
      <c r="G157" s="6" t="s">
        <v>223</v>
      </c>
      <c r="H157" s="6" t="s">
        <v>519</v>
      </c>
      <c r="I157" s="10" t="str">
        <f>_xlfn.IFNA(VLOOKUP(E157,[13]Master!$J:$M,4,0),"")</f>
        <v>ADM</v>
      </c>
      <c r="J157" s="10" t="str">
        <f>_xlfn.IFNA(VLOOKUP($E157,[13]Master!$J:$M,3,0),"")</f>
        <v>SGA</v>
      </c>
      <c r="K157" s="14">
        <v>202479.48731197164</v>
      </c>
      <c r="L157" s="14">
        <v>231495.82187798081</v>
      </c>
      <c r="M157" s="14">
        <v>136515.86613102996</v>
      </c>
      <c r="N157" s="14">
        <v>137370.04407599135</v>
      </c>
      <c r="O157" s="14">
        <v>139723.16192060683</v>
      </c>
      <c r="P157" s="14">
        <v>129304.20068202978</v>
      </c>
      <c r="Q157" s="14">
        <v>109965.82611445586</v>
      </c>
      <c r="R157" s="14">
        <v>112379.59837786212</v>
      </c>
      <c r="S157" s="14">
        <v>116656.128480466</v>
      </c>
      <c r="T157" s="14">
        <v>119737.06677861048</v>
      </c>
      <c r="U157" s="14">
        <v>121439.00056368865</v>
      </c>
      <c r="V157" s="14">
        <v>123345.54054622716</v>
      </c>
      <c r="W157" s="14">
        <v>128959.87163208245</v>
      </c>
      <c r="X157" s="14">
        <v>127079.16121408404</v>
      </c>
      <c r="Y157" s="14">
        <v>112081.72237200256</v>
      </c>
      <c r="Z157" s="14">
        <v>109112.50046912304</v>
      </c>
      <c r="AA157" s="14">
        <v>119718.2293282208</v>
      </c>
      <c r="AB157" s="14">
        <v>107712.06903482095</v>
      </c>
      <c r="AC157" s="14">
        <f t="shared" si="4"/>
        <v>976888.58199961053</v>
      </c>
      <c r="AD157" s="14">
        <f t="shared" si="5"/>
        <v>1408186.7149116439</v>
      </c>
      <c r="AE157" s="14">
        <v>1438240.2872683182</v>
      </c>
      <c r="AF157" s="14">
        <v>1339460.6874899257</v>
      </c>
    </row>
    <row r="158" spans="1:32" ht="15" customHeight="1">
      <c r="A158" s="6" t="s">
        <v>13</v>
      </c>
      <c r="B158" s="10" t="str">
        <f>_xlfn.IFNA(VLOOKUP(C158,[13]Master!$J:$K,2,0),"")</f>
        <v>B5500</v>
      </c>
      <c r="C158" s="6" t="s">
        <v>108</v>
      </c>
      <c r="D158" s="17" t="str">
        <f>_xlfn.IFNA(VLOOKUP(E158,[13]Master!$J:$K,2,0),"")</f>
        <v>B5500</v>
      </c>
      <c r="E158" s="6" t="s">
        <v>108</v>
      </c>
      <c r="F158" s="17">
        <f>_xlfn.IFNA(VLOOKUP(G158,[13]Master!B:C,2,0),"")</f>
        <v>7641103</v>
      </c>
      <c r="G158" s="6" t="s">
        <v>209</v>
      </c>
      <c r="H158" s="6" t="s">
        <v>520</v>
      </c>
      <c r="I158" s="10" t="str">
        <f>_xlfn.IFNA(VLOOKUP(E158,[13]Master!$J:$M,4,0),"")</f>
        <v>IND</v>
      </c>
      <c r="J158" s="10" t="str">
        <f>_xlfn.IFNA(VLOOKUP($E158,[13]Master!$J:$M,3,0),"")</f>
        <v>MFG</v>
      </c>
      <c r="K158" s="14">
        <v>3000000</v>
      </c>
      <c r="L158" s="14">
        <v>3000000</v>
      </c>
      <c r="M158" s="14">
        <v>3000000</v>
      </c>
      <c r="N158" s="14">
        <v>3000000</v>
      </c>
      <c r="O158" s="14">
        <v>3000000</v>
      </c>
      <c r="P158" s="14">
        <v>3000000</v>
      </c>
      <c r="Q158" s="14">
        <v>4000000</v>
      </c>
      <c r="R158" s="14">
        <v>4000000</v>
      </c>
      <c r="S158" s="14">
        <v>4000000</v>
      </c>
      <c r="T158" s="14">
        <v>4000000</v>
      </c>
      <c r="U158" s="14">
        <v>4000000</v>
      </c>
      <c r="V158" s="14">
        <v>4000000</v>
      </c>
      <c r="W158" s="14">
        <v>4000000</v>
      </c>
      <c r="X158" s="14">
        <v>4000000</v>
      </c>
      <c r="Y158" s="14">
        <v>4000000</v>
      </c>
      <c r="Z158" s="14">
        <v>4000000</v>
      </c>
      <c r="AA158" s="14">
        <v>4000000</v>
      </c>
      <c r="AB158" s="14">
        <v>4000000</v>
      </c>
      <c r="AC158" s="14">
        <f t="shared" si="4"/>
        <v>18000000</v>
      </c>
      <c r="AD158" s="14">
        <f t="shared" si="5"/>
        <v>48000000</v>
      </c>
      <c r="AE158" s="14">
        <f>AD158*1.02</f>
        <v>48960000</v>
      </c>
      <c r="AF158" s="14">
        <f>AE158*1.02</f>
        <v>49939200</v>
      </c>
    </row>
    <row r="159" spans="1:32" ht="15" customHeight="1">
      <c r="A159" s="6" t="s">
        <v>13</v>
      </c>
      <c r="B159" s="10" t="str">
        <f>_xlfn.IFNA(VLOOKUP(C159,[13]Master!$J:$K,2,0),"")</f>
        <v>B5500</v>
      </c>
      <c r="C159" s="6" t="s">
        <v>108</v>
      </c>
      <c r="D159" s="17" t="str">
        <f>_xlfn.IFNA(VLOOKUP(E159,[13]Master!$J:$K,2,0),"")</f>
        <v>B5500</v>
      </c>
      <c r="E159" s="6" t="s">
        <v>108</v>
      </c>
      <c r="F159" s="17">
        <f>_xlfn.IFNA(VLOOKUP(G159,[13]Master!B:C,2,0),"")</f>
        <v>7641103</v>
      </c>
      <c r="G159" s="6" t="s">
        <v>209</v>
      </c>
      <c r="H159" s="6" t="s">
        <v>521</v>
      </c>
      <c r="I159" s="10" t="str">
        <f>_xlfn.IFNA(VLOOKUP(E159,[13]Master!$J:$M,4,0),"")</f>
        <v>IND</v>
      </c>
      <c r="J159" s="10" t="str">
        <f>_xlfn.IFNA(VLOOKUP($E159,[13]Master!$J:$M,3,0),"")</f>
        <v>MFG</v>
      </c>
      <c r="K159" s="14">
        <v>3000000</v>
      </c>
      <c r="L159" s="14">
        <v>3000000</v>
      </c>
      <c r="M159" s="14">
        <v>3000000</v>
      </c>
      <c r="N159" s="14">
        <v>3000000</v>
      </c>
      <c r="O159" s="14">
        <v>3000000</v>
      </c>
      <c r="P159" s="14">
        <v>3000000</v>
      </c>
      <c r="Q159" s="14">
        <v>4000000</v>
      </c>
      <c r="R159" s="14">
        <v>4000000</v>
      </c>
      <c r="S159" s="14">
        <v>4000000</v>
      </c>
      <c r="T159" s="14">
        <v>4000000</v>
      </c>
      <c r="U159" s="14">
        <v>4000000</v>
      </c>
      <c r="V159" s="14">
        <v>4000000</v>
      </c>
      <c r="W159" s="14">
        <v>4000000</v>
      </c>
      <c r="X159" s="14">
        <v>4000000</v>
      </c>
      <c r="Y159" s="14">
        <v>4000000</v>
      </c>
      <c r="Z159" s="14">
        <v>4000000</v>
      </c>
      <c r="AA159" s="14">
        <v>4000000</v>
      </c>
      <c r="AB159" s="14">
        <v>4000000</v>
      </c>
      <c r="AC159" s="14">
        <f t="shared" si="4"/>
        <v>18000000</v>
      </c>
      <c r="AD159" s="14">
        <f t="shared" si="5"/>
        <v>48000000</v>
      </c>
      <c r="AE159" s="14">
        <f t="shared" ref="AE159:AF174" si="6">AD159*1.02</f>
        <v>48960000</v>
      </c>
      <c r="AF159" s="14">
        <f t="shared" si="6"/>
        <v>49939200</v>
      </c>
    </row>
    <row r="160" spans="1:32" ht="15" customHeight="1">
      <c r="A160" s="6" t="s">
        <v>13</v>
      </c>
      <c r="B160" s="10" t="str">
        <f>_xlfn.IFNA(VLOOKUP(C160,[13]Master!$J:$K,2,0),"")</f>
        <v>B5500</v>
      </c>
      <c r="C160" s="6" t="s">
        <v>108</v>
      </c>
      <c r="D160" s="17" t="str">
        <f>_xlfn.IFNA(VLOOKUP(E160,[13]Master!$J:$K,2,0),"")</f>
        <v>B5500</v>
      </c>
      <c r="E160" s="6" t="s">
        <v>108</v>
      </c>
      <c r="F160" s="17">
        <f>_xlfn.IFNA(VLOOKUP(G160,[13]Master!B:C,2,0),"")</f>
        <v>7781101</v>
      </c>
      <c r="G160" s="6" t="s">
        <v>76</v>
      </c>
      <c r="H160" s="6" t="s">
        <v>522</v>
      </c>
      <c r="I160" s="10" t="str">
        <f>_xlfn.IFNA(VLOOKUP(E160,[13]Master!$J:$M,4,0),"")</f>
        <v>IND</v>
      </c>
      <c r="J160" s="10" t="str">
        <f>_xlfn.IFNA(VLOOKUP($E160,[13]Master!$J:$M,3,0),"")</f>
        <v>MFG</v>
      </c>
      <c r="K160" s="14">
        <v>22500000</v>
      </c>
      <c r="L160" s="14">
        <v>22500000</v>
      </c>
      <c r="M160" s="14">
        <v>22500000</v>
      </c>
      <c r="N160" s="14">
        <v>22500000</v>
      </c>
      <c r="O160" s="14">
        <v>22500000</v>
      </c>
      <c r="P160" s="14">
        <v>22500000</v>
      </c>
      <c r="Q160" s="14">
        <v>22500000</v>
      </c>
      <c r="R160" s="14">
        <v>22500000</v>
      </c>
      <c r="S160" s="14">
        <v>22500000</v>
      </c>
      <c r="T160" s="14">
        <v>22500000</v>
      </c>
      <c r="U160" s="14">
        <v>22500000</v>
      </c>
      <c r="V160" s="14">
        <v>22500000</v>
      </c>
      <c r="W160" s="14">
        <v>22500000</v>
      </c>
      <c r="X160" s="14">
        <v>22500000</v>
      </c>
      <c r="Y160" s="14">
        <v>22500000</v>
      </c>
      <c r="Z160" s="14">
        <v>22500000</v>
      </c>
      <c r="AA160" s="14">
        <v>22500000</v>
      </c>
      <c r="AB160" s="14">
        <v>22500000</v>
      </c>
      <c r="AC160" s="14">
        <f t="shared" si="4"/>
        <v>135000000</v>
      </c>
      <c r="AD160" s="14">
        <f t="shared" si="5"/>
        <v>270000000</v>
      </c>
      <c r="AE160" s="14">
        <f t="shared" si="6"/>
        <v>275400000</v>
      </c>
      <c r="AF160" s="14">
        <f t="shared" si="6"/>
        <v>280908000</v>
      </c>
    </row>
    <row r="161" spans="1:32" ht="15" customHeight="1">
      <c r="A161" s="6" t="s">
        <v>13</v>
      </c>
      <c r="B161" s="10" t="str">
        <f>_xlfn.IFNA(VLOOKUP(C161,[13]Master!$J:$K,2,0),"")</f>
        <v>B5500</v>
      </c>
      <c r="C161" s="6" t="s">
        <v>108</v>
      </c>
      <c r="D161" s="17" t="str">
        <f>_xlfn.IFNA(VLOOKUP(E161,[13]Master!$J:$K,2,0),"")</f>
        <v>B5500</v>
      </c>
      <c r="E161" s="6" t="s">
        <v>108</v>
      </c>
      <c r="F161" s="17">
        <f>_xlfn.IFNA(VLOOKUP(G161,[13]Master!B:C,2,0),"")</f>
        <v>7641102</v>
      </c>
      <c r="G161" s="6" t="s">
        <v>29</v>
      </c>
      <c r="H161" s="6" t="s">
        <v>523</v>
      </c>
      <c r="I161" s="10" t="str">
        <f>_xlfn.IFNA(VLOOKUP(E161,[13]Master!$J:$M,4,0),"")</f>
        <v>IND</v>
      </c>
      <c r="J161" s="10" t="str">
        <f>_xlfn.IFNA(VLOOKUP($E161,[13]Master!$J:$M,3,0),"")</f>
        <v>MFG</v>
      </c>
      <c r="K161" s="14">
        <v>5000000</v>
      </c>
      <c r="L161" s="14">
        <v>0</v>
      </c>
      <c r="M161" s="14">
        <v>0</v>
      </c>
      <c r="N161" s="14">
        <v>5000000</v>
      </c>
      <c r="O161" s="14">
        <v>0</v>
      </c>
      <c r="P161" s="14">
        <v>0</v>
      </c>
      <c r="Q161" s="14">
        <v>5000000</v>
      </c>
      <c r="R161" s="14">
        <v>0</v>
      </c>
      <c r="S161" s="14">
        <v>0</v>
      </c>
      <c r="T161" s="14">
        <v>5000000</v>
      </c>
      <c r="U161" s="14">
        <v>0</v>
      </c>
      <c r="V161" s="14">
        <v>0</v>
      </c>
      <c r="W161" s="14">
        <v>5000000</v>
      </c>
      <c r="X161" s="14">
        <v>0</v>
      </c>
      <c r="Y161" s="14">
        <v>0</v>
      </c>
      <c r="Z161" s="14">
        <v>5000000</v>
      </c>
      <c r="AA161" s="14">
        <v>0</v>
      </c>
      <c r="AB161" s="14">
        <v>0</v>
      </c>
      <c r="AC161" s="14">
        <f t="shared" si="4"/>
        <v>10000000</v>
      </c>
      <c r="AD161" s="14">
        <f t="shared" si="5"/>
        <v>20000000</v>
      </c>
      <c r="AE161" s="14">
        <f t="shared" si="6"/>
        <v>20400000</v>
      </c>
      <c r="AF161" s="14">
        <f t="shared" si="6"/>
        <v>20808000</v>
      </c>
    </row>
    <row r="162" spans="1:32" ht="15" customHeight="1">
      <c r="A162" s="6" t="s">
        <v>13</v>
      </c>
      <c r="B162" s="10" t="str">
        <f>_xlfn.IFNA(VLOOKUP(C162,[13]Master!$J:$K,2,0),"")</f>
        <v>B5500</v>
      </c>
      <c r="C162" s="6" t="s">
        <v>108</v>
      </c>
      <c r="D162" s="17" t="str">
        <f>_xlfn.IFNA(VLOOKUP(E162,[13]Master!$J:$K,2,0),"")</f>
        <v>B5500</v>
      </c>
      <c r="E162" s="6" t="s">
        <v>108</v>
      </c>
      <c r="F162" s="17">
        <f>_xlfn.IFNA(VLOOKUP(G162,[13]Master!B:C,2,0),"")</f>
        <v>7641103</v>
      </c>
      <c r="G162" s="6" t="s">
        <v>209</v>
      </c>
      <c r="H162" s="6" t="s">
        <v>524</v>
      </c>
      <c r="I162" s="10" t="str">
        <f>_xlfn.IFNA(VLOOKUP(E162,[13]Master!$J:$M,4,0),"")</f>
        <v>IND</v>
      </c>
      <c r="J162" s="10" t="str">
        <f>_xlfn.IFNA(VLOOKUP($E162,[13]Master!$J:$M,3,0),"")</f>
        <v>MFG</v>
      </c>
      <c r="K162" s="14">
        <v>50000000</v>
      </c>
      <c r="L162" s="14">
        <v>0</v>
      </c>
      <c r="M162" s="14">
        <v>50000000</v>
      </c>
      <c r="N162" s="14">
        <v>0</v>
      </c>
      <c r="O162" s="14">
        <v>50000000</v>
      </c>
      <c r="P162" s="14">
        <v>0</v>
      </c>
      <c r="Q162" s="14">
        <v>50000000</v>
      </c>
      <c r="R162" s="14">
        <v>0</v>
      </c>
      <c r="S162" s="14">
        <v>50000000</v>
      </c>
      <c r="T162" s="14">
        <v>0</v>
      </c>
      <c r="U162" s="14">
        <v>50000000</v>
      </c>
      <c r="V162" s="14">
        <v>0</v>
      </c>
      <c r="W162" s="14">
        <v>50000000</v>
      </c>
      <c r="X162" s="14">
        <v>0</v>
      </c>
      <c r="Y162" s="14">
        <v>50000000</v>
      </c>
      <c r="Z162" s="14">
        <v>0</v>
      </c>
      <c r="AA162" s="14">
        <v>50000000</v>
      </c>
      <c r="AB162" s="14">
        <v>0</v>
      </c>
      <c r="AC162" s="14">
        <f t="shared" si="4"/>
        <v>150000000</v>
      </c>
      <c r="AD162" s="14">
        <f t="shared" si="5"/>
        <v>300000000</v>
      </c>
      <c r="AE162" s="14">
        <f t="shared" si="6"/>
        <v>306000000</v>
      </c>
      <c r="AF162" s="14">
        <f t="shared" si="6"/>
        <v>312120000</v>
      </c>
    </row>
    <row r="163" spans="1:32" ht="15" customHeight="1">
      <c r="A163" s="6" t="s">
        <v>13</v>
      </c>
      <c r="B163" s="10" t="str">
        <f>_xlfn.IFNA(VLOOKUP(C163,[13]Master!$J:$K,2,0),"")</f>
        <v>B5500</v>
      </c>
      <c r="C163" s="6" t="s">
        <v>108</v>
      </c>
      <c r="D163" s="17" t="str">
        <f>_xlfn.IFNA(VLOOKUP(E163,[13]Master!$J:$K,2,0),"")</f>
        <v>B5500</v>
      </c>
      <c r="E163" s="6" t="s">
        <v>108</v>
      </c>
      <c r="F163" s="17">
        <f>_xlfn.IFNA(VLOOKUP(G163,[13]Master!B:C,2,0),"")</f>
        <v>7641103</v>
      </c>
      <c r="G163" s="6" t="s">
        <v>209</v>
      </c>
      <c r="H163" s="6" t="s">
        <v>525</v>
      </c>
      <c r="I163" s="10" t="str">
        <f>_xlfn.IFNA(VLOOKUP(E163,[13]Master!$J:$M,4,0),"")</f>
        <v>IND</v>
      </c>
      <c r="J163" s="10" t="str">
        <f>_xlfn.IFNA(VLOOKUP($E163,[13]Master!$J:$M,3,0),"")</f>
        <v>MFG</v>
      </c>
      <c r="K163" s="14">
        <v>60000000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60000000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60000000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f t="shared" si="4"/>
        <v>60000000</v>
      </c>
      <c r="AD163" s="14">
        <f t="shared" si="5"/>
        <v>120000000</v>
      </c>
      <c r="AE163" s="14">
        <f t="shared" si="6"/>
        <v>122400000</v>
      </c>
      <c r="AF163" s="14">
        <f t="shared" si="6"/>
        <v>124848000</v>
      </c>
    </row>
    <row r="164" spans="1:32" ht="15" customHeight="1">
      <c r="A164" s="6" t="s">
        <v>13</v>
      </c>
      <c r="B164" s="10" t="str">
        <f>_xlfn.IFNA(VLOOKUP(C164,[13]Master!$J:$K,2,0),"")</f>
        <v>B5500</v>
      </c>
      <c r="C164" s="6" t="s">
        <v>108</v>
      </c>
      <c r="D164" s="17" t="str">
        <f>_xlfn.IFNA(VLOOKUP(E164,[13]Master!$J:$K,2,0),"")</f>
        <v>B5500</v>
      </c>
      <c r="E164" s="6" t="s">
        <v>108</v>
      </c>
      <c r="F164" s="17">
        <f>_xlfn.IFNA(VLOOKUP(G164,[13]Master!B:C,2,0),"")</f>
        <v>7641103</v>
      </c>
      <c r="G164" s="6" t="s">
        <v>209</v>
      </c>
      <c r="H164" s="6" t="s">
        <v>526</v>
      </c>
      <c r="I164" s="10" t="str">
        <f>_xlfn.IFNA(VLOOKUP(E164,[13]Master!$J:$M,4,0),"")</f>
        <v>IND</v>
      </c>
      <c r="J164" s="10" t="str">
        <f>_xlfn.IFNA(VLOOKUP($E164,[13]Master!$J:$M,3,0),"")</f>
        <v>MFG</v>
      </c>
      <c r="K164" s="14">
        <v>8000000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10000000</v>
      </c>
      <c r="R164" s="14">
        <v>0</v>
      </c>
      <c r="S164" s="14">
        <v>0</v>
      </c>
      <c r="T164" s="14">
        <v>10000000</v>
      </c>
      <c r="U164" s="14">
        <v>0</v>
      </c>
      <c r="V164" s="14">
        <v>0</v>
      </c>
      <c r="W164" s="14">
        <v>10000000</v>
      </c>
      <c r="X164" s="14">
        <v>0</v>
      </c>
      <c r="Y164" s="14">
        <v>0</v>
      </c>
      <c r="Z164" s="14">
        <v>10000000</v>
      </c>
      <c r="AA164" s="14">
        <v>0</v>
      </c>
      <c r="AB164" s="14">
        <v>0</v>
      </c>
      <c r="AC164" s="14">
        <f t="shared" si="4"/>
        <v>8000000</v>
      </c>
      <c r="AD164" s="14">
        <f t="shared" si="5"/>
        <v>40000000</v>
      </c>
      <c r="AE164" s="14">
        <f t="shared" si="6"/>
        <v>40800000</v>
      </c>
      <c r="AF164" s="14">
        <f t="shared" si="6"/>
        <v>41616000</v>
      </c>
    </row>
    <row r="165" spans="1:32" ht="15" customHeight="1">
      <c r="A165" s="6" t="s">
        <v>13</v>
      </c>
      <c r="B165" s="10" t="str">
        <f>_xlfn.IFNA(VLOOKUP(C165,[13]Master!$J:$K,2,0),"")</f>
        <v>B5500</v>
      </c>
      <c r="C165" s="6" t="s">
        <v>108</v>
      </c>
      <c r="D165" s="17" t="str">
        <f>_xlfn.IFNA(VLOOKUP(E165,[13]Master!$J:$K,2,0),"")</f>
        <v>B5500</v>
      </c>
      <c r="E165" s="6" t="s">
        <v>108</v>
      </c>
      <c r="F165" s="17">
        <f>_xlfn.IFNA(VLOOKUP(G165,[13]Master!B:C,2,0),"")</f>
        <v>7641103</v>
      </c>
      <c r="G165" s="6" t="s">
        <v>209</v>
      </c>
      <c r="H165" s="6" t="s">
        <v>527</v>
      </c>
      <c r="I165" s="10" t="str">
        <f>_xlfn.IFNA(VLOOKUP(E165,[13]Master!$J:$M,4,0),"")</f>
        <v>IND</v>
      </c>
      <c r="J165" s="10" t="str">
        <f>_xlfn.IFNA(VLOOKUP($E165,[13]Master!$J:$M,3,0),"")</f>
        <v>MFG</v>
      </c>
      <c r="K165" s="14">
        <v>0</v>
      </c>
      <c r="L165" s="14">
        <v>0</v>
      </c>
      <c r="M165" s="14">
        <v>0</v>
      </c>
      <c r="N165" s="14">
        <v>20000000</v>
      </c>
      <c r="O165" s="14">
        <v>0</v>
      </c>
      <c r="P165" s="14">
        <v>0</v>
      </c>
      <c r="Q165" s="14">
        <v>0</v>
      </c>
      <c r="R165" s="14">
        <v>20000000</v>
      </c>
      <c r="S165" s="14">
        <v>0</v>
      </c>
      <c r="T165" s="14">
        <v>20000000</v>
      </c>
      <c r="U165" s="14">
        <v>0</v>
      </c>
      <c r="V165" s="14">
        <v>20000000</v>
      </c>
      <c r="W165" s="14">
        <v>0</v>
      </c>
      <c r="X165" s="14">
        <v>20000000</v>
      </c>
      <c r="Y165" s="14">
        <v>0</v>
      </c>
      <c r="Z165" s="14">
        <v>20000000</v>
      </c>
      <c r="AA165" s="14">
        <v>0</v>
      </c>
      <c r="AB165" s="14">
        <v>0</v>
      </c>
      <c r="AC165" s="14">
        <f t="shared" si="4"/>
        <v>20000000</v>
      </c>
      <c r="AD165" s="14">
        <f t="shared" si="5"/>
        <v>100000000</v>
      </c>
      <c r="AE165" s="14">
        <f t="shared" si="6"/>
        <v>102000000</v>
      </c>
      <c r="AF165" s="14">
        <f t="shared" si="6"/>
        <v>104040000</v>
      </c>
    </row>
    <row r="166" spans="1:32" ht="15" customHeight="1">
      <c r="A166" s="6" t="s">
        <v>13</v>
      </c>
      <c r="B166" s="10" t="str">
        <f>_xlfn.IFNA(VLOOKUP(C166,[13]Master!$J:$K,2,0),"")</f>
        <v>B5500</v>
      </c>
      <c r="C166" s="6" t="s">
        <v>108</v>
      </c>
      <c r="D166" s="17" t="str">
        <f>_xlfn.IFNA(VLOOKUP(E166,[13]Master!$J:$K,2,0),"")</f>
        <v>B5500</v>
      </c>
      <c r="E166" s="6" t="s">
        <v>108</v>
      </c>
      <c r="F166" s="17">
        <f>_xlfn.IFNA(VLOOKUP(G166,[13]Master!B:C,2,0),"")</f>
        <v>7641103</v>
      </c>
      <c r="G166" s="6" t="s">
        <v>209</v>
      </c>
      <c r="H166" s="6" t="s">
        <v>528</v>
      </c>
      <c r="I166" s="10" t="str">
        <f>_xlfn.IFNA(VLOOKUP(E166,[13]Master!$J:$M,4,0),"")</f>
        <v>IND</v>
      </c>
      <c r="J166" s="10" t="str">
        <f>_xlfn.IFNA(VLOOKUP($E166,[13]Master!$J:$M,3,0),"")</f>
        <v>MFG</v>
      </c>
      <c r="K166" s="14">
        <v>20000000</v>
      </c>
      <c r="L166" s="14">
        <v>0</v>
      </c>
      <c r="M166" s="14">
        <v>0</v>
      </c>
      <c r="N166" s="14">
        <v>20000000</v>
      </c>
      <c r="O166" s="14">
        <v>0</v>
      </c>
      <c r="P166" s="14">
        <v>0</v>
      </c>
      <c r="Q166" s="14">
        <v>30000000</v>
      </c>
      <c r="R166" s="14">
        <v>0</v>
      </c>
      <c r="S166" s="14">
        <v>0</v>
      </c>
      <c r="T166" s="14">
        <v>30000000</v>
      </c>
      <c r="U166" s="14">
        <v>0</v>
      </c>
      <c r="V166" s="14">
        <v>0</v>
      </c>
      <c r="W166" s="14">
        <v>30000000</v>
      </c>
      <c r="X166" s="14">
        <v>0</v>
      </c>
      <c r="Y166" s="14">
        <v>0</v>
      </c>
      <c r="Z166" s="14">
        <v>30000000</v>
      </c>
      <c r="AA166" s="14">
        <v>0</v>
      </c>
      <c r="AB166" s="14">
        <v>0</v>
      </c>
      <c r="AC166" s="14">
        <f t="shared" si="4"/>
        <v>40000000</v>
      </c>
      <c r="AD166" s="14">
        <f t="shared" si="5"/>
        <v>120000000</v>
      </c>
      <c r="AE166" s="14">
        <f t="shared" si="6"/>
        <v>122400000</v>
      </c>
      <c r="AF166" s="14">
        <f t="shared" si="6"/>
        <v>124848000</v>
      </c>
    </row>
    <row r="167" spans="1:32" ht="15" customHeight="1">
      <c r="A167" s="6" t="s">
        <v>13</v>
      </c>
      <c r="B167" s="10" t="str">
        <f>_xlfn.IFNA(VLOOKUP(C167,[13]Master!$J:$K,2,0),"")</f>
        <v>B5500</v>
      </c>
      <c r="C167" s="6" t="s">
        <v>108</v>
      </c>
      <c r="D167" s="17" t="str">
        <f>_xlfn.IFNA(VLOOKUP(E167,[13]Master!$J:$K,2,0),"")</f>
        <v>B5500</v>
      </c>
      <c r="E167" s="6" t="s">
        <v>108</v>
      </c>
      <c r="F167" s="17">
        <f>_xlfn.IFNA(VLOOKUP(G167,[13]Master!B:C,2,0),"")</f>
        <v>7641102</v>
      </c>
      <c r="G167" s="6" t="s">
        <v>29</v>
      </c>
      <c r="H167" s="6" t="s">
        <v>529</v>
      </c>
      <c r="I167" s="10" t="str">
        <f>_xlfn.IFNA(VLOOKUP(E167,[13]Master!$J:$M,4,0),"")</f>
        <v>IND</v>
      </c>
      <c r="J167" s="10" t="str">
        <f>_xlfn.IFNA(VLOOKUP($E167,[13]Master!$J:$M,3,0),"")</f>
        <v>MFG</v>
      </c>
      <c r="K167" s="14">
        <v>9800000</v>
      </c>
      <c r="L167" s="14">
        <v>9800000</v>
      </c>
      <c r="M167" s="14">
        <v>9800000</v>
      </c>
      <c r="N167" s="14">
        <v>9800000</v>
      </c>
      <c r="O167" s="14">
        <v>9800000</v>
      </c>
      <c r="P167" s="14">
        <v>9800000</v>
      </c>
      <c r="Q167" s="14">
        <v>11400000</v>
      </c>
      <c r="R167" s="14">
        <v>11400000</v>
      </c>
      <c r="S167" s="14">
        <v>11400000</v>
      </c>
      <c r="T167" s="14">
        <v>11400000</v>
      </c>
      <c r="U167" s="14">
        <v>11400000</v>
      </c>
      <c r="V167" s="14">
        <v>11400000</v>
      </c>
      <c r="W167" s="14">
        <v>11400000</v>
      </c>
      <c r="X167" s="14">
        <v>11400000</v>
      </c>
      <c r="Y167" s="14">
        <v>11400000</v>
      </c>
      <c r="Z167" s="14">
        <v>11400000</v>
      </c>
      <c r="AA167" s="14">
        <v>11400000</v>
      </c>
      <c r="AB167" s="14">
        <v>11400000</v>
      </c>
      <c r="AC167" s="14">
        <f t="shared" si="4"/>
        <v>58800000</v>
      </c>
      <c r="AD167" s="14">
        <f t="shared" si="5"/>
        <v>136800000</v>
      </c>
      <c r="AE167" s="14">
        <f t="shared" si="6"/>
        <v>139536000</v>
      </c>
      <c r="AF167" s="14">
        <f t="shared" si="6"/>
        <v>142326720</v>
      </c>
    </row>
    <row r="168" spans="1:32" ht="15" customHeight="1">
      <c r="A168" s="6" t="s">
        <v>13</v>
      </c>
      <c r="B168" s="10" t="str">
        <f>_xlfn.IFNA(VLOOKUP(C168,[13]Master!$J:$K,2,0),"")</f>
        <v>B5500</v>
      </c>
      <c r="C168" s="6" t="s">
        <v>108</v>
      </c>
      <c r="D168" s="17" t="str">
        <f>_xlfn.IFNA(VLOOKUP(E168,[13]Master!$J:$K,2,0),"")</f>
        <v>B5500</v>
      </c>
      <c r="E168" s="6" t="s">
        <v>108</v>
      </c>
      <c r="F168" s="17">
        <f>_xlfn.IFNA(VLOOKUP(G168,[13]Master!B:C,2,0),"")</f>
        <v>7641103</v>
      </c>
      <c r="G168" s="6" t="s">
        <v>209</v>
      </c>
      <c r="H168" s="6" t="s">
        <v>530</v>
      </c>
      <c r="I168" s="10" t="str">
        <f>_xlfn.IFNA(VLOOKUP(E168,[13]Master!$J:$M,4,0),"")</f>
        <v>IND</v>
      </c>
      <c r="J168" s="10" t="str">
        <f>_xlfn.IFNA(VLOOKUP($E168,[13]Master!$J:$M,3,0),"")</f>
        <v>MFG</v>
      </c>
      <c r="K168" s="14">
        <v>0</v>
      </c>
      <c r="L168" s="14">
        <v>15000000</v>
      </c>
      <c r="M168" s="14">
        <v>0</v>
      </c>
      <c r="N168" s="14">
        <v>0</v>
      </c>
      <c r="O168" s="14">
        <v>15000000</v>
      </c>
      <c r="P168" s="14">
        <v>0</v>
      </c>
      <c r="Q168" s="14">
        <v>20000000</v>
      </c>
      <c r="R168" s="14">
        <v>0</v>
      </c>
      <c r="S168" s="14">
        <v>0</v>
      </c>
      <c r="T168" s="14">
        <v>20000000</v>
      </c>
      <c r="U168" s="14">
        <v>0</v>
      </c>
      <c r="V168" s="14">
        <v>0</v>
      </c>
      <c r="W168" s="14">
        <v>20000000</v>
      </c>
      <c r="X168" s="14">
        <v>0</v>
      </c>
      <c r="Y168" s="14">
        <v>0</v>
      </c>
      <c r="Z168" s="14">
        <v>20000000</v>
      </c>
      <c r="AA168" s="14">
        <v>0</v>
      </c>
      <c r="AB168" s="14">
        <v>0</v>
      </c>
      <c r="AC168" s="14">
        <f t="shared" si="4"/>
        <v>30000000</v>
      </c>
      <c r="AD168" s="14">
        <f t="shared" si="5"/>
        <v>80000000</v>
      </c>
      <c r="AE168" s="14">
        <f t="shared" si="6"/>
        <v>81600000</v>
      </c>
      <c r="AF168" s="14">
        <f t="shared" si="6"/>
        <v>83232000</v>
      </c>
    </row>
    <row r="169" spans="1:32" ht="15" customHeight="1">
      <c r="A169" s="6" t="s">
        <v>13</v>
      </c>
      <c r="B169" s="10" t="str">
        <f>_xlfn.IFNA(VLOOKUP(C169,[13]Master!$J:$K,2,0),"")</f>
        <v>B5500</v>
      </c>
      <c r="C169" s="6" t="s">
        <v>108</v>
      </c>
      <c r="D169" s="17" t="str">
        <f>_xlfn.IFNA(VLOOKUP(E169,[13]Master!$J:$K,2,0),"")</f>
        <v>B5500</v>
      </c>
      <c r="E169" s="6" t="s">
        <v>108</v>
      </c>
      <c r="F169" s="17">
        <f>_xlfn.IFNA(VLOOKUP(G169,[13]Master!B:C,2,0),"")</f>
        <v>7641103</v>
      </c>
      <c r="G169" s="6" t="s">
        <v>209</v>
      </c>
      <c r="H169" s="6" t="s">
        <v>531</v>
      </c>
      <c r="I169" s="10" t="str">
        <f>_xlfn.IFNA(VLOOKUP(E169,[13]Master!$J:$M,4,0),"")</f>
        <v>IND</v>
      </c>
      <c r="J169" s="10" t="str">
        <f>_xlfn.IFNA(VLOOKUP($E169,[13]Master!$J:$M,3,0),"")</f>
        <v>MFG</v>
      </c>
      <c r="K169" s="14">
        <v>0</v>
      </c>
      <c r="L169" s="14">
        <v>10000000</v>
      </c>
      <c r="M169" s="14">
        <v>0</v>
      </c>
      <c r="N169" s="14">
        <v>0</v>
      </c>
      <c r="O169" s="14">
        <v>10000000</v>
      </c>
      <c r="P169" s="14">
        <v>0</v>
      </c>
      <c r="Q169" s="14">
        <v>15000000</v>
      </c>
      <c r="R169" s="14">
        <v>0</v>
      </c>
      <c r="S169" s="14">
        <v>0</v>
      </c>
      <c r="T169" s="14">
        <v>15000000</v>
      </c>
      <c r="U169" s="14">
        <v>0</v>
      </c>
      <c r="V169" s="14">
        <v>0</v>
      </c>
      <c r="W169" s="14">
        <v>15000000</v>
      </c>
      <c r="X169" s="14">
        <v>0</v>
      </c>
      <c r="Y169" s="14">
        <v>0</v>
      </c>
      <c r="Z169" s="14">
        <v>15000000</v>
      </c>
      <c r="AA169" s="14">
        <v>0</v>
      </c>
      <c r="AB169" s="14">
        <v>0</v>
      </c>
      <c r="AC169" s="14">
        <f t="shared" si="4"/>
        <v>20000000</v>
      </c>
      <c r="AD169" s="14">
        <f t="shared" si="5"/>
        <v>60000000</v>
      </c>
      <c r="AE169" s="14">
        <f t="shared" si="6"/>
        <v>61200000</v>
      </c>
      <c r="AF169" s="14">
        <f t="shared" si="6"/>
        <v>62424000</v>
      </c>
    </row>
    <row r="170" spans="1:32" ht="15" customHeight="1">
      <c r="A170" s="6" t="s">
        <v>13</v>
      </c>
      <c r="B170" s="10" t="str">
        <f>_xlfn.IFNA(VLOOKUP(C170,[13]Master!$J:$K,2,0),"")</f>
        <v>B5500</v>
      </c>
      <c r="C170" s="6" t="s">
        <v>108</v>
      </c>
      <c r="D170" s="17" t="str">
        <f>_xlfn.IFNA(VLOOKUP(E170,[13]Master!$J:$K,2,0),"")</f>
        <v>B5500</v>
      </c>
      <c r="E170" s="6" t="s">
        <v>108</v>
      </c>
      <c r="F170" s="17">
        <f>_xlfn.IFNA(VLOOKUP(G170,[13]Master!B:C,2,0),"")</f>
        <v>7641103</v>
      </c>
      <c r="G170" s="6" t="s">
        <v>209</v>
      </c>
      <c r="H170" s="6" t="s">
        <v>532</v>
      </c>
      <c r="I170" s="10" t="str">
        <f>_xlfn.IFNA(VLOOKUP(E170,[13]Master!$J:$M,4,0),"")</f>
        <v>IND</v>
      </c>
      <c r="J170" s="10" t="str">
        <f>_xlfn.IFNA(VLOOKUP($E170,[13]Master!$J:$M,3,0),"")</f>
        <v>MFG</v>
      </c>
      <c r="K170" s="14">
        <v>6000000</v>
      </c>
      <c r="L170" s="14">
        <v>0</v>
      </c>
      <c r="M170" s="14">
        <v>0</v>
      </c>
      <c r="N170" s="14">
        <v>6000000</v>
      </c>
      <c r="O170" s="14">
        <v>0</v>
      </c>
      <c r="P170" s="14">
        <v>0</v>
      </c>
      <c r="Q170" s="14">
        <v>7500000</v>
      </c>
      <c r="R170" s="14">
        <v>0</v>
      </c>
      <c r="S170" s="14">
        <v>0</v>
      </c>
      <c r="T170" s="14">
        <v>7500000</v>
      </c>
      <c r="U170" s="14">
        <v>0</v>
      </c>
      <c r="V170" s="14">
        <v>0</v>
      </c>
      <c r="W170" s="14">
        <v>7500000</v>
      </c>
      <c r="X170" s="14">
        <v>0</v>
      </c>
      <c r="Y170" s="14">
        <v>0</v>
      </c>
      <c r="Z170" s="14">
        <v>7500000</v>
      </c>
      <c r="AA170" s="14">
        <v>0</v>
      </c>
      <c r="AB170" s="14">
        <v>0</v>
      </c>
      <c r="AC170" s="14">
        <f t="shared" ref="AC170:AC185" si="7">SUM(K170:P170)</f>
        <v>12000000</v>
      </c>
      <c r="AD170" s="14">
        <f t="shared" si="5"/>
        <v>30000000</v>
      </c>
      <c r="AE170" s="14">
        <f t="shared" si="6"/>
        <v>30600000</v>
      </c>
      <c r="AF170" s="14">
        <f t="shared" si="6"/>
        <v>31212000</v>
      </c>
    </row>
    <row r="171" spans="1:32" ht="15" customHeight="1">
      <c r="A171" s="6" t="s">
        <v>13</v>
      </c>
      <c r="B171" s="10" t="str">
        <f>_xlfn.IFNA(VLOOKUP(C171,[13]Master!$J:$K,2,0),"")</f>
        <v>B5500</v>
      </c>
      <c r="C171" s="6" t="s">
        <v>108</v>
      </c>
      <c r="D171" s="17" t="str">
        <f>_xlfn.IFNA(VLOOKUP(E171,[13]Master!$J:$K,2,0),"")</f>
        <v>B5500</v>
      </c>
      <c r="E171" s="6" t="s">
        <v>108</v>
      </c>
      <c r="F171" s="17">
        <f>_xlfn.IFNA(VLOOKUP(G171,[13]Master!B:C,2,0),"")</f>
        <v>7641103</v>
      </c>
      <c r="G171" s="6" t="s">
        <v>209</v>
      </c>
      <c r="H171" s="6" t="s">
        <v>533</v>
      </c>
      <c r="I171" s="10" t="str">
        <f>_xlfn.IFNA(VLOOKUP(E171,[13]Master!$J:$M,4,0),"")</f>
        <v>IND</v>
      </c>
      <c r="J171" s="10" t="str">
        <f>_xlfn.IFNA(VLOOKUP($E171,[13]Master!$J:$M,3,0),"")</f>
        <v>MFG</v>
      </c>
      <c r="K171" s="14">
        <v>0</v>
      </c>
      <c r="L171" s="14">
        <v>0</v>
      </c>
      <c r="M171" s="14">
        <v>7000000</v>
      </c>
      <c r="N171" s="14">
        <v>0</v>
      </c>
      <c r="O171" s="14">
        <v>0</v>
      </c>
      <c r="P171" s="14">
        <v>0</v>
      </c>
      <c r="Q171" s="14">
        <v>7000000</v>
      </c>
      <c r="R171" s="14">
        <v>0</v>
      </c>
      <c r="S171" s="14">
        <v>0</v>
      </c>
      <c r="T171" s="14">
        <v>0</v>
      </c>
      <c r="U171" s="14">
        <v>7000000</v>
      </c>
      <c r="V171" s="14">
        <v>0</v>
      </c>
      <c r="W171" s="14">
        <v>0</v>
      </c>
      <c r="X171" s="14">
        <v>0</v>
      </c>
      <c r="Y171" s="14">
        <v>7000000</v>
      </c>
      <c r="Z171" s="14">
        <v>0</v>
      </c>
      <c r="AA171" s="14">
        <v>0</v>
      </c>
      <c r="AB171" s="14">
        <v>0</v>
      </c>
      <c r="AC171" s="14">
        <f t="shared" si="7"/>
        <v>7000000</v>
      </c>
      <c r="AD171" s="14">
        <f t="shared" si="5"/>
        <v>21000000</v>
      </c>
      <c r="AE171" s="14">
        <f t="shared" si="6"/>
        <v>21420000</v>
      </c>
      <c r="AF171" s="14">
        <f t="shared" si="6"/>
        <v>21848400</v>
      </c>
    </row>
    <row r="172" spans="1:32" ht="15" customHeight="1">
      <c r="A172" s="6" t="s">
        <v>13</v>
      </c>
      <c r="B172" s="10" t="str">
        <f>_xlfn.IFNA(VLOOKUP(C172,[13]Master!$J:$K,2,0),"")</f>
        <v>B5500</v>
      </c>
      <c r="C172" s="6" t="s">
        <v>108</v>
      </c>
      <c r="D172" s="17" t="str">
        <f>_xlfn.IFNA(VLOOKUP(E172,[13]Master!$J:$K,2,0),"")</f>
        <v>B5500</v>
      </c>
      <c r="E172" s="6" t="s">
        <v>108</v>
      </c>
      <c r="F172" s="17">
        <f>_xlfn.IFNA(VLOOKUP(G172,[13]Master!B:C,2,0),"")</f>
        <v>7641103</v>
      </c>
      <c r="G172" s="6" t="s">
        <v>209</v>
      </c>
      <c r="H172" s="6" t="s">
        <v>534</v>
      </c>
      <c r="I172" s="10" t="str">
        <f>_xlfn.IFNA(VLOOKUP(E172,[13]Master!$J:$M,4,0),"")</f>
        <v>IND</v>
      </c>
      <c r="J172" s="10" t="str">
        <f>_xlfn.IFNA(VLOOKUP($E172,[13]Master!$J:$M,3,0),"")</f>
        <v>MFG</v>
      </c>
      <c r="K172" s="14">
        <v>0</v>
      </c>
      <c r="L172" s="14">
        <v>0</v>
      </c>
      <c r="M172" s="14">
        <v>10000000</v>
      </c>
      <c r="N172" s="14">
        <v>0</v>
      </c>
      <c r="O172" s="14">
        <v>0</v>
      </c>
      <c r="P172" s="14">
        <v>0</v>
      </c>
      <c r="Q172" s="14">
        <v>10000000</v>
      </c>
      <c r="R172" s="14">
        <v>0</v>
      </c>
      <c r="S172" s="14">
        <v>0</v>
      </c>
      <c r="T172" s="14">
        <v>10000000</v>
      </c>
      <c r="U172" s="14">
        <v>0</v>
      </c>
      <c r="V172" s="14">
        <v>0</v>
      </c>
      <c r="W172" s="14">
        <v>10000000</v>
      </c>
      <c r="X172" s="14">
        <v>0</v>
      </c>
      <c r="Y172" s="14">
        <v>0</v>
      </c>
      <c r="Z172" s="14">
        <v>10000000</v>
      </c>
      <c r="AA172" s="14">
        <v>0</v>
      </c>
      <c r="AB172" s="14">
        <v>0</v>
      </c>
      <c r="AC172" s="14">
        <f t="shared" si="7"/>
        <v>10000000</v>
      </c>
      <c r="AD172" s="14">
        <f t="shared" si="5"/>
        <v>40000000</v>
      </c>
      <c r="AE172" s="14">
        <f t="shared" si="6"/>
        <v>40800000</v>
      </c>
      <c r="AF172" s="14">
        <f t="shared" si="6"/>
        <v>41616000</v>
      </c>
    </row>
    <row r="173" spans="1:32" ht="15" customHeight="1">
      <c r="A173" s="6" t="s">
        <v>13</v>
      </c>
      <c r="B173" s="10" t="str">
        <f>_xlfn.IFNA(VLOOKUP(C173,[13]Master!$J:$K,2,0),"")</f>
        <v>B5500</v>
      </c>
      <c r="C173" s="6" t="s">
        <v>108</v>
      </c>
      <c r="D173" s="17" t="str">
        <f>_xlfn.IFNA(VLOOKUP(E173,[13]Master!$J:$K,2,0),"")</f>
        <v>B5500</v>
      </c>
      <c r="E173" s="6" t="s">
        <v>108</v>
      </c>
      <c r="F173" s="17">
        <f>_xlfn.IFNA(VLOOKUP(G173,[13]Master!B:C,2,0),"")</f>
        <v>7641103</v>
      </c>
      <c r="G173" s="6" t="s">
        <v>209</v>
      </c>
      <c r="H173" s="6" t="s">
        <v>535</v>
      </c>
      <c r="I173" s="10" t="str">
        <f>_xlfn.IFNA(VLOOKUP(E173,[13]Master!$J:$M,4,0),"")</f>
        <v>IND</v>
      </c>
      <c r="J173" s="10" t="str">
        <f>_xlfn.IFNA(VLOOKUP($E173,[13]Master!$J:$M,3,0),"")</f>
        <v>MFG</v>
      </c>
      <c r="K173" s="14">
        <v>7500000</v>
      </c>
      <c r="L173" s="14">
        <v>0</v>
      </c>
      <c r="M173" s="14">
        <v>0</v>
      </c>
      <c r="N173" s="14">
        <v>7500000</v>
      </c>
      <c r="O173" s="14">
        <v>0</v>
      </c>
      <c r="P173" s="14">
        <v>0</v>
      </c>
      <c r="Q173" s="14">
        <v>10000000</v>
      </c>
      <c r="R173" s="14">
        <v>0</v>
      </c>
      <c r="S173" s="14">
        <v>0</v>
      </c>
      <c r="T173" s="14">
        <v>10000000</v>
      </c>
      <c r="U173" s="14">
        <v>0</v>
      </c>
      <c r="V173" s="14">
        <v>0</v>
      </c>
      <c r="W173" s="14">
        <v>10000000</v>
      </c>
      <c r="X173" s="14">
        <v>0</v>
      </c>
      <c r="Y173" s="14">
        <v>0</v>
      </c>
      <c r="Z173" s="14">
        <v>10000000</v>
      </c>
      <c r="AA173" s="14">
        <v>0</v>
      </c>
      <c r="AB173" s="14">
        <v>0</v>
      </c>
      <c r="AC173" s="14">
        <f t="shared" si="7"/>
        <v>15000000</v>
      </c>
      <c r="AD173" s="14">
        <f t="shared" si="5"/>
        <v>40000000</v>
      </c>
      <c r="AE173" s="14">
        <f t="shared" si="6"/>
        <v>40800000</v>
      </c>
      <c r="AF173" s="14">
        <f t="shared" si="6"/>
        <v>41616000</v>
      </c>
    </row>
    <row r="174" spans="1:32" ht="15" customHeight="1">
      <c r="A174" s="6" t="s">
        <v>13</v>
      </c>
      <c r="B174" s="10" t="str">
        <f>_xlfn.IFNA(VLOOKUP(C174,[13]Master!$J:$K,2,0),"")</f>
        <v>B5500</v>
      </c>
      <c r="C174" s="6" t="s">
        <v>108</v>
      </c>
      <c r="D174" s="17" t="str">
        <f>_xlfn.IFNA(VLOOKUP(E174,[13]Master!$J:$K,2,0),"")</f>
        <v>B5500</v>
      </c>
      <c r="E174" s="6" t="s">
        <v>108</v>
      </c>
      <c r="F174" s="17">
        <f>_xlfn.IFNA(VLOOKUP(G174,[13]Master!B:C,2,0),"")</f>
        <v>7641103</v>
      </c>
      <c r="G174" s="6" t="s">
        <v>209</v>
      </c>
      <c r="H174" s="6" t="s">
        <v>536</v>
      </c>
      <c r="I174" s="10" t="str">
        <f>_xlfn.IFNA(VLOOKUP(E174,[13]Master!$J:$M,4,0),"")</f>
        <v>IND</v>
      </c>
      <c r="J174" s="10" t="str">
        <f>_xlfn.IFNA(VLOOKUP($E174,[13]Master!$J:$M,3,0),"")</f>
        <v>MFG</v>
      </c>
      <c r="K174" s="14">
        <v>7000000</v>
      </c>
      <c r="L174" s="14">
        <v>0</v>
      </c>
      <c r="M174" s="14">
        <v>0</v>
      </c>
      <c r="N174" s="14">
        <v>7000000</v>
      </c>
      <c r="O174" s="14">
        <v>0</v>
      </c>
      <c r="P174" s="14">
        <v>0</v>
      </c>
      <c r="Q174" s="14">
        <v>7000000</v>
      </c>
      <c r="R174" s="14">
        <v>0</v>
      </c>
      <c r="S174" s="14">
        <v>0</v>
      </c>
      <c r="T174" s="14">
        <v>7000000</v>
      </c>
      <c r="U174" s="14">
        <v>0</v>
      </c>
      <c r="V174" s="14">
        <v>0</v>
      </c>
      <c r="W174" s="14">
        <v>7000000</v>
      </c>
      <c r="X174" s="14">
        <v>0</v>
      </c>
      <c r="Y174" s="14">
        <v>0</v>
      </c>
      <c r="Z174" s="14">
        <v>7000000</v>
      </c>
      <c r="AA174" s="14">
        <v>0</v>
      </c>
      <c r="AB174" s="14">
        <v>0</v>
      </c>
      <c r="AC174" s="14">
        <f t="shared" si="7"/>
        <v>14000000</v>
      </c>
      <c r="AD174" s="14">
        <f t="shared" si="5"/>
        <v>28000000</v>
      </c>
      <c r="AE174" s="14">
        <f t="shared" si="6"/>
        <v>28560000</v>
      </c>
      <c r="AF174" s="14">
        <f t="shared" si="6"/>
        <v>29131200</v>
      </c>
    </row>
    <row r="175" spans="1:32" ht="15" customHeight="1">
      <c r="A175" s="6" t="s">
        <v>13</v>
      </c>
      <c r="B175" s="10" t="str">
        <f>_xlfn.IFNA(VLOOKUP(C175,[13]Master!$J:$K,2,0),"")</f>
        <v>B5500</v>
      </c>
      <c r="C175" s="6" t="s">
        <v>108</v>
      </c>
      <c r="D175" s="17" t="str">
        <f>_xlfn.IFNA(VLOOKUP(E175,[13]Master!$J:$K,2,0),"")</f>
        <v>B5500</v>
      </c>
      <c r="E175" s="6" t="s">
        <v>108</v>
      </c>
      <c r="F175" s="17">
        <f>_xlfn.IFNA(VLOOKUP(G175,[13]Master!B:C,2,0),"")</f>
        <v>7641103</v>
      </c>
      <c r="G175" s="6" t="s">
        <v>209</v>
      </c>
      <c r="H175" s="6" t="s">
        <v>537</v>
      </c>
      <c r="I175" s="10" t="str">
        <f>_xlfn.IFNA(VLOOKUP(E175,[13]Master!$J:$M,4,0),"")</f>
        <v>IND</v>
      </c>
      <c r="J175" s="10" t="str">
        <f>_xlfn.IFNA(VLOOKUP($E175,[13]Master!$J:$M,3,0),"")</f>
        <v>MFG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20000000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20000000</v>
      </c>
      <c r="Y175" s="14">
        <v>0</v>
      </c>
      <c r="Z175" s="14">
        <v>0</v>
      </c>
      <c r="AA175" s="14">
        <v>0</v>
      </c>
      <c r="AB175" s="14">
        <v>0</v>
      </c>
      <c r="AC175" s="14">
        <f t="shared" si="7"/>
        <v>0</v>
      </c>
      <c r="AD175" s="14">
        <f t="shared" si="5"/>
        <v>40000000</v>
      </c>
      <c r="AE175" s="14">
        <f t="shared" ref="AE175:AF185" si="8">AD175*1.02</f>
        <v>40800000</v>
      </c>
      <c r="AF175" s="14">
        <f t="shared" si="8"/>
        <v>41616000</v>
      </c>
    </row>
    <row r="176" spans="1:32" ht="15" customHeight="1">
      <c r="A176" s="6" t="s">
        <v>13</v>
      </c>
      <c r="B176" s="10" t="str">
        <f>_xlfn.IFNA(VLOOKUP(C176,[13]Master!$J:$K,2,0),"")</f>
        <v>B5500</v>
      </c>
      <c r="C176" s="6" t="s">
        <v>108</v>
      </c>
      <c r="D176" s="17" t="str">
        <f>_xlfn.IFNA(VLOOKUP(E176,[13]Master!$J:$K,2,0),"")</f>
        <v>B5500</v>
      </c>
      <c r="E176" s="6" t="s">
        <v>108</v>
      </c>
      <c r="F176" s="17">
        <f>_xlfn.IFNA(VLOOKUP(G176,[13]Master!B:C,2,0),"")</f>
        <v>7641102</v>
      </c>
      <c r="G176" s="6" t="s">
        <v>29</v>
      </c>
      <c r="H176" s="6" t="s">
        <v>538</v>
      </c>
      <c r="I176" s="10" t="str">
        <f>_xlfn.IFNA(VLOOKUP(E176,[13]Master!$J:$M,4,0),"")</f>
        <v>IND</v>
      </c>
      <c r="J176" s="10" t="str">
        <f>_xlfn.IFNA(VLOOKUP($E176,[13]Master!$J:$M,3,0),"")</f>
        <v>MFG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80000000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f t="shared" si="7"/>
        <v>0</v>
      </c>
      <c r="AD176" s="14">
        <f t="shared" si="5"/>
        <v>80000000</v>
      </c>
      <c r="AE176" s="14">
        <f t="shared" si="8"/>
        <v>81600000</v>
      </c>
      <c r="AF176" s="14">
        <f t="shared" si="8"/>
        <v>83232000</v>
      </c>
    </row>
    <row r="177" spans="1:32" ht="15" customHeight="1">
      <c r="A177" s="6" t="s">
        <v>13</v>
      </c>
      <c r="B177" s="10" t="str">
        <f>_xlfn.IFNA(VLOOKUP(C177,[13]Master!$J:$K,2,0),"")</f>
        <v>B5500</v>
      </c>
      <c r="C177" s="6" t="s">
        <v>108</v>
      </c>
      <c r="D177" s="17" t="str">
        <f>_xlfn.IFNA(VLOOKUP(E177,[13]Master!$J:$K,2,0),"")</f>
        <v>B5500</v>
      </c>
      <c r="E177" s="6" t="s">
        <v>108</v>
      </c>
      <c r="F177" s="17">
        <f>_xlfn.IFNA(VLOOKUP(G177,[13]Master!B:C,2,0),"")</f>
        <v>7641102</v>
      </c>
      <c r="G177" s="6" t="s">
        <v>29</v>
      </c>
      <c r="H177" s="6" t="s">
        <v>539</v>
      </c>
      <c r="I177" s="10" t="str">
        <f>_xlfn.IFNA(VLOOKUP(E177,[13]Master!$J:$M,4,0),"")</f>
        <v>IND</v>
      </c>
      <c r="J177" s="10" t="str">
        <f>_xlfn.IFNA(VLOOKUP($E177,[13]Master!$J:$M,3,0),"")</f>
        <v>MFG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80000000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f t="shared" si="7"/>
        <v>0</v>
      </c>
      <c r="AD177" s="14">
        <f t="shared" si="5"/>
        <v>80000000</v>
      </c>
      <c r="AE177" s="14">
        <f t="shared" si="8"/>
        <v>81600000</v>
      </c>
      <c r="AF177" s="14">
        <f t="shared" si="8"/>
        <v>83232000</v>
      </c>
    </row>
    <row r="178" spans="1:32" ht="15" customHeight="1">
      <c r="A178" s="6" t="s">
        <v>13</v>
      </c>
      <c r="B178" s="10" t="str">
        <f>_xlfn.IFNA(VLOOKUP(C178,[13]Master!$J:$K,2,0),"")</f>
        <v>B5500</v>
      </c>
      <c r="C178" s="6" t="s">
        <v>108</v>
      </c>
      <c r="D178" s="17" t="str">
        <f>_xlfn.IFNA(VLOOKUP(E178,[13]Master!$J:$K,2,0),"")</f>
        <v>B5500</v>
      </c>
      <c r="E178" s="6" t="s">
        <v>108</v>
      </c>
      <c r="F178" s="17">
        <f>_xlfn.IFNA(VLOOKUP(G178,[13]Master!B:C,2,0),"")</f>
        <v>7641102</v>
      </c>
      <c r="G178" s="6" t="s">
        <v>29</v>
      </c>
      <c r="H178" s="6" t="s">
        <v>540</v>
      </c>
      <c r="I178" s="10" t="str">
        <f>_xlfn.IFNA(VLOOKUP(E178,[13]Master!$J:$M,4,0),"")</f>
        <v>IND</v>
      </c>
      <c r="J178" s="10" t="str">
        <f>_xlfn.IFNA(VLOOKUP($E178,[13]Master!$J:$M,3,0),"")</f>
        <v>MFG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80000000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f t="shared" si="7"/>
        <v>0</v>
      </c>
      <c r="AD178" s="14">
        <f t="shared" si="5"/>
        <v>80000000</v>
      </c>
      <c r="AE178" s="14">
        <f t="shared" si="8"/>
        <v>81600000</v>
      </c>
      <c r="AF178" s="14">
        <f t="shared" si="8"/>
        <v>83232000</v>
      </c>
    </row>
    <row r="179" spans="1:32" ht="15" customHeight="1">
      <c r="A179" s="6" t="s">
        <v>13</v>
      </c>
      <c r="B179" s="10" t="str">
        <f>_xlfn.IFNA(VLOOKUP(C179,[13]Master!$J:$K,2,0),"")</f>
        <v>B5500</v>
      </c>
      <c r="C179" s="6" t="s">
        <v>108</v>
      </c>
      <c r="D179" s="17" t="str">
        <f>_xlfn.IFNA(VLOOKUP(E179,[13]Master!$J:$K,2,0),"")</f>
        <v>B5500</v>
      </c>
      <c r="E179" s="6" t="s">
        <v>108</v>
      </c>
      <c r="F179" s="17">
        <f>_xlfn.IFNA(VLOOKUP(G179,[13]Master!B:C,2,0),"")</f>
        <v>7641102</v>
      </c>
      <c r="G179" s="6" t="s">
        <v>29</v>
      </c>
      <c r="H179" s="6" t="s">
        <v>541</v>
      </c>
      <c r="I179" s="10" t="str">
        <f>_xlfn.IFNA(VLOOKUP(E179,[13]Master!$J:$M,4,0),"")</f>
        <v>IND</v>
      </c>
      <c r="J179" s="10" t="str">
        <f>_xlfn.IFNA(VLOOKUP($E179,[13]Master!$J:$M,3,0),"")</f>
        <v>MFG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5000000</v>
      </c>
      <c r="R179" s="14">
        <v>5000000</v>
      </c>
      <c r="S179" s="14">
        <v>5000000</v>
      </c>
      <c r="T179" s="14">
        <v>5000000</v>
      </c>
      <c r="U179" s="14">
        <v>5000000</v>
      </c>
      <c r="V179" s="14">
        <v>5000000</v>
      </c>
      <c r="W179" s="14">
        <v>5000000</v>
      </c>
      <c r="X179" s="14">
        <v>5000000</v>
      </c>
      <c r="Y179" s="14">
        <v>5000000</v>
      </c>
      <c r="Z179" s="14">
        <v>5000000</v>
      </c>
      <c r="AA179" s="14">
        <v>5000000</v>
      </c>
      <c r="AB179" s="14">
        <v>5000000</v>
      </c>
      <c r="AC179" s="14">
        <f t="shared" si="7"/>
        <v>0</v>
      </c>
      <c r="AD179" s="14">
        <f t="shared" si="5"/>
        <v>60000000</v>
      </c>
      <c r="AE179" s="14">
        <f t="shared" si="8"/>
        <v>61200000</v>
      </c>
      <c r="AF179" s="14">
        <f t="shared" si="8"/>
        <v>62424000</v>
      </c>
    </row>
    <row r="180" spans="1:32" ht="15" customHeight="1">
      <c r="A180" s="6" t="s">
        <v>13</v>
      </c>
      <c r="B180" s="10" t="str">
        <f>_xlfn.IFNA(VLOOKUP(C180,[13]Master!$J:$K,2,0),"")</f>
        <v>B5500</v>
      </c>
      <c r="C180" s="6" t="s">
        <v>108</v>
      </c>
      <c r="D180" s="17" t="str">
        <f>_xlfn.IFNA(VLOOKUP(E180,[13]Master!$J:$K,2,0),"")</f>
        <v>B5500</v>
      </c>
      <c r="E180" s="6" t="s">
        <v>108</v>
      </c>
      <c r="F180" s="17">
        <f>_xlfn.IFNA(VLOOKUP(G180,[13]Master!B:C,2,0),"")</f>
        <v>7641101</v>
      </c>
      <c r="G180" s="6" t="s">
        <v>204</v>
      </c>
      <c r="H180" s="6" t="s">
        <v>542</v>
      </c>
      <c r="I180" s="10" t="str">
        <f>_xlfn.IFNA(VLOOKUP(E180,[13]Master!$J:$M,4,0),"")</f>
        <v>IND</v>
      </c>
      <c r="J180" s="10" t="str">
        <f>_xlfn.IFNA(VLOOKUP($E180,[13]Master!$J:$M,3,0),"")</f>
        <v>MFG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f>122*600000</f>
        <v>73200000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f t="shared" si="7"/>
        <v>0</v>
      </c>
      <c r="AD180" s="14">
        <f t="shared" si="5"/>
        <v>73200000</v>
      </c>
      <c r="AE180" s="14">
        <f t="shared" si="8"/>
        <v>74664000</v>
      </c>
      <c r="AF180" s="14">
        <f t="shared" si="8"/>
        <v>76157280</v>
      </c>
    </row>
    <row r="181" spans="1:32" ht="15" customHeight="1">
      <c r="A181" s="6" t="s">
        <v>13</v>
      </c>
      <c r="B181" s="10" t="str">
        <f>_xlfn.IFNA(VLOOKUP(C181,[13]Master!$J:$K,2,0),"")</f>
        <v>B5500</v>
      </c>
      <c r="C181" s="6" t="s">
        <v>108</v>
      </c>
      <c r="D181" s="17" t="str">
        <f>_xlfn.IFNA(VLOOKUP(E181,[13]Master!$J:$K,2,0),"")</f>
        <v>B5500</v>
      </c>
      <c r="E181" s="6" t="s">
        <v>108</v>
      </c>
      <c r="F181" s="17">
        <f>_xlfn.IFNA(VLOOKUP(G181,[13]Master!B:C,2,0),"")</f>
        <v>7641102</v>
      </c>
      <c r="G181" s="6" t="s">
        <v>29</v>
      </c>
      <c r="H181" s="6" t="s">
        <v>543</v>
      </c>
      <c r="I181" s="10" t="str">
        <f>_xlfn.IFNA(VLOOKUP(E181,[13]Master!$J:$M,4,0),"")</f>
        <v>IND</v>
      </c>
      <c r="J181" s="10" t="str">
        <f>_xlfn.IFNA(VLOOKUP($E181,[13]Master!$J:$M,3,0),"")</f>
        <v>MFG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60000000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f t="shared" si="7"/>
        <v>0</v>
      </c>
      <c r="AD181" s="14">
        <f t="shared" si="5"/>
        <v>60000000</v>
      </c>
      <c r="AE181" s="14">
        <f t="shared" si="8"/>
        <v>61200000</v>
      </c>
      <c r="AF181" s="14">
        <f t="shared" si="8"/>
        <v>62424000</v>
      </c>
    </row>
    <row r="182" spans="1:32" ht="15" customHeight="1">
      <c r="A182" s="6" t="s">
        <v>13</v>
      </c>
      <c r="B182" s="10" t="str">
        <f>_xlfn.IFNA(VLOOKUP(C182,[13]Master!$J:$K,2,0),"")</f>
        <v>B5500</v>
      </c>
      <c r="C182" s="6" t="s">
        <v>108</v>
      </c>
      <c r="D182" s="17" t="str">
        <f>_xlfn.IFNA(VLOOKUP(E182,[13]Master!$J:$K,2,0),"")</f>
        <v>B5500</v>
      </c>
      <c r="E182" s="6" t="s">
        <v>108</v>
      </c>
      <c r="F182" s="17">
        <f>_xlfn.IFNA(VLOOKUP(G182,[13]Master!B:C,2,0),"")</f>
        <v>7641101</v>
      </c>
      <c r="G182" s="6" t="s">
        <v>204</v>
      </c>
      <c r="H182" s="6" t="s">
        <v>544</v>
      </c>
      <c r="I182" s="10" t="str">
        <f>_xlfn.IFNA(VLOOKUP(E182,[13]Master!$J:$M,4,0),"")</f>
        <v>IND</v>
      </c>
      <c r="J182" s="10" t="str">
        <f>_xlfn.IFNA(VLOOKUP($E182,[13]Master!$J:$M,3,0),"")</f>
        <v>MFG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f>600*85000</f>
        <v>51000000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f t="shared" si="7"/>
        <v>0</v>
      </c>
      <c r="AD182" s="14">
        <f t="shared" si="5"/>
        <v>51000000</v>
      </c>
      <c r="AE182" s="14">
        <f t="shared" si="8"/>
        <v>52020000</v>
      </c>
      <c r="AF182" s="14">
        <f t="shared" si="8"/>
        <v>53060400</v>
      </c>
    </row>
    <row r="183" spans="1:32" ht="15" customHeight="1">
      <c r="A183" s="6" t="s">
        <v>13</v>
      </c>
      <c r="B183" s="10" t="str">
        <f>_xlfn.IFNA(VLOOKUP(C183,[13]Master!$J:$K,2,0),"")</f>
        <v>B5500</v>
      </c>
      <c r="C183" s="6" t="s">
        <v>108</v>
      </c>
      <c r="D183" s="17" t="str">
        <f>_xlfn.IFNA(VLOOKUP(E183,[13]Master!$J:$K,2,0),"")</f>
        <v>B5500</v>
      </c>
      <c r="E183" s="6" t="s">
        <v>108</v>
      </c>
      <c r="F183" s="17">
        <f>_xlfn.IFNA(VLOOKUP(G183,[13]Master!B:C,2,0),"")</f>
        <v>7641101</v>
      </c>
      <c r="G183" s="6" t="s">
        <v>204</v>
      </c>
      <c r="H183" s="6" t="s">
        <v>545</v>
      </c>
      <c r="I183" s="10" t="str">
        <f>_xlfn.IFNA(VLOOKUP(E183,[13]Master!$J:$M,4,0),"")</f>
        <v>IND</v>
      </c>
      <c r="J183" s="10" t="str">
        <f>_xlfn.IFNA(VLOOKUP($E183,[13]Master!$J:$M,3,0),"")</f>
        <v>MFG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f>920*110000</f>
        <v>101200000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f t="shared" si="7"/>
        <v>0</v>
      </c>
      <c r="AD183" s="14">
        <f t="shared" si="5"/>
        <v>101200000</v>
      </c>
      <c r="AE183" s="14">
        <f t="shared" si="8"/>
        <v>103224000</v>
      </c>
      <c r="AF183" s="14">
        <f t="shared" si="8"/>
        <v>105288480</v>
      </c>
    </row>
    <row r="184" spans="1:32" ht="15" customHeight="1">
      <c r="A184" s="6" t="s">
        <v>13</v>
      </c>
      <c r="B184" s="10" t="str">
        <f>_xlfn.IFNA(VLOOKUP(C184,[13]Master!$J:$K,2,0),"")</f>
        <v>B5500</v>
      </c>
      <c r="C184" s="6" t="s">
        <v>108</v>
      </c>
      <c r="D184" s="17" t="str">
        <f>_xlfn.IFNA(VLOOKUP(E184,[13]Master!$J:$K,2,0),"")</f>
        <v>B5500</v>
      </c>
      <c r="E184" s="6" t="s">
        <v>108</v>
      </c>
      <c r="F184" s="17">
        <f>_xlfn.IFNA(VLOOKUP(G184,[13]Master!B:C,2,0),"")</f>
        <v>7641101</v>
      </c>
      <c r="G184" s="6" t="s">
        <v>204</v>
      </c>
      <c r="H184" s="6" t="s">
        <v>546</v>
      </c>
      <c r="I184" s="10" t="str">
        <f>_xlfn.IFNA(VLOOKUP(E184,[13]Master!$J:$M,4,0),"")</f>
        <v>IND</v>
      </c>
      <c r="J184" s="10" t="str">
        <f>_xlfn.IFNA(VLOOKUP($E184,[13]Master!$J:$M,3,0),"")</f>
        <v>MFG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f>(20.25+10.3)*4*4*150000</f>
        <v>73320000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f t="shared" si="7"/>
        <v>0</v>
      </c>
      <c r="AD184" s="14">
        <f t="shared" si="5"/>
        <v>73320000</v>
      </c>
      <c r="AE184" s="14">
        <f t="shared" si="8"/>
        <v>74786400</v>
      </c>
      <c r="AF184" s="14">
        <f t="shared" si="8"/>
        <v>76282128</v>
      </c>
    </row>
    <row r="185" spans="1:32" ht="15" customHeight="1">
      <c r="A185" s="6" t="s">
        <v>13</v>
      </c>
      <c r="B185" s="10" t="str">
        <f>_xlfn.IFNA(VLOOKUP(C185,[13]Master!$J:$K,2,0),"")</f>
        <v>B5500</v>
      </c>
      <c r="C185" s="6" t="s">
        <v>108</v>
      </c>
      <c r="D185" s="17" t="str">
        <f>_xlfn.IFNA(VLOOKUP(E185,[13]Master!$J:$K,2,0),"")</f>
        <v>B5710</v>
      </c>
      <c r="E185" s="6" t="s">
        <v>174</v>
      </c>
      <c r="F185" s="17">
        <f>_xlfn.IFNA(VLOOKUP(G185,[13]Master!B:C,2,0),"")</f>
        <v>7641101</v>
      </c>
      <c r="G185" s="6" t="s">
        <v>204</v>
      </c>
      <c r="H185" s="6" t="s">
        <v>547</v>
      </c>
      <c r="I185" s="10" t="str">
        <f>_xlfn.IFNA(VLOOKUP(E185,[13]Master!$J:$M,4,0),"")</f>
        <v>IND</v>
      </c>
      <c r="J185" s="10" t="str">
        <f>_xlfn.IFNA(VLOOKUP($E185,[13]Master!$J:$M,3,0),"")</f>
        <v>MFG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20000000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f t="shared" si="7"/>
        <v>0</v>
      </c>
      <c r="AD185" s="14">
        <f t="shared" si="5"/>
        <v>20000000</v>
      </c>
      <c r="AE185" s="14">
        <f t="shared" si="8"/>
        <v>20400000</v>
      </c>
      <c r="AF185" s="14">
        <f t="shared" si="8"/>
        <v>20808000</v>
      </c>
    </row>
    <row r="186" spans="1:32" ht="15" customHeight="1">
      <c r="B186" s="10" t="str">
        <f>_xlfn.IFNA(VLOOKUP(C186,Master!$J:$K,2,0),"")</f>
        <v/>
      </c>
      <c r="D186" s="17" t="str">
        <f>_xlfn.IFNA(VLOOKUP(E186,Master!$J:$K,2,0),"")</f>
        <v/>
      </c>
      <c r="F186" s="17" t="str">
        <f>_xlfn.IFNA(VLOOKUP(G186,Master!B:C,2,0),"")</f>
        <v/>
      </c>
      <c r="I186" s="10" t="str">
        <f>_xlfn.IFNA(VLOOKUP(E186,Master!$J:$M,4,0),"")</f>
        <v/>
      </c>
      <c r="J186" s="10" t="str">
        <f>_xlfn.IFNA(VLOOKUP($E186,Master!$J:$M,3,0),"")</f>
        <v/>
      </c>
      <c r="AC186" s="14">
        <f t="shared" ref="AC186:AC193" si="9">SUM(K186:P186)</f>
        <v>0</v>
      </c>
      <c r="AD186" s="14">
        <f t="shared" ref="AD186:AD193" si="10">SUM(Q186:AB186)</f>
        <v>0</v>
      </c>
    </row>
    <row r="187" spans="1:32" ht="15" customHeight="1">
      <c r="B187" s="10" t="str">
        <f>_xlfn.IFNA(VLOOKUP(C187,Master!$J:$K,2,0),"")</f>
        <v/>
      </c>
      <c r="D187" s="17" t="str">
        <f>_xlfn.IFNA(VLOOKUP(E187,Master!$J:$K,2,0),"")</f>
        <v/>
      </c>
      <c r="F187" s="17" t="str">
        <f>_xlfn.IFNA(VLOOKUP(G187,Master!B:C,2,0),"")</f>
        <v/>
      </c>
      <c r="I187" s="10" t="str">
        <f>_xlfn.IFNA(VLOOKUP(E187,Master!$J:$M,4,0),"")</f>
        <v/>
      </c>
      <c r="J187" s="10" t="str">
        <f>_xlfn.IFNA(VLOOKUP($E187,Master!$J:$M,3,0),"")</f>
        <v/>
      </c>
      <c r="AC187" s="14">
        <f t="shared" si="9"/>
        <v>0</v>
      </c>
      <c r="AD187" s="14">
        <f t="shared" si="10"/>
        <v>0</v>
      </c>
    </row>
    <row r="188" spans="1:32" ht="15" customHeight="1">
      <c r="B188" s="10" t="str">
        <f>_xlfn.IFNA(VLOOKUP(C188,Master!$J:$K,2,0),"")</f>
        <v/>
      </c>
      <c r="D188" s="17" t="str">
        <f>_xlfn.IFNA(VLOOKUP(E188,Master!$J:$K,2,0),"")</f>
        <v/>
      </c>
      <c r="F188" s="17" t="str">
        <f>_xlfn.IFNA(VLOOKUP(G188,Master!B:C,2,0),"")</f>
        <v/>
      </c>
      <c r="I188" s="10" t="str">
        <f>_xlfn.IFNA(VLOOKUP(E188,Master!$J:$M,4,0),"")</f>
        <v/>
      </c>
      <c r="J188" s="10" t="str">
        <f>_xlfn.IFNA(VLOOKUP($E188,Master!$J:$M,3,0),"")</f>
        <v/>
      </c>
      <c r="AC188" s="14">
        <f t="shared" si="9"/>
        <v>0</v>
      </c>
      <c r="AD188" s="14">
        <f t="shared" si="10"/>
        <v>0</v>
      </c>
    </row>
    <row r="189" spans="1:32" ht="15" customHeight="1">
      <c r="B189" s="10" t="str">
        <f>_xlfn.IFNA(VLOOKUP(C189,Master!$J:$K,2,0),"")</f>
        <v/>
      </c>
      <c r="D189" s="17" t="str">
        <f>_xlfn.IFNA(VLOOKUP(E189,Master!$J:$K,2,0),"")</f>
        <v/>
      </c>
      <c r="F189" s="17" t="str">
        <f>_xlfn.IFNA(VLOOKUP(G189,Master!B:C,2,0),"")</f>
        <v/>
      </c>
      <c r="I189" s="10" t="str">
        <f>_xlfn.IFNA(VLOOKUP(E189,Master!$J:$M,4,0),"")</f>
        <v/>
      </c>
      <c r="J189" s="10" t="str">
        <f>_xlfn.IFNA(VLOOKUP($E189,Master!$J:$M,3,0),"")</f>
        <v/>
      </c>
      <c r="AC189" s="14">
        <f t="shared" si="9"/>
        <v>0</v>
      </c>
      <c r="AD189" s="14">
        <f t="shared" si="10"/>
        <v>0</v>
      </c>
    </row>
    <row r="190" spans="1:32" ht="15" customHeight="1">
      <c r="B190" s="10" t="str">
        <f>_xlfn.IFNA(VLOOKUP(C190,Master!$J:$K,2,0),"")</f>
        <v/>
      </c>
      <c r="D190" s="17" t="str">
        <f>_xlfn.IFNA(VLOOKUP(E190,Master!$J:$K,2,0),"")</f>
        <v/>
      </c>
      <c r="F190" s="17" t="str">
        <f>_xlfn.IFNA(VLOOKUP(G190,Master!B:C,2,0),"")</f>
        <v/>
      </c>
      <c r="I190" s="10" t="str">
        <f>_xlfn.IFNA(VLOOKUP(E190,Master!$J:$M,4,0),"")</f>
        <v/>
      </c>
      <c r="J190" s="10" t="str">
        <f>_xlfn.IFNA(VLOOKUP($E190,Master!$J:$M,3,0),"")</f>
        <v/>
      </c>
      <c r="AC190" s="14">
        <f t="shared" si="9"/>
        <v>0</v>
      </c>
      <c r="AD190" s="14">
        <f t="shared" si="10"/>
        <v>0</v>
      </c>
    </row>
    <row r="191" spans="1:32" ht="15" customHeight="1">
      <c r="B191" s="10" t="str">
        <f>_xlfn.IFNA(VLOOKUP(C191,Master!$J:$K,2,0),"")</f>
        <v/>
      </c>
      <c r="D191" s="17" t="str">
        <f>_xlfn.IFNA(VLOOKUP(E191,Master!$J:$K,2,0),"")</f>
        <v/>
      </c>
      <c r="F191" s="17" t="str">
        <f>_xlfn.IFNA(VLOOKUP(G191,Master!B:C,2,0),"")</f>
        <v/>
      </c>
      <c r="I191" s="10" t="str">
        <f>_xlfn.IFNA(VLOOKUP(E191,Master!$J:$M,4,0),"")</f>
        <v/>
      </c>
      <c r="J191" s="10" t="str">
        <f>_xlfn.IFNA(VLOOKUP($E191,Master!$J:$M,3,0),"")</f>
        <v/>
      </c>
      <c r="AC191" s="14">
        <f t="shared" si="9"/>
        <v>0</v>
      </c>
      <c r="AD191" s="14">
        <f t="shared" si="10"/>
        <v>0</v>
      </c>
    </row>
    <row r="192" spans="1:32" ht="15" customHeight="1">
      <c r="B192" s="10" t="str">
        <f>_xlfn.IFNA(VLOOKUP(C192,Master!$J:$K,2,0),"")</f>
        <v/>
      </c>
      <c r="D192" s="17" t="str">
        <f>_xlfn.IFNA(VLOOKUP(E192,Master!$J:$K,2,0),"")</f>
        <v/>
      </c>
      <c r="F192" s="17" t="str">
        <f>_xlfn.IFNA(VLOOKUP(G192,Master!B:C,2,0),"")</f>
        <v/>
      </c>
      <c r="I192" s="10" t="str">
        <f>_xlfn.IFNA(VLOOKUP(E192,Master!$J:$M,4,0),"")</f>
        <v/>
      </c>
      <c r="J192" s="10" t="str">
        <f>_xlfn.IFNA(VLOOKUP($E192,Master!$J:$M,3,0),"")</f>
        <v/>
      </c>
      <c r="AC192" s="14">
        <f t="shared" si="9"/>
        <v>0</v>
      </c>
      <c r="AD192" s="14">
        <f t="shared" si="10"/>
        <v>0</v>
      </c>
    </row>
    <row r="193" spans="2:30" ht="15" customHeight="1">
      <c r="B193" s="10" t="str">
        <f>_xlfn.IFNA(VLOOKUP(C193,Master!$J:$K,2,0),"")</f>
        <v/>
      </c>
      <c r="D193" s="17" t="str">
        <f>_xlfn.IFNA(VLOOKUP(E193,Master!$J:$K,2,0),"")</f>
        <v/>
      </c>
      <c r="F193" s="17" t="str">
        <f>_xlfn.IFNA(VLOOKUP(G193,Master!B:C,2,0),"")</f>
        <v/>
      </c>
      <c r="I193" s="10" t="str">
        <f>_xlfn.IFNA(VLOOKUP(E193,Master!$J:$M,4,0),"")</f>
        <v/>
      </c>
      <c r="J193" s="10" t="str">
        <f>_xlfn.IFNA(VLOOKUP($E193,Master!$J:$M,3,0),"")</f>
        <v/>
      </c>
      <c r="AC193" s="14">
        <f t="shared" si="9"/>
        <v>0</v>
      </c>
      <c r="AD193" s="14">
        <f t="shared" si="10"/>
        <v>0</v>
      </c>
    </row>
    <row r="194" spans="2:30" ht="15" customHeight="1">
      <c r="B194" s="10" t="str">
        <f>_xlfn.IFNA(VLOOKUP(C194,Master!$J:$K,2,0),"")</f>
        <v/>
      </c>
      <c r="D194" s="17" t="str">
        <f>_xlfn.IFNA(VLOOKUP(E194,Master!$J:$K,2,0),"")</f>
        <v/>
      </c>
      <c r="F194" s="17" t="str">
        <f>_xlfn.IFNA(VLOOKUP(G194,Master!B:C,2,0),"")</f>
        <v/>
      </c>
      <c r="I194" s="10" t="str">
        <f>_xlfn.IFNA(VLOOKUP(E194,Master!$J:$M,4,0),"")</f>
        <v/>
      </c>
      <c r="J194" s="10" t="str">
        <f>_xlfn.IFNA(VLOOKUP($E194,Master!$J:$M,3,0),"")</f>
        <v/>
      </c>
      <c r="AC194" s="14">
        <f t="shared" ref="AC194:AC257" si="11">SUM(K194:P194)</f>
        <v>0</v>
      </c>
      <c r="AD194" s="14">
        <f t="shared" ref="AD194:AD257" si="12">SUM(Q194:AB194)</f>
        <v>0</v>
      </c>
    </row>
    <row r="195" spans="2:30" ht="15" customHeight="1">
      <c r="B195" s="10" t="str">
        <f>_xlfn.IFNA(VLOOKUP(C195,Master!$J:$K,2,0),"")</f>
        <v/>
      </c>
      <c r="D195" s="17" t="str">
        <f>_xlfn.IFNA(VLOOKUP(E195,Master!$J:$K,2,0),"")</f>
        <v/>
      </c>
      <c r="F195" s="17" t="str">
        <f>_xlfn.IFNA(VLOOKUP(G195,Master!B:C,2,0),"")</f>
        <v/>
      </c>
      <c r="I195" s="10" t="str">
        <f>_xlfn.IFNA(VLOOKUP(E195,Master!$J:$M,4,0),"")</f>
        <v/>
      </c>
      <c r="J195" s="10" t="str">
        <f>_xlfn.IFNA(VLOOKUP($E195,Master!$J:$M,3,0),"")</f>
        <v/>
      </c>
      <c r="AC195" s="14">
        <f t="shared" si="11"/>
        <v>0</v>
      </c>
      <c r="AD195" s="14">
        <f t="shared" si="12"/>
        <v>0</v>
      </c>
    </row>
    <row r="196" spans="2:30" ht="15" customHeight="1">
      <c r="B196" s="10" t="str">
        <f>_xlfn.IFNA(VLOOKUP(C196,Master!$J:$K,2,0),"")</f>
        <v/>
      </c>
      <c r="D196" s="17" t="str">
        <f>_xlfn.IFNA(VLOOKUP(E196,Master!$J:$K,2,0),"")</f>
        <v/>
      </c>
      <c r="F196" s="17" t="str">
        <f>_xlfn.IFNA(VLOOKUP(G196,Master!B:C,2,0),"")</f>
        <v/>
      </c>
      <c r="I196" s="10" t="str">
        <f>_xlfn.IFNA(VLOOKUP(E196,Master!$J:$M,4,0),"")</f>
        <v/>
      </c>
      <c r="J196" s="10" t="str">
        <f>_xlfn.IFNA(VLOOKUP($E196,Master!$J:$M,3,0),"")</f>
        <v/>
      </c>
      <c r="AC196" s="14">
        <f t="shared" si="11"/>
        <v>0</v>
      </c>
      <c r="AD196" s="14">
        <f t="shared" si="12"/>
        <v>0</v>
      </c>
    </row>
    <row r="197" spans="2:30" ht="15" customHeight="1">
      <c r="B197" s="10" t="str">
        <f>_xlfn.IFNA(VLOOKUP(C197,Master!$J:$K,2,0),"")</f>
        <v/>
      </c>
      <c r="D197" s="17" t="str">
        <f>_xlfn.IFNA(VLOOKUP(E197,Master!$J:$K,2,0),"")</f>
        <v/>
      </c>
      <c r="F197" s="17" t="str">
        <f>_xlfn.IFNA(VLOOKUP(G197,Master!B:C,2,0),"")</f>
        <v/>
      </c>
      <c r="I197" s="10" t="str">
        <f>_xlfn.IFNA(VLOOKUP(E197,Master!$J:$M,4,0),"")</f>
        <v/>
      </c>
      <c r="J197" s="10" t="str">
        <f>_xlfn.IFNA(VLOOKUP($E197,Master!$J:$M,3,0),"")</f>
        <v/>
      </c>
      <c r="AC197" s="14">
        <f t="shared" si="11"/>
        <v>0</v>
      </c>
      <c r="AD197" s="14">
        <f t="shared" si="12"/>
        <v>0</v>
      </c>
    </row>
    <row r="198" spans="2:30" ht="15" customHeight="1">
      <c r="B198" s="10" t="str">
        <f>_xlfn.IFNA(VLOOKUP(C198,Master!$J:$K,2,0),"")</f>
        <v/>
      </c>
      <c r="D198" s="17" t="str">
        <f>_xlfn.IFNA(VLOOKUP(E198,Master!$J:$K,2,0),"")</f>
        <v/>
      </c>
      <c r="F198" s="17" t="str">
        <f>_xlfn.IFNA(VLOOKUP(G198,Master!B:C,2,0),"")</f>
        <v/>
      </c>
      <c r="I198" s="10" t="str">
        <f>_xlfn.IFNA(VLOOKUP(E198,Master!$J:$M,4,0),"")</f>
        <v/>
      </c>
      <c r="J198" s="10" t="str">
        <f>_xlfn.IFNA(VLOOKUP($E198,Master!$J:$M,3,0),"")</f>
        <v/>
      </c>
      <c r="AC198" s="14">
        <f t="shared" si="11"/>
        <v>0</v>
      </c>
      <c r="AD198" s="14">
        <f t="shared" si="12"/>
        <v>0</v>
      </c>
    </row>
    <row r="199" spans="2:30" ht="15" customHeight="1">
      <c r="B199" s="10" t="str">
        <f>_xlfn.IFNA(VLOOKUP(C199,Master!$J:$K,2,0),"")</f>
        <v/>
      </c>
      <c r="D199" s="17" t="str">
        <f>_xlfn.IFNA(VLOOKUP(E199,Master!$J:$K,2,0),"")</f>
        <v/>
      </c>
      <c r="F199" s="17" t="str">
        <f>_xlfn.IFNA(VLOOKUP(G199,Master!B:C,2,0),"")</f>
        <v/>
      </c>
      <c r="I199" s="10" t="str">
        <f>_xlfn.IFNA(VLOOKUP(E199,Master!$J:$M,4,0),"")</f>
        <v/>
      </c>
      <c r="J199" s="10" t="str">
        <f>_xlfn.IFNA(VLOOKUP($E199,Master!$J:$M,3,0),"")</f>
        <v/>
      </c>
      <c r="AC199" s="14">
        <f t="shared" si="11"/>
        <v>0</v>
      </c>
      <c r="AD199" s="14">
        <f t="shared" si="12"/>
        <v>0</v>
      </c>
    </row>
    <row r="200" spans="2:30" ht="15" customHeight="1">
      <c r="B200" s="10" t="str">
        <f>_xlfn.IFNA(VLOOKUP(C200,Master!$J:$K,2,0),"")</f>
        <v/>
      </c>
      <c r="D200" s="17" t="str">
        <f>_xlfn.IFNA(VLOOKUP(E200,Master!$J:$K,2,0),"")</f>
        <v/>
      </c>
      <c r="F200" s="17" t="str">
        <f>_xlfn.IFNA(VLOOKUP(G200,Master!B:C,2,0),"")</f>
        <v/>
      </c>
      <c r="I200" s="10" t="str">
        <f>_xlfn.IFNA(VLOOKUP(E200,Master!$J:$M,4,0),"")</f>
        <v/>
      </c>
      <c r="J200" s="10" t="str">
        <f>_xlfn.IFNA(VLOOKUP($E200,Master!$J:$M,3,0),"")</f>
        <v/>
      </c>
      <c r="AC200" s="14">
        <f t="shared" si="11"/>
        <v>0</v>
      </c>
      <c r="AD200" s="14">
        <f t="shared" si="12"/>
        <v>0</v>
      </c>
    </row>
    <row r="201" spans="2:30" ht="15" customHeight="1">
      <c r="B201" s="10" t="str">
        <f>_xlfn.IFNA(VLOOKUP(C201,Master!$J:$K,2,0),"")</f>
        <v/>
      </c>
      <c r="D201" s="17" t="str">
        <f>_xlfn.IFNA(VLOOKUP(E201,Master!$J:$K,2,0),"")</f>
        <v/>
      </c>
      <c r="F201" s="17" t="str">
        <f>_xlfn.IFNA(VLOOKUP(G201,Master!B:C,2,0),"")</f>
        <v/>
      </c>
      <c r="I201" s="10" t="str">
        <f>_xlfn.IFNA(VLOOKUP(E201,Master!$J:$M,4,0),"")</f>
        <v/>
      </c>
      <c r="J201" s="10" t="str">
        <f>_xlfn.IFNA(VLOOKUP($E201,Master!$J:$M,3,0),"")</f>
        <v/>
      </c>
      <c r="AC201" s="14">
        <f t="shared" si="11"/>
        <v>0</v>
      </c>
      <c r="AD201" s="14">
        <f t="shared" si="12"/>
        <v>0</v>
      </c>
    </row>
    <row r="202" spans="2:30" ht="15" customHeight="1">
      <c r="B202" s="10" t="str">
        <f>_xlfn.IFNA(VLOOKUP(C202,Master!$J:$K,2,0),"")</f>
        <v/>
      </c>
      <c r="D202" s="17" t="str">
        <f>_xlfn.IFNA(VLOOKUP(E202,Master!$J:$K,2,0),"")</f>
        <v/>
      </c>
      <c r="F202" s="17" t="str">
        <f>_xlfn.IFNA(VLOOKUP(G202,Master!B:C,2,0),"")</f>
        <v/>
      </c>
      <c r="I202" s="10" t="str">
        <f>_xlfn.IFNA(VLOOKUP(E202,Master!$J:$M,4,0),"")</f>
        <v/>
      </c>
      <c r="J202" s="10" t="str">
        <f>_xlfn.IFNA(VLOOKUP($E202,Master!$J:$M,3,0),"")</f>
        <v/>
      </c>
      <c r="AC202" s="14">
        <f t="shared" si="11"/>
        <v>0</v>
      </c>
      <c r="AD202" s="14">
        <f t="shared" si="12"/>
        <v>0</v>
      </c>
    </row>
    <row r="203" spans="2:30" ht="15" customHeight="1">
      <c r="B203" s="10" t="str">
        <f>_xlfn.IFNA(VLOOKUP(C203,Master!$J:$K,2,0),"")</f>
        <v/>
      </c>
      <c r="D203" s="17" t="str">
        <f>_xlfn.IFNA(VLOOKUP(E203,Master!$J:$K,2,0),"")</f>
        <v/>
      </c>
      <c r="F203" s="17" t="str">
        <f>_xlfn.IFNA(VLOOKUP(G203,Master!B:C,2,0),"")</f>
        <v/>
      </c>
      <c r="I203" s="10" t="str">
        <f>_xlfn.IFNA(VLOOKUP(E203,Master!$J:$M,4,0),"")</f>
        <v/>
      </c>
      <c r="J203" s="10" t="str">
        <f>_xlfn.IFNA(VLOOKUP($E203,Master!$J:$M,3,0),"")</f>
        <v/>
      </c>
      <c r="AC203" s="14">
        <f t="shared" si="11"/>
        <v>0</v>
      </c>
      <c r="AD203" s="14">
        <f t="shared" si="12"/>
        <v>0</v>
      </c>
    </row>
    <row r="204" spans="2:30" ht="15" customHeight="1">
      <c r="B204" s="10" t="str">
        <f>_xlfn.IFNA(VLOOKUP(C204,Master!$J:$K,2,0),"")</f>
        <v/>
      </c>
      <c r="D204" s="17" t="str">
        <f>_xlfn.IFNA(VLOOKUP(E204,Master!$J:$K,2,0),"")</f>
        <v/>
      </c>
      <c r="F204" s="17" t="str">
        <f>_xlfn.IFNA(VLOOKUP(G204,Master!B:C,2,0),"")</f>
        <v/>
      </c>
      <c r="I204" s="10" t="str">
        <f>_xlfn.IFNA(VLOOKUP(E204,Master!$J:$M,4,0),"")</f>
        <v/>
      </c>
      <c r="J204" s="10" t="str">
        <f>_xlfn.IFNA(VLOOKUP($E204,Master!$J:$M,3,0),"")</f>
        <v/>
      </c>
      <c r="AC204" s="14">
        <f t="shared" si="11"/>
        <v>0</v>
      </c>
      <c r="AD204" s="14">
        <f t="shared" si="12"/>
        <v>0</v>
      </c>
    </row>
    <row r="205" spans="2:30" ht="15" customHeight="1">
      <c r="B205" s="10" t="str">
        <f>_xlfn.IFNA(VLOOKUP(C205,Master!$J:$K,2,0),"")</f>
        <v/>
      </c>
      <c r="D205" s="17" t="str">
        <f>_xlfn.IFNA(VLOOKUP(E205,Master!$J:$K,2,0),"")</f>
        <v/>
      </c>
      <c r="F205" s="17" t="str">
        <f>_xlfn.IFNA(VLOOKUP(G205,Master!B:C,2,0),"")</f>
        <v/>
      </c>
      <c r="I205" s="10" t="str">
        <f>_xlfn.IFNA(VLOOKUP(E205,Master!$J:$M,4,0),"")</f>
        <v/>
      </c>
      <c r="J205" s="10" t="str">
        <f>_xlfn.IFNA(VLOOKUP($E205,Master!$J:$M,3,0),"")</f>
        <v/>
      </c>
      <c r="AC205" s="14">
        <f t="shared" si="11"/>
        <v>0</v>
      </c>
      <c r="AD205" s="14">
        <f t="shared" si="12"/>
        <v>0</v>
      </c>
    </row>
    <row r="206" spans="2:30" ht="15" customHeight="1">
      <c r="B206" s="10" t="str">
        <f>_xlfn.IFNA(VLOOKUP(C206,Master!$J:$K,2,0),"")</f>
        <v/>
      </c>
      <c r="D206" s="17" t="str">
        <f>_xlfn.IFNA(VLOOKUP(E206,Master!$J:$K,2,0),"")</f>
        <v/>
      </c>
      <c r="F206" s="17" t="str">
        <f>_xlfn.IFNA(VLOOKUP(G206,Master!B:C,2,0),"")</f>
        <v/>
      </c>
      <c r="I206" s="10" t="str">
        <f>_xlfn.IFNA(VLOOKUP(E206,Master!$J:$M,4,0),"")</f>
        <v/>
      </c>
      <c r="J206" s="10" t="str">
        <f>_xlfn.IFNA(VLOOKUP($E206,Master!$J:$M,3,0),"")</f>
        <v/>
      </c>
      <c r="AC206" s="14">
        <f t="shared" si="11"/>
        <v>0</v>
      </c>
      <c r="AD206" s="14">
        <f t="shared" si="12"/>
        <v>0</v>
      </c>
    </row>
    <row r="207" spans="2:30" ht="15" customHeight="1">
      <c r="B207" s="10" t="str">
        <f>_xlfn.IFNA(VLOOKUP(C207,Master!$J:$K,2,0),"")</f>
        <v/>
      </c>
      <c r="D207" s="17" t="str">
        <f>_xlfn.IFNA(VLOOKUP(E207,Master!$J:$K,2,0),"")</f>
        <v/>
      </c>
      <c r="F207" s="17" t="str">
        <f>_xlfn.IFNA(VLOOKUP(G207,Master!B:C,2,0),"")</f>
        <v/>
      </c>
      <c r="I207" s="10" t="str">
        <f>_xlfn.IFNA(VLOOKUP(E207,Master!$J:$M,4,0),"")</f>
        <v/>
      </c>
      <c r="J207" s="10" t="str">
        <f>_xlfn.IFNA(VLOOKUP($E207,Master!$J:$M,3,0),"")</f>
        <v/>
      </c>
      <c r="AC207" s="14">
        <f t="shared" si="11"/>
        <v>0</v>
      </c>
      <c r="AD207" s="14">
        <f t="shared" si="12"/>
        <v>0</v>
      </c>
    </row>
    <row r="208" spans="2:30" ht="15" customHeight="1">
      <c r="B208" s="10" t="str">
        <f>_xlfn.IFNA(VLOOKUP(C208,Master!$J:$K,2,0),"")</f>
        <v/>
      </c>
      <c r="D208" s="17" t="str">
        <f>_xlfn.IFNA(VLOOKUP(E208,Master!$J:$K,2,0),"")</f>
        <v/>
      </c>
      <c r="F208" s="17" t="str">
        <f>_xlfn.IFNA(VLOOKUP(G208,Master!B:C,2,0),"")</f>
        <v/>
      </c>
      <c r="I208" s="10" t="str">
        <f>_xlfn.IFNA(VLOOKUP(E208,Master!$J:$M,4,0),"")</f>
        <v/>
      </c>
      <c r="J208" s="10" t="str">
        <f>_xlfn.IFNA(VLOOKUP($E208,Master!$J:$M,3,0),"")</f>
        <v/>
      </c>
      <c r="AC208" s="14">
        <f t="shared" si="11"/>
        <v>0</v>
      </c>
      <c r="AD208" s="14">
        <f t="shared" si="12"/>
        <v>0</v>
      </c>
    </row>
    <row r="209" spans="2:30" ht="15" customHeight="1">
      <c r="B209" s="10" t="str">
        <f>_xlfn.IFNA(VLOOKUP(C209,Master!$J:$K,2,0),"")</f>
        <v/>
      </c>
      <c r="D209" s="17" t="str">
        <f>_xlfn.IFNA(VLOOKUP(E209,Master!$J:$K,2,0),"")</f>
        <v/>
      </c>
      <c r="F209" s="17" t="str">
        <f>_xlfn.IFNA(VLOOKUP(G209,Master!B:C,2,0),"")</f>
        <v/>
      </c>
      <c r="I209" s="10" t="str">
        <f>_xlfn.IFNA(VLOOKUP(E209,Master!$J:$M,4,0),"")</f>
        <v/>
      </c>
      <c r="J209" s="10" t="str">
        <f>_xlfn.IFNA(VLOOKUP($E209,Master!$J:$M,3,0),"")</f>
        <v/>
      </c>
      <c r="AC209" s="14">
        <f t="shared" si="11"/>
        <v>0</v>
      </c>
      <c r="AD209" s="14">
        <f t="shared" si="12"/>
        <v>0</v>
      </c>
    </row>
    <row r="210" spans="2:30" ht="15" customHeight="1">
      <c r="B210" s="10" t="str">
        <f>_xlfn.IFNA(VLOOKUP(C210,Master!$J:$K,2,0),"")</f>
        <v/>
      </c>
      <c r="D210" s="17" t="str">
        <f>_xlfn.IFNA(VLOOKUP(E210,Master!$J:$K,2,0),"")</f>
        <v/>
      </c>
      <c r="F210" s="17" t="str">
        <f>_xlfn.IFNA(VLOOKUP(G210,Master!B:C,2,0),"")</f>
        <v/>
      </c>
      <c r="I210" s="10" t="str">
        <f>_xlfn.IFNA(VLOOKUP(E210,Master!$J:$M,4,0),"")</f>
        <v/>
      </c>
      <c r="J210" s="10" t="str">
        <f>_xlfn.IFNA(VLOOKUP($E210,Master!$J:$M,3,0),"")</f>
        <v/>
      </c>
      <c r="AC210" s="14">
        <f t="shared" si="11"/>
        <v>0</v>
      </c>
      <c r="AD210" s="14">
        <f t="shared" si="12"/>
        <v>0</v>
      </c>
    </row>
    <row r="211" spans="2:30" ht="15" customHeight="1">
      <c r="B211" s="10" t="str">
        <f>_xlfn.IFNA(VLOOKUP(C211,Master!$J:$K,2,0),"")</f>
        <v/>
      </c>
      <c r="D211" s="17" t="str">
        <f>_xlfn.IFNA(VLOOKUP(E211,Master!$J:$K,2,0),"")</f>
        <v/>
      </c>
      <c r="F211" s="17" t="str">
        <f>_xlfn.IFNA(VLOOKUP(G211,Master!B:C,2,0),"")</f>
        <v/>
      </c>
      <c r="I211" s="10" t="str">
        <f>_xlfn.IFNA(VLOOKUP(E211,Master!$J:$M,4,0),"")</f>
        <v/>
      </c>
      <c r="J211" s="10" t="str">
        <f>_xlfn.IFNA(VLOOKUP($E211,Master!$J:$M,3,0),"")</f>
        <v/>
      </c>
      <c r="AC211" s="14">
        <f t="shared" si="11"/>
        <v>0</v>
      </c>
      <c r="AD211" s="14">
        <f t="shared" si="12"/>
        <v>0</v>
      </c>
    </row>
    <row r="212" spans="2:30" ht="15" customHeight="1">
      <c r="B212" s="10" t="str">
        <f>_xlfn.IFNA(VLOOKUP(C212,Master!$J:$K,2,0),"")</f>
        <v/>
      </c>
      <c r="D212" s="17" t="str">
        <f>_xlfn.IFNA(VLOOKUP(E212,Master!$J:$K,2,0),"")</f>
        <v/>
      </c>
      <c r="F212" s="17" t="str">
        <f>_xlfn.IFNA(VLOOKUP(G212,Master!B:C,2,0),"")</f>
        <v/>
      </c>
      <c r="I212" s="10" t="str">
        <f>_xlfn.IFNA(VLOOKUP(E212,Master!$J:$M,4,0),"")</f>
        <v/>
      </c>
      <c r="J212" s="10" t="str">
        <f>_xlfn.IFNA(VLOOKUP($E212,Master!$J:$M,3,0),"")</f>
        <v/>
      </c>
      <c r="AC212" s="14">
        <f t="shared" si="11"/>
        <v>0</v>
      </c>
      <c r="AD212" s="14">
        <f t="shared" si="12"/>
        <v>0</v>
      </c>
    </row>
    <row r="213" spans="2:30" ht="15" customHeight="1">
      <c r="B213" s="10" t="str">
        <f>_xlfn.IFNA(VLOOKUP(C213,Master!$J:$K,2,0),"")</f>
        <v/>
      </c>
      <c r="D213" s="17" t="str">
        <f>_xlfn.IFNA(VLOOKUP(E213,Master!$J:$K,2,0),"")</f>
        <v/>
      </c>
      <c r="F213" s="17" t="str">
        <f>_xlfn.IFNA(VLOOKUP(G213,Master!B:C,2,0),"")</f>
        <v/>
      </c>
      <c r="I213" s="10" t="str">
        <f>_xlfn.IFNA(VLOOKUP(E213,Master!$J:$M,4,0),"")</f>
        <v/>
      </c>
      <c r="J213" s="10" t="str">
        <f>_xlfn.IFNA(VLOOKUP($E213,Master!$J:$M,3,0),"")</f>
        <v/>
      </c>
      <c r="AC213" s="14">
        <f t="shared" si="11"/>
        <v>0</v>
      </c>
      <c r="AD213" s="14">
        <f t="shared" si="12"/>
        <v>0</v>
      </c>
    </row>
    <row r="214" spans="2:30" ht="15" customHeight="1">
      <c r="B214" s="10" t="str">
        <f>_xlfn.IFNA(VLOOKUP(C214,Master!$J:$K,2,0),"")</f>
        <v/>
      </c>
      <c r="D214" s="17" t="str">
        <f>_xlfn.IFNA(VLOOKUP(E214,Master!$J:$K,2,0),"")</f>
        <v/>
      </c>
      <c r="F214" s="17" t="str">
        <f>_xlfn.IFNA(VLOOKUP(G214,Master!B:C,2,0),"")</f>
        <v/>
      </c>
      <c r="I214" s="10" t="str">
        <f>_xlfn.IFNA(VLOOKUP(E214,Master!$J:$M,4,0),"")</f>
        <v/>
      </c>
      <c r="J214" s="10" t="str">
        <f>_xlfn.IFNA(VLOOKUP($E214,Master!$J:$M,3,0),"")</f>
        <v/>
      </c>
      <c r="AC214" s="14">
        <f t="shared" si="11"/>
        <v>0</v>
      </c>
      <c r="AD214" s="14">
        <f t="shared" si="12"/>
        <v>0</v>
      </c>
    </row>
    <row r="215" spans="2:30" ht="15" customHeight="1">
      <c r="B215" s="10" t="str">
        <f>_xlfn.IFNA(VLOOKUP(C215,Master!$J:$K,2,0),"")</f>
        <v/>
      </c>
      <c r="D215" s="17" t="str">
        <f>_xlfn.IFNA(VLOOKUP(E215,Master!$J:$K,2,0),"")</f>
        <v/>
      </c>
      <c r="F215" s="17" t="str">
        <f>_xlfn.IFNA(VLOOKUP(G215,Master!B:C,2,0),"")</f>
        <v/>
      </c>
      <c r="I215" s="10" t="str">
        <f>_xlfn.IFNA(VLOOKUP(E215,Master!$J:$M,4,0),"")</f>
        <v/>
      </c>
      <c r="J215" s="10" t="str">
        <f>_xlfn.IFNA(VLOOKUP($E215,Master!$J:$M,3,0),"")</f>
        <v/>
      </c>
      <c r="AC215" s="14">
        <f t="shared" si="11"/>
        <v>0</v>
      </c>
      <c r="AD215" s="14">
        <f t="shared" si="12"/>
        <v>0</v>
      </c>
    </row>
    <row r="216" spans="2:30" ht="15" customHeight="1">
      <c r="B216" s="10" t="str">
        <f>_xlfn.IFNA(VLOOKUP(C216,Master!$J:$K,2,0),"")</f>
        <v/>
      </c>
      <c r="D216" s="17" t="str">
        <f>_xlfn.IFNA(VLOOKUP(E216,Master!$J:$K,2,0),"")</f>
        <v/>
      </c>
      <c r="F216" s="17" t="str">
        <f>_xlfn.IFNA(VLOOKUP(G216,Master!B:C,2,0),"")</f>
        <v/>
      </c>
      <c r="I216" s="10" t="str">
        <f>_xlfn.IFNA(VLOOKUP(E216,Master!$J:$M,4,0),"")</f>
        <v/>
      </c>
      <c r="J216" s="10" t="str">
        <f>_xlfn.IFNA(VLOOKUP($E216,Master!$J:$M,3,0),"")</f>
        <v/>
      </c>
      <c r="AC216" s="14">
        <f t="shared" si="11"/>
        <v>0</v>
      </c>
      <c r="AD216" s="14">
        <f t="shared" si="12"/>
        <v>0</v>
      </c>
    </row>
    <row r="217" spans="2:30" ht="15" customHeight="1">
      <c r="B217" s="10" t="str">
        <f>_xlfn.IFNA(VLOOKUP(C217,Master!$J:$K,2,0),"")</f>
        <v/>
      </c>
      <c r="D217" s="17" t="str">
        <f>_xlfn.IFNA(VLOOKUP(E217,Master!$J:$K,2,0),"")</f>
        <v/>
      </c>
      <c r="F217" s="17" t="str">
        <f>_xlfn.IFNA(VLOOKUP(G217,Master!B:C,2,0),"")</f>
        <v/>
      </c>
      <c r="I217" s="10" t="str">
        <f>_xlfn.IFNA(VLOOKUP(E217,Master!$J:$M,4,0),"")</f>
        <v/>
      </c>
      <c r="J217" s="10" t="str">
        <f>_xlfn.IFNA(VLOOKUP($E217,Master!$J:$M,3,0),"")</f>
        <v/>
      </c>
      <c r="AC217" s="14">
        <f t="shared" si="11"/>
        <v>0</v>
      </c>
      <c r="AD217" s="14">
        <f t="shared" si="12"/>
        <v>0</v>
      </c>
    </row>
    <row r="218" spans="2:30" ht="15" customHeight="1">
      <c r="B218" s="10" t="str">
        <f>_xlfn.IFNA(VLOOKUP(C218,Master!$J:$K,2,0),"")</f>
        <v/>
      </c>
      <c r="D218" s="17" t="str">
        <f>_xlfn.IFNA(VLOOKUP(E218,Master!$J:$K,2,0),"")</f>
        <v/>
      </c>
      <c r="F218" s="17" t="str">
        <f>_xlfn.IFNA(VLOOKUP(G218,Master!B:C,2,0),"")</f>
        <v/>
      </c>
      <c r="I218" s="10" t="str">
        <f>_xlfn.IFNA(VLOOKUP(E218,Master!$J:$M,4,0),"")</f>
        <v/>
      </c>
      <c r="J218" s="10" t="str">
        <f>_xlfn.IFNA(VLOOKUP($E218,Master!$J:$M,3,0),"")</f>
        <v/>
      </c>
      <c r="AC218" s="14">
        <f t="shared" si="11"/>
        <v>0</v>
      </c>
      <c r="AD218" s="14">
        <f t="shared" si="12"/>
        <v>0</v>
      </c>
    </row>
    <row r="219" spans="2:30" ht="15" customHeight="1">
      <c r="B219" s="10" t="str">
        <f>_xlfn.IFNA(VLOOKUP(C219,Master!$J:$K,2,0),"")</f>
        <v/>
      </c>
      <c r="D219" s="17" t="str">
        <f>_xlfn.IFNA(VLOOKUP(E219,Master!$J:$K,2,0),"")</f>
        <v/>
      </c>
      <c r="F219" s="17" t="str">
        <f>_xlfn.IFNA(VLOOKUP(G219,Master!B:C,2,0),"")</f>
        <v/>
      </c>
      <c r="I219" s="10" t="str">
        <f>_xlfn.IFNA(VLOOKUP(E219,Master!$J:$M,4,0),"")</f>
        <v/>
      </c>
      <c r="J219" s="10" t="str">
        <f>_xlfn.IFNA(VLOOKUP($E219,Master!$J:$M,3,0),"")</f>
        <v/>
      </c>
      <c r="AC219" s="14">
        <f t="shared" si="11"/>
        <v>0</v>
      </c>
      <c r="AD219" s="14">
        <f t="shared" si="12"/>
        <v>0</v>
      </c>
    </row>
    <row r="220" spans="2:30" ht="15" customHeight="1">
      <c r="B220" s="10" t="str">
        <f>_xlfn.IFNA(VLOOKUP(C220,Master!$J:$K,2,0),"")</f>
        <v/>
      </c>
      <c r="D220" s="17" t="str">
        <f>_xlfn.IFNA(VLOOKUP(E220,Master!$J:$K,2,0),"")</f>
        <v/>
      </c>
      <c r="F220" s="17" t="str">
        <f>_xlfn.IFNA(VLOOKUP(G220,Master!B:C,2,0),"")</f>
        <v/>
      </c>
      <c r="I220" s="10" t="str">
        <f>_xlfn.IFNA(VLOOKUP(E220,Master!$J:$M,4,0),"")</f>
        <v/>
      </c>
      <c r="J220" s="10" t="str">
        <f>_xlfn.IFNA(VLOOKUP($E220,Master!$J:$M,3,0),"")</f>
        <v/>
      </c>
      <c r="AC220" s="14">
        <f t="shared" si="11"/>
        <v>0</v>
      </c>
      <c r="AD220" s="14">
        <f t="shared" si="12"/>
        <v>0</v>
      </c>
    </row>
    <row r="221" spans="2:30" ht="15" customHeight="1">
      <c r="B221" s="10" t="str">
        <f>_xlfn.IFNA(VLOOKUP(C221,Master!$J:$K,2,0),"")</f>
        <v/>
      </c>
      <c r="D221" s="17" t="str">
        <f>_xlfn.IFNA(VLOOKUP(E221,Master!$J:$K,2,0),"")</f>
        <v/>
      </c>
      <c r="F221" s="17" t="str">
        <f>_xlfn.IFNA(VLOOKUP(G221,Master!B:C,2,0),"")</f>
        <v/>
      </c>
      <c r="I221" s="10" t="str">
        <f>_xlfn.IFNA(VLOOKUP(E221,Master!$J:$M,4,0),"")</f>
        <v/>
      </c>
      <c r="J221" s="10" t="str">
        <f>_xlfn.IFNA(VLOOKUP($E221,Master!$J:$M,3,0),"")</f>
        <v/>
      </c>
      <c r="AC221" s="14">
        <f t="shared" si="11"/>
        <v>0</v>
      </c>
      <c r="AD221" s="14">
        <f t="shared" si="12"/>
        <v>0</v>
      </c>
    </row>
    <row r="222" spans="2:30" ht="15" customHeight="1">
      <c r="B222" s="10" t="str">
        <f>_xlfn.IFNA(VLOOKUP(C222,Master!$J:$K,2,0),"")</f>
        <v/>
      </c>
      <c r="D222" s="17" t="str">
        <f>_xlfn.IFNA(VLOOKUP(E222,Master!$J:$K,2,0),"")</f>
        <v/>
      </c>
      <c r="F222" s="17" t="str">
        <f>_xlfn.IFNA(VLOOKUP(G222,Master!B:C,2,0),"")</f>
        <v/>
      </c>
      <c r="I222" s="10" t="str">
        <f>_xlfn.IFNA(VLOOKUP(E222,Master!$J:$M,4,0),"")</f>
        <v/>
      </c>
      <c r="J222" s="10" t="str">
        <f>_xlfn.IFNA(VLOOKUP($E222,Master!$J:$M,3,0),"")</f>
        <v/>
      </c>
      <c r="AC222" s="14">
        <f t="shared" si="11"/>
        <v>0</v>
      </c>
      <c r="AD222" s="14">
        <f t="shared" si="12"/>
        <v>0</v>
      </c>
    </row>
    <row r="223" spans="2:30" ht="15" customHeight="1">
      <c r="B223" s="10" t="str">
        <f>_xlfn.IFNA(VLOOKUP(C223,Master!$J:$K,2,0),"")</f>
        <v/>
      </c>
      <c r="D223" s="17" t="str">
        <f>_xlfn.IFNA(VLOOKUP(E223,Master!$J:$K,2,0),"")</f>
        <v/>
      </c>
      <c r="F223" s="17" t="str">
        <f>_xlfn.IFNA(VLOOKUP(G223,Master!B:C,2,0),"")</f>
        <v/>
      </c>
      <c r="I223" s="10" t="str">
        <f>_xlfn.IFNA(VLOOKUP(E223,Master!$J:$M,4,0),"")</f>
        <v/>
      </c>
      <c r="J223" s="10" t="str">
        <f>_xlfn.IFNA(VLOOKUP($E223,Master!$J:$M,3,0),"")</f>
        <v/>
      </c>
      <c r="AC223" s="14">
        <f t="shared" si="11"/>
        <v>0</v>
      </c>
      <c r="AD223" s="14">
        <f t="shared" si="12"/>
        <v>0</v>
      </c>
    </row>
    <row r="224" spans="2:30" ht="15" customHeight="1">
      <c r="B224" s="10" t="str">
        <f>_xlfn.IFNA(VLOOKUP(C224,Master!$J:$K,2,0),"")</f>
        <v/>
      </c>
      <c r="D224" s="17" t="str">
        <f>_xlfn.IFNA(VLOOKUP(E224,Master!$J:$K,2,0),"")</f>
        <v/>
      </c>
      <c r="F224" s="17" t="str">
        <f>_xlfn.IFNA(VLOOKUP(G224,Master!B:C,2,0),"")</f>
        <v/>
      </c>
      <c r="I224" s="10" t="str">
        <f>_xlfn.IFNA(VLOOKUP(E224,Master!$J:$M,4,0),"")</f>
        <v/>
      </c>
      <c r="J224" s="10" t="str">
        <f>_xlfn.IFNA(VLOOKUP($E224,Master!$J:$M,3,0),"")</f>
        <v/>
      </c>
      <c r="AC224" s="14">
        <f t="shared" si="11"/>
        <v>0</v>
      </c>
      <c r="AD224" s="14">
        <f t="shared" si="12"/>
        <v>0</v>
      </c>
    </row>
    <row r="225" spans="2:30" ht="15" customHeight="1">
      <c r="B225" s="10" t="str">
        <f>_xlfn.IFNA(VLOOKUP(C225,Master!$J:$K,2,0),"")</f>
        <v/>
      </c>
      <c r="D225" s="17" t="str">
        <f>_xlfn.IFNA(VLOOKUP(E225,Master!$J:$K,2,0),"")</f>
        <v/>
      </c>
      <c r="F225" s="17" t="str">
        <f>_xlfn.IFNA(VLOOKUP(G225,Master!B:C,2,0),"")</f>
        <v/>
      </c>
      <c r="I225" s="10" t="str">
        <f>_xlfn.IFNA(VLOOKUP(E225,Master!$J:$M,4,0),"")</f>
        <v/>
      </c>
      <c r="J225" s="10" t="str">
        <f>_xlfn.IFNA(VLOOKUP($E225,Master!$J:$M,3,0),"")</f>
        <v/>
      </c>
      <c r="AC225" s="14">
        <f t="shared" si="11"/>
        <v>0</v>
      </c>
      <c r="AD225" s="14">
        <f t="shared" si="12"/>
        <v>0</v>
      </c>
    </row>
    <row r="226" spans="2:30" ht="15" customHeight="1">
      <c r="B226" s="10" t="str">
        <f>_xlfn.IFNA(VLOOKUP(C226,Master!$J:$K,2,0),"")</f>
        <v/>
      </c>
      <c r="D226" s="17" t="str">
        <f>_xlfn.IFNA(VLOOKUP(E226,Master!$J:$K,2,0),"")</f>
        <v/>
      </c>
      <c r="F226" s="17" t="str">
        <f>_xlfn.IFNA(VLOOKUP(G226,Master!B:C,2,0),"")</f>
        <v/>
      </c>
      <c r="I226" s="10" t="str">
        <f>_xlfn.IFNA(VLOOKUP(E226,Master!$J:$M,4,0),"")</f>
        <v/>
      </c>
      <c r="J226" s="10" t="str">
        <f>_xlfn.IFNA(VLOOKUP($E226,Master!$J:$M,3,0),"")</f>
        <v/>
      </c>
      <c r="AC226" s="14">
        <f t="shared" si="11"/>
        <v>0</v>
      </c>
      <c r="AD226" s="14">
        <f t="shared" si="12"/>
        <v>0</v>
      </c>
    </row>
    <row r="227" spans="2:30" ht="15" customHeight="1">
      <c r="B227" s="10" t="str">
        <f>_xlfn.IFNA(VLOOKUP(C227,Master!$J:$K,2,0),"")</f>
        <v/>
      </c>
      <c r="D227" s="17" t="str">
        <f>_xlfn.IFNA(VLOOKUP(E227,Master!$J:$K,2,0),"")</f>
        <v/>
      </c>
      <c r="F227" s="17" t="str">
        <f>_xlfn.IFNA(VLOOKUP(G227,Master!B:C,2,0),"")</f>
        <v/>
      </c>
      <c r="I227" s="10" t="str">
        <f>_xlfn.IFNA(VLOOKUP(E227,Master!$J:$M,4,0),"")</f>
        <v/>
      </c>
      <c r="J227" s="10" t="str">
        <f>_xlfn.IFNA(VLOOKUP($E227,Master!$J:$M,3,0),"")</f>
        <v/>
      </c>
      <c r="AC227" s="14">
        <f t="shared" si="11"/>
        <v>0</v>
      </c>
      <c r="AD227" s="14">
        <f t="shared" si="12"/>
        <v>0</v>
      </c>
    </row>
    <row r="228" spans="2:30" ht="15" customHeight="1">
      <c r="B228" s="10" t="str">
        <f>_xlfn.IFNA(VLOOKUP(C228,Master!$J:$K,2,0),"")</f>
        <v/>
      </c>
      <c r="D228" s="17" t="str">
        <f>_xlfn.IFNA(VLOOKUP(E228,Master!$J:$K,2,0),"")</f>
        <v/>
      </c>
      <c r="F228" s="17" t="str">
        <f>_xlfn.IFNA(VLOOKUP(G228,Master!B:C,2,0),"")</f>
        <v/>
      </c>
      <c r="I228" s="10" t="str">
        <f>_xlfn.IFNA(VLOOKUP(E228,Master!$J:$M,4,0),"")</f>
        <v/>
      </c>
      <c r="J228" s="10" t="str">
        <f>_xlfn.IFNA(VLOOKUP($E228,Master!$J:$M,3,0),"")</f>
        <v/>
      </c>
      <c r="AC228" s="14">
        <f t="shared" si="11"/>
        <v>0</v>
      </c>
      <c r="AD228" s="14">
        <f t="shared" si="12"/>
        <v>0</v>
      </c>
    </row>
    <row r="229" spans="2:30" ht="15" customHeight="1">
      <c r="B229" s="10" t="str">
        <f>_xlfn.IFNA(VLOOKUP(C229,Master!$J:$K,2,0),"")</f>
        <v/>
      </c>
      <c r="D229" s="17" t="str">
        <f>_xlfn.IFNA(VLOOKUP(E229,Master!$J:$K,2,0),"")</f>
        <v/>
      </c>
      <c r="F229" s="17" t="str">
        <f>_xlfn.IFNA(VLOOKUP(G229,Master!B:C,2,0),"")</f>
        <v/>
      </c>
      <c r="I229" s="10" t="str">
        <f>_xlfn.IFNA(VLOOKUP(E229,Master!$J:$M,4,0),"")</f>
        <v/>
      </c>
      <c r="J229" s="10" t="str">
        <f>_xlfn.IFNA(VLOOKUP($E229,Master!$J:$M,3,0),"")</f>
        <v/>
      </c>
      <c r="AC229" s="14">
        <f t="shared" si="11"/>
        <v>0</v>
      </c>
      <c r="AD229" s="14">
        <f t="shared" si="12"/>
        <v>0</v>
      </c>
    </row>
    <row r="230" spans="2:30" ht="15" customHeight="1">
      <c r="B230" s="10" t="str">
        <f>_xlfn.IFNA(VLOOKUP(C230,Master!$J:$K,2,0),"")</f>
        <v/>
      </c>
      <c r="D230" s="17" t="str">
        <f>_xlfn.IFNA(VLOOKUP(E230,Master!$J:$K,2,0),"")</f>
        <v/>
      </c>
      <c r="F230" s="17" t="str">
        <f>_xlfn.IFNA(VLOOKUP(G230,Master!B:C,2,0),"")</f>
        <v/>
      </c>
      <c r="I230" s="10" t="str">
        <f>_xlfn.IFNA(VLOOKUP(E230,Master!$J:$M,4,0),"")</f>
        <v/>
      </c>
      <c r="J230" s="10" t="str">
        <f>_xlfn.IFNA(VLOOKUP($E230,Master!$J:$M,3,0),"")</f>
        <v/>
      </c>
      <c r="AC230" s="14">
        <f t="shared" si="11"/>
        <v>0</v>
      </c>
      <c r="AD230" s="14">
        <f t="shared" si="12"/>
        <v>0</v>
      </c>
    </row>
    <row r="231" spans="2:30" ht="15" customHeight="1">
      <c r="B231" s="10" t="str">
        <f>_xlfn.IFNA(VLOOKUP(C231,Master!$J:$K,2,0),"")</f>
        <v/>
      </c>
      <c r="D231" s="17" t="str">
        <f>_xlfn.IFNA(VLOOKUP(E231,Master!$J:$K,2,0),"")</f>
        <v/>
      </c>
      <c r="F231" s="17" t="str">
        <f>_xlfn.IFNA(VLOOKUP(G231,Master!B:C,2,0),"")</f>
        <v/>
      </c>
      <c r="I231" s="10" t="str">
        <f>_xlfn.IFNA(VLOOKUP(E231,Master!$J:$M,4,0),"")</f>
        <v/>
      </c>
      <c r="J231" s="10" t="str">
        <f>_xlfn.IFNA(VLOOKUP($E231,Master!$J:$M,3,0),"")</f>
        <v/>
      </c>
      <c r="AC231" s="14">
        <f t="shared" si="11"/>
        <v>0</v>
      </c>
      <c r="AD231" s="14">
        <f t="shared" si="12"/>
        <v>0</v>
      </c>
    </row>
    <row r="232" spans="2:30" ht="15" customHeight="1">
      <c r="B232" s="10" t="str">
        <f>_xlfn.IFNA(VLOOKUP(C232,Master!$J:$K,2,0),"")</f>
        <v/>
      </c>
      <c r="D232" s="17" t="str">
        <f>_xlfn.IFNA(VLOOKUP(E232,Master!$J:$K,2,0),"")</f>
        <v/>
      </c>
      <c r="F232" s="17" t="str">
        <f>_xlfn.IFNA(VLOOKUP(G232,Master!B:C,2,0),"")</f>
        <v/>
      </c>
      <c r="I232" s="10" t="str">
        <f>_xlfn.IFNA(VLOOKUP(E232,Master!$J:$M,4,0),"")</f>
        <v/>
      </c>
      <c r="J232" s="10" t="str">
        <f>_xlfn.IFNA(VLOOKUP($E232,Master!$J:$M,3,0),"")</f>
        <v/>
      </c>
      <c r="AC232" s="14">
        <f t="shared" si="11"/>
        <v>0</v>
      </c>
      <c r="AD232" s="14">
        <f t="shared" si="12"/>
        <v>0</v>
      </c>
    </row>
    <row r="233" spans="2:30" ht="15" customHeight="1">
      <c r="B233" s="10" t="str">
        <f>_xlfn.IFNA(VLOOKUP(C233,Master!$J:$K,2,0),"")</f>
        <v/>
      </c>
      <c r="D233" s="17" t="str">
        <f>_xlfn.IFNA(VLOOKUP(E233,Master!$J:$K,2,0),"")</f>
        <v/>
      </c>
      <c r="F233" s="17" t="str">
        <f>_xlfn.IFNA(VLOOKUP(G233,Master!B:C,2,0),"")</f>
        <v/>
      </c>
      <c r="I233" s="10" t="str">
        <f>_xlfn.IFNA(VLOOKUP(E233,Master!$J:$M,4,0),"")</f>
        <v/>
      </c>
      <c r="J233" s="10" t="str">
        <f>_xlfn.IFNA(VLOOKUP($E233,Master!$J:$M,3,0),"")</f>
        <v/>
      </c>
      <c r="AC233" s="14">
        <f t="shared" si="11"/>
        <v>0</v>
      </c>
      <c r="AD233" s="14">
        <f t="shared" si="12"/>
        <v>0</v>
      </c>
    </row>
    <row r="234" spans="2:30" ht="15" customHeight="1">
      <c r="B234" s="10" t="str">
        <f>_xlfn.IFNA(VLOOKUP(C234,Master!$J:$K,2,0),"")</f>
        <v/>
      </c>
      <c r="D234" s="17" t="str">
        <f>_xlfn.IFNA(VLOOKUP(E234,Master!$J:$K,2,0),"")</f>
        <v/>
      </c>
      <c r="F234" s="17" t="str">
        <f>_xlfn.IFNA(VLOOKUP(G234,Master!B:C,2,0),"")</f>
        <v/>
      </c>
      <c r="I234" s="10" t="str">
        <f>_xlfn.IFNA(VLOOKUP(E234,Master!$J:$M,4,0),"")</f>
        <v/>
      </c>
      <c r="J234" s="10" t="str">
        <f>_xlfn.IFNA(VLOOKUP($E234,Master!$J:$M,3,0),"")</f>
        <v/>
      </c>
      <c r="AC234" s="14">
        <f t="shared" si="11"/>
        <v>0</v>
      </c>
      <c r="AD234" s="14">
        <f t="shared" si="12"/>
        <v>0</v>
      </c>
    </row>
    <row r="235" spans="2:30" ht="15" customHeight="1">
      <c r="B235" s="10" t="str">
        <f>_xlfn.IFNA(VLOOKUP(C235,Master!$J:$K,2,0),"")</f>
        <v/>
      </c>
      <c r="D235" s="17" t="str">
        <f>_xlfn.IFNA(VLOOKUP(E235,Master!$J:$K,2,0),"")</f>
        <v/>
      </c>
      <c r="F235" s="17" t="str">
        <f>_xlfn.IFNA(VLOOKUP(G235,Master!B:C,2,0),"")</f>
        <v/>
      </c>
      <c r="I235" s="10" t="str">
        <f>_xlfn.IFNA(VLOOKUP(E235,Master!$J:$M,4,0),"")</f>
        <v/>
      </c>
      <c r="J235" s="10" t="str">
        <f>_xlfn.IFNA(VLOOKUP($E235,Master!$J:$M,3,0),"")</f>
        <v/>
      </c>
      <c r="AC235" s="14">
        <f t="shared" si="11"/>
        <v>0</v>
      </c>
      <c r="AD235" s="14">
        <f t="shared" si="12"/>
        <v>0</v>
      </c>
    </row>
    <row r="236" spans="2:30" ht="15" customHeight="1">
      <c r="B236" s="10" t="str">
        <f>_xlfn.IFNA(VLOOKUP(C236,Master!$J:$K,2,0),"")</f>
        <v/>
      </c>
      <c r="D236" s="17" t="str">
        <f>_xlfn.IFNA(VLOOKUP(E236,Master!$J:$K,2,0),"")</f>
        <v/>
      </c>
      <c r="F236" s="17" t="str">
        <f>_xlfn.IFNA(VLOOKUP(G236,Master!B:C,2,0),"")</f>
        <v/>
      </c>
      <c r="I236" s="10" t="str">
        <f>_xlfn.IFNA(VLOOKUP(E236,Master!$J:$M,4,0),"")</f>
        <v/>
      </c>
      <c r="J236" s="10" t="str">
        <f>_xlfn.IFNA(VLOOKUP($E236,Master!$J:$M,3,0),"")</f>
        <v/>
      </c>
      <c r="AC236" s="14">
        <f t="shared" si="11"/>
        <v>0</v>
      </c>
      <c r="AD236" s="14">
        <f t="shared" si="12"/>
        <v>0</v>
      </c>
    </row>
    <row r="237" spans="2:30" ht="15" customHeight="1">
      <c r="B237" s="10" t="str">
        <f>_xlfn.IFNA(VLOOKUP(C237,Master!$J:$K,2,0),"")</f>
        <v/>
      </c>
      <c r="D237" s="17" t="str">
        <f>_xlfn.IFNA(VLOOKUP(E237,Master!$J:$K,2,0),"")</f>
        <v/>
      </c>
      <c r="F237" s="17" t="str">
        <f>_xlfn.IFNA(VLOOKUP(G237,Master!B:C,2,0),"")</f>
        <v/>
      </c>
      <c r="I237" s="10" t="str">
        <f>_xlfn.IFNA(VLOOKUP(E237,Master!$J:$M,4,0),"")</f>
        <v/>
      </c>
      <c r="J237" s="10" t="str">
        <f>_xlfn.IFNA(VLOOKUP($E237,Master!$J:$M,3,0),"")</f>
        <v/>
      </c>
      <c r="AC237" s="14">
        <f t="shared" si="11"/>
        <v>0</v>
      </c>
      <c r="AD237" s="14">
        <f t="shared" si="12"/>
        <v>0</v>
      </c>
    </row>
    <row r="238" spans="2:30" ht="15" customHeight="1">
      <c r="B238" s="10" t="str">
        <f>_xlfn.IFNA(VLOOKUP(C238,Master!$J:$K,2,0),"")</f>
        <v/>
      </c>
      <c r="D238" s="17" t="str">
        <f>_xlfn.IFNA(VLOOKUP(E238,Master!$J:$K,2,0),"")</f>
        <v/>
      </c>
      <c r="F238" s="17" t="str">
        <f>_xlfn.IFNA(VLOOKUP(G238,Master!B:C,2,0),"")</f>
        <v/>
      </c>
      <c r="I238" s="10" t="str">
        <f>_xlfn.IFNA(VLOOKUP(E238,Master!$J:$M,4,0),"")</f>
        <v/>
      </c>
      <c r="J238" s="10" t="str">
        <f>_xlfn.IFNA(VLOOKUP($E238,Master!$J:$M,3,0),"")</f>
        <v/>
      </c>
      <c r="AC238" s="14">
        <f t="shared" si="11"/>
        <v>0</v>
      </c>
      <c r="AD238" s="14">
        <f t="shared" si="12"/>
        <v>0</v>
      </c>
    </row>
    <row r="239" spans="2:30" ht="15" customHeight="1">
      <c r="B239" s="10" t="str">
        <f>_xlfn.IFNA(VLOOKUP(C239,Master!$J:$K,2,0),"")</f>
        <v/>
      </c>
      <c r="D239" s="17" t="str">
        <f>_xlfn.IFNA(VLOOKUP(E239,Master!$J:$K,2,0),"")</f>
        <v/>
      </c>
      <c r="F239" s="17" t="str">
        <f>_xlfn.IFNA(VLOOKUP(G239,Master!B:C,2,0),"")</f>
        <v/>
      </c>
      <c r="I239" s="10" t="str">
        <f>_xlfn.IFNA(VLOOKUP(E239,Master!$J:$M,4,0),"")</f>
        <v/>
      </c>
      <c r="J239" s="10" t="str">
        <f>_xlfn.IFNA(VLOOKUP($E239,Master!$J:$M,3,0),"")</f>
        <v/>
      </c>
      <c r="AC239" s="14">
        <f t="shared" si="11"/>
        <v>0</v>
      </c>
      <c r="AD239" s="14">
        <f t="shared" si="12"/>
        <v>0</v>
      </c>
    </row>
    <row r="240" spans="2:30" ht="15" customHeight="1">
      <c r="B240" s="10" t="str">
        <f>_xlfn.IFNA(VLOOKUP(C240,Master!$J:$K,2,0),"")</f>
        <v/>
      </c>
      <c r="D240" s="17" t="str">
        <f>_xlfn.IFNA(VLOOKUP(E240,Master!$J:$K,2,0),"")</f>
        <v/>
      </c>
      <c r="F240" s="17" t="str">
        <f>_xlfn.IFNA(VLOOKUP(G240,Master!B:C,2,0),"")</f>
        <v/>
      </c>
      <c r="I240" s="10" t="str">
        <f>_xlfn.IFNA(VLOOKUP(E240,Master!$J:$M,4,0),"")</f>
        <v/>
      </c>
      <c r="J240" s="10" t="str">
        <f>_xlfn.IFNA(VLOOKUP($E240,Master!$J:$M,3,0),"")</f>
        <v/>
      </c>
      <c r="AC240" s="14">
        <f t="shared" si="11"/>
        <v>0</v>
      </c>
      <c r="AD240" s="14">
        <f t="shared" si="12"/>
        <v>0</v>
      </c>
    </row>
    <row r="241" spans="2:30" ht="15" customHeight="1">
      <c r="B241" s="10" t="str">
        <f>_xlfn.IFNA(VLOOKUP(C241,Master!$J:$K,2,0),"")</f>
        <v/>
      </c>
      <c r="D241" s="17" t="str">
        <f>_xlfn.IFNA(VLOOKUP(E241,Master!$J:$K,2,0),"")</f>
        <v/>
      </c>
      <c r="F241" s="17" t="str">
        <f>_xlfn.IFNA(VLOOKUP(G241,Master!B:C,2,0),"")</f>
        <v/>
      </c>
      <c r="I241" s="10" t="str">
        <f>_xlfn.IFNA(VLOOKUP(E241,Master!$J:$M,4,0),"")</f>
        <v/>
      </c>
      <c r="J241" s="10" t="str">
        <f>_xlfn.IFNA(VLOOKUP($E241,Master!$J:$M,3,0),"")</f>
        <v/>
      </c>
      <c r="AC241" s="14">
        <f t="shared" si="11"/>
        <v>0</v>
      </c>
      <c r="AD241" s="14">
        <f t="shared" si="12"/>
        <v>0</v>
      </c>
    </row>
    <row r="242" spans="2:30" ht="15" customHeight="1">
      <c r="B242" s="10" t="str">
        <f>_xlfn.IFNA(VLOOKUP(C242,Master!$J:$K,2,0),"")</f>
        <v/>
      </c>
      <c r="D242" s="17" t="str">
        <f>_xlfn.IFNA(VLOOKUP(E242,Master!$J:$K,2,0),"")</f>
        <v/>
      </c>
      <c r="F242" s="17" t="str">
        <f>_xlfn.IFNA(VLOOKUP(G242,Master!B:C,2,0),"")</f>
        <v/>
      </c>
      <c r="I242" s="10" t="str">
        <f>_xlfn.IFNA(VLOOKUP(E242,Master!$J:$M,4,0),"")</f>
        <v/>
      </c>
      <c r="J242" s="10" t="str">
        <f>_xlfn.IFNA(VLOOKUP($E242,Master!$J:$M,3,0),"")</f>
        <v/>
      </c>
      <c r="AC242" s="14">
        <f t="shared" si="11"/>
        <v>0</v>
      </c>
      <c r="AD242" s="14">
        <f t="shared" si="12"/>
        <v>0</v>
      </c>
    </row>
    <row r="243" spans="2:30" ht="15" customHeight="1">
      <c r="B243" s="10" t="str">
        <f>_xlfn.IFNA(VLOOKUP(C243,Master!$J:$K,2,0),"")</f>
        <v/>
      </c>
      <c r="D243" s="17" t="str">
        <f>_xlfn.IFNA(VLOOKUP(E243,Master!$J:$K,2,0),"")</f>
        <v/>
      </c>
      <c r="F243" s="17" t="str">
        <f>_xlfn.IFNA(VLOOKUP(G243,Master!B:C,2,0),"")</f>
        <v/>
      </c>
      <c r="I243" s="10" t="str">
        <f>_xlfn.IFNA(VLOOKUP(E243,Master!$J:$M,4,0),"")</f>
        <v/>
      </c>
      <c r="J243" s="10" t="str">
        <f>_xlfn.IFNA(VLOOKUP($E243,Master!$J:$M,3,0),"")</f>
        <v/>
      </c>
      <c r="AC243" s="14">
        <f t="shared" si="11"/>
        <v>0</v>
      </c>
      <c r="AD243" s="14">
        <f t="shared" si="12"/>
        <v>0</v>
      </c>
    </row>
    <row r="244" spans="2:30" ht="15" customHeight="1">
      <c r="B244" s="10" t="str">
        <f>_xlfn.IFNA(VLOOKUP(C244,Master!$J:$K,2,0),"")</f>
        <v/>
      </c>
      <c r="D244" s="17" t="str">
        <f>_xlfn.IFNA(VLOOKUP(E244,Master!$J:$K,2,0),"")</f>
        <v/>
      </c>
      <c r="F244" s="17" t="str">
        <f>_xlfn.IFNA(VLOOKUP(G244,Master!B:C,2,0),"")</f>
        <v/>
      </c>
      <c r="I244" s="10" t="str">
        <f>_xlfn.IFNA(VLOOKUP(E244,Master!$J:$M,4,0),"")</f>
        <v/>
      </c>
      <c r="J244" s="10" t="str">
        <f>_xlfn.IFNA(VLOOKUP($E244,Master!$J:$M,3,0),"")</f>
        <v/>
      </c>
      <c r="AC244" s="14">
        <f t="shared" si="11"/>
        <v>0</v>
      </c>
      <c r="AD244" s="14">
        <f t="shared" si="12"/>
        <v>0</v>
      </c>
    </row>
    <row r="245" spans="2:30" ht="15" customHeight="1">
      <c r="B245" s="10" t="str">
        <f>_xlfn.IFNA(VLOOKUP(C245,Master!$J:$K,2,0),"")</f>
        <v/>
      </c>
      <c r="D245" s="17" t="str">
        <f>_xlfn.IFNA(VLOOKUP(E245,Master!$J:$K,2,0),"")</f>
        <v/>
      </c>
      <c r="F245" s="17" t="str">
        <f>_xlfn.IFNA(VLOOKUP(G245,Master!B:C,2,0),"")</f>
        <v/>
      </c>
      <c r="I245" s="10" t="str">
        <f>_xlfn.IFNA(VLOOKUP(E245,Master!$J:$M,4,0),"")</f>
        <v/>
      </c>
      <c r="J245" s="10" t="str">
        <f>_xlfn.IFNA(VLOOKUP($E245,Master!$J:$M,3,0),"")</f>
        <v/>
      </c>
      <c r="AC245" s="14">
        <f t="shared" si="11"/>
        <v>0</v>
      </c>
      <c r="AD245" s="14">
        <f t="shared" si="12"/>
        <v>0</v>
      </c>
    </row>
    <row r="246" spans="2:30" ht="15" customHeight="1">
      <c r="B246" s="10" t="str">
        <f>_xlfn.IFNA(VLOOKUP(C246,Master!$J:$K,2,0),"")</f>
        <v/>
      </c>
      <c r="D246" s="17" t="str">
        <f>_xlfn.IFNA(VLOOKUP(E246,Master!$J:$K,2,0),"")</f>
        <v/>
      </c>
      <c r="F246" s="17" t="str">
        <f>_xlfn.IFNA(VLOOKUP(G246,Master!B:C,2,0),"")</f>
        <v/>
      </c>
      <c r="I246" s="10" t="str">
        <f>_xlfn.IFNA(VLOOKUP(E246,Master!$J:$M,4,0),"")</f>
        <v/>
      </c>
      <c r="J246" s="10" t="str">
        <f>_xlfn.IFNA(VLOOKUP($E246,Master!$J:$M,3,0),"")</f>
        <v/>
      </c>
      <c r="AC246" s="14">
        <f t="shared" si="11"/>
        <v>0</v>
      </c>
      <c r="AD246" s="14">
        <f t="shared" si="12"/>
        <v>0</v>
      </c>
    </row>
    <row r="247" spans="2:30" ht="15" customHeight="1">
      <c r="B247" s="10" t="str">
        <f>_xlfn.IFNA(VLOOKUP(C247,Master!$J:$K,2,0),"")</f>
        <v/>
      </c>
      <c r="D247" s="17" t="str">
        <f>_xlfn.IFNA(VLOOKUP(E247,Master!$J:$K,2,0),"")</f>
        <v/>
      </c>
      <c r="F247" s="17" t="str">
        <f>_xlfn.IFNA(VLOOKUP(G247,Master!B:C,2,0),"")</f>
        <v/>
      </c>
      <c r="I247" s="10" t="str">
        <f>_xlfn.IFNA(VLOOKUP(E247,Master!$J:$M,4,0),"")</f>
        <v/>
      </c>
      <c r="J247" s="10" t="str">
        <f>_xlfn.IFNA(VLOOKUP($E247,Master!$J:$M,3,0),"")</f>
        <v/>
      </c>
      <c r="AC247" s="14">
        <f t="shared" si="11"/>
        <v>0</v>
      </c>
      <c r="AD247" s="14">
        <f t="shared" si="12"/>
        <v>0</v>
      </c>
    </row>
    <row r="248" spans="2:30" ht="15" customHeight="1">
      <c r="B248" s="10" t="str">
        <f>_xlfn.IFNA(VLOOKUP(C248,Master!$J:$K,2,0),"")</f>
        <v/>
      </c>
      <c r="D248" s="17" t="str">
        <f>_xlfn.IFNA(VLOOKUP(E248,Master!$J:$K,2,0),"")</f>
        <v/>
      </c>
      <c r="F248" s="17" t="str">
        <f>_xlfn.IFNA(VLOOKUP(G248,Master!B:C,2,0),"")</f>
        <v/>
      </c>
      <c r="I248" s="10" t="str">
        <f>_xlfn.IFNA(VLOOKUP(E248,Master!$J:$M,4,0),"")</f>
        <v/>
      </c>
      <c r="J248" s="10" t="str">
        <f>_xlfn.IFNA(VLOOKUP($E248,Master!$J:$M,3,0),"")</f>
        <v/>
      </c>
      <c r="AC248" s="14">
        <f t="shared" si="11"/>
        <v>0</v>
      </c>
      <c r="AD248" s="14">
        <f t="shared" si="12"/>
        <v>0</v>
      </c>
    </row>
    <row r="249" spans="2:30" ht="15" customHeight="1">
      <c r="B249" s="10" t="str">
        <f>_xlfn.IFNA(VLOOKUP(C249,Master!$J:$K,2,0),"")</f>
        <v/>
      </c>
      <c r="D249" s="17" t="str">
        <f>_xlfn.IFNA(VLOOKUP(E249,Master!$J:$K,2,0),"")</f>
        <v/>
      </c>
      <c r="F249" s="17" t="str">
        <f>_xlfn.IFNA(VLOOKUP(G249,Master!B:C,2,0),"")</f>
        <v/>
      </c>
      <c r="I249" s="10" t="str">
        <f>_xlfn.IFNA(VLOOKUP(E249,Master!$J:$M,4,0),"")</f>
        <v/>
      </c>
      <c r="J249" s="10" t="str">
        <f>_xlfn.IFNA(VLOOKUP($E249,Master!$J:$M,3,0),"")</f>
        <v/>
      </c>
      <c r="AC249" s="14">
        <f t="shared" si="11"/>
        <v>0</v>
      </c>
      <c r="AD249" s="14">
        <f t="shared" si="12"/>
        <v>0</v>
      </c>
    </row>
    <row r="250" spans="2:30" ht="15" customHeight="1">
      <c r="B250" s="10" t="str">
        <f>_xlfn.IFNA(VLOOKUP(C250,Master!$J:$K,2,0),"")</f>
        <v/>
      </c>
      <c r="D250" s="17" t="str">
        <f>_xlfn.IFNA(VLOOKUP(E250,Master!$J:$K,2,0),"")</f>
        <v/>
      </c>
      <c r="F250" s="17" t="str">
        <f>_xlfn.IFNA(VLOOKUP(G250,Master!B:C,2,0),"")</f>
        <v/>
      </c>
      <c r="I250" s="10" t="str">
        <f>_xlfn.IFNA(VLOOKUP(E250,Master!$J:$M,4,0),"")</f>
        <v/>
      </c>
      <c r="J250" s="10" t="str">
        <f>_xlfn.IFNA(VLOOKUP($E250,Master!$J:$M,3,0),"")</f>
        <v/>
      </c>
      <c r="AC250" s="14">
        <f t="shared" si="11"/>
        <v>0</v>
      </c>
      <c r="AD250" s="14">
        <f t="shared" si="12"/>
        <v>0</v>
      </c>
    </row>
    <row r="251" spans="2:30" ht="15" customHeight="1">
      <c r="B251" s="10" t="str">
        <f>_xlfn.IFNA(VLOOKUP(C251,Master!$J:$K,2,0),"")</f>
        <v/>
      </c>
      <c r="D251" s="17" t="str">
        <f>_xlfn.IFNA(VLOOKUP(E251,Master!$J:$K,2,0),"")</f>
        <v/>
      </c>
      <c r="F251" s="17" t="str">
        <f>_xlfn.IFNA(VLOOKUP(G251,Master!B:C,2,0),"")</f>
        <v/>
      </c>
      <c r="I251" s="10" t="str">
        <f>_xlfn.IFNA(VLOOKUP(E251,Master!$J:$M,4,0),"")</f>
        <v/>
      </c>
      <c r="J251" s="10" t="str">
        <f>_xlfn.IFNA(VLOOKUP($E251,Master!$J:$M,3,0),"")</f>
        <v/>
      </c>
      <c r="AC251" s="14">
        <f t="shared" si="11"/>
        <v>0</v>
      </c>
      <c r="AD251" s="14">
        <f t="shared" si="12"/>
        <v>0</v>
      </c>
    </row>
    <row r="252" spans="2:30" ht="15" customHeight="1">
      <c r="B252" s="10" t="str">
        <f>_xlfn.IFNA(VLOOKUP(C252,Master!$J:$K,2,0),"")</f>
        <v/>
      </c>
      <c r="D252" s="17" t="str">
        <f>_xlfn.IFNA(VLOOKUP(E252,Master!$J:$K,2,0),"")</f>
        <v/>
      </c>
      <c r="F252" s="17" t="str">
        <f>_xlfn.IFNA(VLOOKUP(G252,Master!B:C,2,0),"")</f>
        <v/>
      </c>
      <c r="I252" s="10" t="str">
        <f>_xlfn.IFNA(VLOOKUP(E252,Master!$J:$M,4,0),"")</f>
        <v/>
      </c>
      <c r="J252" s="10" t="str">
        <f>_xlfn.IFNA(VLOOKUP($E252,Master!$J:$M,3,0),"")</f>
        <v/>
      </c>
      <c r="AC252" s="14">
        <f t="shared" si="11"/>
        <v>0</v>
      </c>
      <c r="AD252" s="14">
        <f t="shared" si="12"/>
        <v>0</v>
      </c>
    </row>
    <row r="253" spans="2:30" ht="15" customHeight="1">
      <c r="B253" s="10" t="str">
        <f>_xlfn.IFNA(VLOOKUP(C253,Master!$J:$K,2,0),"")</f>
        <v/>
      </c>
      <c r="D253" s="17" t="str">
        <f>_xlfn.IFNA(VLOOKUP(E253,Master!$J:$K,2,0),"")</f>
        <v/>
      </c>
      <c r="F253" s="17" t="str">
        <f>_xlfn.IFNA(VLOOKUP(G253,Master!B:C,2,0),"")</f>
        <v/>
      </c>
      <c r="I253" s="10" t="str">
        <f>_xlfn.IFNA(VLOOKUP(E253,Master!$J:$M,4,0),"")</f>
        <v/>
      </c>
      <c r="J253" s="10" t="str">
        <f>_xlfn.IFNA(VLOOKUP($E253,Master!$J:$M,3,0),"")</f>
        <v/>
      </c>
      <c r="AC253" s="14">
        <f t="shared" si="11"/>
        <v>0</v>
      </c>
      <c r="AD253" s="14">
        <f t="shared" si="12"/>
        <v>0</v>
      </c>
    </row>
    <row r="254" spans="2:30" ht="15" customHeight="1">
      <c r="B254" s="10" t="str">
        <f>_xlfn.IFNA(VLOOKUP(C254,Master!$J:$K,2,0),"")</f>
        <v/>
      </c>
      <c r="D254" s="17" t="str">
        <f>_xlfn.IFNA(VLOOKUP(E254,Master!$J:$K,2,0),"")</f>
        <v/>
      </c>
      <c r="F254" s="17" t="str">
        <f>_xlfn.IFNA(VLOOKUP(G254,Master!B:C,2,0),"")</f>
        <v/>
      </c>
      <c r="I254" s="10" t="str">
        <f>_xlfn.IFNA(VLOOKUP(E254,Master!$J:$M,4,0),"")</f>
        <v/>
      </c>
      <c r="J254" s="10" t="str">
        <f>_xlfn.IFNA(VLOOKUP($E254,Master!$J:$M,3,0),"")</f>
        <v/>
      </c>
      <c r="AC254" s="14">
        <f t="shared" si="11"/>
        <v>0</v>
      </c>
      <c r="AD254" s="14">
        <f t="shared" si="12"/>
        <v>0</v>
      </c>
    </row>
    <row r="255" spans="2:30" ht="15" customHeight="1">
      <c r="B255" s="10" t="str">
        <f>_xlfn.IFNA(VLOOKUP(C255,Master!$J:$K,2,0),"")</f>
        <v/>
      </c>
      <c r="D255" s="17" t="str">
        <f>_xlfn.IFNA(VLOOKUP(E255,Master!$J:$K,2,0),"")</f>
        <v/>
      </c>
      <c r="F255" s="17" t="str">
        <f>_xlfn.IFNA(VLOOKUP(G255,Master!B:C,2,0),"")</f>
        <v/>
      </c>
      <c r="I255" s="10" t="str">
        <f>_xlfn.IFNA(VLOOKUP(E255,Master!$J:$M,4,0),"")</f>
        <v/>
      </c>
      <c r="J255" s="10" t="str">
        <f>_xlfn.IFNA(VLOOKUP($E255,Master!$J:$M,3,0),"")</f>
        <v/>
      </c>
      <c r="AC255" s="14">
        <f t="shared" si="11"/>
        <v>0</v>
      </c>
      <c r="AD255" s="14">
        <f t="shared" si="12"/>
        <v>0</v>
      </c>
    </row>
    <row r="256" spans="2:30" ht="15" customHeight="1">
      <c r="B256" s="10" t="str">
        <f>_xlfn.IFNA(VLOOKUP(C256,Master!$J:$K,2,0),"")</f>
        <v/>
      </c>
      <c r="D256" s="17" t="str">
        <f>_xlfn.IFNA(VLOOKUP(E256,Master!$J:$K,2,0),"")</f>
        <v/>
      </c>
      <c r="F256" s="17" t="str">
        <f>_xlfn.IFNA(VLOOKUP(G256,Master!B:C,2,0),"")</f>
        <v/>
      </c>
      <c r="I256" s="10" t="str">
        <f>_xlfn.IFNA(VLOOKUP(E256,Master!$J:$M,4,0),"")</f>
        <v/>
      </c>
      <c r="J256" s="10" t="str">
        <f>_xlfn.IFNA(VLOOKUP($E256,Master!$J:$M,3,0),"")</f>
        <v/>
      </c>
      <c r="AC256" s="14">
        <f t="shared" si="11"/>
        <v>0</v>
      </c>
      <c r="AD256" s="14">
        <f t="shared" si="12"/>
        <v>0</v>
      </c>
    </row>
    <row r="257" spans="2:30" ht="15" customHeight="1">
      <c r="B257" s="10" t="str">
        <f>_xlfn.IFNA(VLOOKUP(C257,Master!$J:$K,2,0),"")</f>
        <v/>
      </c>
      <c r="D257" s="17" t="str">
        <f>_xlfn.IFNA(VLOOKUP(E257,Master!$J:$K,2,0),"")</f>
        <v/>
      </c>
      <c r="F257" s="17" t="str">
        <f>_xlfn.IFNA(VLOOKUP(G257,Master!B:C,2,0),"")</f>
        <v/>
      </c>
      <c r="I257" s="10" t="str">
        <f>_xlfn.IFNA(VLOOKUP(E257,Master!$J:$M,4,0),"")</f>
        <v/>
      </c>
      <c r="J257" s="10" t="str">
        <f>_xlfn.IFNA(VLOOKUP($E257,Master!$J:$M,3,0),"")</f>
        <v/>
      </c>
      <c r="AC257" s="14">
        <f t="shared" si="11"/>
        <v>0</v>
      </c>
      <c r="AD257" s="14">
        <f t="shared" si="12"/>
        <v>0</v>
      </c>
    </row>
    <row r="258" spans="2:30" ht="15" customHeight="1">
      <c r="B258" s="10" t="str">
        <f>_xlfn.IFNA(VLOOKUP(C258,Master!$J:$K,2,0),"")</f>
        <v/>
      </c>
      <c r="D258" s="17" t="str">
        <f>_xlfn.IFNA(VLOOKUP(E258,Master!$J:$K,2,0),"")</f>
        <v/>
      </c>
      <c r="F258" s="17" t="str">
        <f>_xlfn.IFNA(VLOOKUP(G258,Master!B:C,2,0),"")</f>
        <v/>
      </c>
      <c r="I258" s="10" t="str">
        <f>_xlfn.IFNA(VLOOKUP(E258,Master!$J:$M,4,0),"")</f>
        <v/>
      </c>
      <c r="J258" s="10" t="str">
        <f>_xlfn.IFNA(VLOOKUP($E258,Master!$J:$M,3,0),"")</f>
        <v/>
      </c>
      <c r="AC258" s="14">
        <f t="shared" ref="AC258:AC321" si="13">SUM(K258:P258)</f>
        <v>0</v>
      </c>
      <c r="AD258" s="14">
        <f t="shared" ref="AD258:AD321" si="14">SUM(Q258:AB258)</f>
        <v>0</v>
      </c>
    </row>
    <row r="259" spans="2:30" ht="15" customHeight="1">
      <c r="B259" s="10" t="str">
        <f>_xlfn.IFNA(VLOOKUP(C259,Master!$J:$K,2,0),"")</f>
        <v/>
      </c>
      <c r="D259" s="17" t="str">
        <f>_xlfn.IFNA(VLOOKUP(E259,Master!$J:$K,2,0),"")</f>
        <v/>
      </c>
      <c r="F259" s="17" t="str">
        <f>_xlfn.IFNA(VLOOKUP(G259,Master!B:C,2,0),"")</f>
        <v/>
      </c>
      <c r="I259" s="10" t="str">
        <f>_xlfn.IFNA(VLOOKUP(E259,Master!$J:$M,4,0),"")</f>
        <v/>
      </c>
      <c r="J259" s="10" t="str">
        <f>_xlfn.IFNA(VLOOKUP($E259,Master!$J:$M,3,0),"")</f>
        <v/>
      </c>
      <c r="AC259" s="14">
        <f t="shared" si="13"/>
        <v>0</v>
      </c>
      <c r="AD259" s="14">
        <f t="shared" si="14"/>
        <v>0</v>
      </c>
    </row>
    <row r="260" spans="2:30" ht="15" customHeight="1">
      <c r="B260" s="10" t="str">
        <f>_xlfn.IFNA(VLOOKUP(C260,Master!$J:$K,2,0),"")</f>
        <v/>
      </c>
      <c r="D260" s="17" t="str">
        <f>_xlfn.IFNA(VLOOKUP(E260,Master!$J:$K,2,0),"")</f>
        <v/>
      </c>
      <c r="F260" s="17" t="str">
        <f>_xlfn.IFNA(VLOOKUP(G260,Master!B:C,2,0),"")</f>
        <v/>
      </c>
      <c r="I260" s="10" t="str">
        <f>_xlfn.IFNA(VLOOKUP(E260,Master!$J:$M,4,0),"")</f>
        <v/>
      </c>
      <c r="J260" s="10" t="str">
        <f>_xlfn.IFNA(VLOOKUP($E260,Master!$J:$M,3,0),"")</f>
        <v/>
      </c>
      <c r="AC260" s="14">
        <f t="shared" si="13"/>
        <v>0</v>
      </c>
      <c r="AD260" s="14">
        <f t="shared" si="14"/>
        <v>0</v>
      </c>
    </row>
    <row r="261" spans="2:30" ht="15" customHeight="1">
      <c r="B261" s="10" t="str">
        <f>_xlfn.IFNA(VLOOKUP(C261,Master!$J:$K,2,0),"")</f>
        <v/>
      </c>
      <c r="D261" s="17" t="str">
        <f>_xlfn.IFNA(VLOOKUP(E261,Master!$J:$K,2,0),"")</f>
        <v/>
      </c>
      <c r="F261" s="17" t="str">
        <f>_xlfn.IFNA(VLOOKUP(G261,Master!B:C,2,0),"")</f>
        <v/>
      </c>
      <c r="I261" s="10" t="str">
        <f>_xlfn.IFNA(VLOOKUP(E261,Master!$J:$M,4,0),"")</f>
        <v/>
      </c>
      <c r="J261" s="10" t="str">
        <f>_xlfn.IFNA(VLOOKUP($E261,Master!$J:$M,3,0),"")</f>
        <v/>
      </c>
      <c r="AC261" s="14">
        <f t="shared" si="13"/>
        <v>0</v>
      </c>
      <c r="AD261" s="14">
        <f t="shared" si="14"/>
        <v>0</v>
      </c>
    </row>
    <row r="262" spans="2:30" ht="15" customHeight="1">
      <c r="B262" s="10" t="str">
        <f>_xlfn.IFNA(VLOOKUP(C262,Master!$J:$K,2,0),"")</f>
        <v/>
      </c>
      <c r="D262" s="17" t="str">
        <f>_xlfn.IFNA(VLOOKUP(E262,Master!$J:$K,2,0),"")</f>
        <v/>
      </c>
      <c r="F262" s="17" t="str">
        <f>_xlfn.IFNA(VLOOKUP(G262,Master!B:C,2,0),"")</f>
        <v/>
      </c>
      <c r="I262" s="10" t="str">
        <f>_xlfn.IFNA(VLOOKUP(E262,Master!$J:$M,4,0),"")</f>
        <v/>
      </c>
      <c r="J262" s="10" t="str">
        <f>_xlfn.IFNA(VLOOKUP($E262,Master!$J:$M,3,0),"")</f>
        <v/>
      </c>
      <c r="AC262" s="14">
        <f t="shared" si="13"/>
        <v>0</v>
      </c>
      <c r="AD262" s="14">
        <f t="shared" si="14"/>
        <v>0</v>
      </c>
    </row>
    <row r="263" spans="2:30" ht="15" customHeight="1">
      <c r="B263" s="10" t="str">
        <f>_xlfn.IFNA(VLOOKUP(C263,Master!$J:$K,2,0),"")</f>
        <v/>
      </c>
      <c r="D263" s="17" t="str">
        <f>_xlfn.IFNA(VLOOKUP(E263,Master!$J:$K,2,0),"")</f>
        <v/>
      </c>
      <c r="F263" s="17" t="str">
        <f>_xlfn.IFNA(VLOOKUP(G263,Master!B:C,2,0),"")</f>
        <v/>
      </c>
      <c r="I263" s="10" t="str">
        <f>_xlfn.IFNA(VLOOKUP(E263,Master!$J:$M,4,0),"")</f>
        <v/>
      </c>
      <c r="J263" s="10" t="str">
        <f>_xlfn.IFNA(VLOOKUP($E263,Master!$J:$M,3,0),"")</f>
        <v/>
      </c>
      <c r="AC263" s="14">
        <f t="shared" si="13"/>
        <v>0</v>
      </c>
      <c r="AD263" s="14">
        <f t="shared" si="14"/>
        <v>0</v>
      </c>
    </row>
    <row r="264" spans="2:30" ht="15" customHeight="1">
      <c r="B264" s="10" t="str">
        <f>_xlfn.IFNA(VLOOKUP(C264,Master!$J:$K,2,0),"")</f>
        <v/>
      </c>
      <c r="D264" s="17" t="str">
        <f>_xlfn.IFNA(VLOOKUP(E264,Master!$J:$K,2,0),"")</f>
        <v/>
      </c>
      <c r="F264" s="17" t="str">
        <f>_xlfn.IFNA(VLOOKUP(G264,Master!B:C,2,0),"")</f>
        <v/>
      </c>
      <c r="I264" s="10" t="str">
        <f>_xlfn.IFNA(VLOOKUP(E264,Master!$J:$M,4,0),"")</f>
        <v/>
      </c>
      <c r="J264" s="10" t="str">
        <f>_xlfn.IFNA(VLOOKUP($E264,Master!$J:$M,3,0),"")</f>
        <v/>
      </c>
      <c r="AC264" s="14">
        <f t="shared" si="13"/>
        <v>0</v>
      </c>
      <c r="AD264" s="14">
        <f t="shared" si="14"/>
        <v>0</v>
      </c>
    </row>
    <row r="265" spans="2:30" ht="15" customHeight="1">
      <c r="B265" s="10" t="str">
        <f>_xlfn.IFNA(VLOOKUP(C265,Master!$J:$K,2,0),"")</f>
        <v/>
      </c>
      <c r="D265" s="17" t="str">
        <f>_xlfn.IFNA(VLOOKUP(E265,Master!$J:$K,2,0),"")</f>
        <v/>
      </c>
      <c r="F265" s="17" t="str">
        <f>_xlfn.IFNA(VLOOKUP(G265,Master!B:C,2,0),"")</f>
        <v/>
      </c>
      <c r="I265" s="10" t="str">
        <f>_xlfn.IFNA(VLOOKUP(E265,Master!$J:$M,4,0),"")</f>
        <v/>
      </c>
      <c r="J265" s="10" t="str">
        <f>_xlfn.IFNA(VLOOKUP($E265,Master!$J:$M,3,0),"")</f>
        <v/>
      </c>
      <c r="AC265" s="14">
        <f t="shared" si="13"/>
        <v>0</v>
      </c>
      <c r="AD265" s="14">
        <f t="shared" si="14"/>
        <v>0</v>
      </c>
    </row>
    <row r="266" spans="2:30" ht="15" customHeight="1">
      <c r="B266" s="10" t="str">
        <f>_xlfn.IFNA(VLOOKUP(C266,Master!$J:$K,2,0),"")</f>
        <v/>
      </c>
      <c r="D266" s="17" t="str">
        <f>_xlfn.IFNA(VLOOKUP(E266,Master!$J:$K,2,0),"")</f>
        <v/>
      </c>
      <c r="F266" s="17" t="str">
        <f>_xlfn.IFNA(VLOOKUP(G266,Master!B:C,2,0),"")</f>
        <v/>
      </c>
      <c r="I266" s="10" t="str">
        <f>_xlfn.IFNA(VLOOKUP(E266,Master!$J:$M,4,0),"")</f>
        <v/>
      </c>
      <c r="J266" s="10" t="str">
        <f>_xlfn.IFNA(VLOOKUP($E266,Master!$J:$M,3,0),"")</f>
        <v/>
      </c>
      <c r="AC266" s="14">
        <f t="shared" si="13"/>
        <v>0</v>
      </c>
      <c r="AD266" s="14">
        <f t="shared" si="14"/>
        <v>0</v>
      </c>
    </row>
    <row r="267" spans="2:30" ht="15" customHeight="1">
      <c r="B267" s="10" t="str">
        <f>_xlfn.IFNA(VLOOKUP(C267,Master!$J:$K,2,0),"")</f>
        <v/>
      </c>
      <c r="D267" s="17" t="str">
        <f>_xlfn.IFNA(VLOOKUP(E267,Master!$J:$K,2,0),"")</f>
        <v/>
      </c>
      <c r="F267" s="17" t="str">
        <f>_xlfn.IFNA(VLOOKUP(G267,Master!B:C,2,0),"")</f>
        <v/>
      </c>
      <c r="I267" s="10" t="str">
        <f>_xlfn.IFNA(VLOOKUP(E267,Master!$J:$M,4,0),"")</f>
        <v/>
      </c>
      <c r="J267" s="10" t="str">
        <f>_xlfn.IFNA(VLOOKUP($E267,Master!$J:$M,3,0),"")</f>
        <v/>
      </c>
      <c r="AC267" s="14">
        <f t="shared" si="13"/>
        <v>0</v>
      </c>
      <c r="AD267" s="14">
        <f t="shared" si="14"/>
        <v>0</v>
      </c>
    </row>
    <row r="268" spans="2:30" ht="15" customHeight="1">
      <c r="B268" s="10" t="str">
        <f>_xlfn.IFNA(VLOOKUP(C268,Master!$J:$K,2,0),"")</f>
        <v/>
      </c>
      <c r="D268" s="17" t="str">
        <f>_xlfn.IFNA(VLOOKUP(E268,Master!$J:$K,2,0),"")</f>
        <v/>
      </c>
      <c r="F268" s="17" t="str">
        <f>_xlfn.IFNA(VLOOKUP(G268,Master!B:C,2,0),"")</f>
        <v/>
      </c>
      <c r="I268" s="10" t="str">
        <f>_xlfn.IFNA(VLOOKUP(E268,Master!$J:$M,4,0),"")</f>
        <v/>
      </c>
      <c r="J268" s="10" t="str">
        <f>_xlfn.IFNA(VLOOKUP($E268,Master!$J:$M,3,0),"")</f>
        <v/>
      </c>
      <c r="AC268" s="14">
        <f t="shared" si="13"/>
        <v>0</v>
      </c>
      <c r="AD268" s="14">
        <f t="shared" si="14"/>
        <v>0</v>
      </c>
    </row>
    <row r="269" spans="2:30" ht="15" customHeight="1">
      <c r="B269" s="10" t="str">
        <f>_xlfn.IFNA(VLOOKUP(C269,Master!$J:$K,2,0),"")</f>
        <v/>
      </c>
      <c r="D269" s="17" t="str">
        <f>_xlfn.IFNA(VLOOKUP(E269,Master!$J:$K,2,0),"")</f>
        <v/>
      </c>
      <c r="F269" s="17" t="str">
        <f>_xlfn.IFNA(VLOOKUP(G269,Master!B:C,2,0),"")</f>
        <v/>
      </c>
      <c r="I269" s="10" t="str">
        <f>_xlfn.IFNA(VLOOKUP(E269,Master!$J:$M,4,0),"")</f>
        <v/>
      </c>
      <c r="J269" s="10" t="str">
        <f>_xlfn.IFNA(VLOOKUP($E269,Master!$J:$M,3,0),"")</f>
        <v/>
      </c>
      <c r="AC269" s="14">
        <f t="shared" si="13"/>
        <v>0</v>
      </c>
      <c r="AD269" s="14">
        <f t="shared" si="14"/>
        <v>0</v>
      </c>
    </row>
    <row r="270" spans="2:30" ht="15" customHeight="1">
      <c r="B270" s="10" t="str">
        <f>_xlfn.IFNA(VLOOKUP(C270,Master!$J:$K,2,0),"")</f>
        <v/>
      </c>
      <c r="D270" s="17" t="str">
        <f>_xlfn.IFNA(VLOOKUP(E270,Master!$J:$K,2,0),"")</f>
        <v/>
      </c>
      <c r="F270" s="17" t="str">
        <f>_xlfn.IFNA(VLOOKUP(G270,Master!B:C,2,0),"")</f>
        <v/>
      </c>
      <c r="I270" s="10" t="str">
        <f>_xlfn.IFNA(VLOOKUP(E270,Master!$J:$M,4,0),"")</f>
        <v/>
      </c>
      <c r="J270" s="10" t="str">
        <f>_xlfn.IFNA(VLOOKUP($E270,Master!$J:$M,3,0),"")</f>
        <v/>
      </c>
      <c r="AC270" s="14">
        <f t="shared" si="13"/>
        <v>0</v>
      </c>
      <c r="AD270" s="14">
        <f t="shared" si="14"/>
        <v>0</v>
      </c>
    </row>
    <row r="271" spans="2:30" ht="15" customHeight="1">
      <c r="B271" s="10" t="str">
        <f>_xlfn.IFNA(VLOOKUP(C271,Master!$J:$K,2,0),"")</f>
        <v/>
      </c>
      <c r="D271" s="17" t="str">
        <f>_xlfn.IFNA(VLOOKUP(E271,Master!$J:$K,2,0),"")</f>
        <v/>
      </c>
      <c r="F271" s="17" t="str">
        <f>_xlfn.IFNA(VLOOKUP(G271,Master!B:C,2,0),"")</f>
        <v/>
      </c>
      <c r="I271" s="10" t="str">
        <f>_xlfn.IFNA(VLOOKUP(E271,Master!$J:$M,4,0),"")</f>
        <v/>
      </c>
      <c r="J271" s="10" t="str">
        <f>_xlfn.IFNA(VLOOKUP($E271,Master!$J:$M,3,0),"")</f>
        <v/>
      </c>
      <c r="AC271" s="14">
        <f t="shared" si="13"/>
        <v>0</v>
      </c>
      <c r="AD271" s="14">
        <f t="shared" si="14"/>
        <v>0</v>
      </c>
    </row>
    <row r="272" spans="2:30" ht="15" customHeight="1">
      <c r="B272" s="10" t="str">
        <f>_xlfn.IFNA(VLOOKUP(C272,Master!$J:$K,2,0),"")</f>
        <v/>
      </c>
      <c r="D272" s="17" t="str">
        <f>_xlfn.IFNA(VLOOKUP(E272,Master!$J:$K,2,0),"")</f>
        <v/>
      </c>
      <c r="F272" s="17" t="str">
        <f>_xlfn.IFNA(VLOOKUP(G272,Master!B:C,2,0),"")</f>
        <v/>
      </c>
      <c r="I272" s="10" t="str">
        <f>_xlfn.IFNA(VLOOKUP(E272,Master!$J:$M,4,0),"")</f>
        <v/>
      </c>
      <c r="J272" s="10" t="str">
        <f>_xlfn.IFNA(VLOOKUP($E272,Master!$J:$M,3,0),"")</f>
        <v/>
      </c>
      <c r="AC272" s="14">
        <f t="shared" si="13"/>
        <v>0</v>
      </c>
      <c r="AD272" s="14">
        <f t="shared" si="14"/>
        <v>0</v>
      </c>
    </row>
    <row r="273" spans="2:30" ht="15" customHeight="1">
      <c r="B273" s="10" t="str">
        <f>_xlfn.IFNA(VLOOKUP(C273,Master!$J:$K,2,0),"")</f>
        <v/>
      </c>
      <c r="D273" s="17" t="str">
        <f>_xlfn.IFNA(VLOOKUP(E273,Master!$J:$K,2,0),"")</f>
        <v/>
      </c>
      <c r="F273" s="17" t="str">
        <f>_xlfn.IFNA(VLOOKUP(G273,Master!B:C,2,0),"")</f>
        <v/>
      </c>
      <c r="I273" s="10" t="str">
        <f>_xlfn.IFNA(VLOOKUP(E273,Master!$J:$M,4,0),"")</f>
        <v/>
      </c>
      <c r="J273" s="10" t="str">
        <f>_xlfn.IFNA(VLOOKUP($E273,Master!$J:$M,3,0),"")</f>
        <v/>
      </c>
      <c r="AC273" s="14">
        <f t="shared" si="13"/>
        <v>0</v>
      </c>
      <c r="AD273" s="14">
        <f t="shared" si="14"/>
        <v>0</v>
      </c>
    </row>
    <row r="274" spans="2:30" ht="15" customHeight="1">
      <c r="B274" s="10" t="str">
        <f>_xlfn.IFNA(VLOOKUP(C274,Master!$J:$K,2,0),"")</f>
        <v/>
      </c>
      <c r="D274" s="17" t="str">
        <f>_xlfn.IFNA(VLOOKUP(E274,Master!$J:$K,2,0),"")</f>
        <v/>
      </c>
      <c r="F274" s="17" t="str">
        <f>_xlfn.IFNA(VLOOKUP(G274,Master!B:C,2,0),"")</f>
        <v/>
      </c>
      <c r="I274" s="10" t="str">
        <f>_xlfn.IFNA(VLOOKUP(E274,Master!$J:$M,4,0),"")</f>
        <v/>
      </c>
      <c r="J274" s="10" t="str">
        <f>_xlfn.IFNA(VLOOKUP($E274,Master!$J:$M,3,0),"")</f>
        <v/>
      </c>
      <c r="AC274" s="14">
        <f t="shared" si="13"/>
        <v>0</v>
      </c>
      <c r="AD274" s="14">
        <f t="shared" si="14"/>
        <v>0</v>
      </c>
    </row>
    <row r="275" spans="2:30" ht="15" customHeight="1">
      <c r="B275" s="10" t="str">
        <f>_xlfn.IFNA(VLOOKUP(C275,Master!$J:$K,2,0),"")</f>
        <v/>
      </c>
      <c r="D275" s="17" t="str">
        <f>_xlfn.IFNA(VLOOKUP(E275,Master!$J:$K,2,0),"")</f>
        <v/>
      </c>
      <c r="F275" s="17" t="str">
        <f>_xlfn.IFNA(VLOOKUP(G275,Master!B:C,2,0),"")</f>
        <v/>
      </c>
      <c r="I275" s="10" t="str">
        <f>_xlfn.IFNA(VLOOKUP(E275,Master!$J:$M,4,0),"")</f>
        <v/>
      </c>
      <c r="J275" s="10" t="str">
        <f>_xlfn.IFNA(VLOOKUP($E275,Master!$J:$M,3,0),"")</f>
        <v/>
      </c>
      <c r="AC275" s="14">
        <f t="shared" si="13"/>
        <v>0</v>
      </c>
      <c r="AD275" s="14">
        <f t="shared" si="14"/>
        <v>0</v>
      </c>
    </row>
    <row r="276" spans="2:30" ht="15" customHeight="1">
      <c r="B276" s="10" t="str">
        <f>_xlfn.IFNA(VLOOKUP(C276,Master!$J:$K,2,0),"")</f>
        <v/>
      </c>
      <c r="D276" s="17" t="str">
        <f>_xlfn.IFNA(VLOOKUP(E276,Master!$J:$K,2,0),"")</f>
        <v/>
      </c>
      <c r="F276" s="17" t="str">
        <f>_xlfn.IFNA(VLOOKUP(G276,Master!B:C,2,0),"")</f>
        <v/>
      </c>
      <c r="I276" s="10" t="str">
        <f>_xlfn.IFNA(VLOOKUP(E276,Master!$J:$M,4,0),"")</f>
        <v/>
      </c>
      <c r="J276" s="10" t="str">
        <f>_xlfn.IFNA(VLOOKUP($E276,Master!$J:$M,3,0),"")</f>
        <v/>
      </c>
      <c r="AC276" s="14">
        <f t="shared" si="13"/>
        <v>0</v>
      </c>
      <c r="AD276" s="14">
        <f t="shared" si="14"/>
        <v>0</v>
      </c>
    </row>
    <row r="277" spans="2:30" ht="15" customHeight="1">
      <c r="B277" s="10" t="str">
        <f>_xlfn.IFNA(VLOOKUP(C277,Master!$J:$K,2,0),"")</f>
        <v/>
      </c>
      <c r="D277" s="17" t="str">
        <f>_xlfn.IFNA(VLOOKUP(E277,Master!$J:$K,2,0),"")</f>
        <v/>
      </c>
      <c r="F277" s="17" t="str">
        <f>_xlfn.IFNA(VLOOKUP(G277,Master!B:C,2,0),"")</f>
        <v/>
      </c>
      <c r="I277" s="10" t="str">
        <f>_xlfn.IFNA(VLOOKUP(E277,Master!$J:$M,4,0),"")</f>
        <v/>
      </c>
      <c r="J277" s="10" t="str">
        <f>_xlfn.IFNA(VLOOKUP($E277,Master!$J:$M,3,0),"")</f>
        <v/>
      </c>
      <c r="AC277" s="14">
        <f t="shared" si="13"/>
        <v>0</v>
      </c>
      <c r="AD277" s="14">
        <f t="shared" si="14"/>
        <v>0</v>
      </c>
    </row>
    <row r="278" spans="2:30" ht="15" customHeight="1">
      <c r="B278" s="10" t="str">
        <f>_xlfn.IFNA(VLOOKUP(C278,Master!$J:$K,2,0),"")</f>
        <v/>
      </c>
      <c r="D278" s="17" t="str">
        <f>_xlfn.IFNA(VLOOKUP(E278,Master!$J:$K,2,0),"")</f>
        <v/>
      </c>
      <c r="F278" s="17" t="str">
        <f>_xlfn.IFNA(VLOOKUP(G278,Master!B:C,2,0),"")</f>
        <v/>
      </c>
      <c r="I278" s="10" t="str">
        <f>_xlfn.IFNA(VLOOKUP(E278,Master!$J:$M,4,0),"")</f>
        <v/>
      </c>
      <c r="J278" s="10" t="str">
        <f>_xlfn.IFNA(VLOOKUP($E278,Master!$J:$M,3,0),"")</f>
        <v/>
      </c>
      <c r="AC278" s="14">
        <f t="shared" si="13"/>
        <v>0</v>
      </c>
      <c r="AD278" s="14">
        <f t="shared" si="14"/>
        <v>0</v>
      </c>
    </row>
    <row r="279" spans="2:30" ht="15" customHeight="1">
      <c r="B279" s="10" t="str">
        <f>_xlfn.IFNA(VLOOKUP(C279,Master!$J:$K,2,0),"")</f>
        <v/>
      </c>
      <c r="D279" s="17" t="str">
        <f>_xlfn.IFNA(VLOOKUP(E279,Master!$J:$K,2,0),"")</f>
        <v/>
      </c>
      <c r="F279" s="17" t="str">
        <f>_xlfn.IFNA(VLOOKUP(G279,Master!B:C,2,0),"")</f>
        <v/>
      </c>
      <c r="I279" s="10" t="str">
        <f>_xlfn.IFNA(VLOOKUP(E279,Master!$J:$M,4,0),"")</f>
        <v/>
      </c>
      <c r="J279" s="10" t="str">
        <f>_xlfn.IFNA(VLOOKUP($E279,Master!$J:$M,3,0),"")</f>
        <v/>
      </c>
      <c r="AC279" s="14">
        <f t="shared" si="13"/>
        <v>0</v>
      </c>
      <c r="AD279" s="14">
        <f t="shared" si="14"/>
        <v>0</v>
      </c>
    </row>
    <row r="280" spans="2:30" ht="15" customHeight="1">
      <c r="B280" s="10" t="str">
        <f>_xlfn.IFNA(VLOOKUP(C280,Master!$J:$K,2,0),"")</f>
        <v/>
      </c>
      <c r="D280" s="17" t="str">
        <f>_xlfn.IFNA(VLOOKUP(E280,Master!$J:$K,2,0),"")</f>
        <v/>
      </c>
      <c r="F280" s="17" t="str">
        <f>_xlfn.IFNA(VLOOKUP(G280,Master!B:C,2,0),"")</f>
        <v/>
      </c>
      <c r="I280" s="10" t="str">
        <f>_xlfn.IFNA(VLOOKUP(E280,Master!$J:$M,4,0),"")</f>
        <v/>
      </c>
      <c r="J280" s="10" t="str">
        <f>_xlfn.IFNA(VLOOKUP($E280,Master!$J:$M,3,0),"")</f>
        <v/>
      </c>
      <c r="AC280" s="14">
        <f t="shared" si="13"/>
        <v>0</v>
      </c>
      <c r="AD280" s="14">
        <f t="shared" si="14"/>
        <v>0</v>
      </c>
    </row>
    <row r="281" spans="2:30" ht="15" customHeight="1">
      <c r="B281" s="10" t="str">
        <f>_xlfn.IFNA(VLOOKUP(C281,Master!$J:$K,2,0),"")</f>
        <v/>
      </c>
      <c r="D281" s="17" t="str">
        <f>_xlfn.IFNA(VLOOKUP(E281,Master!$J:$K,2,0),"")</f>
        <v/>
      </c>
      <c r="F281" s="17" t="str">
        <f>_xlfn.IFNA(VLOOKUP(G281,Master!B:C,2,0),"")</f>
        <v/>
      </c>
      <c r="I281" s="10" t="str">
        <f>_xlfn.IFNA(VLOOKUP(E281,Master!$J:$M,4,0),"")</f>
        <v/>
      </c>
      <c r="J281" s="10" t="str">
        <f>_xlfn.IFNA(VLOOKUP($E281,Master!$J:$M,3,0),"")</f>
        <v/>
      </c>
      <c r="AC281" s="14">
        <f t="shared" si="13"/>
        <v>0</v>
      </c>
      <c r="AD281" s="14">
        <f t="shared" si="14"/>
        <v>0</v>
      </c>
    </row>
    <row r="282" spans="2:30" ht="15" customHeight="1">
      <c r="B282" s="10" t="str">
        <f>_xlfn.IFNA(VLOOKUP(C282,Master!$J:$K,2,0),"")</f>
        <v/>
      </c>
      <c r="D282" s="17" t="str">
        <f>_xlfn.IFNA(VLOOKUP(E282,Master!$J:$K,2,0),"")</f>
        <v/>
      </c>
      <c r="F282" s="17" t="str">
        <f>_xlfn.IFNA(VLOOKUP(G282,Master!B:C,2,0),"")</f>
        <v/>
      </c>
      <c r="I282" s="10" t="str">
        <f>_xlfn.IFNA(VLOOKUP(E282,Master!$J:$M,4,0),"")</f>
        <v/>
      </c>
      <c r="J282" s="10" t="str">
        <f>_xlfn.IFNA(VLOOKUP($E282,Master!$J:$M,3,0),"")</f>
        <v/>
      </c>
      <c r="AC282" s="14">
        <f t="shared" si="13"/>
        <v>0</v>
      </c>
      <c r="AD282" s="14">
        <f t="shared" si="14"/>
        <v>0</v>
      </c>
    </row>
    <row r="283" spans="2:30" ht="15" customHeight="1">
      <c r="B283" s="10" t="str">
        <f>_xlfn.IFNA(VLOOKUP(C283,Master!$J:$K,2,0),"")</f>
        <v/>
      </c>
      <c r="D283" s="17" t="str">
        <f>_xlfn.IFNA(VLOOKUP(E283,Master!$J:$K,2,0),"")</f>
        <v/>
      </c>
      <c r="F283" s="17" t="str">
        <f>_xlfn.IFNA(VLOOKUP(G283,Master!B:C,2,0),"")</f>
        <v/>
      </c>
      <c r="I283" s="10" t="str">
        <f>_xlfn.IFNA(VLOOKUP(E283,Master!$J:$M,4,0),"")</f>
        <v/>
      </c>
      <c r="J283" s="10" t="str">
        <f>_xlfn.IFNA(VLOOKUP($E283,Master!$J:$M,3,0),"")</f>
        <v/>
      </c>
      <c r="AC283" s="14">
        <f t="shared" si="13"/>
        <v>0</v>
      </c>
      <c r="AD283" s="14">
        <f t="shared" si="14"/>
        <v>0</v>
      </c>
    </row>
    <row r="284" spans="2:30" ht="15" customHeight="1">
      <c r="B284" s="10" t="str">
        <f>_xlfn.IFNA(VLOOKUP(C284,Master!$J:$K,2,0),"")</f>
        <v/>
      </c>
      <c r="D284" s="17" t="str">
        <f>_xlfn.IFNA(VLOOKUP(E284,Master!$J:$K,2,0),"")</f>
        <v/>
      </c>
      <c r="F284" s="17" t="str">
        <f>_xlfn.IFNA(VLOOKUP(G284,Master!B:C,2,0),"")</f>
        <v/>
      </c>
      <c r="I284" s="10" t="str">
        <f>_xlfn.IFNA(VLOOKUP(E284,Master!$J:$M,4,0),"")</f>
        <v/>
      </c>
      <c r="J284" s="10" t="str">
        <f>_xlfn.IFNA(VLOOKUP($E284,Master!$J:$M,3,0),"")</f>
        <v/>
      </c>
      <c r="AC284" s="14">
        <f t="shared" si="13"/>
        <v>0</v>
      </c>
      <c r="AD284" s="14">
        <f t="shared" si="14"/>
        <v>0</v>
      </c>
    </row>
    <row r="285" spans="2:30" ht="15" customHeight="1">
      <c r="B285" s="10" t="str">
        <f>_xlfn.IFNA(VLOOKUP(C285,Master!$J:$K,2,0),"")</f>
        <v/>
      </c>
      <c r="D285" s="17" t="str">
        <f>_xlfn.IFNA(VLOOKUP(E285,Master!$J:$K,2,0),"")</f>
        <v/>
      </c>
      <c r="F285" s="17" t="str">
        <f>_xlfn.IFNA(VLOOKUP(G285,Master!B:C,2,0),"")</f>
        <v/>
      </c>
      <c r="I285" s="10" t="str">
        <f>_xlfn.IFNA(VLOOKUP(E285,Master!$J:$M,4,0),"")</f>
        <v/>
      </c>
      <c r="J285" s="10" t="str">
        <f>_xlfn.IFNA(VLOOKUP($E285,Master!$J:$M,3,0),"")</f>
        <v/>
      </c>
      <c r="AC285" s="14">
        <f t="shared" si="13"/>
        <v>0</v>
      </c>
      <c r="AD285" s="14">
        <f t="shared" si="14"/>
        <v>0</v>
      </c>
    </row>
    <row r="286" spans="2:30" ht="15" customHeight="1">
      <c r="B286" s="10" t="str">
        <f>_xlfn.IFNA(VLOOKUP(C286,Master!$J:$K,2,0),"")</f>
        <v/>
      </c>
      <c r="D286" s="17" t="str">
        <f>_xlfn.IFNA(VLOOKUP(E286,Master!$J:$K,2,0),"")</f>
        <v/>
      </c>
      <c r="F286" s="17" t="str">
        <f>_xlfn.IFNA(VLOOKUP(G286,Master!B:C,2,0),"")</f>
        <v/>
      </c>
      <c r="I286" s="10" t="str">
        <f>_xlfn.IFNA(VLOOKUP(E286,Master!$J:$M,4,0),"")</f>
        <v/>
      </c>
      <c r="J286" s="10" t="str">
        <f>_xlfn.IFNA(VLOOKUP($E286,Master!$J:$M,3,0),"")</f>
        <v/>
      </c>
      <c r="AC286" s="14">
        <f t="shared" si="13"/>
        <v>0</v>
      </c>
      <c r="AD286" s="14">
        <f t="shared" si="14"/>
        <v>0</v>
      </c>
    </row>
    <row r="287" spans="2:30" ht="15" customHeight="1">
      <c r="B287" s="10" t="str">
        <f>_xlfn.IFNA(VLOOKUP(C287,Master!$J:$K,2,0),"")</f>
        <v/>
      </c>
      <c r="D287" s="17" t="str">
        <f>_xlfn.IFNA(VLOOKUP(E287,Master!$J:$K,2,0),"")</f>
        <v/>
      </c>
      <c r="F287" s="17" t="str">
        <f>_xlfn.IFNA(VLOOKUP(G287,Master!B:C,2,0),"")</f>
        <v/>
      </c>
      <c r="I287" s="10" t="str">
        <f>_xlfn.IFNA(VLOOKUP(E287,Master!$J:$M,4,0),"")</f>
        <v/>
      </c>
      <c r="J287" s="10" t="str">
        <f>_xlfn.IFNA(VLOOKUP($E287,Master!$J:$M,3,0),"")</f>
        <v/>
      </c>
      <c r="AC287" s="14">
        <f t="shared" si="13"/>
        <v>0</v>
      </c>
      <c r="AD287" s="14">
        <f t="shared" si="14"/>
        <v>0</v>
      </c>
    </row>
    <row r="288" spans="2:30" ht="15" customHeight="1">
      <c r="B288" s="10" t="str">
        <f>_xlfn.IFNA(VLOOKUP(C288,Master!$J:$K,2,0),"")</f>
        <v/>
      </c>
      <c r="D288" s="17" t="str">
        <f>_xlfn.IFNA(VLOOKUP(E288,Master!$J:$K,2,0),"")</f>
        <v/>
      </c>
      <c r="F288" s="17" t="str">
        <f>_xlfn.IFNA(VLOOKUP(G288,Master!B:C,2,0),"")</f>
        <v/>
      </c>
      <c r="I288" s="10" t="str">
        <f>_xlfn.IFNA(VLOOKUP(E288,Master!$J:$M,4,0),"")</f>
        <v/>
      </c>
      <c r="J288" s="10" t="str">
        <f>_xlfn.IFNA(VLOOKUP($E288,Master!$J:$M,3,0),"")</f>
        <v/>
      </c>
      <c r="AC288" s="14">
        <f t="shared" si="13"/>
        <v>0</v>
      </c>
      <c r="AD288" s="14">
        <f t="shared" si="14"/>
        <v>0</v>
      </c>
    </row>
    <row r="289" spans="2:30" ht="15" customHeight="1">
      <c r="B289" s="10" t="str">
        <f>_xlfn.IFNA(VLOOKUP(C289,Master!$J:$K,2,0),"")</f>
        <v/>
      </c>
      <c r="D289" s="17" t="str">
        <f>_xlfn.IFNA(VLOOKUP(E289,Master!$J:$K,2,0),"")</f>
        <v/>
      </c>
      <c r="F289" s="17" t="str">
        <f>_xlfn.IFNA(VLOOKUP(G289,Master!B:C,2,0),"")</f>
        <v/>
      </c>
      <c r="I289" s="10" t="str">
        <f>_xlfn.IFNA(VLOOKUP(E289,Master!$J:$M,4,0),"")</f>
        <v/>
      </c>
      <c r="J289" s="10" t="str">
        <f>_xlfn.IFNA(VLOOKUP($E289,Master!$J:$M,3,0),"")</f>
        <v/>
      </c>
      <c r="AC289" s="14">
        <f t="shared" si="13"/>
        <v>0</v>
      </c>
      <c r="AD289" s="14">
        <f t="shared" si="14"/>
        <v>0</v>
      </c>
    </row>
    <row r="290" spans="2:30" ht="15" customHeight="1">
      <c r="B290" s="10" t="str">
        <f>_xlfn.IFNA(VLOOKUP(C290,Master!$J:$K,2,0),"")</f>
        <v/>
      </c>
      <c r="D290" s="17" t="str">
        <f>_xlfn.IFNA(VLOOKUP(E290,Master!$J:$K,2,0),"")</f>
        <v/>
      </c>
      <c r="F290" s="17" t="str">
        <f>_xlfn.IFNA(VLOOKUP(G290,Master!B:C,2,0),"")</f>
        <v/>
      </c>
      <c r="I290" s="10" t="str">
        <f>_xlfn.IFNA(VLOOKUP(E290,Master!$J:$M,4,0),"")</f>
        <v/>
      </c>
      <c r="J290" s="10" t="str">
        <f>_xlfn.IFNA(VLOOKUP($E290,Master!$J:$M,3,0),"")</f>
        <v/>
      </c>
      <c r="AC290" s="14">
        <f t="shared" si="13"/>
        <v>0</v>
      </c>
      <c r="AD290" s="14">
        <f t="shared" si="14"/>
        <v>0</v>
      </c>
    </row>
    <row r="291" spans="2:30" ht="15" customHeight="1">
      <c r="B291" s="10" t="str">
        <f>_xlfn.IFNA(VLOOKUP(C291,Master!$J:$K,2,0),"")</f>
        <v/>
      </c>
      <c r="D291" s="17" t="str">
        <f>_xlfn.IFNA(VLOOKUP(E291,Master!$J:$K,2,0),"")</f>
        <v/>
      </c>
      <c r="F291" s="17" t="str">
        <f>_xlfn.IFNA(VLOOKUP(G291,Master!B:C,2,0),"")</f>
        <v/>
      </c>
      <c r="I291" s="10" t="str">
        <f>_xlfn.IFNA(VLOOKUP(E291,Master!$J:$M,4,0),"")</f>
        <v/>
      </c>
      <c r="J291" s="10" t="str">
        <f>_xlfn.IFNA(VLOOKUP($E291,Master!$J:$M,3,0),"")</f>
        <v/>
      </c>
      <c r="AC291" s="14">
        <f t="shared" si="13"/>
        <v>0</v>
      </c>
      <c r="AD291" s="14">
        <f t="shared" si="14"/>
        <v>0</v>
      </c>
    </row>
    <row r="292" spans="2:30" ht="15" customHeight="1">
      <c r="B292" s="10" t="str">
        <f>_xlfn.IFNA(VLOOKUP(C292,Master!$J:$K,2,0),"")</f>
        <v/>
      </c>
      <c r="D292" s="17" t="str">
        <f>_xlfn.IFNA(VLOOKUP(E292,Master!$J:$K,2,0),"")</f>
        <v/>
      </c>
      <c r="F292" s="17" t="str">
        <f>_xlfn.IFNA(VLOOKUP(G292,Master!B:C,2,0),"")</f>
        <v/>
      </c>
      <c r="I292" s="10" t="str">
        <f>_xlfn.IFNA(VLOOKUP(E292,Master!$J:$M,4,0),"")</f>
        <v/>
      </c>
      <c r="J292" s="10" t="str">
        <f>_xlfn.IFNA(VLOOKUP($E292,Master!$J:$M,3,0),"")</f>
        <v/>
      </c>
      <c r="AC292" s="14">
        <f t="shared" si="13"/>
        <v>0</v>
      </c>
      <c r="AD292" s="14">
        <f t="shared" si="14"/>
        <v>0</v>
      </c>
    </row>
    <row r="293" spans="2:30" ht="15" customHeight="1">
      <c r="B293" s="10" t="str">
        <f>_xlfn.IFNA(VLOOKUP(C293,Master!$J:$K,2,0),"")</f>
        <v/>
      </c>
      <c r="D293" s="17" t="str">
        <f>_xlfn.IFNA(VLOOKUP(E293,Master!$J:$K,2,0),"")</f>
        <v/>
      </c>
      <c r="F293" s="17" t="str">
        <f>_xlfn.IFNA(VLOOKUP(G293,Master!B:C,2,0),"")</f>
        <v/>
      </c>
      <c r="I293" s="10" t="str">
        <f>_xlfn.IFNA(VLOOKUP(E293,Master!$J:$M,4,0),"")</f>
        <v/>
      </c>
      <c r="J293" s="10" t="str">
        <f>_xlfn.IFNA(VLOOKUP($E293,Master!$J:$M,3,0),"")</f>
        <v/>
      </c>
      <c r="AC293" s="14">
        <f t="shared" si="13"/>
        <v>0</v>
      </c>
      <c r="AD293" s="14">
        <f t="shared" si="14"/>
        <v>0</v>
      </c>
    </row>
    <row r="294" spans="2:30" ht="15" customHeight="1">
      <c r="B294" s="10" t="str">
        <f>_xlfn.IFNA(VLOOKUP(C294,Master!$J:$K,2,0),"")</f>
        <v/>
      </c>
      <c r="D294" s="17" t="str">
        <f>_xlfn.IFNA(VLOOKUP(E294,Master!$J:$K,2,0),"")</f>
        <v/>
      </c>
      <c r="F294" s="17" t="str">
        <f>_xlfn.IFNA(VLOOKUP(G294,Master!B:C,2,0),"")</f>
        <v/>
      </c>
      <c r="I294" s="10" t="str">
        <f>_xlfn.IFNA(VLOOKUP(E294,Master!$J:$M,4,0),"")</f>
        <v/>
      </c>
      <c r="J294" s="10" t="str">
        <f>_xlfn.IFNA(VLOOKUP($E294,Master!$J:$M,3,0),"")</f>
        <v/>
      </c>
      <c r="AC294" s="14">
        <f t="shared" si="13"/>
        <v>0</v>
      </c>
      <c r="AD294" s="14">
        <f t="shared" si="14"/>
        <v>0</v>
      </c>
    </row>
    <row r="295" spans="2:30" ht="15" customHeight="1">
      <c r="B295" s="10" t="str">
        <f>_xlfn.IFNA(VLOOKUP(C295,Master!$J:$K,2,0),"")</f>
        <v/>
      </c>
      <c r="D295" s="17" t="str">
        <f>_xlfn.IFNA(VLOOKUP(E295,Master!$J:$K,2,0),"")</f>
        <v/>
      </c>
      <c r="F295" s="17" t="str">
        <f>_xlfn.IFNA(VLOOKUP(G295,Master!B:C,2,0),"")</f>
        <v/>
      </c>
      <c r="I295" s="10" t="str">
        <f>_xlfn.IFNA(VLOOKUP(E295,Master!$J:$M,4,0),"")</f>
        <v/>
      </c>
      <c r="J295" s="10" t="str">
        <f>_xlfn.IFNA(VLOOKUP($E295,Master!$J:$M,3,0),"")</f>
        <v/>
      </c>
      <c r="AC295" s="14">
        <f t="shared" si="13"/>
        <v>0</v>
      </c>
      <c r="AD295" s="14">
        <f t="shared" si="14"/>
        <v>0</v>
      </c>
    </row>
    <row r="296" spans="2:30" ht="15" customHeight="1">
      <c r="B296" s="10" t="str">
        <f>_xlfn.IFNA(VLOOKUP(C296,Master!$J:$K,2,0),"")</f>
        <v/>
      </c>
      <c r="D296" s="17" t="str">
        <f>_xlfn.IFNA(VLOOKUP(E296,Master!$J:$K,2,0),"")</f>
        <v/>
      </c>
      <c r="F296" s="17" t="str">
        <f>_xlfn.IFNA(VLOOKUP(G296,Master!B:C,2,0),"")</f>
        <v/>
      </c>
      <c r="I296" s="10" t="str">
        <f>_xlfn.IFNA(VLOOKUP(E296,Master!$J:$M,4,0),"")</f>
        <v/>
      </c>
      <c r="J296" s="10" t="str">
        <f>_xlfn.IFNA(VLOOKUP($E296,Master!$J:$M,3,0),"")</f>
        <v/>
      </c>
      <c r="AC296" s="14">
        <f t="shared" si="13"/>
        <v>0</v>
      </c>
      <c r="AD296" s="14">
        <f t="shared" si="14"/>
        <v>0</v>
      </c>
    </row>
    <row r="297" spans="2:30" ht="15" customHeight="1">
      <c r="B297" s="10" t="str">
        <f>_xlfn.IFNA(VLOOKUP(C297,Master!$J:$K,2,0),"")</f>
        <v/>
      </c>
      <c r="D297" s="17" t="str">
        <f>_xlfn.IFNA(VLOOKUP(E297,Master!$J:$K,2,0),"")</f>
        <v/>
      </c>
      <c r="F297" s="17" t="str">
        <f>_xlfn.IFNA(VLOOKUP(G297,Master!B:C,2,0),"")</f>
        <v/>
      </c>
      <c r="I297" s="10" t="str">
        <f>_xlfn.IFNA(VLOOKUP(E297,Master!$J:$M,4,0),"")</f>
        <v/>
      </c>
      <c r="J297" s="10" t="str">
        <f>_xlfn.IFNA(VLOOKUP($E297,Master!$J:$M,3,0),"")</f>
        <v/>
      </c>
      <c r="AC297" s="14">
        <f t="shared" si="13"/>
        <v>0</v>
      </c>
      <c r="AD297" s="14">
        <f t="shared" si="14"/>
        <v>0</v>
      </c>
    </row>
    <row r="298" spans="2:30" ht="15" customHeight="1">
      <c r="B298" s="10" t="str">
        <f>_xlfn.IFNA(VLOOKUP(C298,Master!$J:$K,2,0),"")</f>
        <v/>
      </c>
      <c r="D298" s="17" t="str">
        <f>_xlfn.IFNA(VLOOKUP(E298,Master!$J:$K,2,0),"")</f>
        <v/>
      </c>
      <c r="F298" s="17" t="str">
        <f>_xlfn.IFNA(VLOOKUP(G298,Master!B:C,2,0),"")</f>
        <v/>
      </c>
      <c r="I298" s="10" t="str">
        <f>_xlfn.IFNA(VLOOKUP(E298,Master!$J:$M,4,0),"")</f>
        <v/>
      </c>
      <c r="J298" s="10" t="str">
        <f>_xlfn.IFNA(VLOOKUP($E298,Master!$J:$M,3,0),"")</f>
        <v/>
      </c>
      <c r="AC298" s="14">
        <f t="shared" si="13"/>
        <v>0</v>
      </c>
      <c r="AD298" s="14">
        <f t="shared" si="14"/>
        <v>0</v>
      </c>
    </row>
    <row r="299" spans="2:30" ht="15" customHeight="1">
      <c r="B299" s="10" t="str">
        <f>_xlfn.IFNA(VLOOKUP(C299,Master!$J:$K,2,0),"")</f>
        <v/>
      </c>
      <c r="D299" s="17" t="str">
        <f>_xlfn.IFNA(VLOOKUP(E299,Master!$J:$K,2,0),"")</f>
        <v/>
      </c>
      <c r="F299" s="17" t="str">
        <f>_xlfn.IFNA(VLOOKUP(G299,Master!B:C,2,0),"")</f>
        <v/>
      </c>
      <c r="I299" s="10" t="str">
        <f>_xlfn.IFNA(VLOOKUP(E299,Master!$J:$M,4,0),"")</f>
        <v/>
      </c>
      <c r="J299" s="10" t="str">
        <f>_xlfn.IFNA(VLOOKUP($E299,Master!$J:$M,3,0),"")</f>
        <v/>
      </c>
      <c r="AC299" s="14">
        <f t="shared" si="13"/>
        <v>0</v>
      </c>
      <c r="AD299" s="14">
        <f t="shared" si="14"/>
        <v>0</v>
      </c>
    </row>
    <row r="300" spans="2:30" ht="15" customHeight="1">
      <c r="B300" s="10" t="str">
        <f>_xlfn.IFNA(VLOOKUP(C300,Master!$J:$K,2,0),"")</f>
        <v/>
      </c>
      <c r="D300" s="17" t="str">
        <f>_xlfn.IFNA(VLOOKUP(E300,Master!$J:$K,2,0),"")</f>
        <v/>
      </c>
      <c r="F300" s="17" t="str">
        <f>_xlfn.IFNA(VLOOKUP(G300,Master!B:C,2,0),"")</f>
        <v/>
      </c>
      <c r="I300" s="10" t="str">
        <f>_xlfn.IFNA(VLOOKUP(E300,Master!$J:$M,4,0),"")</f>
        <v/>
      </c>
      <c r="J300" s="10" t="str">
        <f>_xlfn.IFNA(VLOOKUP($E300,Master!$J:$M,3,0),"")</f>
        <v/>
      </c>
      <c r="AC300" s="14">
        <f t="shared" si="13"/>
        <v>0</v>
      </c>
      <c r="AD300" s="14">
        <f t="shared" si="14"/>
        <v>0</v>
      </c>
    </row>
    <row r="301" spans="2:30" ht="15" customHeight="1">
      <c r="B301" s="10" t="str">
        <f>_xlfn.IFNA(VLOOKUP(C301,Master!$J:$K,2,0),"")</f>
        <v/>
      </c>
      <c r="D301" s="17" t="str">
        <f>_xlfn.IFNA(VLOOKUP(E301,Master!$J:$K,2,0),"")</f>
        <v/>
      </c>
      <c r="F301" s="17" t="str">
        <f>_xlfn.IFNA(VLOOKUP(G301,Master!B:C,2,0),"")</f>
        <v/>
      </c>
      <c r="I301" s="10" t="str">
        <f>_xlfn.IFNA(VLOOKUP(E301,Master!$J:$M,4,0),"")</f>
        <v/>
      </c>
      <c r="J301" s="10" t="str">
        <f>_xlfn.IFNA(VLOOKUP($E301,Master!$J:$M,3,0),"")</f>
        <v/>
      </c>
      <c r="AC301" s="14">
        <f t="shared" si="13"/>
        <v>0</v>
      </c>
      <c r="AD301" s="14">
        <f t="shared" si="14"/>
        <v>0</v>
      </c>
    </row>
    <row r="302" spans="2:30" ht="15" customHeight="1">
      <c r="B302" s="10" t="str">
        <f>_xlfn.IFNA(VLOOKUP(C302,Master!$J:$K,2,0),"")</f>
        <v/>
      </c>
      <c r="D302" s="17" t="str">
        <f>_xlfn.IFNA(VLOOKUP(E302,Master!$J:$K,2,0),"")</f>
        <v/>
      </c>
      <c r="F302" s="17" t="str">
        <f>_xlfn.IFNA(VLOOKUP(G302,Master!B:C,2,0),"")</f>
        <v/>
      </c>
      <c r="I302" s="10" t="str">
        <f>_xlfn.IFNA(VLOOKUP(E302,Master!$J:$M,4,0),"")</f>
        <v/>
      </c>
      <c r="J302" s="10" t="str">
        <f>_xlfn.IFNA(VLOOKUP($E302,Master!$J:$M,3,0),"")</f>
        <v/>
      </c>
      <c r="AC302" s="14">
        <f t="shared" si="13"/>
        <v>0</v>
      </c>
      <c r="AD302" s="14">
        <f t="shared" si="14"/>
        <v>0</v>
      </c>
    </row>
    <row r="303" spans="2:30" ht="15" customHeight="1">
      <c r="B303" s="10" t="str">
        <f>_xlfn.IFNA(VLOOKUP(C303,Master!$J:$K,2,0),"")</f>
        <v/>
      </c>
      <c r="D303" s="17" t="str">
        <f>_xlfn.IFNA(VLOOKUP(E303,Master!$J:$K,2,0),"")</f>
        <v/>
      </c>
      <c r="F303" s="17" t="str">
        <f>_xlfn.IFNA(VLOOKUP(G303,Master!B:C,2,0),"")</f>
        <v/>
      </c>
      <c r="I303" s="10" t="str">
        <f>_xlfn.IFNA(VLOOKUP(E303,Master!$J:$M,4,0),"")</f>
        <v/>
      </c>
      <c r="J303" s="10" t="str">
        <f>_xlfn.IFNA(VLOOKUP($E303,Master!$J:$M,3,0),"")</f>
        <v/>
      </c>
      <c r="AC303" s="14">
        <f t="shared" si="13"/>
        <v>0</v>
      </c>
      <c r="AD303" s="14">
        <f t="shared" si="14"/>
        <v>0</v>
      </c>
    </row>
    <row r="304" spans="2:30" ht="15" customHeight="1">
      <c r="B304" s="10" t="str">
        <f>_xlfn.IFNA(VLOOKUP(C304,Master!$J:$K,2,0),"")</f>
        <v/>
      </c>
      <c r="D304" s="17" t="str">
        <f>_xlfn.IFNA(VLOOKUP(E304,Master!$J:$K,2,0),"")</f>
        <v/>
      </c>
      <c r="F304" s="17" t="str">
        <f>_xlfn.IFNA(VLOOKUP(G304,Master!B:C,2,0),"")</f>
        <v/>
      </c>
      <c r="I304" s="10" t="str">
        <f>_xlfn.IFNA(VLOOKUP(E304,Master!$J:$M,4,0),"")</f>
        <v/>
      </c>
      <c r="J304" s="10" t="str">
        <f>_xlfn.IFNA(VLOOKUP($E304,Master!$J:$M,3,0),"")</f>
        <v/>
      </c>
      <c r="AC304" s="14">
        <f t="shared" si="13"/>
        <v>0</v>
      </c>
      <c r="AD304" s="14">
        <f t="shared" si="14"/>
        <v>0</v>
      </c>
    </row>
    <row r="305" spans="2:30" ht="15" customHeight="1">
      <c r="B305" s="10" t="str">
        <f>_xlfn.IFNA(VLOOKUP(C305,Master!$J:$K,2,0),"")</f>
        <v/>
      </c>
      <c r="D305" s="17" t="str">
        <f>_xlfn.IFNA(VLOOKUP(E305,Master!$J:$K,2,0),"")</f>
        <v/>
      </c>
      <c r="F305" s="17" t="str">
        <f>_xlfn.IFNA(VLOOKUP(G305,Master!B:C,2,0),"")</f>
        <v/>
      </c>
      <c r="I305" s="10" t="str">
        <f>_xlfn.IFNA(VLOOKUP(E305,Master!$J:$M,4,0),"")</f>
        <v/>
      </c>
      <c r="J305" s="10" t="str">
        <f>_xlfn.IFNA(VLOOKUP($E305,Master!$J:$M,3,0),"")</f>
        <v/>
      </c>
      <c r="AC305" s="14">
        <f t="shared" si="13"/>
        <v>0</v>
      </c>
      <c r="AD305" s="14">
        <f t="shared" si="14"/>
        <v>0</v>
      </c>
    </row>
    <row r="306" spans="2:30" ht="15" customHeight="1">
      <c r="B306" s="10" t="str">
        <f>_xlfn.IFNA(VLOOKUP(C306,Master!$J:$K,2,0),"")</f>
        <v/>
      </c>
      <c r="D306" s="17" t="str">
        <f>_xlfn.IFNA(VLOOKUP(E306,Master!$J:$K,2,0),"")</f>
        <v/>
      </c>
      <c r="F306" s="17" t="str">
        <f>_xlfn.IFNA(VLOOKUP(G306,Master!B:C,2,0),"")</f>
        <v/>
      </c>
      <c r="I306" s="10" t="str">
        <f>_xlfn.IFNA(VLOOKUP(E306,Master!$J:$M,4,0),"")</f>
        <v/>
      </c>
      <c r="J306" s="10" t="str">
        <f>_xlfn.IFNA(VLOOKUP($E306,Master!$J:$M,3,0),"")</f>
        <v/>
      </c>
      <c r="AC306" s="14">
        <f t="shared" si="13"/>
        <v>0</v>
      </c>
      <c r="AD306" s="14">
        <f t="shared" si="14"/>
        <v>0</v>
      </c>
    </row>
    <row r="307" spans="2:30" ht="15" customHeight="1">
      <c r="B307" s="10" t="str">
        <f>_xlfn.IFNA(VLOOKUP(C307,Master!$J:$K,2,0),"")</f>
        <v/>
      </c>
      <c r="D307" s="17" t="str">
        <f>_xlfn.IFNA(VLOOKUP(E307,Master!$J:$K,2,0),"")</f>
        <v/>
      </c>
      <c r="F307" s="17" t="str">
        <f>_xlfn.IFNA(VLOOKUP(G307,Master!B:C,2,0),"")</f>
        <v/>
      </c>
      <c r="I307" s="10" t="str">
        <f>_xlfn.IFNA(VLOOKUP(E307,Master!$J:$M,4,0),"")</f>
        <v/>
      </c>
      <c r="J307" s="10" t="str">
        <f>_xlfn.IFNA(VLOOKUP($E307,Master!$J:$M,3,0),"")</f>
        <v/>
      </c>
      <c r="AC307" s="14">
        <f t="shared" si="13"/>
        <v>0</v>
      </c>
      <c r="AD307" s="14">
        <f t="shared" si="14"/>
        <v>0</v>
      </c>
    </row>
    <row r="308" spans="2:30" ht="15" customHeight="1">
      <c r="B308" s="10" t="str">
        <f>_xlfn.IFNA(VLOOKUP(C308,Master!$J:$K,2,0),"")</f>
        <v/>
      </c>
      <c r="D308" s="17" t="str">
        <f>_xlfn.IFNA(VLOOKUP(E308,Master!$J:$K,2,0),"")</f>
        <v/>
      </c>
      <c r="F308" s="17" t="str">
        <f>_xlfn.IFNA(VLOOKUP(G308,Master!B:C,2,0),"")</f>
        <v/>
      </c>
      <c r="I308" s="10" t="str">
        <f>_xlfn.IFNA(VLOOKUP(E308,Master!$J:$M,4,0),"")</f>
        <v/>
      </c>
      <c r="J308" s="10" t="str">
        <f>_xlfn.IFNA(VLOOKUP($E308,Master!$J:$M,3,0),"")</f>
        <v/>
      </c>
      <c r="AC308" s="14">
        <f t="shared" si="13"/>
        <v>0</v>
      </c>
      <c r="AD308" s="14">
        <f t="shared" si="14"/>
        <v>0</v>
      </c>
    </row>
    <row r="309" spans="2:30" ht="15" customHeight="1">
      <c r="B309" s="10" t="str">
        <f>_xlfn.IFNA(VLOOKUP(C309,Master!$J:$K,2,0),"")</f>
        <v/>
      </c>
      <c r="D309" s="17" t="str">
        <f>_xlfn.IFNA(VLOOKUP(E309,Master!$J:$K,2,0),"")</f>
        <v/>
      </c>
      <c r="F309" s="17" t="str">
        <f>_xlfn.IFNA(VLOOKUP(G309,Master!B:C,2,0),"")</f>
        <v/>
      </c>
      <c r="I309" s="10" t="str">
        <f>_xlfn.IFNA(VLOOKUP(E309,Master!$J:$M,4,0),"")</f>
        <v/>
      </c>
      <c r="J309" s="10" t="str">
        <f>_xlfn.IFNA(VLOOKUP($E309,Master!$J:$M,3,0),"")</f>
        <v/>
      </c>
      <c r="AC309" s="14">
        <f t="shared" si="13"/>
        <v>0</v>
      </c>
      <c r="AD309" s="14">
        <f t="shared" si="14"/>
        <v>0</v>
      </c>
    </row>
    <row r="310" spans="2:30" ht="15" customHeight="1">
      <c r="B310" s="10" t="str">
        <f>_xlfn.IFNA(VLOOKUP(C310,Master!$J:$K,2,0),"")</f>
        <v/>
      </c>
      <c r="D310" s="17" t="str">
        <f>_xlfn.IFNA(VLOOKUP(E310,Master!$J:$K,2,0),"")</f>
        <v/>
      </c>
      <c r="F310" s="17" t="str">
        <f>_xlfn.IFNA(VLOOKUP(G310,Master!B:C,2,0),"")</f>
        <v/>
      </c>
      <c r="I310" s="10" t="str">
        <f>_xlfn.IFNA(VLOOKUP(E310,Master!$J:$M,4,0),"")</f>
        <v/>
      </c>
      <c r="J310" s="10" t="str">
        <f>_xlfn.IFNA(VLOOKUP($E310,Master!$J:$M,3,0),"")</f>
        <v/>
      </c>
      <c r="AC310" s="14">
        <f t="shared" si="13"/>
        <v>0</v>
      </c>
      <c r="AD310" s="14">
        <f t="shared" si="14"/>
        <v>0</v>
      </c>
    </row>
    <row r="311" spans="2:30" ht="15" customHeight="1">
      <c r="B311" s="10" t="str">
        <f>_xlfn.IFNA(VLOOKUP(C311,Master!$J:$K,2,0),"")</f>
        <v/>
      </c>
      <c r="D311" s="17" t="str">
        <f>_xlfn.IFNA(VLOOKUP(E311,Master!$J:$K,2,0),"")</f>
        <v/>
      </c>
      <c r="F311" s="17" t="str">
        <f>_xlfn.IFNA(VLOOKUP(G311,Master!B:C,2,0),"")</f>
        <v/>
      </c>
      <c r="I311" s="10" t="str">
        <f>_xlfn.IFNA(VLOOKUP(E311,Master!$J:$M,4,0),"")</f>
        <v/>
      </c>
      <c r="J311" s="10" t="str">
        <f>_xlfn.IFNA(VLOOKUP($E311,Master!$J:$M,3,0),"")</f>
        <v/>
      </c>
      <c r="AC311" s="14">
        <f t="shared" si="13"/>
        <v>0</v>
      </c>
      <c r="AD311" s="14">
        <f t="shared" si="14"/>
        <v>0</v>
      </c>
    </row>
    <row r="312" spans="2:30" ht="15" customHeight="1">
      <c r="B312" s="10" t="str">
        <f>_xlfn.IFNA(VLOOKUP(C312,Master!$J:$K,2,0),"")</f>
        <v/>
      </c>
      <c r="D312" s="17" t="str">
        <f>_xlfn.IFNA(VLOOKUP(E312,Master!$J:$K,2,0),"")</f>
        <v/>
      </c>
      <c r="F312" s="17" t="str">
        <f>_xlfn.IFNA(VLOOKUP(G312,Master!B:C,2,0),"")</f>
        <v/>
      </c>
      <c r="I312" s="10" t="str">
        <f>_xlfn.IFNA(VLOOKUP(E312,Master!$J:$M,4,0),"")</f>
        <v/>
      </c>
      <c r="J312" s="10" t="str">
        <f>_xlfn.IFNA(VLOOKUP($E312,Master!$J:$M,3,0),"")</f>
        <v/>
      </c>
      <c r="AC312" s="14">
        <f t="shared" si="13"/>
        <v>0</v>
      </c>
      <c r="AD312" s="14">
        <f t="shared" si="14"/>
        <v>0</v>
      </c>
    </row>
    <row r="313" spans="2:30" ht="15" customHeight="1">
      <c r="B313" s="10" t="str">
        <f>_xlfn.IFNA(VLOOKUP(C313,Master!$J:$K,2,0),"")</f>
        <v/>
      </c>
      <c r="D313" s="17" t="str">
        <f>_xlfn.IFNA(VLOOKUP(E313,Master!$J:$K,2,0),"")</f>
        <v/>
      </c>
      <c r="F313" s="17" t="str">
        <f>_xlfn.IFNA(VLOOKUP(G313,Master!B:C,2,0),"")</f>
        <v/>
      </c>
      <c r="I313" s="10" t="str">
        <f>_xlfn.IFNA(VLOOKUP(E313,Master!$J:$M,4,0),"")</f>
        <v/>
      </c>
      <c r="J313" s="10" t="str">
        <f>_xlfn.IFNA(VLOOKUP($E313,Master!$J:$M,3,0),"")</f>
        <v/>
      </c>
      <c r="AC313" s="14">
        <f t="shared" si="13"/>
        <v>0</v>
      </c>
      <c r="AD313" s="14">
        <f t="shared" si="14"/>
        <v>0</v>
      </c>
    </row>
    <row r="314" spans="2:30" ht="15" customHeight="1">
      <c r="B314" s="10" t="str">
        <f>_xlfn.IFNA(VLOOKUP(C314,Master!$J:$K,2,0),"")</f>
        <v/>
      </c>
      <c r="D314" s="17" t="str">
        <f>_xlfn.IFNA(VLOOKUP(E314,Master!$J:$K,2,0),"")</f>
        <v/>
      </c>
      <c r="F314" s="17" t="str">
        <f>_xlfn.IFNA(VLOOKUP(G314,Master!B:C,2,0),"")</f>
        <v/>
      </c>
      <c r="I314" s="10" t="str">
        <f>_xlfn.IFNA(VLOOKUP(E314,Master!$J:$M,4,0),"")</f>
        <v/>
      </c>
      <c r="J314" s="10" t="str">
        <f>_xlfn.IFNA(VLOOKUP($E314,Master!$J:$M,3,0),"")</f>
        <v/>
      </c>
      <c r="AC314" s="14">
        <f t="shared" si="13"/>
        <v>0</v>
      </c>
      <c r="AD314" s="14">
        <f t="shared" si="14"/>
        <v>0</v>
      </c>
    </row>
    <row r="315" spans="2:30" ht="15" customHeight="1">
      <c r="B315" s="10" t="str">
        <f>_xlfn.IFNA(VLOOKUP(C315,Master!$J:$K,2,0),"")</f>
        <v/>
      </c>
      <c r="D315" s="17" t="str">
        <f>_xlfn.IFNA(VLOOKUP(E315,Master!$J:$K,2,0),"")</f>
        <v/>
      </c>
      <c r="F315" s="17" t="str">
        <f>_xlfn.IFNA(VLOOKUP(G315,Master!B:C,2,0),"")</f>
        <v/>
      </c>
      <c r="I315" s="10" t="str">
        <f>_xlfn.IFNA(VLOOKUP(E315,Master!$J:$M,4,0),"")</f>
        <v/>
      </c>
      <c r="J315" s="10" t="str">
        <f>_xlfn.IFNA(VLOOKUP($E315,Master!$J:$M,3,0),"")</f>
        <v/>
      </c>
      <c r="AC315" s="14">
        <f t="shared" si="13"/>
        <v>0</v>
      </c>
      <c r="AD315" s="14">
        <f t="shared" si="14"/>
        <v>0</v>
      </c>
    </row>
    <row r="316" spans="2:30" ht="15" customHeight="1">
      <c r="B316" s="10" t="str">
        <f>_xlfn.IFNA(VLOOKUP(C316,Master!$J:$K,2,0),"")</f>
        <v/>
      </c>
      <c r="D316" s="17" t="str">
        <f>_xlfn.IFNA(VLOOKUP(E316,Master!$J:$K,2,0),"")</f>
        <v/>
      </c>
      <c r="F316" s="17" t="str">
        <f>_xlfn.IFNA(VLOOKUP(G316,Master!B:C,2,0),"")</f>
        <v/>
      </c>
      <c r="I316" s="10" t="str">
        <f>_xlfn.IFNA(VLOOKUP(E316,Master!$J:$M,4,0),"")</f>
        <v/>
      </c>
      <c r="J316" s="10" t="str">
        <f>_xlfn.IFNA(VLOOKUP($E316,Master!$J:$M,3,0),"")</f>
        <v/>
      </c>
      <c r="AC316" s="14">
        <f t="shared" si="13"/>
        <v>0</v>
      </c>
      <c r="AD316" s="14">
        <f t="shared" si="14"/>
        <v>0</v>
      </c>
    </row>
    <row r="317" spans="2:30" ht="15" customHeight="1">
      <c r="B317" s="10" t="str">
        <f>_xlfn.IFNA(VLOOKUP(C317,Master!$J:$K,2,0),"")</f>
        <v/>
      </c>
      <c r="D317" s="17" t="str">
        <f>_xlfn.IFNA(VLOOKUP(E317,Master!$J:$K,2,0),"")</f>
        <v/>
      </c>
      <c r="F317" s="17" t="str">
        <f>_xlfn.IFNA(VLOOKUP(G317,Master!B:C,2,0),"")</f>
        <v/>
      </c>
      <c r="I317" s="10" t="str">
        <f>_xlfn.IFNA(VLOOKUP(E317,Master!$J:$M,4,0),"")</f>
        <v/>
      </c>
      <c r="J317" s="10" t="str">
        <f>_xlfn.IFNA(VLOOKUP($E317,Master!$J:$M,3,0),"")</f>
        <v/>
      </c>
      <c r="AC317" s="14">
        <f t="shared" si="13"/>
        <v>0</v>
      </c>
      <c r="AD317" s="14">
        <f t="shared" si="14"/>
        <v>0</v>
      </c>
    </row>
    <row r="318" spans="2:30" ht="15" customHeight="1">
      <c r="B318" s="10" t="str">
        <f>_xlfn.IFNA(VLOOKUP(C318,Master!$J:$K,2,0),"")</f>
        <v/>
      </c>
      <c r="D318" s="17" t="str">
        <f>_xlfn.IFNA(VLOOKUP(E318,Master!$J:$K,2,0),"")</f>
        <v/>
      </c>
      <c r="F318" s="17" t="str">
        <f>_xlfn.IFNA(VLOOKUP(G318,Master!B:C,2,0),"")</f>
        <v/>
      </c>
      <c r="I318" s="10" t="str">
        <f>_xlfn.IFNA(VLOOKUP(E318,Master!$J:$M,4,0),"")</f>
        <v/>
      </c>
      <c r="J318" s="10" t="str">
        <f>_xlfn.IFNA(VLOOKUP($E318,Master!$J:$M,3,0),"")</f>
        <v/>
      </c>
      <c r="AC318" s="14">
        <f t="shared" si="13"/>
        <v>0</v>
      </c>
      <c r="AD318" s="14">
        <f t="shared" si="14"/>
        <v>0</v>
      </c>
    </row>
    <row r="319" spans="2:30" ht="15" customHeight="1">
      <c r="B319" s="10" t="str">
        <f>_xlfn.IFNA(VLOOKUP(C319,Master!$J:$K,2,0),"")</f>
        <v/>
      </c>
      <c r="D319" s="17" t="str">
        <f>_xlfn.IFNA(VLOOKUP(E319,Master!$J:$K,2,0),"")</f>
        <v/>
      </c>
      <c r="F319" s="17" t="str">
        <f>_xlfn.IFNA(VLOOKUP(G319,Master!B:C,2,0),"")</f>
        <v/>
      </c>
      <c r="I319" s="10" t="str">
        <f>_xlfn.IFNA(VLOOKUP(E319,Master!$J:$M,4,0),"")</f>
        <v/>
      </c>
      <c r="J319" s="10" t="str">
        <f>_xlfn.IFNA(VLOOKUP($E319,Master!$J:$M,3,0),"")</f>
        <v/>
      </c>
      <c r="AC319" s="14">
        <f t="shared" si="13"/>
        <v>0</v>
      </c>
      <c r="AD319" s="14">
        <f t="shared" si="14"/>
        <v>0</v>
      </c>
    </row>
    <row r="320" spans="2:30" ht="15" customHeight="1">
      <c r="B320" s="10" t="str">
        <f>_xlfn.IFNA(VLOOKUP(C320,Master!$J:$K,2,0),"")</f>
        <v/>
      </c>
      <c r="D320" s="17" t="str">
        <f>_xlfn.IFNA(VLOOKUP(E320,Master!$J:$K,2,0),"")</f>
        <v/>
      </c>
      <c r="F320" s="17" t="str">
        <f>_xlfn.IFNA(VLOOKUP(G320,Master!B:C,2,0),"")</f>
        <v/>
      </c>
      <c r="I320" s="10" t="str">
        <f>_xlfn.IFNA(VLOOKUP(E320,Master!$J:$M,4,0),"")</f>
        <v/>
      </c>
      <c r="J320" s="10" t="str">
        <f>_xlfn.IFNA(VLOOKUP($E320,Master!$J:$M,3,0),"")</f>
        <v/>
      </c>
      <c r="AC320" s="14">
        <f t="shared" si="13"/>
        <v>0</v>
      </c>
      <c r="AD320" s="14">
        <f t="shared" si="14"/>
        <v>0</v>
      </c>
    </row>
    <row r="321" spans="2:30" ht="15" customHeight="1">
      <c r="B321" s="10" t="str">
        <f>_xlfn.IFNA(VLOOKUP(C321,Master!$J:$K,2,0),"")</f>
        <v/>
      </c>
      <c r="D321" s="17" t="str">
        <f>_xlfn.IFNA(VLOOKUP(E321,Master!$J:$K,2,0),"")</f>
        <v/>
      </c>
      <c r="F321" s="17" t="str">
        <f>_xlfn.IFNA(VLOOKUP(G321,Master!B:C,2,0),"")</f>
        <v/>
      </c>
      <c r="I321" s="10" t="str">
        <f>_xlfn.IFNA(VLOOKUP(E321,Master!$J:$M,4,0),"")</f>
        <v/>
      </c>
      <c r="J321" s="10" t="str">
        <f>_xlfn.IFNA(VLOOKUP($E321,Master!$J:$M,3,0),"")</f>
        <v/>
      </c>
      <c r="AC321" s="14">
        <f t="shared" si="13"/>
        <v>0</v>
      </c>
      <c r="AD321" s="14">
        <f t="shared" si="14"/>
        <v>0</v>
      </c>
    </row>
    <row r="322" spans="2:30" ht="15" customHeight="1">
      <c r="B322" s="10" t="str">
        <f>_xlfn.IFNA(VLOOKUP(C322,Master!$J:$K,2,0),"")</f>
        <v/>
      </c>
      <c r="D322" s="17" t="str">
        <f>_xlfn.IFNA(VLOOKUP(E322,Master!$J:$K,2,0),"")</f>
        <v/>
      </c>
      <c r="F322" s="17" t="str">
        <f>_xlfn.IFNA(VLOOKUP(G322,Master!B:C,2,0),"")</f>
        <v/>
      </c>
      <c r="I322" s="10" t="str">
        <f>_xlfn.IFNA(VLOOKUP(E322,Master!$J:$M,4,0),"")</f>
        <v/>
      </c>
      <c r="J322" s="10" t="str">
        <f>_xlfn.IFNA(VLOOKUP($E322,Master!$J:$M,3,0),"")</f>
        <v/>
      </c>
      <c r="AC322" s="14">
        <f t="shared" ref="AC322:AC385" si="15">SUM(K322:P322)</f>
        <v>0</v>
      </c>
      <c r="AD322" s="14">
        <f t="shared" ref="AD322:AD385" si="16">SUM(Q322:AB322)</f>
        <v>0</v>
      </c>
    </row>
    <row r="323" spans="2:30" ht="15" customHeight="1">
      <c r="B323" s="10" t="str">
        <f>_xlfn.IFNA(VLOOKUP(C323,Master!$J:$K,2,0),"")</f>
        <v/>
      </c>
      <c r="D323" s="17" t="str">
        <f>_xlfn.IFNA(VLOOKUP(E323,Master!$J:$K,2,0),"")</f>
        <v/>
      </c>
      <c r="F323" s="17" t="str">
        <f>_xlfn.IFNA(VLOOKUP(G323,Master!B:C,2,0),"")</f>
        <v/>
      </c>
      <c r="I323" s="10" t="str">
        <f>_xlfn.IFNA(VLOOKUP(E323,Master!$J:$M,4,0),"")</f>
        <v/>
      </c>
      <c r="J323" s="10" t="str">
        <f>_xlfn.IFNA(VLOOKUP($E323,Master!$J:$M,3,0),"")</f>
        <v/>
      </c>
      <c r="AC323" s="14">
        <f t="shared" si="15"/>
        <v>0</v>
      </c>
      <c r="AD323" s="14">
        <f t="shared" si="16"/>
        <v>0</v>
      </c>
    </row>
    <row r="324" spans="2:30" ht="15" customHeight="1">
      <c r="B324" s="10" t="str">
        <f>_xlfn.IFNA(VLOOKUP(C324,Master!$J:$K,2,0),"")</f>
        <v/>
      </c>
      <c r="D324" s="17" t="str">
        <f>_xlfn.IFNA(VLOOKUP(E324,Master!$J:$K,2,0),"")</f>
        <v/>
      </c>
      <c r="F324" s="17" t="str">
        <f>_xlfn.IFNA(VLOOKUP(G324,Master!B:C,2,0),"")</f>
        <v/>
      </c>
      <c r="I324" s="10" t="str">
        <f>_xlfn.IFNA(VLOOKUP(E324,Master!$J:$M,4,0),"")</f>
        <v/>
      </c>
      <c r="J324" s="10" t="str">
        <f>_xlfn.IFNA(VLOOKUP($E324,Master!$J:$M,3,0),"")</f>
        <v/>
      </c>
      <c r="AC324" s="14">
        <f t="shared" si="15"/>
        <v>0</v>
      </c>
      <c r="AD324" s="14">
        <f t="shared" si="16"/>
        <v>0</v>
      </c>
    </row>
    <row r="325" spans="2:30" ht="15" customHeight="1">
      <c r="B325" s="10" t="str">
        <f>_xlfn.IFNA(VLOOKUP(C325,Master!$J:$K,2,0),"")</f>
        <v/>
      </c>
      <c r="D325" s="17" t="str">
        <f>_xlfn.IFNA(VLOOKUP(E325,Master!$J:$K,2,0),"")</f>
        <v/>
      </c>
      <c r="F325" s="17" t="str">
        <f>_xlfn.IFNA(VLOOKUP(G325,Master!B:C,2,0),"")</f>
        <v/>
      </c>
      <c r="I325" s="10" t="str">
        <f>_xlfn.IFNA(VLOOKUP(E325,Master!$J:$M,4,0),"")</f>
        <v/>
      </c>
      <c r="J325" s="10" t="str">
        <f>_xlfn.IFNA(VLOOKUP($E325,Master!$J:$M,3,0),"")</f>
        <v/>
      </c>
      <c r="AC325" s="14">
        <f t="shared" si="15"/>
        <v>0</v>
      </c>
      <c r="AD325" s="14">
        <f t="shared" si="16"/>
        <v>0</v>
      </c>
    </row>
    <row r="326" spans="2:30" ht="15" customHeight="1">
      <c r="B326" s="10" t="str">
        <f>_xlfn.IFNA(VLOOKUP(C326,Master!$J:$K,2,0),"")</f>
        <v/>
      </c>
      <c r="D326" s="17" t="str">
        <f>_xlfn.IFNA(VLOOKUP(E326,Master!$J:$K,2,0),"")</f>
        <v/>
      </c>
      <c r="F326" s="17" t="str">
        <f>_xlfn.IFNA(VLOOKUP(G326,Master!B:C,2,0),"")</f>
        <v/>
      </c>
      <c r="I326" s="10" t="str">
        <f>_xlfn.IFNA(VLOOKUP(E326,Master!$J:$M,4,0),"")</f>
        <v/>
      </c>
      <c r="J326" s="10" t="str">
        <f>_xlfn.IFNA(VLOOKUP($E326,Master!$J:$M,3,0),"")</f>
        <v/>
      </c>
      <c r="AC326" s="14">
        <f t="shared" si="15"/>
        <v>0</v>
      </c>
      <c r="AD326" s="14">
        <f t="shared" si="16"/>
        <v>0</v>
      </c>
    </row>
    <row r="327" spans="2:30" ht="15" customHeight="1">
      <c r="B327" s="10" t="str">
        <f>_xlfn.IFNA(VLOOKUP(C327,Master!$J:$K,2,0),"")</f>
        <v/>
      </c>
      <c r="D327" s="17" t="str">
        <f>_xlfn.IFNA(VLOOKUP(E327,Master!$J:$K,2,0),"")</f>
        <v/>
      </c>
      <c r="F327" s="17" t="str">
        <f>_xlfn.IFNA(VLOOKUP(G327,Master!B:C,2,0),"")</f>
        <v/>
      </c>
      <c r="I327" s="10" t="str">
        <f>_xlfn.IFNA(VLOOKUP(E327,Master!$J:$M,4,0),"")</f>
        <v/>
      </c>
      <c r="J327" s="10" t="str">
        <f>_xlfn.IFNA(VLOOKUP($E327,Master!$J:$M,3,0),"")</f>
        <v/>
      </c>
      <c r="AC327" s="14">
        <f t="shared" si="15"/>
        <v>0</v>
      </c>
      <c r="AD327" s="14">
        <f t="shared" si="16"/>
        <v>0</v>
      </c>
    </row>
    <row r="328" spans="2:30" ht="15" customHeight="1">
      <c r="B328" s="10" t="str">
        <f>_xlfn.IFNA(VLOOKUP(C328,Master!$J:$K,2,0),"")</f>
        <v/>
      </c>
      <c r="D328" s="17" t="str">
        <f>_xlfn.IFNA(VLOOKUP(E328,Master!$J:$K,2,0),"")</f>
        <v/>
      </c>
      <c r="F328" s="17" t="str">
        <f>_xlfn.IFNA(VLOOKUP(G328,Master!B:C,2,0),"")</f>
        <v/>
      </c>
      <c r="I328" s="10" t="str">
        <f>_xlfn.IFNA(VLOOKUP(E328,Master!$J:$M,4,0),"")</f>
        <v/>
      </c>
      <c r="J328" s="10" t="str">
        <f>_xlfn.IFNA(VLOOKUP($E328,Master!$J:$M,3,0),"")</f>
        <v/>
      </c>
      <c r="AC328" s="14">
        <f t="shared" si="15"/>
        <v>0</v>
      </c>
      <c r="AD328" s="14">
        <f t="shared" si="16"/>
        <v>0</v>
      </c>
    </row>
    <row r="329" spans="2:30" ht="15" customHeight="1">
      <c r="B329" s="10" t="str">
        <f>_xlfn.IFNA(VLOOKUP(C329,Master!$J:$K,2,0),"")</f>
        <v/>
      </c>
      <c r="D329" s="17" t="str">
        <f>_xlfn.IFNA(VLOOKUP(E329,Master!$J:$K,2,0),"")</f>
        <v/>
      </c>
      <c r="F329" s="17" t="str">
        <f>_xlfn.IFNA(VLOOKUP(G329,Master!B:C,2,0),"")</f>
        <v/>
      </c>
      <c r="I329" s="10" t="str">
        <f>_xlfn.IFNA(VLOOKUP(E329,Master!$J:$M,4,0),"")</f>
        <v/>
      </c>
      <c r="J329" s="10" t="str">
        <f>_xlfn.IFNA(VLOOKUP($E329,Master!$J:$M,3,0),"")</f>
        <v/>
      </c>
      <c r="AC329" s="14">
        <f t="shared" si="15"/>
        <v>0</v>
      </c>
      <c r="AD329" s="14">
        <f t="shared" si="16"/>
        <v>0</v>
      </c>
    </row>
    <row r="330" spans="2:30" ht="15" customHeight="1">
      <c r="B330" s="10" t="str">
        <f>_xlfn.IFNA(VLOOKUP(C330,Master!$J:$K,2,0),"")</f>
        <v/>
      </c>
      <c r="D330" s="17" t="str">
        <f>_xlfn.IFNA(VLOOKUP(E330,Master!$J:$K,2,0),"")</f>
        <v/>
      </c>
      <c r="F330" s="17" t="str">
        <f>_xlfn.IFNA(VLOOKUP(G330,Master!B:C,2,0),"")</f>
        <v/>
      </c>
      <c r="I330" s="10" t="str">
        <f>_xlfn.IFNA(VLOOKUP(E330,Master!$J:$M,4,0),"")</f>
        <v/>
      </c>
      <c r="J330" s="10" t="str">
        <f>_xlfn.IFNA(VLOOKUP($E330,Master!$J:$M,3,0),"")</f>
        <v/>
      </c>
      <c r="AC330" s="14">
        <f t="shared" si="15"/>
        <v>0</v>
      </c>
      <c r="AD330" s="14">
        <f t="shared" si="16"/>
        <v>0</v>
      </c>
    </row>
    <row r="331" spans="2:30" ht="15" customHeight="1">
      <c r="B331" s="10" t="str">
        <f>_xlfn.IFNA(VLOOKUP(C331,Master!$J:$K,2,0),"")</f>
        <v/>
      </c>
      <c r="D331" s="17" t="str">
        <f>_xlfn.IFNA(VLOOKUP(E331,Master!$J:$K,2,0),"")</f>
        <v/>
      </c>
      <c r="F331" s="17" t="str">
        <f>_xlfn.IFNA(VLOOKUP(G331,Master!B:C,2,0),"")</f>
        <v/>
      </c>
      <c r="I331" s="10" t="str">
        <f>_xlfn.IFNA(VLOOKUP(E331,Master!$J:$M,4,0),"")</f>
        <v/>
      </c>
      <c r="J331" s="10" t="str">
        <f>_xlfn.IFNA(VLOOKUP($E331,Master!$J:$M,3,0),"")</f>
        <v/>
      </c>
      <c r="AC331" s="14">
        <f t="shared" si="15"/>
        <v>0</v>
      </c>
      <c r="AD331" s="14">
        <f t="shared" si="16"/>
        <v>0</v>
      </c>
    </row>
    <row r="332" spans="2:30" ht="15" customHeight="1">
      <c r="B332" s="10" t="str">
        <f>_xlfn.IFNA(VLOOKUP(C332,Master!$J:$K,2,0),"")</f>
        <v/>
      </c>
      <c r="D332" s="17" t="str">
        <f>_xlfn.IFNA(VLOOKUP(E332,Master!$J:$K,2,0),"")</f>
        <v/>
      </c>
      <c r="F332" s="17" t="str">
        <f>_xlfn.IFNA(VLOOKUP(G332,Master!B:C,2,0),"")</f>
        <v/>
      </c>
      <c r="I332" s="10" t="str">
        <f>_xlfn.IFNA(VLOOKUP(E332,Master!$J:$M,4,0),"")</f>
        <v/>
      </c>
      <c r="J332" s="10" t="str">
        <f>_xlfn.IFNA(VLOOKUP($E332,Master!$J:$M,3,0),"")</f>
        <v/>
      </c>
      <c r="AC332" s="14">
        <f t="shared" si="15"/>
        <v>0</v>
      </c>
      <c r="AD332" s="14">
        <f t="shared" si="16"/>
        <v>0</v>
      </c>
    </row>
    <row r="333" spans="2:30" ht="15" customHeight="1">
      <c r="B333" s="10" t="str">
        <f>_xlfn.IFNA(VLOOKUP(C333,Master!$J:$K,2,0),"")</f>
        <v/>
      </c>
      <c r="D333" s="17" t="str">
        <f>_xlfn.IFNA(VLOOKUP(E333,Master!$J:$K,2,0),"")</f>
        <v/>
      </c>
      <c r="F333" s="17" t="str">
        <f>_xlfn.IFNA(VLOOKUP(G333,Master!B:C,2,0),"")</f>
        <v/>
      </c>
      <c r="I333" s="10" t="str">
        <f>_xlfn.IFNA(VLOOKUP(E333,Master!$J:$M,4,0),"")</f>
        <v/>
      </c>
      <c r="J333" s="10" t="str">
        <f>_xlfn.IFNA(VLOOKUP($E333,Master!$J:$M,3,0),"")</f>
        <v/>
      </c>
      <c r="AC333" s="14">
        <f t="shared" si="15"/>
        <v>0</v>
      </c>
      <c r="AD333" s="14">
        <f t="shared" si="16"/>
        <v>0</v>
      </c>
    </row>
    <row r="334" spans="2:30" ht="15" customHeight="1">
      <c r="B334" s="10" t="str">
        <f>_xlfn.IFNA(VLOOKUP(C334,Master!$J:$K,2,0),"")</f>
        <v/>
      </c>
      <c r="D334" s="17" t="str">
        <f>_xlfn.IFNA(VLOOKUP(E334,Master!$J:$K,2,0),"")</f>
        <v/>
      </c>
      <c r="F334" s="17" t="str">
        <f>_xlfn.IFNA(VLOOKUP(G334,Master!B:C,2,0),"")</f>
        <v/>
      </c>
      <c r="I334" s="10" t="str">
        <f>_xlfn.IFNA(VLOOKUP(E334,Master!$J:$M,4,0),"")</f>
        <v/>
      </c>
      <c r="J334" s="10" t="str">
        <f>_xlfn.IFNA(VLOOKUP($E334,Master!$J:$M,3,0),"")</f>
        <v/>
      </c>
      <c r="AC334" s="14">
        <f t="shared" si="15"/>
        <v>0</v>
      </c>
      <c r="AD334" s="14">
        <f t="shared" si="16"/>
        <v>0</v>
      </c>
    </row>
    <row r="335" spans="2:30" ht="15" customHeight="1">
      <c r="B335" s="10" t="str">
        <f>_xlfn.IFNA(VLOOKUP(C335,Master!$J:$K,2,0),"")</f>
        <v/>
      </c>
      <c r="D335" s="17" t="str">
        <f>_xlfn.IFNA(VLOOKUP(E335,Master!$J:$K,2,0),"")</f>
        <v/>
      </c>
      <c r="F335" s="17" t="str">
        <f>_xlfn.IFNA(VLOOKUP(G335,Master!B:C,2,0),"")</f>
        <v/>
      </c>
      <c r="I335" s="10" t="str">
        <f>_xlfn.IFNA(VLOOKUP(E335,Master!$J:$M,4,0),"")</f>
        <v/>
      </c>
      <c r="J335" s="10" t="str">
        <f>_xlfn.IFNA(VLOOKUP($E335,Master!$J:$M,3,0),"")</f>
        <v/>
      </c>
      <c r="AC335" s="14">
        <f t="shared" si="15"/>
        <v>0</v>
      </c>
      <c r="AD335" s="14">
        <f t="shared" si="16"/>
        <v>0</v>
      </c>
    </row>
    <row r="336" spans="2:30" ht="15" customHeight="1">
      <c r="B336" s="10" t="str">
        <f>_xlfn.IFNA(VLOOKUP(C336,Master!$J:$K,2,0),"")</f>
        <v/>
      </c>
      <c r="D336" s="17" t="str">
        <f>_xlfn.IFNA(VLOOKUP(E336,Master!$J:$K,2,0),"")</f>
        <v/>
      </c>
      <c r="F336" s="17" t="str">
        <f>_xlfn.IFNA(VLOOKUP(G336,Master!B:C,2,0),"")</f>
        <v/>
      </c>
      <c r="I336" s="10" t="str">
        <f>_xlfn.IFNA(VLOOKUP(E336,Master!$J:$M,4,0),"")</f>
        <v/>
      </c>
      <c r="J336" s="10" t="str">
        <f>_xlfn.IFNA(VLOOKUP($E336,Master!$J:$M,3,0),"")</f>
        <v/>
      </c>
      <c r="AC336" s="14">
        <f t="shared" si="15"/>
        <v>0</v>
      </c>
      <c r="AD336" s="14">
        <f t="shared" si="16"/>
        <v>0</v>
      </c>
    </row>
    <row r="337" spans="2:30" ht="15" customHeight="1">
      <c r="B337" s="10" t="str">
        <f>_xlfn.IFNA(VLOOKUP(C337,Master!$J:$K,2,0),"")</f>
        <v/>
      </c>
      <c r="D337" s="17" t="str">
        <f>_xlfn.IFNA(VLOOKUP(E337,Master!$J:$K,2,0),"")</f>
        <v/>
      </c>
      <c r="F337" s="17" t="str">
        <f>_xlfn.IFNA(VLOOKUP(G337,Master!B:C,2,0),"")</f>
        <v/>
      </c>
      <c r="I337" s="10" t="str">
        <f>_xlfn.IFNA(VLOOKUP(E337,Master!$J:$M,4,0),"")</f>
        <v/>
      </c>
      <c r="J337" s="10" t="str">
        <f>_xlfn.IFNA(VLOOKUP($E337,Master!$J:$M,3,0),"")</f>
        <v/>
      </c>
      <c r="AC337" s="14">
        <f t="shared" si="15"/>
        <v>0</v>
      </c>
      <c r="AD337" s="14">
        <f t="shared" si="16"/>
        <v>0</v>
      </c>
    </row>
    <row r="338" spans="2:30" ht="15" customHeight="1">
      <c r="B338" s="10" t="str">
        <f>_xlfn.IFNA(VLOOKUP(C338,Master!$J:$K,2,0),"")</f>
        <v/>
      </c>
      <c r="D338" s="17" t="str">
        <f>_xlfn.IFNA(VLOOKUP(E338,Master!$J:$K,2,0),"")</f>
        <v/>
      </c>
      <c r="F338" s="17" t="str">
        <f>_xlfn.IFNA(VLOOKUP(G338,Master!B:C,2,0),"")</f>
        <v/>
      </c>
      <c r="I338" s="10" t="str">
        <f>_xlfn.IFNA(VLOOKUP(E338,Master!$J:$M,4,0),"")</f>
        <v/>
      </c>
      <c r="J338" s="10" t="str">
        <f>_xlfn.IFNA(VLOOKUP($E338,Master!$J:$M,3,0),"")</f>
        <v/>
      </c>
      <c r="AC338" s="14">
        <f t="shared" si="15"/>
        <v>0</v>
      </c>
      <c r="AD338" s="14">
        <f t="shared" si="16"/>
        <v>0</v>
      </c>
    </row>
    <row r="339" spans="2:30" ht="15" customHeight="1">
      <c r="B339" s="10" t="str">
        <f>_xlfn.IFNA(VLOOKUP(C339,Master!$J:$K,2,0),"")</f>
        <v/>
      </c>
      <c r="D339" s="17" t="str">
        <f>_xlfn.IFNA(VLOOKUP(E339,Master!$J:$K,2,0),"")</f>
        <v/>
      </c>
      <c r="F339" s="17" t="str">
        <f>_xlfn.IFNA(VLOOKUP(G339,Master!B:C,2,0),"")</f>
        <v/>
      </c>
      <c r="I339" s="10" t="str">
        <f>_xlfn.IFNA(VLOOKUP(E339,Master!$J:$M,4,0),"")</f>
        <v/>
      </c>
      <c r="J339" s="10" t="str">
        <f>_xlfn.IFNA(VLOOKUP($E339,Master!$J:$M,3,0),"")</f>
        <v/>
      </c>
      <c r="AC339" s="14">
        <f t="shared" si="15"/>
        <v>0</v>
      </c>
      <c r="AD339" s="14">
        <f t="shared" si="16"/>
        <v>0</v>
      </c>
    </row>
    <row r="340" spans="2:30" ht="15" customHeight="1">
      <c r="B340" s="10" t="str">
        <f>_xlfn.IFNA(VLOOKUP(C340,Master!$J:$K,2,0),"")</f>
        <v/>
      </c>
      <c r="D340" s="17" t="str">
        <f>_xlfn.IFNA(VLOOKUP(E340,Master!$J:$K,2,0),"")</f>
        <v/>
      </c>
      <c r="F340" s="17" t="str">
        <f>_xlfn.IFNA(VLOOKUP(G340,Master!B:C,2,0),"")</f>
        <v/>
      </c>
      <c r="I340" s="10" t="str">
        <f>_xlfn.IFNA(VLOOKUP(E340,Master!$J:$M,4,0),"")</f>
        <v/>
      </c>
      <c r="J340" s="10" t="str">
        <f>_xlfn.IFNA(VLOOKUP($E340,Master!$J:$M,3,0),"")</f>
        <v/>
      </c>
      <c r="AC340" s="14">
        <f t="shared" si="15"/>
        <v>0</v>
      </c>
      <c r="AD340" s="14">
        <f t="shared" si="16"/>
        <v>0</v>
      </c>
    </row>
    <row r="341" spans="2:30" ht="15" customHeight="1">
      <c r="B341" s="10" t="str">
        <f>_xlfn.IFNA(VLOOKUP(C341,Master!$J:$K,2,0),"")</f>
        <v/>
      </c>
      <c r="D341" s="17" t="str">
        <f>_xlfn.IFNA(VLOOKUP(E341,Master!$J:$K,2,0),"")</f>
        <v/>
      </c>
      <c r="F341" s="17" t="str">
        <f>_xlfn.IFNA(VLOOKUP(G341,Master!B:C,2,0),"")</f>
        <v/>
      </c>
      <c r="I341" s="10" t="str">
        <f>_xlfn.IFNA(VLOOKUP(E341,Master!$J:$M,4,0),"")</f>
        <v/>
      </c>
      <c r="J341" s="10" t="str">
        <f>_xlfn.IFNA(VLOOKUP($E341,Master!$J:$M,3,0),"")</f>
        <v/>
      </c>
      <c r="AC341" s="14">
        <f t="shared" si="15"/>
        <v>0</v>
      </c>
      <c r="AD341" s="14">
        <f t="shared" si="16"/>
        <v>0</v>
      </c>
    </row>
    <row r="342" spans="2:30" ht="15" customHeight="1">
      <c r="B342" s="10" t="str">
        <f>_xlfn.IFNA(VLOOKUP(C342,Master!$J:$K,2,0),"")</f>
        <v/>
      </c>
      <c r="D342" s="17" t="str">
        <f>_xlfn.IFNA(VLOOKUP(E342,Master!$J:$K,2,0),"")</f>
        <v/>
      </c>
      <c r="F342" s="17" t="str">
        <f>_xlfn.IFNA(VLOOKUP(G342,Master!B:C,2,0),"")</f>
        <v/>
      </c>
      <c r="I342" s="10" t="str">
        <f>_xlfn.IFNA(VLOOKUP(E342,Master!$J:$M,4,0),"")</f>
        <v/>
      </c>
      <c r="J342" s="10" t="str">
        <f>_xlfn.IFNA(VLOOKUP($E342,Master!$J:$M,3,0),"")</f>
        <v/>
      </c>
      <c r="AC342" s="14">
        <f t="shared" si="15"/>
        <v>0</v>
      </c>
      <c r="AD342" s="14">
        <f t="shared" si="16"/>
        <v>0</v>
      </c>
    </row>
    <row r="343" spans="2:30" ht="15" customHeight="1">
      <c r="B343" s="10" t="str">
        <f>_xlfn.IFNA(VLOOKUP(C343,Master!$J:$K,2,0),"")</f>
        <v/>
      </c>
      <c r="D343" s="17" t="str">
        <f>_xlfn.IFNA(VLOOKUP(E343,Master!$J:$K,2,0),"")</f>
        <v/>
      </c>
      <c r="F343" s="17" t="str">
        <f>_xlfn.IFNA(VLOOKUP(G343,Master!B:C,2,0),"")</f>
        <v/>
      </c>
      <c r="I343" s="10" t="str">
        <f>_xlfn.IFNA(VLOOKUP(E343,Master!$J:$M,4,0),"")</f>
        <v/>
      </c>
      <c r="J343" s="10" t="str">
        <f>_xlfn.IFNA(VLOOKUP($E343,Master!$J:$M,3,0),"")</f>
        <v/>
      </c>
      <c r="AC343" s="14">
        <f t="shared" si="15"/>
        <v>0</v>
      </c>
      <c r="AD343" s="14">
        <f t="shared" si="16"/>
        <v>0</v>
      </c>
    </row>
    <row r="344" spans="2:30" ht="15" customHeight="1">
      <c r="B344" s="10" t="str">
        <f>_xlfn.IFNA(VLOOKUP(C344,Master!$J:$K,2,0),"")</f>
        <v/>
      </c>
      <c r="D344" s="17" t="str">
        <f>_xlfn.IFNA(VLOOKUP(E344,Master!$J:$K,2,0),"")</f>
        <v/>
      </c>
      <c r="F344" s="17" t="str">
        <f>_xlfn.IFNA(VLOOKUP(G344,Master!B:C,2,0),"")</f>
        <v/>
      </c>
      <c r="I344" s="10" t="str">
        <f>_xlfn.IFNA(VLOOKUP(E344,Master!$J:$M,4,0),"")</f>
        <v/>
      </c>
      <c r="J344" s="10" t="str">
        <f>_xlfn.IFNA(VLOOKUP($E344,Master!$J:$M,3,0),"")</f>
        <v/>
      </c>
      <c r="AC344" s="14">
        <f t="shared" si="15"/>
        <v>0</v>
      </c>
      <c r="AD344" s="14">
        <f t="shared" si="16"/>
        <v>0</v>
      </c>
    </row>
    <row r="345" spans="2:30" ht="15" customHeight="1">
      <c r="B345" s="10" t="str">
        <f>_xlfn.IFNA(VLOOKUP(C345,Master!$J:$K,2,0),"")</f>
        <v/>
      </c>
      <c r="D345" s="17" t="str">
        <f>_xlfn.IFNA(VLOOKUP(E345,Master!$J:$K,2,0),"")</f>
        <v/>
      </c>
      <c r="F345" s="17" t="str">
        <f>_xlfn.IFNA(VLOOKUP(G345,Master!B:C,2,0),"")</f>
        <v/>
      </c>
      <c r="I345" s="10" t="str">
        <f>_xlfn.IFNA(VLOOKUP(E345,Master!$J:$M,4,0),"")</f>
        <v/>
      </c>
      <c r="J345" s="10" t="str">
        <f>_xlfn.IFNA(VLOOKUP($E345,Master!$J:$M,3,0),"")</f>
        <v/>
      </c>
      <c r="AC345" s="14">
        <f t="shared" si="15"/>
        <v>0</v>
      </c>
      <c r="AD345" s="14">
        <f t="shared" si="16"/>
        <v>0</v>
      </c>
    </row>
    <row r="346" spans="2:30" ht="15" customHeight="1">
      <c r="B346" s="10" t="str">
        <f>_xlfn.IFNA(VLOOKUP(C346,Master!$J:$K,2,0),"")</f>
        <v/>
      </c>
      <c r="D346" s="17" t="str">
        <f>_xlfn.IFNA(VLOOKUP(E346,Master!$J:$K,2,0),"")</f>
        <v/>
      </c>
      <c r="F346" s="17" t="str">
        <f>_xlfn.IFNA(VLOOKUP(G346,Master!B:C,2,0),"")</f>
        <v/>
      </c>
      <c r="I346" s="10" t="str">
        <f>_xlfn.IFNA(VLOOKUP(E346,Master!$J:$M,4,0),"")</f>
        <v/>
      </c>
      <c r="J346" s="10" t="str">
        <f>_xlfn.IFNA(VLOOKUP($E346,Master!$J:$M,3,0),"")</f>
        <v/>
      </c>
      <c r="AC346" s="14">
        <f t="shared" si="15"/>
        <v>0</v>
      </c>
      <c r="AD346" s="14">
        <f t="shared" si="16"/>
        <v>0</v>
      </c>
    </row>
    <row r="347" spans="2:30" ht="15" customHeight="1">
      <c r="B347" s="10" t="str">
        <f>_xlfn.IFNA(VLOOKUP(C347,Master!$J:$K,2,0),"")</f>
        <v/>
      </c>
      <c r="D347" s="17" t="str">
        <f>_xlfn.IFNA(VLOOKUP(E347,Master!$J:$K,2,0),"")</f>
        <v/>
      </c>
      <c r="F347" s="17" t="str">
        <f>_xlfn.IFNA(VLOOKUP(G347,Master!B:C,2,0),"")</f>
        <v/>
      </c>
      <c r="I347" s="10" t="str">
        <f>_xlfn.IFNA(VLOOKUP(E347,Master!$J:$M,4,0),"")</f>
        <v/>
      </c>
      <c r="J347" s="10" t="str">
        <f>_xlfn.IFNA(VLOOKUP($E347,Master!$J:$M,3,0),"")</f>
        <v/>
      </c>
      <c r="AC347" s="14">
        <f t="shared" si="15"/>
        <v>0</v>
      </c>
      <c r="AD347" s="14">
        <f t="shared" si="16"/>
        <v>0</v>
      </c>
    </row>
    <row r="348" spans="2:30" ht="15" customHeight="1">
      <c r="B348" s="10" t="str">
        <f>_xlfn.IFNA(VLOOKUP(C348,Master!$J:$K,2,0),"")</f>
        <v/>
      </c>
      <c r="D348" s="17" t="str">
        <f>_xlfn.IFNA(VLOOKUP(E348,Master!$J:$K,2,0),"")</f>
        <v/>
      </c>
      <c r="F348" s="17" t="str">
        <f>_xlfn.IFNA(VLOOKUP(G348,Master!B:C,2,0),"")</f>
        <v/>
      </c>
      <c r="I348" s="10" t="str">
        <f>_xlfn.IFNA(VLOOKUP(E348,Master!$J:$M,4,0),"")</f>
        <v/>
      </c>
      <c r="J348" s="10" t="str">
        <f>_xlfn.IFNA(VLOOKUP($E348,Master!$J:$M,3,0),"")</f>
        <v/>
      </c>
      <c r="AC348" s="14">
        <f t="shared" si="15"/>
        <v>0</v>
      </c>
      <c r="AD348" s="14">
        <f t="shared" si="16"/>
        <v>0</v>
      </c>
    </row>
    <row r="349" spans="2:30" ht="15" customHeight="1">
      <c r="B349" s="10" t="str">
        <f>_xlfn.IFNA(VLOOKUP(C349,Master!$J:$K,2,0),"")</f>
        <v/>
      </c>
      <c r="D349" s="17" t="str">
        <f>_xlfn.IFNA(VLOOKUP(E349,Master!$J:$K,2,0),"")</f>
        <v/>
      </c>
      <c r="F349" s="17" t="str">
        <f>_xlfn.IFNA(VLOOKUP(G349,Master!B:C,2,0),"")</f>
        <v/>
      </c>
      <c r="I349" s="10" t="str">
        <f>_xlfn.IFNA(VLOOKUP(E349,Master!$J:$M,4,0),"")</f>
        <v/>
      </c>
      <c r="J349" s="10" t="str">
        <f>_xlfn.IFNA(VLOOKUP($E349,Master!$J:$M,3,0),"")</f>
        <v/>
      </c>
      <c r="AC349" s="14">
        <f t="shared" si="15"/>
        <v>0</v>
      </c>
      <c r="AD349" s="14">
        <f t="shared" si="16"/>
        <v>0</v>
      </c>
    </row>
    <row r="350" spans="2:30" ht="15" customHeight="1">
      <c r="B350" s="10" t="str">
        <f>_xlfn.IFNA(VLOOKUP(C350,Master!$J:$K,2,0),"")</f>
        <v/>
      </c>
      <c r="D350" s="17" t="str">
        <f>_xlfn.IFNA(VLOOKUP(E350,Master!$J:$K,2,0),"")</f>
        <v/>
      </c>
      <c r="F350" s="17" t="str">
        <f>_xlfn.IFNA(VLOOKUP(G350,Master!B:C,2,0),"")</f>
        <v/>
      </c>
      <c r="I350" s="10" t="str">
        <f>_xlfn.IFNA(VLOOKUP(E350,Master!$J:$M,4,0),"")</f>
        <v/>
      </c>
      <c r="J350" s="10" t="str">
        <f>_xlfn.IFNA(VLOOKUP($E350,Master!$J:$M,3,0),"")</f>
        <v/>
      </c>
      <c r="AC350" s="14">
        <f t="shared" si="15"/>
        <v>0</v>
      </c>
      <c r="AD350" s="14">
        <f t="shared" si="16"/>
        <v>0</v>
      </c>
    </row>
    <row r="351" spans="2:30" ht="15" customHeight="1">
      <c r="B351" s="10" t="str">
        <f>_xlfn.IFNA(VLOOKUP(C351,Master!$J:$K,2,0),"")</f>
        <v/>
      </c>
      <c r="D351" s="17" t="str">
        <f>_xlfn.IFNA(VLOOKUP(E351,Master!$J:$K,2,0),"")</f>
        <v/>
      </c>
      <c r="F351" s="17" t="str">
        <f>_xlfn.IFNA(VLOOKUP(G351,Master!B:C,2,0),"")</f>
        <v/>
      </c>
      <c r="I351" s="10" t="str">
        <f>_xlfn.IFNA(VLOOKUP(E351,Master!$J:$M,4,0),"")</f>
        <v/>
      </c>
      <c r="J351" s="10" t="str">
        <f>_xlfn.IFNA(VLOOKUP($E351,Master!$J:$M,3,0),"")</f>
        <v/>
      </c>
      <c r="AC351" s="14">
        <f t="shared" si="15"/>
        <v>0</v>
      </c>
      <c r="AD351" s="14">
        <f t="shared" si="16"/>
        <v>0</v>
      </c>
    </row>
    <row r="352" spans="2:30" ht="15" customHeight="1">
      <c r="B352" s="10" t="str">
        <f>_xlfn.IFNA(VLOOKUP(C352,Master!$J:$K,2,0),"")</f>
        <v/>
      </c>
      <c r="D352" s="17" t="str">
        <f>_xlfn.IFNA(VLOOKUP(E352,Master!$J:$K,2,0),"")</f>
        <v/>
      </c>
      <c r="F352" s="17" t="str">
        <f>_xlfn.IFNA(VLOOKUP(G352,Master!B:C,2,0),"")</f>
        <v/>
      </c>
      <c r="I352" s="10" t="str">
        <f>_xlfn.IFNA(VLOOKUP(E352,Master!$J:$M,4,0),"")</f>
        <v/>
      </c>
      <c r="J352" s="10" t="str">
        <f>_xlfn.IFNA(VLOOKUP($E352,Master!$J:$M,3,0),"")</f>
        <v/>
      </c>
      <c r="AC352" s="14">
        <f t="shared" si="15"/>
        <v>0</v>
      </c>
      <c r="AD352" s="14">
        <f t="shared" si="16"/>
        <v>0</v>
      </c>
    </row>
    <row r="353" spans="2:30" ht="15" customHeight="1">
      <c r="B353" s="10" t="str">
        <f>_xlfn.IFNA(VLOOKUP(C353,Master!$J:$K,2,0),"")</f>
        <v/>
      </c>
      <c r="D353" s="17" t="str">
        <f>_xlfn.IFNA(VLOOKUP(E353,Master!$J:$K,2,0),"")</f>
        <v/>
      </c>
      <c r="F353" s="17" t="str">
        <f>_xlfn.IFNA(VLOOKUP(G353,Master!B:C,2,0),"")</f>
        <v/>
      </c>
      <c r="I353" s="10" t="str">
        <f>_xlfn.IFNA(VLOOKUP(E353,Master!$J:$M,4,0),"")</f>
        <v/>
      </c>
      <c r="J353" s="10" t="str">
        <f>_xlfn.IFNA(VLOOKUP($E353,Master!$J:$M,3,0),"")</f>
        <v/>
      </c>
      <c r="AC353" s="14">
        <f t="shared" si="15"/>
        <v>0</v>
      </c>
      <c r="AD353" s="14">
        <f t="shared" si="16"/>
        <v>0</v>
      </c>
    </row>
    <row r="354" spans="2:30" ht="15" customHeight="1">
      <c r="B354" s="10" t="str">
        <f>_xlfn.IFNA(VLOOKUP(C354,Master!$J:$K,2,0),"")</f>
        <v/>
      </c>
      <c r="D354" s="17" t="str">
        <f>_xlfn.IFNA(VLOOKUP(E354,Master!$J:$K,2,0),"")</f>
        <v/>
      </c>
      <c r="F354" s="17" t="str">
        <f>_xlfn.IFNA(VLOOKUP(G354,Master!B:C,2,0),"")</f>
        <v/>
      </c>
      <c r="I354" s="10" t="str">
        <f>_xlfn.IFNA(VLOOKUP(E354,Master!$J:$M,4,0),"")</f>
        <v/>
      </c>
      <c r="J354" s="10" t="str">
        <f>_xlfn.IFNA(VLOOKUP($E354,Master!$J:$M,3,0),"")</f>
        <v/>
      </c>
      <c r="AC354" s="14">
        <f t="shared" si="15"/>
        <v>0</v>
      </c>
      <c r="AD354" s="14">
        <f t="shared" si="16"/>
        <v>0</v>
      </c>
    </row>
    <row r="355" spans="2:30" ht="15" customHeight="1">
      <c r="B355" s="10" t="str">
        <f>_xlfn.IFNA(VLOOKUP(C355,Master!$J:$K,2,0),"")</f>
        <v/>
      </c>
      <c r="D355" s="17" t="str">
        <f>_xlfn.IFNA(VLOOKUP(E355,Master!$J:$K,2,0),"")</f>
        <v/>
      </c>
      <c r="F355" s="17" t="str">
        <f>_xlfn.IFNA(VLOOKUP(G355,Master!B:C,2,0),"")</f>
        <v/>
      </c>
      <c r="I355" s="10" t="str">
        <f>_xlfn.IFNA(VLOOKUP(E355,Master!$J:$M,4,0),"")</f>
        <v/>
      </c>
      <c r="J355" s="10" t="str">
        <f>_xlfn.IFNA(VLOOKUP($E355,Master!$J:$M,3,0),"")</f>
        <v/>
      </c>
      <c r="AC355" s="14">
        <f t="shared" si="15"/>
        <v>0</v>
      </c>
      <c r="AD355" s="14">
        <f t="shared" si="16"/>
        <v>0</v>
      </c>
    </row>
    <row r="356" spans="2:30" ht="15" customHeight="1">
      <c r="B356" s="10" t="str">
        <f>_xlfn.IFNA(VLOOKUP(C356,Master!$J:$K,2,0),"")</f>
        <v/>
      </c>
      <c r="D356" s="17" t="str">
        <f>_xlfn.IFNA(VLOOKUP(E356,Master!$J:$K,2,0),"")</f>
        <v/>
      </c>
      <c r="F356" s="17" t="str">
        <f>_xlfn.IFNA(VLOOKUP(G356,Master!B:C,2,0),"")</f>
        <v/>
      </c>
      <c r="I356" s="10" t="str">
        <f>_xlfn.IFNA(VLOOKUP(E356,Master!$J:$M,4,0),"")</f>
        <v/>
      </c>
      <c r="J356" s="10" t="str">
        <f>_xlfn.IFNA(VLOOKUP($E356,Master!$J:$M,3,0),"")</f>
        <v/>
      </c>
      <c r="AC356" s="14">
        <f t="shared" si="15"/>
        <v>0</v>
      </c>
      <c r="AD356" s="14">
        <f t="shared" si="16"/>
        <v>0</v>
      </c>
    </row>
    <row r="357" spans="2:30" ht="15" customHeight="1">
      <c r="B357" s="10" t="str">
        <f>_xlfn.IFNA(VLOOKUP(C357,Master!$J:$K,2,0),"")</f>
        <v/>
      </c>
      <c r="D357" s="17" t="str">
        <f>_xlfn.IFNA(VLOOKUP(E357,Master!$J:$K,2,0),"")</f>
        <v/>
      </c>
      <c r="F357" s="17" t="str">
        <f>_xlfn.IFNA(VLOOKUP(G357,Master!B:C,2,0),"")</f>
        <v/>
      </c>
      <c r="I357" s="10" t="str">
        <f>_xlfn.IFNA(VLOOKUP(E357,Master!$J:$M,4,0),"")</f>
        <v/>
      </c>
      <c r="J357" s="10" t="str">
        <f>_xlfn.IFNA(VLOOKUP($E357,Master!$J:$M,3,0),"")</f>
        <v/>
      </c>
      <c r="AC357" s="14">
        <f t="shared" si="15"/>
        <v>0</v>
      </c>
      <c r="AD357" s="14">
        <f t="shared" si="16"/>
        <v>0</v>
      </c>
    </row>
    <row r="358" spans="2:30" ht="15" customHeight="1">
      <c r="B358" s="10" t="str">
        <f>_xlfn.IFNA(VLOOKUP(C358,Master!$J:$K,2,0),"")</f>
        <v/>
      </c>
      <c r="D358" s="17" t="str">
        <f>_xlfn.IFNA(VLOOKUP(E358,Master!$J:$K,2,0),"")</f>
        <v/>
      </c>
      <c r="F358" s="17" t="str">
        <f>_xlfn.IFNA(VLOOKUP(G358,Master!B:C,2,0),"")</f>
        <v/>
      </c>
      <c r="I358" s="10" t="str">
        <f>_xlfn.IFNA(VLOOKUP(E358,Master!$J:$M,4,0),"")</f>
        <v/>
      </c>
      <c r="J358" s="10" t="str">
        <f>_xlfn.IFNA(VLOOKUP($E358,Master!$J:$M,3,0),"")</f>
        <v/>
      </c>
      <c r="AC358" s="14">
        <f t="shared" si="15"/>
        <v>0</v>
      </c>
      <c r="AD358" s="14">
        <f t="shared" si="16"/>
        <v>0</v>
      </c>
    </row>
    <row r="359" spans="2:30" ht="15" customHeight="1">
      <c r="B359" s="10" t="str">
        <f>_xlfn.IFNA(VLOOKUP(C359,Master!$J:$K,2,0),"")</f>
        <v/>
      </c>
      <c r="D359" s="17" t="str">
        <f>_xlfn.IFNA(VLOOKUP(E359,Master!$J:$K,2,0),"")</f>
        <v/>
      </c>
      <c r="F359" s="17" t="str">
        <f>_xlfn.IFNA(VLOOKUP(G359,Master!B:C,2,0),"")</f>
        <v/>
      </c>
      <c r="I359" s="10" t="str">
        <f>_xlfn.IFNA(VLOOKUP(E359,Master!$J:$M,4,0),"")</f>
        <v/>
      </c>
      <c r="J359" s="10" t="str">
        <f>_xlfn.IFNA(VLOOKUP($E359,Master!$J:$M,3,0),"")</f>
        <v/>
      </c>
      <c r="AC359" s="14">
        <f t="shared" si="15"/>
        <v>0</v>
      </c>
      <c r="AD359" s="14">
        <f t="shared" si="16"/>
        <v>0</v>
      </c>
    </row>
    <row r="360" spans="2:30" ht="15" customHeight="1">
      <c r="B360" s="10" t="str">
        <f>_xlfn.IFNA(VLOOKUP(C360,Master!$J:$K,2,0),"")</f>
        <v/>
      </c>
      <c r="D360" s="17" t="str">
        <f>_xlfn.IFNA(VLOOKUP(E360,Master!$J:$K,2,0),"")</f>
        <v/>
      </c>
      <c r="F360" s="17" t="str">
        <f>_xlfn.IFNA(VLOOKUP(G360,Master!B:C,2,0),"")</f>
        <v/>
      </c>
      <c r="I360" s="10" t="str">
        <f>_xlfn.IFNA(VLOOKUP(E360,Master!$J:$M,4,0),"")</f>
        <v/>
      </c>
      <c r="J360" s="10" t="str">
        <f>_xlfn.IFNA(VLOOKUP($E360,Master!$J:$M,3,0),"")</f>
        <v/>
      </c>
      <c r="AC360" s="14">
        <f t="shared" si="15"/>
        <v>0</v>
      </c>
      <c r="AD360" s="14">
        <f t="shared" si="16"/>
        <v>0</v>
      </c>
    </row>
    <row r="361" spans="2:30" ht="15" customHeight="1">
      <c r="B361" s="10" t="str">
        <f>_xlfn.IFNA(VLOOKUP(C361,Master!$J:$K,2,0),"")</f>
        <v/>
      </c>
      <c r="D361" s="17" t="str">
        <f>_xlfn.IFNA(VLOOKUP(E361,Master!$J:$K,2,0),"")</f>
        <v/>
      </c>
      <c r="F361" s="17" t="str">
        <f>_xlfn.IFNA(VLOOKUP(G361,Master!B:C,2,0),"")</f>
        <v/>
      </c>
      <c r="I361" s="10" t="str">
        <f>_xlfn.IFNA(VLOOKUP(E361,Master!$J:$M,4,0),"")</f>
        <v/>
      </c>
      <c r="J361" s="10" t="str">
        <f>_xlfn.IFNA(VLOOKUP($E361,Master!$J:$M,3,0),"")</f>
        <v/>
      </c>
      <c r="AC361" s="14">
        <f t="shared" si="15"/>
        <v>0</v>
      </c>
      <c r="AD361" s="14">
        <f t="shared" si="16"/>
        <v>0</v>
      </c>
    </row>
    <row r="362" spans="2:30" ht="15" customHeight="1">
      <c r="B362" s="10" t="str">
        <f>_xlfn.IFNA(VLOOKUP(C362,Master!$J:$K,2,0),"")</f>
        <v/>
      </c>
      <c r="D362" s="17" t="str">
        <f>_xlfn.IFNA(VLOOKUP(E362,Master!$J:$K,2,0),"")</f>
        <v/>
      </c>
      <c r="F362" s="17" t="str">
        <f>_xlfn.IFNA(VLOOKUP(G362,Master!B:C,2,0),"")</f>
        <v/>
      </c>
      <c r="I362" s="10" t="str">
        <f>_xlfn.IFNA(VLOOKUP(E362,Master!$J:$M,4,0),"")</f>
        <v/>
      </c>
      <c r="J362" s="10" t="str">
        <f>_xlfn.IFNA(VLOOKUP($E362,Master!$J:$M,3,0),"")</f>
        <v/>
      </c>
      <c r="AC362" s="14">
        <f t="shared" si="15"/>
        <v>0</v>
      </c>
      <c r="AD362" s="14">
        <f t="shared" si="16"/>
        <v>0</v>
      </c>
    </row>
    <row r="363" spans="2:30" ht="15" customHeight="1">
      <c r="B363" s="10" t="str">
        <f>_xlfn.IFNA(VLOOKUP(C363,Master!$J:$K,2,0),"")</f>
        <v/>
      </c>
      <c r="D363" s="17" t="str">
        <f>_xlfn.IFNA(VLOOKUP(E363,Master!$J:$K,2,0),"")</f>
        <v/>
      </c>
      <c r="F363" s="17" t="str">
        <f>_xlfn.IFNA(VLOOKUP(G363,Master!B:C,2,0),"")</f>
        <v/>
      </c>
      <c r="I363" s="10" t="str">
        <f>_xlfn.IFNA(VLOOKUP(E363,Master!$J:$M,4,0),"")</f>
        <v/>
      </c>
      <c r="J363" s="10" t="str">
        <f>_xlfn.IFNA(VLOOKUP($E363,Master!$J:$M,3,0),"")</f>
        <v/>
      </c>
      <c r="AC363" s="14">
        <f t="shared" si="15"/>
        <v>0</v>
      </c>
      <c r="AD363" s="14">
        <f t="shared" si="16"/>
        <v>0</v>
      </c>
    </row>
    <row r="364" spans="2:30" ht="15" customHeight="1">
      <c r="B364" s="10" t="str">
        <f>_xlfn.IFNA(VLOOKUP(C364,Master!$J:$K,2,0),"")</f>
        <v/>
      </c>
      <c r="D364" s="17" t="str">
        <f>_xlfn.IFNA(VLOOKUP(E364,Master!$J:$K,2,0),"")</f>
        <v/>
      </c>
      <c r="F364" s="17" t="str">
        <f>_xlfn.IFNA(VLOOKUP(G364,Master!B:C,2,0),"")</f>
        <v/>
      </c>
      <c r="I364" s="10" t="str">
        <f>_xlfn.IFNA(VLOOKUP(E364,Master!$J:$M,4,0),"")</f>
        <v/>
      </c>
      <c r="J364" s="10" t="str">
        <f>_xlfn.IFNA(VLOOKUP($E364,Master!$J:$M,3,0),"")</f>
        <v/>
      </c>
      <c r="AC364" s="14">
        <f t="shared" si="15"/>
        <v>0</v>
      </c>
      <c r="AD364" s="14">
        <f t="shared" si="16"/>
        <v>0</v>
      </c>
    </row>
    <row r="365" spans="2:30" ht="15" customHeight="1">
      <c r="B365" s="10" t="str">
        <f>_xlfn.IFNA(VLOOKUP(C365,Master!$J:$K,2,0),"")</f>
        <v/>
      </c>
      <c r="D365" s="17" t="str">
        <f>_xlfn.IFNA(VLOOKUP(E365,Master!$J:$K,2,0),"")</f>
        <v/>
      </c>
      <c r="F365" s="17" t="str">
        <f>_xlfn.IFNA(VLOOKUP(G365,Master!B:C,2,0),"")</f>
        <v/>
      </c>
      <c r="I365" s="10" t="str">
        <f>_xlfn.IFNA(VLOOKUP(E365,Master!$J:$M,4,0),"")</f>
        <v/>
      </c>
      <c r="J365" s="10" t="str">
        <f>_xlfn.IFNA(VLOOKUP($E365,Master!$J:$M,3,0),"")</f>
        <v/>
      </c>
      <c r="AC365" s="14">
        <f t="shared" si="15"/>
        <v>0</v>
      </c>
      <c r="AD365" s="14">
        <f t="shared" si="16"/>
        <v>0</v>
      </c>
    </row>
    <row r="366" spans="2:30" ht="15" customHeight="1">
      <c r="B366" s="10" t="str">
        <f>_xlfn.IFNA(VLOOKUP(C366,Master!$J:$K,2,0),"")</f>
        <v/>
      </c>
      <c r="D366" s="17" t="str">
        <f>_xlfn.IFNA(VLOOKUP(E366,Master!$J:$K,2,0),"")</f>
        <v/>
      </c>
      <c r="F366" s="17" t="str">
        <f>_xlfn.IFNA(VLOOKUP(G366,Master!B:C,2,0),"")</f>
        <v/>
      </c>
      <c r="I366" s="10" t="str">
        <f>_xlfn.IFNA(VLOOKUP(E366,Master!$J:$M,4,0),"")</f>
        <v/>
      </c>
      <c r="J366" s="10" t="str">
        <f>_xlfn.IFNA(VLOOKUP($E366,Master!$J:$M,3,0),"")</f>
        <v/>
      </c>
      <c r="AC366" s="14">
        <f t="shared" si="15"/>
        <v>0</v>
      </c>
      <c r="AD366" s="14">
        <f t="shared" si="16"/>
        <v>0</v>
      </c>
    </row>
    <row r="367" spans="2:30" ht="15" customHeight="1">
      <c r="B367" s="10" t="str">
        <f>_xlfn.IFNA(VLOOKUP(C367,Master!$J:$K,2,0),"")</f>
        <v/>
      </c>
      <c r="D367" s="17" t="str">
        <f>_xlfn.IFNA(VLOOKUP(E367,Master!$J:$K,2,0),"")</f>
        <v/>
      </c>
      <c r="F367" s="17" t="str">
        <f>_xlfn.IFNA(VLOOKUP(G367,Master!B:C,2,0),"")</f>
        <v/>
      </c>
      <c r="I367" s="10" t="str">
        <f>_xlfn.IFNA(VLOOKUP(E367,Master!$J:$M,4,0),"")</f>
        <v/>
      </c>
      <c r="J367" s="10" t="str">
        <f>_xlfn.IFNA(VLOOKUP($E367,Master!$J:$M,3,0),"")</f>
        <v/>
      </c>
      <c r="AC367" s="14">
        <f t="shared" si="15"/>
        <v>0</v>
      </c>
      <c r="AD367" s="14">
        <f t="shared" si="16"/>
        <v>0</v>
      </c>
    </row>
    <row r="368" spans="2:30" ht="15" customHeight="1">
      <c r="B368" s="10" t="str">
        <f>_xlfn.IFNA(VLOOKUP(C368,Master!$J:$K,2,0),"")</f>
        <v/>
      </c>
      <c r="D368" s="17" t="str">
        <f>_xlfn.IFNA(VLOOKUP(E368,Master!$J:$K,2,0),"")</f>
        <v/>
      </c>
      <c r="F368" s="17" t="str">
        <f>_xlfn.IFNA(VLOOKUP(G368,Master!B:C,2,0),"")</f>
        <v/>
      </c>
      <c r="I368" s="10" t="str">
        <f>_xlfn.IFNA(VLOOKUP(E368,Master!$J:$M,4,0),"")</f>
        <v/>
      </c>
      <c r="J368" s="10" t="str">
        <f>_xlfn.IFNA(VLOOKUP($E368,Master!$J:$M,3,0),"")</f>
        <v/>
      </c>
      <c r="AC368" s="14">
        <f t="shared" si="15"/>
        <v>0</v>
      </c>
      <c r="AD368" s="14">
        <f t="shared" si="16"/>
        <v>0</v>
      </c>
    </row>
    <row r="369" spans="2:30" ht="15" customHeight="1">
      <c r="B369" s="10" t="str">
        <f>_xlfn.IFNA(VLOOKUP(C369,Master!$J:$K,2,0),"")</f>
        <v/>
      </c>
      <c r="D369" s="17" t="str">
        <f>_xlfn.IFNA(VLOOKUP(E369,Master!$J:$K,2,0),"")</f>
        <v/>
      </c>
      <c r="F369" s="17" t="str">
        <f>_xlfn.IFNA(VLOOKUP(G369,Master!B:C,2,0),"")</f>
        <v/>
      </c>
      <c r="I369" s="10" t="str">
        <f>_xlfn.IFNA(VLOOKUP(E369,Master!$J:$M,4,0),"")</f>
        <v/>
      </c>
      <c r="J369" s="10" t="str">
        <f>_xlfn.IFNA(VLOOKUP($E369,Master!$J:$M,3,0),"")</f>
        <v/>
      </c>
      <c r="AC369" s="14">
        <f t="shared" si="15"/>
        <v>0</v>
      </c>
      <c r="AD369" s="14">
        <f t="shared" si="16"/>
        <v>0</v>
      </c>
    </row>
    <row r="370" spans="2:30" ht="15" customHeight="1">
      <c r="B370" s="10" t="str">
        <f>_xlfn.IFNA(VLOOKUP(C370,Master!$J:$K,2,0),"")</f>
        <v/>
      </c>
      <c r="D370" s="17" t="str">
        <f>_xlfn.IFNA(VLOOKUP(E370,Master!$J:$K,2,0),"")</f>
        <v/>
      </c>
      <c r="F370" s="17" t="str">
        <f>_xlfn.IFNA(VLOOKUP(G370,Master!B:C,2,0),"")</f>
        <v/>
      </c>
      <c r="I370" s="10" t="str">
        <f>_xlfn.IFNA(VLOOKUP(E370,Master!$J:$M,4,0),"")</f>
        <v/>
      </c>
      <c r="J370" s="10" t="str">
        <f>_xlfn.IFNA(VLOOKUP($E370,Master!$J:$M,3,0),"")</f>
        <v/>
      </c>
      <c r="AC370" s="14">
        <f t="shared" si="15"/>
        <v>0</v>
      </c>
      <c r="AD370" s="14">
        <f t="shared" si="16"/>
        <v>0</v>
      </c>
    </row>
    <row r="371" spans="2:30" ht="15" customHeight="1">
      <c r="B371" s="10" t="str">
        <f>_xlfn.IFNA(VLOOKUP(C371,Master!$J:$K,2,0),"")</f>
        <v/>
      </c>
      <c r="D371" s="17" t="str">
        <f>_xlfn.IFNA(VLOOKUP(E371,Master!$J:$K,2,0),"")</f>
        <v/>
      </c>
      <c r="F371" s="17" t="str">
        <f>_xlfn.IFNA(VLOOKUP(G371,Master!B:C,2,0),"")</f>
        <v/>
      </c>
      <c r="I371" s="10" t="str">
        <f>_xlfn.IFNA(VLOOKUP(E371,Master!$J:$M,4,0),"")</f>
        <v/>
      </c>
      <c r="J371" s="10" t="str">
        <f>_xlfn.IFNA(VLOOKUP($E371,Master!$J:$M,3,0),"")</f>
        <v/>
      </c>
      <c r="AC371" s="14">
        <f t="shared" si="15"/>
        <v>0</v>
      </c>
      <c r="AD371" s="14">
        <f t="shared" si="16"/>
        <v>0</v>
      </c>
    </row>
    <row r="372" spans="2:30" ht="15" customHeight="1">
      <c r="B372" s="10" t="str">
        <f>_xlfn.IFNA(VLOOKUP(C372,Master!$J:$K,2,0),"")</f>
        <v/>
      </c>
      <c r="D372" s="17" t="str">
        <f>_xlfn.IFNA(VLOOKUP(E372,Master!$J:$K,2,0),"")</f>
        <v/>
      </c>
      <c r="F372" s="17" t="str">
        <f>_xlfn.IFNA(VLOOKUP(G372,Master!B:C,2,0),"")</f>
        <v/>
      </c>
      <c r="I372" s="10" t="str">
        <f>_xlfn.IFNA(VLOOKUP(E372,Master!$J:$M,4,0),"")</f>
        <v/>
      </c>
      <c r="J372" s="10" t="str">
        <f>_xlfn.IFNA(VLOOKUP($E372,Master!$J:$M,3,0),"")</f>
        <v/>
      </c>
      <c r="AC372" s="14">
        <f t="shared" si="15"/>
        <v>0</v>
      </c>
      <c r="AD372" s="14">
        <f t="shared" si="16"/>
        <v>0</v>
      </c>
    </row>
    <row r="373" spans="2:30" ht="15" customHeight="1">
      <c r="B373" s="10" t="str">
        <f>_xlfn.IFNA(VLOOKUP(C373,Master!$J:$K,2,0),"")</f>
        <v/>
      </c>
      <c r="D373" s="17" t="str">
        <f>_xlfn.IFNA(VLOOKUP(E373,Master!$J:$K,2,0),"")</f>
        <v/>
      </c>
      <c r="F373" s="17" t="str">
        <f>_xlfn.IFNA(VLOOKUP(G373,Master!B:C,2,0),"")</f>
        <v/>
      </c>
      <c r="I373" s="10" t="str">
        <f>_xlfn.IFNA(VLOOKUP(E373,Master!$J:$M,4,0),"")</f>
        <v/>
      </c>
      <c r="J373" s="10" t="str">
        <f>_xlfn.IFNA(VLOOKUP($E373,Master!$J:$M,3,0),"")</f>
        <v/>
      </c>
      <c r="AC373" s="14">
        <f t="shared" si="15"/>
        <v>0</v>
      </c>
      <c r="AD373" s="14">
        <f t="shared" si="16"/>
        <v>0</v>
      </c>
    </row>
    <row r="374" spans="2:30" ht="15" customHeight="1">
      <c r="B374" s="10" t="str">
        <f>_xlfn.IFNA(VLOOKUP(C374,Master!$J:$K,2,0),"")</f>
        <v/>
      </c>
      <c r="D374" s="17" t="str">
        <f>_xlfn.IFNA(VLOOKUP(E374,Master!$J:$K,2,0),"")</f>
        <v/>
      </c>
      <c r="F374" s="17" t="str">
        <f>_xlfn.IFNA(VLOOKUP(G374,Master!B:C,2,0),"")</f>
        <v/>
      </c>
      <c r="I374" s="10" t="str">
        <f>_xlfn.IFNA(VLOOKUP(E374,Master!$J:$M,4,0),"")</f>
        <v/>
      </c>
      <c r="J374" s="10" t="str">
        <f>_xlfn.IFNA(VLOOKUP($E374,Master!$J:$M,3,0),"")</f>
        <v/>
      </c>
      <c r="AC374" s="14">
        <f t="shared" si="15"/>
        <v>0</v>
      </c>
      <c r="AD374" s="14">
        <f t="shared" si="16"/>
        <v>0</v>
      </c>
    </row>
    <row r="375" spans="2:30" ht="15" customHeight="1">
      <c r="B375" s="10" t="str">
        <f>_xlfn.IFNA(VLOOKUP(C375,Master!$J:$K,2,0),"")</f>
        <v/>
      </c>
      <c r="D375" s="17" t="str">
        <f>_xlfn.IFNA(VLOOKUP(E375,Master!$J:$K,2,0),"")</f>
        <v/>
      </c>
      <c r="F375" s="17" t="str">
        <f>_xlfn.IFNA(VLOOKUP(G375,Master!B:C,2,0),"")</f>
        <v/>
      </c>
      <c r="I375" s="10" t="str">
        <f>_xlfn.IFNA(VLOOKUP(E375,Master!$J:$M,4,0),"")</f>
        <v/>
      </c>
      <c r="J375" s="10" t="str">
        <f>_xlfn.IFNA(VLOOKUP($E375,Master!$J:$M,3,0),"")</f>
        <v/>
      </c>
      <c r="AC375" s="14">
        <f t="shared" si="15"/>
        <v>0</v>
      </c>
      <c r="AD375" s="14">
        <f t="shared" si="16"/>
        <v>0</v>
      </c>
    </row>
    <row r="376" spans="2:30" ht="15" customHeight="1">
      <c r="B376" s="10" t="str">
        <f>_xlfn.IFNA(VLOOKUP(C376,Master!$J:$K,2,0),"")</f>
        <v/>
      </c>
      <c r="D376" s="17" t="str">
        <f>_xlfn.IFNA(VLOOKUP(E376,Master!$J:$K,2,0),"")</f>
        <v/>
      </c>
      <c r="F376" s="17" t="str">
        <f>_xlfn.IFNA(VLOOKUP(G376,Master!B:C,2,0),"")</f>
        <v/>
      </c>
      <c r="I376" s="10" t="str">
        <f>_xlfn.IFNA(VLOOKUP(E376,Master!$J:$M,4,0),"")</f>
        <v/>
      </c>
      <c r="J376" s="10" t="str">
        <f>_xlfn.IFNA(VLOOKUP($E376,Master!$J:$M,3,0),"")</f>
        <v/>
      </c>
      <c r="AC376" s="14">
        <f t="shared" si="15"/>
        <v>0</v>
      </c>
      <c r="AD376" s="14">
        <f t="shared" si="16"/>
        <v>0</v>
      </c>
    </row>
    <row r="377" spans="2:30" ht="15" customHeight="1">
      <c r="B377" s="10" t="str">
        <f>_xlfn.IFNA(VLOOKUP(C377,Master!$J:$K,2,0),"")</f>
        <v/>
      </c>
      <c r="D377" s="17" t="str">
        <f>_xlfn.IFNA(VLOOKUP(E377,Master!$J:$K,2,0),"")</f>
        <v/>
      </c>
      <c r="F377" s="17" t="str">
        <f>_xlfn.IFNA(VLOOKUP(G377,Master!B:C,2,0),"")</f>
        <v/>
      </c>
      <c r="I377" s="10" t="str">
        <f>_xlfn.IFNA(VLOOKUP(E377,Master!$J:$M,4,0),"")</f>
        <v/>
      </c>
      <c r="J377" s="10" t="str">
        <f>_xlfn.IFNA(VLOOKUP($E377,Master!$J:$M,3,0),"")</f>
        <v/>
      </c>
      <c r="AC377" s="14">
        <f t="shared" si="15"/>
        <v>0</v>
      </c>
      <c r="AD377" s="14">
        <f t="shared" si="16"/>
        <v>0</v>
      </c>
    </row>
    <row r="378" spans="2:30" ht="15" customHeight="1">
      <c r="B378" s="10" t="str">
        <f>_xlfn.IFNA(VLOOKUP(C378,Master!$J:$K,2,0),"")</f>
        <v/>
      </c>
      <c r="D378" s="17" t="str">
        <f>_xlfn.IFNA(VLOOKUP(E378,Master!$J:$K,2,0),"")</f>
        <v/>
      </c>
      <c r="F378" s="17" t="str">
        <f>_xlfn.IFNA(VLOOKUP(G378,Master!B:C,2,0),"")</f>
        <v/>
      </c>
      <c r="I378" s="10" t="str">
        <f>_xlfn.IFNA(VLOOKUP(E378,Master!$J:$M,4,0),"")</f>
        <v/>
      </c>
      <c r="J378" s="10" t="str">
        <f>_xlfn.IFNA(VLOOKUP($E378,Master!$J:$M,3,0),"")</f>
        <v/>
      </c>
      <c r="AC378" s="14">
        <f t="shared" si="15"/>
        <v>0</v>
      </c>
      <c r="AD378" s="14">
        <f t="shared" si="16"/>
        <v>0</v>
      </c>
    </row>
    <row r="379" spans="2:30" ht="15" customHeight="1">
      <c r="B379" s="10" t="str">
        <f>_xlfn.IFNA(VLOOKUP(C379,Master!$J:$K,2,0),"")</f>
        <v/>
      </c>
      <c r="D379" s="17" t="str">
        <f>_xlfn.IFNA(VLOOKUP(E379,Master!$J:$K,2,0),"")</f>
        <v/>
      </c>
      <c r="F379" s="17" t="str">
        <f>_xlfn.IFNA(VLOOKUP(G379,Master!B:C,2,0),"")</f>
        <v/>
      </c>
      <c r="I379" s="10" t="str">
        <f>_xlfn.IFNA(VLOOKUP(E379,Master!$J:$M,4,0),"")</f>
        <v/>
      </c>
      <c r="J379" s="10" t="str">
        <f>_xlfn.IFNA(VLOOKUP($E379,Master!$J:$M,3,0),"")</f>
        <v/>
      </c>
      <c r="AC379" s="14">
        <f t="shared" si="15"/>
        <v>0</v>
      </c>
      <c r="AD379" s="14">
        <f t="shared" si="16"/>
        <v>0</v>
      </c>
    </row>
    <row r="380" spans="2:30" ht="15" customHeight="1">
      <c r="B380" s="10" t="str">
        <f>_xlfn.IFNA(VLOOKUP(C380,Master!$J:$K,2,0),"")</f>
        <v/>
      </c>
      <c r="D380" s="17" t="str">
        <f>_xlfn.IFNA(VLOOKUP(E380,Master!$J:$K,2,0),"")</f>
        <v/>
      </c>
      <c r="F380" s="17" t="str">
        <f>_xlfn.IFNA(VLOOKUP(G380,Master!B:C,2,0),"")</f>
        <v/>
      </c>
      <c r="I380" s="10" t="str">
        <f>_xlfn.IFNA(VLOOKUP(E380,Master!$J:$M,4,0),"")</f>
        <v/>
      </c>
      <c r="J380" s="10" t="str">
        <f>_xlfn.IFNA(VLOOKUP($E380,Master!$J:$M,3,0),"")</f>
        <v/>
      </c>
      <c r="AC380" s="14">
        <f t="shared" si="15"/>
        <v>0</v>
      </c>
      <c r="AD380" s="14">
        <f t="shared" si="16"/>
        <v>0</v>
      </c>
    </row>
    <row r="381" spans="2:30" ht="15" customHeight="1">
      <c r="B381" s="10" t="str">
        <f>_xlfn.IFNA(VLOOKUP(C381,Master!$J:$K,2,0),"")</f>
        <v/>
      </c>
      <c r="D381" s="17" t="str">
        <f>_xlfn.IFNA(VLOOKUP(E381,Master!$J:$K,2,0),"")</f>
        <v/>
      </c>
      <c r="F381" s="17" t="str">
        <f>_xlfn.IFNA(VLOOKUP(G381,Master!B:C,2,0),"")</f>
        <v/>
      </c>
      <c r="I381" s="10" t="str">
        <f>_xlfn.IFNA(VLOOKUP(E381,Master!$J:$M,4,0),"")</f>
        <v/>
      </c>
      <c r="J381" s="10" t="str">
        <f>_xlfn.IFNA(VLOOKUP($E381,Master!$J:$M,3,0),"")</f>
        <v/>
      </c>
      <c r="AC381" s="14">
        <f t="shared" si="15"/>
        <v>0</v>
      </c>
      <c r="AD381" s="14">
        <f t="shared" si="16"/>
        <v>0</v>
      </c>
    </row>
    <row r="382" spans="2:30" ht="15" customHeight="1">
      <c r="B382" s="10" t="str">
        <f>_xlfn.IFNA(VLOOKUP(C382,Master!$J:$K,2,0),"")</f>
        <v/>
      </c>
      <c r="D382" s="17" t="str">
        <f>_xlfn.IFNA(VLOOKUP(E382,Master!$J:$K,2,0),"")</f>
        <v/>
      </c>
      <c r="F382" s="17" t="str">
        <f>_xlfn.IFNA(VLOOKUP(G382,Master!B:C,2,0),"")</f>
        <v/>
      </c>
      <c r="I382" s="10" t="str">
        <f>_xlfn.IFNA(VLOOKUP(E382,Master!$J:$M,4,0),"")</f>
        <v/>
      </c>
      <c r="J382" s="10" t="str">
        <f>_xlfn.IFNA(VLOOKUP($E382,Master!$J:$M,3,0),"")</f>
        <v/>
      </c>
      <c r="AC382" s="14">
        <f t="shared" si="15"/>
        <v>0</v>
      </c>
      <c r="AD382" s="14">
        <f t="shared" si="16"/>
        <v>0</v>
      </c>
    </row>
    <row r="383" spans="2:30" ht="15" customHeight="1">
      <c r="B383" s="10" t="str">
        <f>_xlfn.IFNA(VLOOKUP(C383,Master!$J:$K,2,0),"")</f>
        <v/>
      </c>
      <c r="D383" s="17" t="str">
        <f>_xlfn.IFNA(VLOOKUP(E383,Master!$J:$K,2,0),"")</f>
        <v/>
      </c>
      <c r="F383" s="17" t="str">
        <f>_xlfn.IFNA(VLOOKUP(G383,Master!B:C,2,0),"")</f>
        <v/>
      </c>
      <c r="I383" s="10" t="str">
        <f>_xlfn.IFNA(VLOOKUP(E383,Master!$J:$M,4,0),"")</f>
        <v/>
      </c>
      <c r="J383" s="10" t="str">
        <f>_xlfn.IFNA(VLOOKUP($E383,Master!$J:$M,3,0),"")</f>
        <v/>
      </c>
      <c r="AC383" s="14">
        <f t="shared" si="15"/>
        <v>0</v>
      </c>
      <c r="AD383" s="14">
        <f t="shared" si="16"/>
        <v>0</v>
      </c>
    </row>
    <row r="384" spans="2:30" ht="15" customHeight="1">
      <c r="B384" s="10" t="str">
        <f>_xlfn.IFNA(VLOOKUP(C384,Master!$J:$K,2,0),"")</f>
        <v/>
      </c>
      <c r="D384" s="17" t="str">
        <f>_xlfn.IFNA(VLOOKUP(E384,Master!$J:$K,2,0),"")</f>
        <v/>
      </c>
      <c r="F384" s="17" t="str">
        <f>_xlfn.IFNA(VLOOKUP(G384,Master!B:C,2,0),"")</f>
        <v/>
      </c>
      <c r="I384" s="10" t="str">
        <f>_xlfn.IFNA(VLOOKUP(E384,Master!$J:$M,4,0),"")</f>
        <v/>
      </c>
      <c r="J384" s="10" t="str">
        <f>_xlfn.IFNA(VLOOKUP($E384,Master!$J:$M,3,0),"")</f>
        <v/>
      </c>
      <c r="AC384" s="14">
        <f t="shared" si="15"/>
        <v>0</v>
      </c>
      <c r="AD384" s="14">
        <f t="shared" si="16"/>
        <v>0</v>
      </c>
    </row>
    <row r="385" spans="2:30" ht="15" customHeight="1">
      <c r="B385" s="10" t="str">
        <f>_xlfn.IFNA(VLOOKUP(C385,Master!$J:$K,2,0),"")</f>
        <v/>
      </c>
      <c r="D385" s="17" t="str">
        <f>_xlfn.IFNA(VLOOKUP(E385,Master!$J:$K,2,0),"")</f>
        <v/>
      </c>
      <c r="F385" s="17" t="str">
        <f>_xlfn.IFNA(VLOOKUP(G385,Master!B:C,2,0),"")</f>
        <v/>
      </c>
      <c r="I385" s="10" t="str">
        <f>_xlfn.IFNA(VLOOKUP(E385,Master!$J:$M,4,0),"")</f>
        <v/>
      </c>
      <c r="J385" s="10" t="str">
        <f>_xlfn.IFNA(VLOOKUP($E385,Master!$J:$M,3,0),"")</f>
        <v/>
      </c>
      <c r="AC385" s="14">
        <f t="shared" si="15"/>
        <v>0</v>
      </c>
      <c r="AD385" s="14">
        <f t="shared" si="16"/>
        <v>0</v>
      </c>
    </row>
    <row r="386" spans="2:30" ht="15" customHeight="1">
      <c r="B386" s="10" t="str">
        <f>_xlfn.IFNA(VLOOKUP(C386,Master!$J:$K,2,0),"")</f>
        <v/>
      </c>
      <c r="D386" s="17" t="str">
        <f>_xlfn.IFNA(VLOOKUP(E386,Master!$J:$K,2,0),"")</f>
        <v/>
      </c>
      <c r="F386" s="17" t="str">
        <f>_xlfn.IFNA(VLOOKUP(G386,Master!B:C,2,0),"")</f>
        <v/>
      </c>
      <c r="I386" s="10" t="str">
        <f>_xlfn.IFNA(VLOOKUP(E386,Master!$J:$M,4,0),"")</f>
        <v/>
      </c>
      <c r="J386" s="10" t="str">
        <f>_xlfn.IFNA(VLOOKUP($E386,Master!$J:$M,3,0),"")</f>
        <v/>
      </c>
      <c r="AC386" s="14">
        <f t="shared" ref="AC386:AC449" si="17">SUM(K386:P386)</f>
        <v>0</v>
      </c>
      <c r="AD386" s="14">
        <f t="shared" ref="AD386:AD449" si="18">SUM(Q386:AB386)</f>
        <v>0</v>
      </c>
    </row>
    <row r="387" spans="2:30" ht="15" customHeight="1">
      <c r="B387" s="10" t="str">
        <f>_xlfn.IFNA(VLOOKUP(C387,Master!$J:$K,2,0),"")</f>
        <v/>
      </c>
      <c r="D387" s="17" t="str">
        <f>_xlfn.IFNA(VLOOKUP(E387,Master!$J:$K,2,0),"")</f>
        <v/>
      </c>
      <c r="F387" s="17" t="str">
        <f>_xlfn.IFNA(VLOOKUP(G387,Master!B:C,2,0),"")</f>
        <v/>
      </c>
      <c r="I387" s="10" t="str">
        <f>_xlfn.IFNA(VLOOKUP(E387,Master!$J:$M,4,0),"")</f>
        <v/>
      </c>
      <c r="J387" s="10" t="str">
        <f>_xlfn.IFNA(VLOOKUP($E387,Master!$J:$M,3,0),"")</f>
        <v/>
      </c>
      <c r="AC387" s="14">
        <f t="shared" si="17"/>
        <v>0</v>
      </c>
      <c r="AD387" s="14">
        <f t="shared" si="18"/>
        <v>0</v>
      </c>
    </row>
    <row r="388" spans="2:30" ht="15" customHeight="1">
      <c r="B388" s="10" t="str">
        <f>_xlfn.IFNA(VLOOKUP(C388,Master!$J:$K,2,0),"")</f>
        <v/>
      </c>
      <c r="D388" s="17" t="str">
        <f>_xlfn.IFNA(VLOOKUP(E388,Master!$J:$K,2,0),"")</f>
        <v/>
      </c>
      <c r="F388" s="17" t="str">
        <f>_xlfn.IFNA(VLOOKUP(G388,Master!B:C,2,0),"")</f>
        <v/>
      </c>
      <c r="I388" s="10" t="str">
        <f>_xlfn.IFNA(VLOOKUP(E388,Master!$J:$M,4,0),"")</f>
        <v/>
      </c>
      <c r="J388" s="10" t="str">
        <f>_xlfn.IFNA(VLOOKUP($E388,Master!$J:$M,3,0),"")</f>
        <v/>
      </c>
      <c r="AC388" s="14">
        <f t="shared" si="17"/>
        <v>0</v>
      </c>
      <c r="AD388" s="14">
        <f t="shared" si="18"/>
        <v>0</v>
      </c>
    </row>
    <row r="389" spans="2:30" ht="15" customHeight="1">
      <c r="B389" s="10" t="str">
        <f>_xlfn.IFNA(VLOOKUP(C389,Master!$J:$K,2,0),"")</f>
        <v/>
      </c>
      <c r="D389" s="17" t="str">
        <f>_xlfn.IFNA(VLOOKUP(E389,Master!$J:$K,2,0),"")</f>
        <v/>
      </c>
      <c r="F389" s="17" t="str">
        <f>_xlfn.IFNA(VLOOKUP(G389,Master!B:C,2,0),"")</f>
        <v/>
      </c>
      <c r="I389" s="10" t="str">
        <f>_xlfn.IFNA(VLOOKUP(E389,Master!$J:$M,4,0),"")</f>
        <v/>
      </c>
      <c r="J389" s="10" t="str">
        <f>_xlfn.IFNA(VLOOKUP($E389,Master!$J:$M,3,0),"")</f>
        <v/>
      </c>
      <c r="AC389" s="14">
        <f t="shared" si="17"/>
        <v>0</v>
      </c>
      <c r="AD389" s="14">
        <f t="shared" si="18"/>
        <v>0</v>
      </c>
    </row>
    <row r="390" spans="2:30" ht="15" customHeight="1">
      <c r="B390" s="10" t="str">
        <f>_xlfn.IFNA(VLOOKUP(C390,Master!$J:$K,2,0),"")</f>
        <v/>
      </c>
      <c r="D390" s="17" t="str">
        <f>_xlfn.IFNA(VLOOKUP(E390,Master!$J:$K,2,0),"")</f>
        <v/>
      </c>
      <c r="F390" s="17" t="str">
        <f>_xlfn.IFNA(VLOOKUP(G390,Master!B:C,2,0),"")</f>
        <v/>
      </c>
      <c r="I390" s="10" t="str">
        <f>_xlfn.IFNA(VLOOKUP(E390,Master!$J:$M,4,0),"")</f>
        <v/>
      </c>
      <c r="J390" s="10" t="str">
        <f>_xlfn.IFNA(VLOOKUP($E390,Master!$J:$M,3,0),"")</f>
        <v/>
      </c>
      <c r="AC390" s="14">
        <f t="shared" si="17"/>
        <v>0</v>
      </c>
      <c r="AD390" s="14">
        <f t="shared" si="18"/>
        <v>0</v>
      </c>
    </row>
    <row r="391" spans="2:30" ht="15" customHeight="1">
      <c r="B391" s="10" t="str">
        <f>_xlfn.IFNA(VLOOKUP(C391,Master!$J:$K,2,0),"")</f>
        <v/>
      </c>
      <c r="D391" s="17" t="str">
        <f>_xlfn.IFNA(VLOOKUP(E391,Master!$J:$K,2,0),"")</f>
        <v/>
      </c>
      <c r="F391" s="17" t="str">
        <f>_xlfn.IFNA(VLOOKUP(G391,Master!B:C,2,0),"")</f>
        <v/>
      </c>
      <c r="I391" s="10" t="str">
        <f>_xlfn.IFNA(VLOOKUP(E391,Master!$J:$M,4,0),"")</f>
        <v/>
      </c>
      <c r="J391" s="10" t="str">
        <f>_xlfn.IFNA(VLOOKUP($E391,Master!$J:$M,3,0),"")</f>
        <v/>
      </c>
      <c r="AC391" s="14">
        <f t="shared" si="17"/>
        <v>0</v>
      </c>
      <c r="AD391" s="14">
        <f t="shared" si="18"/>
        <v>0</v>
      </c>
    </row>
    <row r="392" spans="2:30" ht="15" customHeight="1">
      <c r="B392" s="10" t="str">
        <f>_xlfn.IFNA(VLOOKUP(C392,Master!$J:$K,2,0),"")</f>
        <v/>
      </c>
      <c r="D392" s="17" t="str">
        <f>_xlfn.IFNA(VLOOKUP(E392,Master!$J:$K,2,0),"")</f>
        <v/>
      </c>
      <c r="F392" s="17" t="str">
        <f>_xlfn.IFNA(VLOOKUP(G392,Master!B:C,2,0),"")</f>
        <v/>
      </c>
      <c r="I392" s="10" t="str">
        <f>_xlfn.IFNA(VLOOKUP(E392,Master!$J:$M,4,0),"")</f>
        <v/>
      </c>
      <c r="J392" s="10" t="str">
        <f>_xlfn.IFNA(VLOOKUP($E392,Master!$J:$M,3,0),"")</f>
        <v/>
      </c>
      <c r="AC392" s="14">
        <f t="shared" si="17"/>
        <v>0</v>
      </c>
      <c r="AD392" s="14">
        <f t="shared" si="18"/>
        <v>0</v>
      </c>
    </row>
    <row r="393" spans="2:30" ht="15" customHeight="1">
      <c r="B393" s="10" t="str">
        <f>_xlfn.IFNA(VLOOKUP(C393,Master!$J:$K,2,0),"")</f>
        <v/>
      </c>
      <c r="D393" s="17" t="str">
        <f>_xlfn.IFNA(VLOOKUP(E393,Master!$J:$K,2,0),"")</f>
        <v/>
      </c>
      <c r="F393" s="17" t="str">
        <f>_xlfn.IFNA(VLOOKUP(G393,Master!B:C,2,0),"")</f>
        <v/>
      </c>
      <c r="I393" s="10" t="str">
        <f>_xlfn.IFNA(VLOOKUP(E393,Master!$J:$M,4,0),"")</f>
        <v/>
      </c>
      <c r="J393" s="10" t="str">
        <f>_xlfn.IFNA(VLOOKUP($E393,Master!$J:$M,3,0),"")</f>
        <v/>
      </c>
      <c r="AC393" s="14">
        <f t="shared" si="17"/>
        <v>0</v>
      </c>
      <c r="AD393" s="14">
        <f t="shared" si="18"/>
        <v>0</v>
      </c>
    </row>
    <row r="394" spans="2:30" ht="15" customHeight="1">
      <c r="B394" s="10" t="str">
        <f>_xlfn.IFNA(VLOOKUP(C394,Master!$J:$K,2,0),"")</f>
        <v/>
      </c>
      <c r="D394" s="17" t="str">
        <f>_xlfn.IFNA(VLOOKUP(E394,Master!$J:$K,2,0),"")</f>
        <v/>
      </c>
      <c r="F394" s="17" t="str">
        <f>_xlfn.IFNA(VLOOKUP(G394,Master!B:C,2,0),"")</f>
        <v/>
      </c>
      <c r="I394" s="10" t="str">
        <f>_xlfn.IFNA(VLOOKUP(E394,Master!$J:$M,4,0),"")</f>
        <v/>
      </c>
      <c r="J394" s="10" t="str">
        <f>_xlfn.IFNA(VLOOKUP($E394,Master!$J:$M,3,0),"")</f>
        <v/>
      </c>
      <c r="AC394" s="14">
        <f t="shared" si="17"/>
        <v>0</v>
      </c>
      <c r="AD394" s="14">
        <f t="shared" si="18"/>
        <v>0</v>
      </c>
    </row>
    <row r="395" spans="2:30" ht="15" customHeight="1">
      <c r="B395" s="10" t="str">
        <f>_xlfn.IFNA(VLOOKUP(C395,Master!$J:$K,2,0),"")</f>
        <v/>
      </c>
      <c r="D395" s="17" t="str">
        <f>_xlfn.IFNA(VLOOKUP(E395,Master!$J:$K,2,0),"")</f>
        <v/>
      </c>
      <c r="F395" s="17" t="str">
        <f>_xlfn.IFNA(VLOOKUP(G395,Master!B:C,2,0),"")</f>
        <v/>
      </c>
      <c r="I395" s="10" t="str">
        <f>_xlfn.IFNA(VLOOKUP(E395,Master!$J:$M,4,0),"")</f>
        <v/>
      </c>
      <c r="J395" s="10" t="str">
        <f>_xlfn.IFNA(VLOOKUP($E395,Master!$J:$M,3,0),"")</f>
        <v/>
      </c>
      <c r="AC395" s="14">
        <f t="shared" si="17"/>
        <v>0</v>
      </c>
      <c r="AD395" s="14">
        <f t="shared" si="18"/>
        <v>0</v>
      </c>
    </row>
    <row r="396" spans="2:30" ht="15" customHeight="1">
      <c r="B396" s="10" t="str">
        <f>_xlfn.IFNA(VLOOKUP(C396,Master!$J:$K,2,0),"")</f>
        <v/>
      </c>
      <c r="D396" s="17" t="str">
        <f>_xlfn.IFNA(VLOOKUP(E396,Master!$J:$K,2,0),"")</f>
        <v/>
      </c>
      <c r="F396" s="17" t="str">
        <f>_xlfn.IFNA(VLOOKUP(G396,Master!B:C,2,0),"")</f>
        <v/>
      </c>
      <c r="I396" s="10" t="str">
        <f>_xlfn.IFNA(VLOOKUP(E396,Master!$J:$M,4,0),"")</f>
        <v/>
      </c>
      <c r="J396" s="10" t="str">
        <f>_xlfn.IFNA(VLOOKUP($E396,Master!$J:$M,3,0),"")</f>
        <v/>
      </c>
      <c r="AC396" s="14">
        <f t="shared" si="17"/>
        <v>0</v>
      </c>
      <c r="AD396" s="14">
        <f t="shared" si="18"/>
        <v>0</v>
      </c>
    </row>
    <row r="397" spans="2:30" ht="15" customHeight="1">
      <c r="B397" s="10" t="str">
        <f>_xlfn.IFNA(VLOOKUP(C397,Master!$J:$K,2,0),"")</f>
        <v/>
      </c>
      <c r="D397" s="17" t="str">
        <f>_xlfn.IFNA(VLOOKUP(E397,Master!$J:$K,2,0),"")</f>
        <v/>
      </c>
      <c r="F397" s="17" t="str">
        <f>_xlfn.IFNA(VLOOKUP(G397,Master!B:C,2,0),"")</f>
        <v/>
      </c>
      <c r="I397" s="10" t="str">
        <f>_xlfn.IFNA(VLOOKUP(E397,Master!$J:$M,4,0),"")</f>
        <v/>
      </c>
      <c r="J397" s="10" t="str">
        <f>_xlfn.IFNA(VLOOKUP($E397,Master!$J:$M,3,0),"")</f>
        <v/>
      </c>
      <c r="AC397" s="14">
        <f t="shared" si="17"/>
        <v>0</v>
      </c>
      <c r="AD397" s="14">
        <f t="shared" si="18"/>
        <v>0</v>
      </c>
    </row>
    <row r="398" spans="2:30" ht="15" customHeight="1">
      <c r="B398" s="10" t="str">
        <f>_xlfn.IFNA(VLOOKUP(C398,Master!$J:$K,2,0),"")</f>
        <v/>
      </c>
      <c r="D398" s="17" t="str">
        <f>_xlfn.IFNA(VLOOKUP(E398,Master!$J:$K,2,0),"")</f>
        <v/>
      </c>
      <c r="F398" s="17" t="str">
        <f>_xlfn.IFNA(VLOOKUP(G398,Master!B:C,2,0),"")</f>
        <v/>
      </c>
      <c r="I398" s="10" t="str">
        <f>_xlfn.IFNA(VLOOKUP(E398,Master!$J:$M,4,0),"")</f>
        <v/>
      </c>
      <c r="J398" s="10" t="str">
        <f>_xlfn.IFNA(VLOOKUP($E398,Master!$J:$M,3,0),"")</f>
        <v/>
      </c>
      <c r="AC398" s="14">
        <f t="shared" si="17"/>
        <v>0</v>
      </c>
      <c r="AD398" s="14">
        <f t="shared" si="18"/>
        <v>0</v>
      </c>
    </row>
    <row r="399" spans="2:30" ht="15" customHeight="1">
      <c r="B399" s="10" t="str">
        <f>_xlfn.IFNA(VLOOKUP(C399,Master!$J:$K,2,0),"")</f>
        <v/>
      </c>
      <c r="D399" s="17" t="str">
        <f>_xlfn.IFNA(VLOOKUP(E399,Master!$J:$K,2,0),"")</f>
        <v/>
      </c>
      <c r="F399" s="17" t="str">
        <f>_xlfn.IFNA(VLOOKUP(G399,Master!B:C,2,0),"")</f>
        <v/>
      </c>
      <c r="I399" s="10" t="str">
        <f>_xlfn.IFNA(VLOOKUP(E399,Master!$J:$M,4,0),"")</f>
        <v/>
      </c>
      <c r="J399" s="10" t="str">
        <f>_xlfn.IFNA(VLOOKUP($E399,Master!$J:$M,3,0),"")</f>
        <v/>
      </c>
      <c r="AC399" s="14">
        <f t="shared" si="17"/>
        <v>0</v>
      </c>
      <c r="AD399" s="14">
        <f t="shared" si="18"/>
        <v>0</v>
      </c>
    </row>
    <row r="400" spans="2:30" ht="15" customHeight="1">
      <c r="B400" s="10" t="str">
        <f>_xlfn.IFNA(VLOOKUP(C400,Master!$J:$K,2,0),"")</f>
        <v/>
      </c>
      <c r="D400" s="17" t="str">
        <f>_xlfn.IFNA(VLOOKUP(E400,Master!$J:$K,2,0),"")</f>
        <v/>
      </c>
      <c r="F400" s="17" t="str">
        <f>_xlfn.IFNA(VLOOKUP(G400,Master!B:C,2,0),"")</f>
        <v/>
      </c>
      <c r="I400" s="10" t="str">
        <f>_xlfn.IFNA(VLOOKUP(E400,Master!$J:$M,4,0),"")</f>
        <v/>
      </c>
      <c r="J400" s="10" t="str">
        <f>_xlfn.IFNA(VLOOKUP($E400,Master!$J:$M,3,0),"")</f>
        <v/>
      </c>
      <c r="AC400" s="14">
        <f t="shared" si="17"/>
        <v>0</v>
      </c>
      <c r="AD400" s="14">
        <f t="shared" si="18"/>
        <v>0</v>
      </c>
    </row>
    <row r="401" spans="2:30" ht="15" customHeight="1">
      <c r="B401" s="10" t="str">
        <f>_xlfn.IFNA(VLOOKUP(C401,Master!$J:$K,2,0),"")</f>
        <v/>
      </c>
      <c r="D401" s="17" t="str">
        <f>_xlfn.IFNA(VLOOKUP(E401,Master!$J:$K,2,0),"")</f>
        <v/>
      </c>
      <c r="F401" s="17" t="str">
        <f>_xlfn.IFNA(VLOOKUP(G401,Master!B:C,2,0),"")</f>
        <v/>
      </c>
      <c r="I401" s="10" t="str">
        <f>_xlfn.IFNA(VLOOKUP(E401,Master!$J:$M,4,0),"")</f>
        <v/>
      </c>
      <c r="J401" s="10" t="str">
        <f>_xlfn.IFNA(VLOOKUP($E401,Master!$J:$M,3,0),"")</f>
        <v/>
      </c>
      <c r="AC401" s="14">
        <f t="shared" si="17"/>
        <v>0</v>
      </c>
      <c r="AD401" s="14">
        <f t="shared" si="18"/>
        <v>0</v>
      </c>
    </row>
    <row r="402" spans="2:30" ht="15" customHeight="1">
      <c r="B402" s="10" t="str">
        <f>_xlfn.IFNA(VLOOKUP(C402,Master!$J:$K,2,0),"")</f>
        <v/>
      </c>
      <c r="D402" s="17" t="str">
        <f>_xlfn.IFNA(VLOOKUP(E402,Master!$J:$K,2,0),"")</f>
        <v/>
      </c>
      <c r="F402" s="17" t="str">
        <f>_xlfn.IFNA(VLOOKUP(G402,Master!B:C,2,0),"")</f>
        <v/>
      </c>
      <c r="I402" s="10" t="str">
        <f>_xlfn.IFNA(VLOOKUP(E402,Master!$J:$M,4,0),"")</f>
        <v/>
      </c>
      <c r="J402" s="10" t="str">
        <f>_xlfn.IFNA(VLOOKUP($E402,Master!$J:$M,3,0),"")</f>
        <v/>
      </c>
      <c r="AC402" s="14">
        <f t="shared" si="17"/>
        <v>0</v>
      </c>
      <c r="AD402" s="14">
        <f t="shared" si="18"/>
        <v>0</v>
      </c>
    </row>
    <row r="403" spans="2:30" ht="15" customHeight="1">
      <c r="B403" s="10" t="str">
        <f>_xlfn.IFNA(VLOOKUP(C403,Master!$J:$K,2,0),"")</f>
        <v/>
      </c>
      <c r="D403" s="17" t="str">
        <f>_xlfn.IFNA(VLOOKUP(E403,Master!$J:$K,2,0),"")</f>
        <v/>
      </c>
      <c r="F403" s="17" t="str">
        <f>_xlfn.IFNA(VLOOKUP(G403,Master!B:C,2,0),"")</f>
        <v/>
      </c>
      <c r="I403" s="10" t="str">
        <f>_xlfn.IFNA(VLOOKUP(E403,Master!$J:$M,4,0),"")</f>
        <v/>
      </c>
      <c r="J403" s="10" t="str">
        <f>_xlfn.IFNA(VLOOKUP($E403,Master!$J:$M,3,0),"")</f>
        <v/>
      </c>
      <c r="AC403" s="14">
        <f t="shared" si="17"/>
        <v>0</v>
      </c>
      <c r="AD403" s="14">
        <f t="shared" si="18"/>
        <v>0</v>
      </c>
    </row>
    <row r="404" spans="2:30" ht="15" customHeight="1">
      <c r="B404" s="10" t="str">
        <f>_xlfn.IFNA(VLOOKUP(C404,Master!$J:$K,2,0),"")</f>
        <v/>
      </c>
      <c r="D404" s="17" t="str">
        <f>_xlfn.IFNA(VLOOKUP(E404,Master!$J:$K,2,0),"")</f>
        <v/>
      </c>
      <c r="F404" s="17" t="str">
        <f>_xlfn.IFNA(VLOOKUP(G404,Master!B:C,2,0),"")</f>
        <v/>
      </c>
      <c r="I404" s="10" t="str">
        <f>_xlfn.IFNA(VLOOKUP(E404,Master!$J:$M,4,0),"")</f>
        <v/>
      </c>
      <c r="J404" s="10" t="str">
        <f>_xlfn.IFNA(VLOOKUP($E404,Master!$J:$M,3,0),"")</f>
        <v/>
      </c>
      <c r="AC404" s="14">
        <f t="shared" si="17"/>
        <v>0</v>
      </c>
      <c r="AD404" s="14">
        <f t="shared" si="18"/>
        <v>0</v>
      </c>
    </row>
    <row r="405" spans="2:30" ht="15" customHeight="1">
      <c r="B405" s="10" t="str">
        <f>_xlfn.IFNA(VLOOKUP(C405,Master!$J:$K,2,0),"")</f>
        <v/>
      </c>
      <c r="D405" s="17" t="str">
        <f>_xlfn.IFNA(VLOOKUP(E405,Master!$J:$K,2,0),"")</f>
        <v/>
      </c>
      <c r="F405" s="17" t="str">
        <f>_xlfn.IFNA(VLOOKUP(G405,Master!B:C,2,0),"")</f>
        <v/>
      </c>
      <c r="I405" s="10" t="str">
        <f>_xlfn.IFNA(VLOOKUP(E405,Master!$J:$M,4,0),"")</f>
        <v/>
      </c>
      <c r="J405" s="10" t="str">
        <f>_xlfn.IFNA(VLOOKUP($E405,Master!$J:$M,3,0),"")</f>
        <v/>
      </c>
      <c r="AC405" s="14">
        <f t="shared" si="17"/>
        <v>0</v>
      </c>
      <c r="AD405" s="14">
        <f t="shared" si="18"/>
        <v>0</v>
      </c>
    </row>
    <row r="406" spans="2:30" ht="15" customHeight="1">
      <c r="B406" s="10" t="str">
        <f>_xlfn.IFNA(VLOOKUP(C406,Master!$J:$K,2,0),"")</f>
        <v/>
      </c>
      <c r="D406" s="17" t="str">
        <f>_xlfn.IFNA(VLOOKUP(E406,Master!$J:$K,2,0),"")</f>
        <v/>
      </c>
      <c r="F406" s="17" t="str">
        <f>_xlfn.IFNA(VLOOKUP(G406,Master!B:C,2,0),"")</f>
        <v/>
      </c>
      <c r="I406" s="10" t="str">
        <f>_xlfn.IFNA(VLOOKUP(E406,Master!$J:$M,4,0),"")</f>
        <v/>
      </c>
      <c r="J406" s="10" t="str">
        <f>_xlfn.IFNA(VLOOKUP($E406,Master!$J:$M,3,0),"")</f>
        <v/>
      </c>
      <c r="AC406" s="14">
        <f t="shared" si="17"/>
        <v>0</v>
      </c>
      <c r="AD406" s="14">
        <f t="shared" si="18"/>
        <v>0</v>
      </c>
    </row>
    <row r="407" spans="2:30" ht="15" customHeight="1">
      <c r="B407" s="10" t="str">
        <f>_xlfn.IFNA(VLOOKUP(C407,Master!$J:$K,2,0),"")</f>
        <v/>
      </c>
      <c r="D407" s="17" t="str">
        <f>_xlfn.IFNA(VLOOKUP(E407,Master!$J:$K,2,0),"")</f>
        <v/>
      </c>
      <c r="F407" s="17" t="str">
        <f>_xlfn.IFNA(VLOOKUP(G407,Master!B:C,2,0),"")</f>
        <v/>
      </c>
      <c r="I407" s="10" t="str">
        <f>_xlfn.IFNA(VLOOKUP(E407,Master!$J:$M,4,0),"")</f>
        <v/>
      </c>
      <c r="J407" s="10" t="str">
        <f>_xlfn.IFNA(VLOOKUP($E407,Master!$J:$M,3,0),"")</f>
        <v/>
      </c>
      <c r="AC407" s="14">
        <f t="shared" si="17"/>
        <v>0</v>
      </c>
      <c r="AD407" s="14">
        <f t="shared" si="18"/>
        <v>0</v>
      </c>
    </row>
    <row r="408" spans="2:30" ht="15" customHeight="1">
      <c r="B408" s="10" t="str">
        <f>_xlfn.IFNA(VLOOKUP(C408,Master!$J:$K,2,0),"")</f>
        <v/>
      </c>
      <c r="D408" s="17" t="str">
        <f>_xlfn.IFNA(VLOOKUP(E408,Master!$J:$K,2,0),"")</f>
        <v/>
      </c>
      <c r="F408" s="17" t="str">
        <f>_xlfn.IFNA(VLOOKUP(G408,Master!B:C,2,0),"")</f>
        <v/>
      </c>
      <c r="I408" s="10" t="str">
        <f>_xlfn.IFNA(VLOOKUP(E408,Master!$J:$M,4,0),"")</f>
        <v/>
      </c>
      <c r="J408" s="10" t="str">
        <f>_xlfn.IFNA(VLOOKUP($E408,Master!$J:$M,3,0),"")</f>
        <v/>
      </c>
      <c r="AC408" s="14">
        <f t="shared" si="17"/>
        <v>0</v>
      </c>
      <c r="AD408" s="14">
        <f t="shared" si="18"/>
        <v>0</v>
      </c>
    </row>
    <row r="409" spans="2:30" ht="15" customHeight="1">
      <c r="B409" s="10" t="str">
        <f>_xlfn.IFNA(VLOOKUP(C409,Master!$J:$K,2,0),"")</f>
        <v/>
      </c>
      <c r="D409" s="17" t="str">
        <f>_xlfn.IFNA(VLOOKUP(E409,Master!$J:$K,2,0),"")</f>
        <v/>
      </c>
      <c r="F409" s="17" t="str">
        <f>_xlfn.IFNA(VLOOKUP(G409,Master!B:C,2,0),"")</f>
        <v/>
      </c>
      <c r="I409" s="10" t="str">
        <f>_xlfn.IFNA(VLOOKUP(E409,Master!$J:$M,4,0),"")</f>
        <v/>
      </c>
      <c r="J409" s="10" t="str">
        <f>_xlfn.IFNA(VLOOKUP($E409,Master!$J:$M,3,0),"")</f>
        <v/>
      </c>
      <c r="AC409" s="14">
        <f t="shared" si="17"/>
        <v>0</v>
      </c>
      <c r="AD409" s="14">
        <f t="shared" si="18"/>
        <v>0</v>
      </c>
    </row>
    <row r="410" spans="2:30" ht="15" customHeight="1">
      <c r="B410" s="10" t="str">
        <f>_xlfn.IFNA(VLOOKUP(C410,Master!$J:$K,2,0),"")</f>
        <v/>
      </c>
      <c r="D410" s="17" t="str">
        <f>_xlfn.IFNA(VLOOKUP(E410,Master!$J:$K,2,0),"")</f>
        <v/>
      </c>
      <c r="F410" s="17" t="str">
        <f>_xlfn.IFNA(VLOOKUP(G410,Master!B:C,2,0),"")</f>
        <v/>
      </c>
      <c r="I410" s="10" t="str">
        <f>_xlfn.IFNA(VLOOKUP(E410,Master!$J:$M,4,0),"")</f>
        <v/>
      </c>
      <c r="J410" s="10" t="str">
        <f>_xlfn.IFNA(VLOOKUP($E410,Master!$J:$M,3,0),"")</f>
        <v/>
      </c>
      <c r="AC410" s="14">
        <f t="shared" si="17"/>
        <v>0</v>
      </c>
      <c r="AD410" s="14">
        <f t="shared" si="18"/>
        <v>0</v>
      </c>
    </row>
    <row r="411" spans="2:30" ht="15" customHeight="1">
      <c r="B411" s="10" t="str">
        <f>_xlfn.IFNA(VLOOKUP(C411,Master!$J:$K,2,0),"")</f>
        <v/>
      </c>
      <c r="D411" s="17" t="str">
        <f>_xlfn.IFNA(VLOOKUP(E411,Master!$J:$K,2,0),"")</f>
        <v/>
      </c>
      <c r="F411" s="17" t="str">
        <f>_xlfn.IFNA(VLOOKUP(G411,Master!B:C,2,0),"")</f>
        <v/>
      </c>
      <c r="I411" s="10" t="str">
        <f>_xlfn.IFNA(VLOOKUP(E411,Master!$J:$M,4,0),"")</f>
        <v/>
      </c>
      <c r="J411" s="10" t="str">
        <f>_xlfn.IFNA(VLOOKUP($E411,Master!$J:$M,3,0),"")</f>
        <v/>
      </c>
      <c r="AC411" s="14">
        <f t="shared" si="17"/>
        <v>0</v>
      </c>
      <c r="AD411" s="14">
        <f t="shared" si="18"/>
        <v>0</v>
      </c>
    </row>
    <row r="412" spans="2:30" ht="15" customHeight="1">
      <c r="B412" s="10" t="str">
        <f>_xlfn.IFNA(VLOOKUP(C412,Master!$J:$K,2,0),"")</f>
        <v/>
      </c>
      <c r="D412" s="17" t="str">
        <f>_xlfn.IFNA(VLOOKUP(E412,Master!$J:$K,2,0),"")</f>
        <v/>
      </c>
      <c r="F412" s="17" t="str">
        <f>_xlfn.IFNA(VLOOKUP(G412,Master!B:C,2,0),"")</f>
        <v/>
      </c>
      <c r="I412" s="10" t="str">
        <f>_xlfn.IFNA(VLOOKUP(E412,Master!$J:$M,4,0),"")</f>
        <v/>
      </c>
      <c r="J412" s="10" t="str">
        <f>_xlfn.IFNA(VLOOKUP($E412,Master!$J:$M,3,0),"")</f>
        <v/>
      </c>
      <c r="AC412" s="14">
        <f t="shared" si="17"/>
        <v>0</v>
      </c>
      <c r="AD412" s="14">
        <f t="shared" si="18"/>
        <v>0</v>
      </c>
    </row>
    <row r="413" spans="2:30" ht="15" customHeight="1">
      <c r="B413" s="10" t="str">
        <f>_xlfn.IFNA(VLOOKUP(C413,Master!$J:$K,2,0),"")</f>
        <v/>
      </c>
      <c r="D413" s="17" t="str">
        <f>_xlfn.IFNA(VLOOKUP(E413,Master!$J:$K,2,0),"")</f>
        <v/>
      </c>
      <c r="F413" s="17" t="str">
        <f>_xlfn.IFNA(VLOOKUP(G413,Master!B:C,2,0),"")</f>
        <v/>
      </c>
      <c r="I413" s="10" t="str">
        <f>_xlfn.IFNA(VLOOKUP(E413,Master!$J:$M,4,0),"")</f>
        <v/>
      </c>
      <c r="J413" s="10" t="str">
        <f>_xlfn.IFNA(VLOOKUP($E413,Master!$J:$M,3,0),"")</f>
        <v/>
      </c>
      <c r="AC413" s="14">
        <f t="shared" si="17"/>
        <v>0</v>
      </c>
      <c r="AD413" s="14">
        <f t="shared" si="18"/>
        <v>0</v>
      </c>
    </row>
    <row r="414" spans="2:30" ht="15" customHeight="1">
      <c r="B414" s="10" t="str">
        <f>_xlfn.IFNA(VLOOKUP(C414,Master!$J:$K,2,0),"")</f>
        <v/>
      </c>
      <c r="D414" s="17" t="str">
        <f>_xlfn.IFNA(VLOOKUP(E414,Master!$J:$K,2,0),"")</f>
        <v/>
      </c>
      <c r="F414" s="17" t="str">
        <f>_xlfn.IFNA(VLOOKUP(G414,Master!B:C,2,0),"")</f>
        <v/>
      </c>
      <c r="I414" s="10" t="str">
        <f>_xlfn.IFNA(VLOOKUP(E414,Master!$J:$M,4,0),"")</f>
        <v/>
      </c>
      <c r="J414" s="10" t="str">
        <f>_xlfn.IFNA(VLOOKUP($E414,Master!$J:$M,3,0),"")</f>
        <v/>
      </c>
      <c r="AC414" s="14">
        <f t="shared" si="17"/>
        <v>0</v>
      </c>
      <c r="AD414" s="14">
        <f t="shared" si="18"/>
        <v>0</v>
      </c>
    </row>
    <row r="415" spans="2:30" ht="15" customHeight="1">
      <c r="B415" s="10" t="str">
        <f>_xlfn.IFNA(VLOOKUP(C415,Master!$J:$K,2,0),"")</f>
        <v/>
      </c>
      <c r="D415" s="17" t="str">
        <f>_xlfn.IFNA(VLOOKUP(E415,Master!$J:$K,2,0),"")</f>
        <v/>
      </c>
      <c r="F415" s="17" t="str">
        <f>_xlfn.IFNA(VLOOKUP(G415,Master!B:C,2,0),"")</f>
        <v/>
      </c>
      <c r="I415" s="10" t="str">
        <f>_xlfn.IFNA(VLOOKUP(E415,Master!$J:$M,4,0),"")</f>
        <v/>
      </c>
      <c r="J415" s="10" t="str">
        <f>_xlfn.IFNA(VLOOKUP($E415,Master!$J:$M,3,0),"")</f>
        <v/>
      </c>
      <c r="AC415" s="14">
        <f t="shared" si="17"/>
        <v>0</v>
      </c>
      <c r="AD415" s="14">
        <f t="shared" si="18"/>
        <v>0</v>
      </c>
    </row>
    <row r="416" spans="2:30" ht="15" customHeight="1">
      <c r="B416" s="10" t="str">
        <f>_xlfn.IFNA(VLOOKUP(C416,Master!$J:$K,2,0),"")</f>
        <v/>
      </c>
      <c r="D416" s="17" t="str">
        <f>_xlfn.IFNA(VLOOKUP(E416,Master!$J:$K,2,0),"")</f>
        <v/>
      </c>
      <c r="F416" s="17" t="str">
        <f>_xlfn.IFNA(VLOOKUP(G416,Master!B:C,2,0),"")</f>
        <v/>
      </c>
      <c r="I416" s="10" t="str">
        <f>_xlfn.IFNA(VLOOKUP(E416,Master!$J:$M,4,0),"")</f>
        <v/>
      </c>
      <c r="J416" s="10" t="str">
        <f>_xlfn.IFNA(VLOOKUP($E416,Master!$J:$M,3,0),"")</f>
        <v/>
      </c>
      <c r="AC416" s="14">
        <f t="shared" si="17"/>
        <v>0</v>
      </c>
      <c r="AD416" s="14">
        <f t="shared" si="18"/>
        <v>0</v>
      </c>
    </row>
    <row r="417" spans="2:30" ht="15" customHeight="1">
      <c r="B417" s="10" t="str">
        <f>_xlfn.IFNA(VLOOKUP(C417,Master!$J:$K,2,0),"")</f>
        <v/>
      </c>
      <c r="D417" s="17" t="str">
        <f>_xlfn.IFNA(VLOOKUP(E417,Master!$J:$K,2,0),"")</f>
        <v/>
      </c>
      <c r="F417" s="17" t="str">
        <f>_xlfn.IFNA(VLOOKUP(G417,Master!B:C,2,0),"")</f>
        <v/>
      </c>
      <c r="I417" s="10" t="str">
        <f>_xlfn.IFNA(VLOOKUP(E417,Master!$J:$M,4,0),"")</f>
        <v/>
      </c>
      <c r="J417" s="10" t="str">
        <f>_xlfn.IFNA(VLOOKUP($E417,Master!$J:$M,3,0),"")</f>
        <v/>
      </c>
      <c r="AC417" s="14">
        <f t="shared" si="17"/>
        <v>0</v>
      </c>
      <c r="AD417" s="14">
        <f t="shared" si="18"/>
        <v>0</v>
      </c>
    </row>
    <row r="418" spans="2:30" ht="15" customHeight="1">
      <c r="B418" s="10" t="str">
        <f>_xlfn.IFNA(VLOOKUP(C418,Master!$J:$K,2,0),"")</f>
        <v/>
      </c>
      <c r="D418" s="17" t="str">
        <f>_xlfn.IFNA(VLOOKUP(E418,Master!$J:$K,2,0),"")</f>
        <v/>
      </c>
      <c r="F418" s="17" t="str">
        <f>_xlfn.IFNA(VLOOKUP(G418,Master!B:C,2,0),"")</f>
        <v/>
      </c>
      <c r="I418" s="10" t="str">
        <f>_xlfn.IFNA(VLOOKUP(E418,Master!$J:$M,4,0),"")</f>
        <v/>
      </c>
      <c r="J418" s="10" t="str">
        <f>_xlfn.IFNA(VLOOKUP($E418,Master!$J:$M,3,0),"")</f>
        <v/>
      </c>
      <c r="AC418" s="14">
        <f t="shared" si="17"/>
        <v>0</v>
      </c>
      <c r="AD418" s="14">
        <f t="shared" si="18"/>
        <v>0</v>
      </c>
    </row>
    <row r="419" spans="2:30" ht="15" customHeight="1">
      <c r="B419" s="10" t="str">
        <f>_xlfn.IFNA(VLOOKUP(C419,Master!$J:$K,2,0),"")</f>
        <v/>
      </c>
      <c r="D419" s="17" t="str">
        <f>_xlfn.IFNA(VLOOKUP(E419,Master!$J:$K,2,0),"")</f>
        <v/>
      </c>
      <c r="F419" s="17" t="str">
        <f>_xlfn.IFNA(VLOOKUP(G419,Master!B:C,2,0),"")</f>
        <v/>
      </c>
      <c r="I419" s="10" t="str">
        <f>_xlfn.IFNA(VLOOKUP(E419,Master!$J:$M,4,0),"")</f>
        <v/>
      </c>
      <c r="J419" s="10" t="str">
        <f>_xlfn.IFNA(VLOOKUP($E419,Master!$J:$M,3,0),"")</f>
        <v/>
      </c>
      <c r="AC419" s="14">
        <f t="shared" si="17"/>
        <v>0</v>
      </c>
      <c r="AD419" s="14">
        <f t="shared" si="18"/>
        <v>0</v>
      </c>
    </row>
    <row r="420" spans="2:30" ht="15" customHeight="1">
      <c r="B420" s="10" t="str">
        <f>_xlfn.IFNA(VLOOKUP(C420,Master!$J:$K,2,0),"")</f>
        <v/>
      </c>
      <c r="D420" s="17" t="str">
        <f>_xlfn.IFNA(VLOOKUP(E420,Master!$J:$K,2,0),"")</f>
        <v/>
      </c>
      <c r="F420" s="17" t="str">
        <f>_xlfn.IFNA(VLOOKUP(G420,Master!B:C,2,0),"")</f>
        <v/>
      </c>
      <c r="I420" s="10" t="str">
        <f>_xlfn.IFNA(VLOOKUP(E420,Master!$J:$M,4,0),"")</f>
        <v/>
      </c>
      <c r="J420" s="10" t="str">
        <f>_xlfn.IFNA(VLOOKUP($E420,Master!$J:$M,3,0),"")</f>
        <v/>
      </c>
      <c r="AC420" s="14">
        <f t="shared" si="17"/>
        <v>0</v>
      </c>
      <c r="AD420" s="14">
        <f t="shared" si="18"/>
        <v>0</v>
      </c>
    </row>
    <row r="421" spans="2:30" ht="15" customHeight="1">
      <c r="B421" s="10" t="str">
        <f>_xlfn.IFNA(VLOOKUP(C421,Master!$J:$K,2,0),"")</f>
        <v/>
      </c>
      <c r="D421" s="17" t="str">
        <f>_xlfn.IFNA(VLOOKUP(E421,Master!$J:$K,2,0),"")</f>
        <v/>
      </c>
      <c r="F421" s="17" t="str">
        <f>_xlfn.IFNA(VLOOKUP(G421,Master!B:C,2,0),"")</f>
        <v/>
      </c>
      <c r="I421" s="10" t="str">
        <f>_xlfn.IFNA(VLOOKUP(E421,Master!$J:$M,4,0),"")</f>
        <v/>
      </c>
      <c r="J421" s="10" t="str">
        <f>_xlfn.IFNA(VLOOKUP($E421,Master!$J:$M,3,0),"")</f>
        <v/>
      </c>
      <c r="AC421" s="14">
        <f t="shared" si="17"/>
        <v>0</v>
      </c>
      <c r="AD421" s="14">
        <f t="shared" si="18"/>
        <v>0</v>
      </c>
    </row>
    <row r="422" spans="2:30" ht="15" customHeight="1">
      <c r="B422" s="10" t="str">
        <f>_xlfn.IFNA(VLOOKUP(C422,Master!$J:$K,2,0),"")</f>
        <v/>
      </c>
      <c r="D422" s="17" t="str">
        <f>_xlfn.IFNA(VLOOKUP(E422,Master!$J:$K,2,0),"")</f>
        <v/>
      </c>
      <c r="F422" s="17" t="str">
        <f>_xlfn.IFNA(VLOOKUP(G422,Master!B:C,2,0),"")</f>
        <v/>
      </c>
      <c r="I422" s="10" t="str">
        <f>_xlfn.IFNA(VLOOKUP(E422,Master!$J:$M,4,0),"")</f>
        <v/>
      </c>
      <c r="J422" s="10" t="str">
        <f>_xlfn.IFNA(VLOOKUP($E422,Master!$J:$M,3,0),"")</f>
        <v/>
      </c>
      <c r="AC422" s="14">
        <f t="shared" si="17"/>
        <v>0</v>
      </c>
      <c r="AD422" s="14">
        <f t="shared" si="18"/>
        <v>0</v>
      </c>
    </row>
    <row r="423" spans="2:30" ht="15" customHeight="1">
      <c r="B423" s="10" t="str">
        <f>_xlfn.IFNA(VLOOKUP(C423,Master!$J:$K,2,0),"")</f>
        <v/>
      </c>
      <c r="D423" s="17" t="str">
        <f>_xlfn.IFNA(VLOOKUP(E423,Master!$J:$K,2,0),"")</f>
        <v/>
      </c>
      <c r="F423" s="17" t="str">
        <f>_xlfn.IFNA(VLOOKUP(G423,Master!B:C,2,0),"")</f>
        <v/>
      </c>
      <c r="I423" s="10" t="str">
        <f>_xlfn.IFNA(VLOOKUP(E423,Master!$J:$M,4,0),"")</f>
        <v/>
      </c>
      <c r="J423" s="10" t="str">
        <f>_xlfn.IFNA(VLOOKUP($E423,Master!$J:$M,3,0),"")</f>
        <v/>
      </c>
      <c r="AC423" s="14">
        <f t="shared" si="17"/>
        <v>0</v>
      </c>
      <c r="AD423" s="14">
        <f t="shared" si="18"/>
        <v>0</v>
      </c>
    </row>
    <row r="424" spans="2:30" ht="15" customHeight="1">
      <c r="B424" s="10" t="str">
        <f>_xlfn.IFNA(VLOOKUP(C424,Master!$J:$K,2,0),"")</f>
        <v/>
      </c>
      <c r="D424" s="17" t="str">
        <f>_xlfn.IFNA(VLOOKUP(E424,Master!$J:$K,2,0),"")</f>
        <v/>
      </c>
      <c r="F424" s="17" t="str">
        <f>_xlfn.IFNA(VLOOKUP(G424,Master!B:C,2,0),"")</f>
        <v/>
      </c>
      <c r="I424" s="10" t="str">
        <f>_xlfn.IFNA(VLOOKUP(E424,Master!$J:$M,4,0),"")</f>
        <v/>
      </c>
      <c r="J424" s="10" t="str">
        <f>_xlfn.IFNA(VLOOKUP($E424,Master!$J:$M,3,0),"")</f>
        <v/>
      </c>
      <c r="AC424" s="14">
        <f t="shared" si="17"/>
        <v>0</v>
      </c>
      <c r="AD424" s="14">
        <f t="shared" si="18"/>
        <v>0</v>
      </c>
    </row>
    <row r="425" spans="2:30" ht="15" customHeight="1">
      <c r="B425" s="10" t="str">
        <f>_xlfn.IFNA(VLOOKUP(C425,Master!$J:$K,2,0),"")</f>
        <v/>
      </c>
      <c r="D425" s="17" t="str">
        <f>_xlfn.IFNA(VLOOKUP(E425,Master!$J:$K,2,0),"")</f>
        <v/>
      </c>
      <c r="F425" s="17" t="str">
        <f>_xlfn.IFNA(VLOOKUP(G425,Master!B:C,2,0),"")</f>
        <v/>
      </c>
      <c r="I425" s="10" t="str">
        <f>_xlfn.IFNA(VLOOKUP(E425,Master!$J:$M,4,0),"")</f>
        <v/>
      </c>
      <c r="J425" s="10" t="str">
        <f>_xlfn.IFNA(VLOOKUP($E425,Master!$J:$M,3,0),"")</f>
        <v/>
      </c>
      <c r="AC425" s="14">
        <f t="shared" si="17"/>
        <v>0</v>
      </c>
      <c r="AD425" s="14">
        <f t="shared" si="18"/>
        <v>0</v>
      </c>
    </row>
    <row r="426" spans="2:30" ht="15" customHeight="1">
      <c r="B426" s="10" t="str">
        <f>_xlfn.IFNA(VLOOKUP(C426,Master!$J:$K,2,0),"")</f>
        <v/>
      </c>
      <c r="D426" s="17" t="str">
        <f>_xlfn.IFNA(VLOOKUP(E426,Master!$J:$K,2,0),"")</f>
        <v/>
      </c>
      <c r="F426" s="17" t="str">
        <f>_xlfn.IFNA(VLOOKUP(G426,Master!B:C,2,0),"")</f>
        <v/>
      </c>
      <c r="I426" s="10" t="str">
        <f>_xlfn.IFNA(VLOOKUP(E426,Master!$J:$M,4,0),"")</f>
        <v/>
      </c>
      <c r="J426" s="10" t="str">
        <f>_xlfn.IFNA(VLOOKUP($E426,Master!$J:$M,3,0),"")</f>
        <v/>
      </c>
      <c r="AC426" s="14">
        <f t="shared" si="17"/>
        <v>0</v>
      </c>
      <c r="AD426" s="14">
        <f t="shared" si="18"/>
        <v>0</v>
      </c>
    </row>
    <row r="427" spans="2:30" ht="15" customHeight="1">
      <c r="B427" s="10" t="str">
        <f>_xlfn.IFNA(VLOOKUP(C427,Master!$J:$K,2,0),"")</f>
        <v/>
      </c>
      <c r="D427" s="17" t="str">
        <f>_xlfn.IFNA(VLOOKUP(E427,Master!$J:$K,2,0),"")</f>
        <v/>
      </c>
      <c r="F427" s="17" t="str">
        <f>_xlfn.IFNA(VLOOKUP(G427,Master!B:C,2,0),"")</f>
        <v/>
      </c>
      <c r="I427" s="10" t="str">
        <f>_xlfn.IFNA(VLOOKUP(E427,Master!$J:$M,4,0),"")</f>
        <v/>
      </c>
      <c r="J427" s="10" t="str">
        <f>_xlfn.IFNA(VLOOKUP($E427,Master!$J:$M,3,0),"")</f>
        <v/>
      </c>
      <c r="AC427" s="14">
        <f t="shared" si="17"/>
        <v>0</v>
      </c>
      <c r="AD427" s="14">
        <f t="shared" si="18"/>
        <v>0</v>
      </c>
    </row>
    <row r="428" spans="2:30" ht="15" customHeight="1">
      <c r="B428" s="10" t="str">
        <f>_xlfn.IFNA(VLOOKUP(C428,Master!$J:$K,2,0),"")</f>
        <v/>
      </c>
      <c r="D428" s="17" t="str">
        <f>_xlfn.IFNA(VLOOKUP(E428,Master!$J:$K,2,0),"")</f>
        <v/>
      </c>
      <c r="F428" s="17" t="str">
        <f>_xlfn.IFNA(VLOOKUP(G428,Master!B:C,2,0),"")</f>
        <v/>
      </c>
      <c r="I428" s="10" t="str">
        <f>_xlfn.IFNA(VLOOKUP(E428,Master!$J:$M,4,0),"")</f>
        <v/>
      </c>
      <c r="J428" s="10" t="str">
        <f>_xlfn.IFNA(VLOOKUP($E428,Master!$J:$M,3,0),"")</f>
        <v/>
      </c>
      <c r="AC428" s="14">
        <f t="shared" si="17"/>
        <v>0</v>
      </c>
      <c r="AD428" s="14">
        <f t="shared" si="18"/>
        <v>0</v>
      </c>
    </row>
    <row r="429" spans="2:30" ht="15" customHeight="1">
      <c r="B429" s="10" t="str">
        <f>_xlfn.IFNA(VLOOKUP(C429,Master!$J:$K,2,0),"")</f>
        <v/>
      </c>
      <c r="D429" s="17" t="str">
        <f>_xlfn.IFNA(VLOOKUP(E429,Master!$J:$K,2,0),"")</f>
        <v/>
      </c>
      <c r="F429" s="17" t="str">
        <f>_xlfn.IFNA(VLOOKUP(G429,Master!B:C,2,0),"")</f>
        <v/>
      </c>
      <c r="I429" s="10" t="str">
        <f>_xlfn.IFNA(VLOOKUP(E429,Master!$J:$M,4,0),"")</f>
        <v/>
      </c>
      <c r="J429" s="10" t="str">
        <f>_xlfn.IFNA(VLOOKUP($E429,Master!$J:$M,3,0),"")</f>
        <v/>
      </c>
      <c r="AC429" s="14">
        <f t="shared" si="17"/>
        <v>0</v>
      </c>
      <c r="AD429" s="14">
        <f t="shared" si="18"/>
        <v>0</v>
      </c>
    </row>
    <row r="430" spans="2:30" ht="15" customHeight="1">
      <c r="B430" s="10" t="str">
        <f>_xlfn.IFNA(VLOOKUP(C430,Master!$J:$K,2,0),"")</f>
        <v/>
      </c>
      <c r="D430" s="17" t="str">
        <f>_xlfn.IFNA(VLOOKUP(E430,Master!$J:$K,2,0),"")</f>
        <v/>
      </c>
      <c r="F430" s="17" t="str">
        <f>_xlfn.IFNA(VLOOKUP(G430,Master!B:C,2,0),"")</f>
        <v/>
      </c>
      <c r="I430" s="10" t="str">
        <f>_xlfn.IFNA(VLOOKUP(E430,Master!$J:$M,4,0),"")</f>
        <v/>
      </c>
      <c r="J430" s="10" t="str">
        <f>_xlfn.IFNA(VLOOKUP($E430,Master!$J:$M,3,0),"")</f>
        <v/>
      </c>
      <c r="AC430" s="14">
        <f t="shared" si="17"/>
        <v>0</v>
      </c>
      <c r="AD430" s="14">
        <f t="shared" si="18"/>
        <v>0</v>
      </c>
    </row>
    <row r="431" spans="2:30" ht="15" customHeight="1">
      <c r="B431" s="10" t="str">
        <f>_xlfn.IFNA(VLOOKUP(C431,Master!$J:$K,2,0),"")</f>
        <v/>
      </c>
      <c r="D431" s="17" t="str">
        <f>_xlfn.IFNA(VLOOKUP(E431,Master!$J:$K,2,0),"")</f>
        <v/>
      </c>
      <c r="F431" s="17" t="str">
        <f>_xlfn.IFNA(VLOOKUP(G431,Master!B:C,2,0),"")</f>
        <v/>
      </c>
      <c r="I431" s="10" t="str">
        <f>_xlfn.IFNA(VLOOKUP(E431,Master!$J:$M,4,0),"")</f>
        <v/>
      </c>
      <c r="J431" s="10" t="str">
        <f>_xlfn.IFNA(VLOOKUP($E431,Master!$J:$M,3,0),"")</f>
        <v/>
      </c>
      <c r="AC431" s="14">
        <f t="shared" si="17"/>
        <v>0</v>
      </c>
      <c r="AD431" s="14">
        <f t="shared" si="18"/>
        <v>0</v>
      </c>
    </row>
    <row r="432" spans="2:30" ht="15" customHeight="1">
      <c r="B432" s="10" t="str">
        <f>_xlfn.IFNA(VLOOKUP(C432,Master!$J:$K,2,0),"")</f>
        <v/>
      </c>
      <c r="D432" s="17" t="str">
        <f>_xlfn.IFNA(VLOOKUP(E432,Master!$J:$K,2,0),"")</f>
        <v/>
      </c>
      <c r="F432" s="17" t="str">
        <f>_xlfn.IFNA(VLOOKUP(G432,Master!B:C,2,0),"")</f>
        <v/>
      </c>
      <c r="I432" s="10" t="str">
        <f>_xlfn.IFNA(VLOOKUP(E432,Master!$J:$M,4,0),"")</f>
        <v/>
      </c>
      <c r="J432" s="10" t="str">
        <f>_xlfn.IFNA(VLOOKUP($E432,Master!$J:$M,3,0),"")</f>
        <v/>
      </c>
      <c r="AC432" s="14">
        <f t="shared" si="17"/>
        <v>0</v>
      </c>
      <c r="AD432" s="14">
        <f t="shared" si="18"/>
        <v>0</v>
      </c>
    </row>
    <row r="433" spans="2:30" ht="15" customHeight="1">
      <c r="B433" s="10" t="str">
        <f>_xlfn.IFNA(VLOOKUP(C433,Master!$J:$K,2,0),"")</f>
        <v/>
      </c>
      <c r="D433" s="17" t="str">
        <f>_xlfn.IFNA(VLOOKUP(E433,Master!$J:$K,2,0),"")</f>
        <v/>
      </c>
      <c r="F433" s="17" t="str">
        <f>_xlfn.IFNA(VLOOKUP(G433,Master!B:C,2,0),"")</f>
        <v/>
      </c>
      <c r="I433" s="10" t="str">
        <f>_xlfn.IFNA(VLOOKUP(E433,Master!$J:$M,4,0),"")</f>
        <v/>
      </c>
      <c r="J433" s="10" t="str">
        <f>_xlfn.IFNA(VLOOKUP($E433,Master!$J:$M,3,0),"")</f>
        <v/>
      </c>
      <c r="AC433" s="14">
        <f t="shared" si="17"/>
        <v>0</v>
      </c>
      <c r="AD433" s="14">
        <f t="shared" si="18"/>
        <v>0</v>
      </c>
    </row>
    <row r="434" spans="2:30" ht="15" customHeight="1">
      <c r="B434" s="10" t="str">
        <f>_xlfn.IFNA(VLOOKUP(C434,Master!$J:$K,2,0),"")</f>
        <v/>
      </c>
      <c r="D434" s="17" t="str">
        <f>_xlfn.IFNA(VLOOKUP(E434,Master!$J:$K,2,0),"")</f>
        <v/>
      </c>
      <c r="F434" s="17" t="str">
        <f>_xlfn.IFNA(VLOOKUP(G434,Master!B:C,2,0),"")</f>
        <v/>
      </c>
      <c r="I434" s="10" t="str">
        <f>_xlfn.IFNA(VLOOKUP(E434,Master!$J:$M,4,0),"")</f>
        <v/>
      </c>
      <c r="J434" s="10" t="str">
        <f>_xlfn.IFNA(VLOOKUP($E434,Master!$J:$M,3,0),"")</f>
        <v/>
      </c>
      <c r="AC434" s="14">
        <f t="shared" si="17"/>
        <v>0</v>
      </c>
      <c r="AD434" s="14">
        <f t="shared" si="18"/>
        <v>0</v>
      </c>
    </row>
    <row r="435" spans="2:30" ht="15" customHeight="1">
      <c r="B435" s="10" t="str">
        <f>_xlfn.IFNA(VLOOKUP(C435,Master!$J:$K,2,0),"")</f>
        <v/>
      </c>
      <c r="D435" s="17" t="str">
        <f>_xlfn.IFNA(VLOOKUP(E435,Master!$J:$K,2,0),"")</f>
        <v/>
      </c>
      <c r="F435" s="17" t="str">
        <f>_xlfn.IFNA(VLOOKUP(G435,Master!B:C,2,0),"")</f>
        <v/>
      </c>
      <c r="I435" s="10" t="str">
        <f>_xlfn.IFNA(VLOOKUP(E435,Master!$J:$M,4,0),"")</f>
        <v/>
      </c>
      <c r="J435" s="10" t="str">
        <f>_xlfn.IFNA(VLOOKUP($E435,Master!$J:$M,3,0),"")</f>
        <v/>
      </c>
      <c r="AC435" s="14">
        <f t="shared" si="17"/>
        <v>0</v>
      </c>
      <c r="AD435" s="14">
        <f t="shared" si="18"/>
        <v>0</v>
      </c>
    </row>
    <row r="436" spans="2:30" ht="15" customHeight="1">
      <c r="B436" s="10" t="str">
        <f>_xlfn.IFNA(VLOOKUP(C436,Master!$J:$K,2,0),"")</f>
        <v/>
      </c>
      <c r="D436" s="17" t="str">
        <f>_xlfn.IFNA(VLOOKUP(E436,Master!$J:$K,2,0),"")</f>
        <v/>
      </c>
      <c r="F436" s="17" t="str">
        <f>_xlfn.IFNA(VLOOKUP(G436,Master!B:C,2,0),"")</f>
        <v/>
      </c>
      <c r="I436" s="10" t="str">
        <f>_xlfn.IFNA(VLOOKUP(E436,Master!$J:$M,4,0),"")</f>
        <v/>
      </c>
      <c r="J436" s="10" t="str">
        <f>_xlfn.IFNA(VLOOKUP($E436,Master!$J:$M,3,0),"")</f>
        <v/>
      </c>
      <c r="AC436" s="14">
        <f t="shared" si="17"/>
        <v>0</v>
      </c>
      <c r="AD436" s="14">
        <f t="shared" si="18"/>
        <v>0</v>
      </c>
    </row>
    <row r="437" spans="2:30" ht="15" customHeight="1">
      <c r="B437" s="10" t="str">
        <f>_xlfn.IFNA(VLOOKUP(C437,Master!$J:$K,2,0),"")</f>
        <v/>
      </c>
      <c r="D437" s="17" t="str">
        <f>_xlfn.IFNA(VLOOKUP(E437,Master!$J:$K,2,0),"")</f>
        <v/>
      </c>
      <c r="F437" s="17" t="str">
        <f>_xlfn.IFNA(VLOOKUP(G437,Master!B:C,2,0),"")</f>
        <v/>
      </c>
      <c r="I437" s="10" t="str">
        <f>_xlfn.IFNA(VLOOKUP(E437,Master!$J:$M,4,0),"")</f>
        <v/>
      </c>
      <c r="J437" s="10" t="str">
        <f>_xlfn.IFNA(VLOOKUP($E437,Master!$J:$M,3,0),"")</f>
        <v/>
      </c>
      <c r="AC437" s="14">
        <f t="shared" si="17"/>
        <v>0</v>
      </c>
      <c r="AD437" s="14">
        <f t="shared" si="18"/>
        <v>0</v>
      </c>
    </row>
    <row r="438" spans="2:30" ht="15" customHeight="1">
      <c r="B438" s="10" t="str">
        <f>_xlfn.IFNA(VLOOKUP(C438,Master!$J:$K,2,0),"")</f>
        <v/>
      </c>
      <c r="D438" s="17" t="str">
        <f>_xlfn.IFNA(VLOOKUP(E438,Master!$J:$K,2,0),"")</f>
        <v/>
      </c>
      <c r="F438" s="17" t="str">
        <f>_xlfn.IFNA(VLOOKUP(G438,Master!B:C,2,0),"")</f>
        <v/>
      </c>
      <c r="I438" s="10" t="str">
        <f>_xlfn.IFNA(VLOOKUP(E438,Master!$J:$M,4,0),"")</f>
        <v/>
      </c>
      <c r="J438" s="10" t="str">
        <f>_xlfn.IFNA(VLOOKUP($E438,Master!$J:$M,3,0),"")</f>
        <v/>
      </c>
      <c r="AC438" s="14">
        <f t="shared" si="17"/>
        <v>0</v>
      </c>
      <c r="AD438" s="14">
        <f t="shared" si="18"/>
        <v>0</v>
      </c>
    </row>
    <row r="439" spans="2:30" ht="15" customHeight="1">
      <c r="B439" s="10" t="str">
        <f>_xlfn.IFNA(VLOOKUP(C439,Master!$J:$K,2,0),"")</f>
        <v/>
      </c>
      <c r="D439" s="17" t="str">
        <f>_xlfn.IFNA(VLOOKUP(E439,Master!$J:$K,2,0),"")</f>
        <v/>
      </c>
      <c r="F439" s="17" t="str">
        <f>_xlfn.IFNA(VLOOKUP(G439,Master!B:C,2,0),"")</f>
        <v/>
      </c>
      <c r="I439" s="10" t="str">
        <f>_xlfn.IFNA(VLOOKUP(E439,Master!$J:$M,4,0),"")</f>
        <v/>
      </c>
      <c r="J439" s="10" t="str">
        <f>_xlfn.IFNA(VLOOKUP($E439,Master!$J:$M,3,0),"")</f>
        <v/>
      </c>
      <c r="AC439" s="14">
        <f t="shared" si="17"/>
        <v>0</v>
      </c>
      <c r="AD439" s="14">
        <f t="shared" si="18"/>
        <v>0</v>
      </c>
    </row>
    <row r="440" spans="2:30" ht="15" customHeight="1">
      <c r="B440" s="10" t="str">
        <f>_xlfn.IFNA(VLOOKUP(C440,Master!$J:$K,2,0),"")</f>
        <v/>
      </c>
      <c r="D440" s="17" t="str">
        <f>_xlfn.IFNA(VLOOKUP(E440,Master!$J:$K,2,0),"")</f>
        <v/>
      </c>
      <c r="F440" s="17" t="str">
        <f>_xlfn.IFNA(VLOOKUP(G440,Master!B:C,2,0),"")</f>
        <v/>
      </c>
      <c r="I440" s="10" t="str">
        <f>_xlfn.IFNA(VLOOKUP(E440,Master!$J:$M,4,0),"")</f>
        <v/>
      </c>
      <c r="J440" s="10" t="str">
        <f>_xlfn.IFNA(VLOOKUP($E440,Master!$J:$M,3,0),"")</f>
        <v/>
      </c>
      <c r="AC440" s="14">
        <f t="shared" si="17"/>
        <v>0</v>
      </c>
      <c r="AD440" s="14">
        <f t="shared" si="18"/>
        <v>0</v>
      </c>
    </row>
    <row r="441" spans="2:30" ht="15" customHeight="1">
      <c r="B441" s="10" t="str">
        <f>_xlfn.IFNA(VLOOKUP(C441,Master!$J:$K,2,0),"")</f>
        <v/>
      </c>
      <c r="D441" s="17" t="str">
        <f>_xlfn.IFNA(VLOOKUP(E441,Master!$J:$K,2,0),"")</f>
        <v/>
      </c>
      <c r="F441" s="17" t="str">
        <f>_xlfn.IFNA(VLOOKUP(G441,Master!B:C,2,0),"")</f>
        <v/>
      </c>
      <c r="I441" s="10" t="str">
        <f>_xlfn.IFNA(VLOOKUP(E441,Master!$J:$M,4,0),"")</f>
        <v/>
      </c>
      <c r="J441" s="10" t="str">
        <f>_xlfn.IFNA(VLOOKUP($E441,Master!$J:$M,3,0),"")</f>
        <v/>
      </c>
      <c r="AC441" s="14">
        <f t="shared" si="17"/>
        <v>0</v>
      </c>
      <c r="AD441" s="14">
        <f t="shared" si="18"/>
        <v>0</v>
      </c>
    </row>
    <row r="442" spans="2:30" ht="15" customHeight="1">
      <c r="B442" s="10" t="str">
        <f>_xlfn.IFNA(VLOOKUP(C442,Master!$J:$K,2,0),"")</f>
        <v/>
      </c>
      <c r="D442" s="17" t="str">
        <f>_xlfn.IFNA(VLOOKUP(E442,Master!$J:$K,2,0),"")</f>
        <v/>
      </c>
      <c r="F442" s="17" t="str">
        <f>_xlfn.IFNA(VLOOKUP(G442,Master!B:C,2,0),"")</f>
        <v/>
      </c>
      <c r="I442" s="10" t="str">
        <f>_xlfn.IFNA(VLOOKUP(E442,Master!$J:$M,4,0),"")</f>
        <v/>
      </c>
      <c r="J442" s="10" t="str">
        <f>_xlfn.IFNA(VLOOKUP($E442,Master!$J:$M,3,0),"")</f>
        <v/>
      </c>
      <c r="AC442" s="14">
        <f t="shared" si="17"/>
        <v>0</v>
      </c>
      <c r="AD442" s="14">
        <f t="shared" si="18"/>
        <v>0</v>
      </c>
    </row>
    <row r="443" spans="2:30" ht="15" customHeight="1">
      <c r="B443" s="10" t="str">
        <f>_xlfn.IFNA(VLOOKUP(C443,Master!$J:$K,2,0),"")</f>
        <v/>
      </c>
      <c r="D443" s="17" t="str">
        <f>_xlfn.IFNA(VLOOKUP(E443,Master!$J:$K,2,0),"")</f>
        <v/>
      </c>
      <c r="F443" s="17" t="str">
        <f>_xlfn.IFNA(VLOOKUP(G443,Master!B:C,2,0),"")</f>
        <v/>
      </c>
      <c r="I443" s="10" t="str">
        <f>_xlfn.IFNA(VLOOKUP(E443,Master!$J:$M,4,0),"")</f>
        <v/>
      </c>
      <c r="J443" s="10" t="str">
        <f>_xlfn.IFNA(VLOOKUP($E443,Master!$J:$M,3,0),"")</f>
        <v/>
      </c>
      <c r="AC443" s="14">
        <f t="shared" si="17"/>
        <v>0</v>
      </c>
      <c r="AD443" s="14">
        <f t="shared" si="18"/>
        <v>0</v>
      </c>
    </row>
    <row r="444" spans="2:30" ht="15" customHeight="1">
      <c r="B444" s="10" t="str">
        <f>_xlfn.IFNA(VLOOKUP(C444,Master!$J:$K,2,0),"")</f>
        <v/>
      </c>
      <c r="D444" s="17" t="str">
        <f>_xlfn.IFNA(VLOOKUP(E444,Master!$J:$K,2,0),"")</f>
        <v/>
      </c>
      <c r="F444" s="17" t="str">
        <f>_xlfn.IFNA(VLOOKUP(G444,Master!B:C,2,0),"")</f>
        <v/>
      </c>
      <c r="I444" s="10" t="str">
        <f>_xlfn.IFNA(VLOOKUP(E444,Master!$J:$M,4,0),"")</f>
        <v/>
      </c>
      <c r="J444" s="10" t="str">
        <f>_xlfn.IFNA(VLOOKUP($E444,Master!$J:$M,3,0),"")</f>
        <v/>
      </c>
      <c r="AC444" s="14">
        <f t="shared" si="17"/>
        <v>0</v>
      </c>
      <c r="AD444" s="14">
        <f t="shared" si="18"/>
        <v>0</v>
      </c>
    </row>
    <row r="445" spans="2:30" ht="15" customHeight="1">
      <c r="B445" s="10" t="str">
        <f>_xlfn.IFNA(VLOOKUP(C445,Master!$J:$K,2,0),"")</f>
        <v/>
      </c>
      <c r="D445" s="17" t="str">
        <f>_xlfn.IFNA(VLOOKUP(E445,Master!$J:$K,2,0),"")</f>
        <v/>
      </c>
      <c r="F445" s="17" t="str">
        <f>_xlfn.IFNA(VLOOKUP(G445,Master!B:C,2,0),"")</f>
        <v/>
      </c>
      <c r="I445" s="10" t="str">
        <f>_xlfn.IFNA(VLOOKUP(E445,Master!$J:$M,4,0),"")</f>
        <v/>
      </c>
      <c r="J445" s="10" t="str">
        <f>_xlfn.IFNA(VLOOKUP($E445,Master!$J:$M,3,0),"")</f>
        <v/>
      </c>
      <c r="AC445" s="14">
        <f t="shared" si="17"/>
        <v>0</v>
      </c>
      <c r="AD445" s="14">
        <f t="shared" si="18"/>
        <v>0</v>
      </c>
    </row>
    <row r="446" spans="2:30" ht="15" customHeight="1">
      <c r="B446" s="10" t="str">
        <f>_xlfn.IFNA(VLOOKUP(C446,Master!$J:$K,2,0),"")</f>
        <v/>
      </c>
      <c r="D446" s="17" t="str">
        <f>_xlfn.IFNA(VLOOKUP(E446,Master!$J:$K,2,0),"")</f>
        <v/>
      </c>
      <c r="F446" s="17" t="str">
        <f>_xlfn.IFNA(VLOOKUP(G446,Master!B:C,2,0),"")</f>
        <v/>
      </c>
      <c r="I446" s="10" t="str">
        <f>_xlfn.IFNA(VLOOKUP(E446,Master!$J:$M,4,0),"")</f>
        <v/>
      </c>
      <c r="J446" s="10" t="str">
        <f>_xlfn.IFNA(VLOOKUP($E446,Master!$J:$M,3,0),"")</f>
        <v/>
      </c>
      <c r="AC446" s="14">
        <f t="shared" si="17"/>
        <v>0</v>
      </c>
      <c r="AD446" s="14">
        <f t="shared" si="18"/>
        <v>0</v>
      </c>
    </row>
    <row r="447" spans="2:30" ht="15" customHeight="1">
      <c r="B447" s="10" t="str">
        <f>_xlfn.IFNA(VLOOKUP(C447,Master!$J:$K,2,0),"")</f>
        <v/>
      </c>
      <c r="D447" s="17" t="str">
        <f>_xlfn.IFNA(VLOOKUP(E447,Master!$J:$K,2,0),"")</f>
        <v/>
      </c>
      <c r="F447" s="17" t="str">
        <f>_xlfn.IFNA(VLOOKUP(G447,Master!B:C,2,0),"")</f>
        <v/>
      </c>
      <c r="I447" s="10" t="str">
        <f>_xlfn.IFNA(VLOOKUP(E447,Master!$J:$M,4,0),"")</f>
        <v/>
      </c>
      <c r="J447" s="10" t="str">
        <f>_xlfn.IFNA(VLOOKUP($E447,Master!$J:$M,3,0),"")</f>
        <v/>
      </c>
      <c r="AC447" s="14">
        <f t="shared" si="17"/>
        <v>0</v>
      </c>
      <c r="AD447" s="14">
        <f t="shared" si="18"/>
        <v>0</v>
      </c>
    </row>
    <row r="448" spans="2:30" ht="15" customHeight="1">
      <c r="B448" s="10" t="str">
        <f>_xlfn.IFNA(VLOOKUP(C448,Master!$J:$K,2,0),"")</f>
        <v/>
      </c>
      <c r="D448" s="17" t="str">
        <f>_xlfn.IFNA(VLOOKUP(E448,Master!$J:$K,2,0),"")</f>
        <v/>
      </c>
      <c r="F448" s="17" t="str">
        <f>_xlfn.IFNA(VLOOKUP(G448,Master!B:C,2,0),"")</f>
        <v/>
      </c>
      <c r="I448" s="10" t="str">
        <f>_xlfn.IFNA(VLOOKUP(E448,Master!$J:$M,4,0),"")</f>
        <v/>
      </c>
      <c r="J448" s="10" t="str">
        <f>_xlfn.IFNA(VLOOKUP($E448,Master!$J:$M,3,0),"")</f>
        <v/>
      </c>
      <c r="AC448" s="14">
        <f t="shared" si="17"/>
        <v>0</v>
      </c>
      <c r="AD448" s="14">
        <f t="shared" si="18"/>
        <v>0</v>
      </c>
    </row>
    <row r="449" spans="2:30" ht="15" customHeight="1">
      <c r="B449" s="10" t="str">
        <f>_xlfn.IFNA(VLOOKUP(C449,Master!$J:$K,2,0),"")</f>
        <v/>
      </c>
      <c r="D449" s="17" t="str">
        <f>_xlfn.IFNA(VLOOKUP(E449,Master!$J:$K,2,0),"")</f>
        <v/>
      </c>
      <c r="F449" s="17" t="str">
        <f>_xlfn.IFNA(VLOOKUP(G449,Master!B:C,2,0),"")</f>
        <v/>
      </c>
      <c r="I449" s="10" t="str">
        <f>_xlfn.IFNA(VLOOKUP(E449,Master!$J:$M,4,0),"")</f>
        <v/>
      </c>
      <c r="J449" s="10" t="str">
        <f>_xlfn.IFNA(VLOOKUP($E449,Master!$J:$M,3,0),"")</f>
        <v/>
      </c>
      <c r="AC449" s="14">
        <f t="shared" si="17"/>
        <v>0</v>
      </c>
      <c r="AD449" s="14">
        <f t="shared" si="18"/>
        <v>0</v>
      </c>
    </row>
    <row r="450" spans="2:30" ht="15" customHeight="1">
      <c r="B450" s="10" t="str">
        <f>_xlfn.IFNA(VLOOKUP(C450,Master!$J:$K,2,0),"")</f>
        <v/>
      </c>
      <c r="D450" s="17" t="str">
        <f>_xlfn.IFNA(VLOOKUP(E450,Master!$J:$K,2,0),"")</f>
        <v/>
      </c>
      <c r="F450" s="17" t="str">
        <f>_xlfn.IFNA(VLOOKUP(G450,Master!B:C,2,0),"")</f>
        <v/>
      </c>
      <c r="I450" s="10" t="str">
        <f>_xlfn.IFNA(VLOOKUP(E450,Master!$J:$M,4,0),"")</f>
        <v/>
      </c>
      <c r="J450" s="10" t="str">
        <f>_xlfn.IFNA(VLOOKUP($E450,Master!$J:$M,3,0),"")</f>
        <v/>
      </c>
      <c r="AC450" s="14">
        <f t="shared" ref="AC450:AC513" si="19">SUM(K450:P450)</f>
        <v>0</v>
      </c>
      <c r="AD450" s="14">
        <f t="shared" ref="AD450:AD513" si="20">SUM(Q450:AB450)</f>
        <v>0</v>
      </c>
    </row>
    <row r="451" spans="2:30" ht="15" customHeight="1">
      <c r="B451" s="10" t="str">
        <f>_xlfn.IFNA(VLOOKUP(C451,Master!$J:$K,2,0),"")</f>
        <v/>
      </c>
      <c r="F451" s="17" t="str">
        <f>_xlfn.IFNA(VLOOKUP(G451,Master!B:C,2,0),"")</f>
        <v/>
      </c>
      <c r="I451" s="10" t="str">
        <f>_xlfn.IFNA(VLOOKUP(E451,Master!$J:$M,4,0),"")</f>
        <v/>
      </c>
      <c r="J451" s="10" t="str">
        <f>_xlfn.IFNA(VLOOKUP($E451,Master!$J:$M,3,0),"")</f>
        <v/>
      </c>
      <c r="AC451" s="14">
        <f t="shared" si="19"/>
        <v>0</v>
      </c>
      <c r="AD451" s="14">
        <f t="shared" si="20"/>
        <v>0</v>
      </c>
    </row>
    <row r="452" spans="2:30" ht="15" customHeight="1">
      <c r="B452" s="10" t="str">
        <f>_xlfn.IFNA(VLOOKUP(C452,Master!$J:$K,2,0),"")</f>
        <v/>
      </c>
      <c r="F452" s="17" t="str">
        <f>_xlfn.IFNA(VLOOKUP(G452,Master!B:C,2,0),"")</f>
        <v/>
      </c>
      <c r="I452" s="10" t="str">
        <f>_xlfn.IFNA(VLOOKUP(E452,Master!$J:$M,4,0),"")</f>
        <v/>
      </c>
      <c r="J452" s="10" t="str">
        <f>_xlfn.IFNA(VLOOKUP($E452,Master!$J:$M,3,0),"")</f>
        <v/>
      </c>
      <c r="AC452" s="14">
        <f t="shared" si="19"/>
        <v>0</v>
      </c>
      <c r="AD452" s="14">
        <f t="shared" si="20"/>
        <v>0</v>
      </c>
    </row>
    <row r="453" spans="2:30" ht="15" customHeight="1">
      <c r="B453" s="10" t="str">
        <f>_xlfn.IFNA(VLOOKUP(C453,Master!$J:$K,2,0),"")</f>
        <v/>
      </c>
      <c r="F453" s="17" t="str">
        <f>_xlfn.IFNA(VLOOKUP(G453,Master!B:C,2,0),"")</f>
        <v/>
      </c>
      <c r="I453" s="10" t="str">
        <f>_xlfn.IFNA(VLOOKUP(E453,Master!$J:$M,4,0),"")</f>
        <v/>
      </c>
      <c r="J453" s="10" t="str">
        <f>_xlfn.IFNA(VLOOKUP($E453,Master!$J:$M,3,0),"")</f>
        <v/>
      </c>
      <c r="AC453" s="14">
        <f t="shared" si="19"/>
        <v>0</v>
      </c>
      <c r="AD453" s="14">
        <f t="shared" si="20"/>
        <v>0</v>
      </c>
    </row>
    <row r="454" spans="2:30" ht="15" customHeight="1">
      <c r="B454" s="10" t="str">
        <f>_xlfn.IFNA(VLOOKUP(C454,Master!$J:$K,2,0),"")</f>
        <v/>
      </c>
      <c r="F454" s="17" t="str">
        <f>_xlfn.IFNA(VLOOKUP(G454,Master!B:C,2,0),"")</f>
        <v/>
      </c>
      <c r="I454" s="10" t="str">
        <f>_xlfn.IFNA(VLOOKUP(E454,Master!$J:$M,4,0),"")</f>
        <v/>
      </c>
      <c r="J454" s="10" t="str">
        <f>_xlfn.IFNA(VLOOKUP($E454,Master!$J:$M,3,0),"")</f>
        <v/>
      </c>
      <c r="AC454" s="14">
        <f t="shared" si="19"/>
        <v>0</v>
      </c>
      <c r="AD454" s="14">
        <f t="shared" si="20"/>
        <v>0</v>
      </c>
    </row>
    <row r="455" spans="2:30" ht="15" customHeight="1">
      <c r="B455" s="10" t="str">
        <f>_xlfn.IFNA(VLOOKUP(C455,Master!$J:$K,2,0),"")</f>
        <v/>
      </c>
      <c r="F455" s="17" t="str">
        <f>_xlfn.IFNA(VLOOKUP(G455,Master!B:C,2,0),"")</f>
        <v/>
      </c>
      <c r="I455" s="10" t="str">
        <f>_xlfn.IFNA(VLOOKUP(E455,Master!$J:$M,4,0),"")</f>
        <v/>
      </c>
      <c r="J455" s="10" t="str">
        <f>_xlfn.IFNA(VLOOKUP($E455,Master!$J:$M,3,0),"")</f>
        <v/>
      </c>
      <c r="AC455" s="14">
        <f t="shared" si="19"/>
        <v>0</v>
      </c>
      <c r="AD455" s="14">
        <f t="shared" si="20"/>
        <v>0</v>
      </c>
    </row>
    <row r="456" spans="2:30" ht="15" customHeight="1">
      <c r="B456" s="10" t="str">
        <f>_xlfn.IFNA(VLOOKUP(C456,Master!$J:$K,2,0),"")</f>
        <v/>
      </c>
      <c r="F456" s="17" t="str">
        <f>_xlfn.IFNA(VLOOKUP(G456,Master!B:C,2,0),"")</f>
        <v/>
      </c>
      <c r="I456" s="10" t="str">
        <f>_xlfn.IFNA(VLOOKUP(E456,Master!$J:$M,4,0),"")</f>
        <v/>
      </c>
      <c r="J456" s="10" t="str">
        <f>_xlfn.IFNA(VLOOKUP($E456,Master!$J:$M,3,0),"")</f>
        <v/>
      </c>
      <c r="AC456" s="14">
        <f t="shared" si="19"/>
        <v>0</v>
      </c>
      <c r="AD456" s="14">
        <f t="shared" si="20"/>
        <v>0</v>
      </c>
    </row>
    <row r="457" spans="2:30" ht="15" customHeight="1">
      <c r="B457" s="10" t="str">
        <f>_xlfn.IFNA(VLOOKUP(C457,Master!$J:$K,2,0),"")</f>
        <v/>
      </c>
      <c r="F457" s="17" t="str">
        <f>_xlfn.IFNA(VLOOKUP(G457,Master!B:C,2,0),"")</f>
        <v/>
      </c>
      <c r="I457" s="10" t="str">
        <f>_xlfn.IFNA(VLOOKUP(E457,Master!$J:$M,4,0),"")</f>
        <v/>
      </c>
      <c r="J457" s="10" t="str">
        <f>_xlfn.IFNA(VLOOKUP($E457,Master!$J:$M,3,0),"")</f>
        <v/>
      </c>
      <c r="AC457" s="14">
        <f t="shared" si="19"/>
        <v>0</v>
      </c>
      <c r="AD457" s="14">
        <f t="shared" si="20"/>
        <v>0</v>
      </c>
    </row>
    <row r="458" spans="2:30" ht="15" customHeight="1">
      <c r="B458" s="10" t="str">
        <f>_xlfn.IFNA(VLOOKUP(C458,Master!$J:$K,2,0),"")</f>
        <v/>
      </c>
      <c r="F458" s="17" t="str">
        <f>_xlfn.IFNA(VLOOKUP(G458,Master!B:C,2,0),"")</f>
        <v/>
      </c>
      <c r="I458" s="10" t="str">
        <f>_xlfn.IFNA(VLOOKUP(E458,Master!$J:$M,4,0),"")</f>
        <v/>
      </c>
      <c r="J458" s="10" t="str">
        <f>_xlfn.IFNA(VLOOKUP($E458,Master!$J:$M,3,0),"")</f>
        <v/>
      </c>
      <c r="AC458" s="14">
        <f t="shared" si="19"/>
        <v>0</v>
      </c>
      <c r="AD458" s="14">
        <f t="shared" si="20"/>
        <v>0</v>
      </c>
    </row>
    <row r="459" spans="2:30" ht="15" customHeight="1">
      <c r="B459" s="10" t="str">
        <f>_xlfn.IFNA(VLOOKUP(C459,Master!$J:$K,2,0),"")</f>
        <v/>
      </c>
      <c r="F459" s="17" t="str">
        <f>_xlfn.IFNA(VLOOKUP(G459,Master!B:C,2,0),"")</f>
        <v/>
      </c>
      <c r="I459" s="10" t="str">
        <f>_xlfn.IFNA(VLOOKUP(E459,Master!$J:$M,4,0),"")</f>
        <v/>
      </c>
      <c r="J459" s="10" t="str">
        <f>_xlfn.IFNA(VLOOKUP($E459,Master!$J:$M,3,0),"")</f>
        <v/>
      </c>
      <c r="AC459" s="14">
        <f t="shared" si="19"/>
        <v>0</v>
      </c>
      <c r="AD459" s="14">
        <f t="shared" si="20"/>
        <v>0</v>
      </c>
    </row>
    <row r="460" spans="2:30" ht="15" customHeight="1">
      <c r="B460" s="10" t="str">
        <f>_xlfn.IFNA(VLOOKUP(C460,Master!$J:$K,2,0),"")</f>
        <v/>
      </c>
      <c r="F460" s="17" t="str">
        <f>_xlfn.IFNA(VLOOKUP(G460,Master!B:C,2,0),"")</f>
        <v/>
      </c>
      <c r="I460" s="10" t="str">
        <f>_xlfn.IFNA(VLOOKUP(E460,Master!$J:$M,4,0),"")</f>
        <v/>
      </c>
      <c r="J460" s="10" t="str">
        <f>_xlfn.IFNA(VLOOKUP($E460,Master!$J:$M,3,0),"")</f>
        <v/>
      </c>
      <c r="AC460" s="14">
        <f t="shared" si="19"/>
        <v>0</v>
      </c>
      <c r="AD460" s="14">
        <f t="shared" si="20"/>
        <v>0</v>
      </c>
    </row>
    <row r="461" spans="2:30" ht="15" customHeight="1">
      <c r="B461" s="10" t="str">
        <f>_xlfn.IFNA(VLOOKUP(C461,Master!$J:$K,2,0),"")</f>
        <v/>
      </c>
      <c r="F461" s="17" t="str">
        <f>_xlfn.IFNA(VLOOKUP(G461,Master!B:C,2,0),"")</f>
        <v/>
      </c>
      <c r="I461" s="10" t="str">
        <f>_xlfn.IFNA(VLOOKUP(E461,Master!$J:$M,4,0),"")</f>
        <v/>
      </c>
      <c r="J461" s="10" t="str">
        <f>_xlfn.IFNA(VLOOKUP($E461,Master!$J:$M,3,0),"")</f>
        <v/>
      </c>
      <c r="AC461" s="14">
        <f t="shared" si="19"/>
        <v>0</v>
      </c>
      <c r="AD461" s="14">
        <f t="shared" si="20"/>
        <v>0</v>
      </c>
    </row>
    <row r="462" spans="2:30" ht="15" customHeight="1">
      <c r="B462" s="10" t="str">
        <f>_xlfn.IFNA(VLOOKUP(C462,Master!$J:$K,2,0),"")</f>
        <v/>
      </c>
      <c r="F462" s="17" t="str">
        <f>_xlfn.IFNA(VLOOKUP(G462,Master!B:C,2,0),"")</f>
        <v/>
      </c>
      <c r="I462" s="10" t="str">
        <f>_xlfn.IFNA(VLOOKUP(E462,Master!$J:$M,4,0),"")</f>
        <v/>
      </c>
      <c r="J462" s="10" t="str">
        <f>_xlfn.IFNA(VLOOKUP($E462,Master!$J:$M,3,0),"")</f>
        <v/>
      </c>
      <c r="AC462" s="14">
        <f t="shared" si="19"/>
        <v>0</v>
      </c>
      <c r="AD462" s="14">
        <f t="shared" si="20"/>
        <v>0</v>
      </c>
    </row>
    <row r="463" spans="2:30" ht="15" customHeight="1">
      <c r="B463" s="10" t="str">
        <f>_xlfn.IFNA(VLOOKUP(C463,Master!$J:$K,2,0),"")</f>
        <v/>
      </c>
      <c r="F463" s="17" t="str">
        <f>_xlfn.IFNA(VLOOKUP(G463,Master!B:C,2,0),"")</f>
        <v/>
      </c>
      <c r="I463" s="10" t="str">
        <f>_xlfn.IFNA(VLOOKUP(E463,Master!$J:$M,4,0),"")</f>
        <v/>
      </c>
      <c r="J463" s="10" t="str">
        <f>_xlfn.IFNA(VLOOKUP($E463,Master!$J:$M,3,0),"")</f>
        <v/>
      </c>
      <c r="AC463" s="14">
        <f t="shared" si="19"/>
        <v>0</v>
      </c>
      <c r="AD463" s="14">
        <f t="shared" si="20"/>
        <v>0</v>
      </c>
    </row>
    <row r="464" spans="2:30" ht="15" customHeight="1">
      <c r="B464" s="10" t="str">
        <f>_xlfn.IFNA(VLOOKUP(C464,Master!$J:$K,2,0),"")</f>
        <v/>
      </c>
      <c r="F464" s="17" t="str">
        <f>_xlfn.IFNA(VLOOKUP(G464,Master!B:C,2,0),"")</f>
        <v/>
      </c>
      <c r="I464" s="10" t="str">
        <f>_xlfn.IFNA(VLOOKUP(E464,Master!$J:$M,4,0),"")</f>
        <v/>
      </c>
      <c r="J464" s="10" t="str">
        <f>_xlfn.IFNA(VLOOKUP($E464,Master!$J:$M,3,0),"")</f>
        <v/>
      </c>
      <c r="AC464" s="14">
        <f t="shared" si="19"/>
        <v>0</v>
      </c>
      <c r="AD464" s="14">
        <f t="shared" si="20"/>
        <v>0</v>
      </c>
    </row>
    <row r="465" spans="2:30" ht="15" customHeight="1">
      <c r="B465" s="10" t="str">
        <f>_xlfn.IFNA(VLOOKUP(C465,Master!$J:$K,2,0),"")</f>
        <v/>
      </c>
      <c r="F465" s="17" t="str">
        <f>_xlfn.IFNA(VLOOKUP(G465,Master!B:C,2,0),"")</f>
        <v/>
      </c>
      <c r="I465" s="10" t="str">
        <f>_xlfn.IFNA(VLOOKUP(E465,Master!$J:$M,4,0),"")</f>
        <v/>
      </c>
      <c r="J465" s="10" t="str">
        <f>_xlfn.IFNA(VLOOKUP($E465,Master!$J:$M,3,0),"")</f>
        <v/>
      </c>
      <c r="AC465" s="14">
        <f t="shared" si="19"/>
        <v>0</v>
      </c>
      <c r="AD465" s="14">
        <f t="shared" si="20"/>
        <v>0</v>
      </c>
    </row>
    <row r="466" spans="2:30" ht="15" customHeight="1">
      <c r="B466" s="10" t="str">
        <f>_xlfn.IFNA(VLOOKUP(C466,Master!$J:$K,2,0),"")</f>
        <v/>
      </c>
      <c r="F466" s="17" t="str">
        <f>_xlfn.IFNA(VLOOKUP(G466,Master!B:C,2,0),"")</f>
        <v/>
      </c>
      <c r="I466" s="10" t="str">
        <f>_xlfn.IFNA(VLOOKUP(E466,Master!$J:$M,4,0),"")</f>
        <v/>
      </c>
      <c r="J466" s="10" t="str">
        <f>_xlfn.IFNA(VLOOKUP($E466,Master!$J:$M,3,0),"")</f>
        <v/>
      </c>
      <c r="AC466" s="14">
        <f t="shared" si="19"/>
        <v>0</v>
      </c>
      <c r="AD466" s="14">
        <f t="shared" si="20"/>
        <v>0</v>
      </c>
    </row>
    <row r="467" spans="2:30" ht="15" customHeight="1">
      <c r="B467" s="10" t="str">
        <f>_xlfn.IFNA(VLOOKUP(C467,Master!$J:$K,2,0),"")</f>
        <v/>
      </c>
      <c r="F467" s="17" t="str">
        <f>_xlfn.IFNA(VLOOKUP(G467,Master!B:C,2,0),"")</f>
        <v/>
      </c>
      <c r="I467" s="10" t="str">
        <f>_xlfn.IFNA(VLOOKUP(E467,Master!$J:$M,4,0),"")</f>
        <v/>
      </c>
      <c r="J467" s="10" t="str">
        <f>_xlfn.IFNA(VLOOKUP($E467,Master!$J:$M,3,0),"")</f>
        <v/>
      </c>
      <c r="AC467" s="14">
        <f t="shared" si="19"/>
        <v>0</v>
      </c>
      <c r="AD467" s="14">
        <f t="shared" si="20"/>
        <v>0</v>
      </c>
    </row>
    <row r="468" spans="2:30" ht="15" customHeight="1">
      <c r="B468" s="10" t="str">
        <f>_xlfn.IFNA(VLOOKUP(C468,Master!$J:$K,2,0),"")</f>
        <v/>
      </c>
      <c r="F468" s="17" t="str">
        <f>_xlfn.IFNA(VLOOKUP(G468,Master!B:C,2,0),"")</f>
        <v/>
      </c>
      <c r="I468" s="10" t="str">
        <f>_xlfn.IFNA(VLOOKUP(E468,Master!$J:$M,4,0),"")</f>
        <v/>
      </c>
      <c r="J468" s="10" t="str">
        <f>_xlfn.IFNA(VLOOKUP($E468,Master!$J:$M,3,0),"")</f>
        <v/>
      </c>
      <c r="AC468" s="14">
        <f t="shared" si="19"/>
        <v>0</v>
      </c>
      <c r="AD468" s="14">
        <f t="shared" si="20"/>
        <v>0</v>
      </c>
    </row>
    <row r="469" spans="2:30" ht="15" customHeight="1">
      <c r="B469" s="10" t="str">
        <f>_xlfn.IFNA(VLOOKUP(C469,Master!$J:$K,2,0),"")</f>
        <v/>
      </c>
      <c r="F469" s="17" t="str">
        <f>_xlfn.IFNA(VLOOKUP(G469,Master!B:C,2,0),"")</f>
        <v/>
      </c>
      <c r="I469" s="10" t="str">
        <f>_xlfn.IFNA(VLOOKUP(E469,Master!$J:$M,4,0),"")</f>
        <v/>
      </c>
      <c r="J469" s="10" t="str">
        <f>_xlfn.IFNA(VLOOKUP($E469,Master!$J:$M,3,0),"")</f>
        <v/>
      </c>
      <c r="AC469" s="14">
        <f t="shared" si="19"/>
        <v>0</v>
      </c>
      <c r="AD469" s="14">
        <f t="shared" si="20"/>
        <v>0</v>
      </c>
    </row>
    <row r="470" spans="2:30" ht="15" customHeight="1">
      <c r="B470" s="10" t="str">
        <f>_xlfn.IFNA(VLOOKUP(C470,Master!$J:$K,2,0),"")</f>
        <v/>
      </c>
      <c r="F470" s="17" t="str">
        <f>_xlfn.IFNA(VLOOKUP(G470,Master!B:C,2,0),"")</f>
        <v/>
      </c>
      <c r="I470" s="10" t="str">
        <f>_xlfn.IFNA(VLOOKUP(E470,Master!$J:$M,4,0),"")</f>
        <v/>
      </c>
      <c r="J470" s="10" t="str">
        <f>_xlfn.IFNA(VLOOKUP($E470,Master!$J:$M,3,0),"")</f>
        <v/>
      </c>
      <c r="AC470" s="14">
        <f t="shared" si="19"/>
        <v>0</v>
      </c>
      <c r="AD470" s="14">
        <f t="shared" si="20"/>
        <v>0</v>
      </c>
    </row>
    <row r="471" spans="2:30" ht="15" customHeight="1">
      <c r="B471" s="10" t="str">
        <f>_xlfn.IFNA(VLOOKUP(C471,Master!$J:$K,2,0),"")</f>
        <v/>
      </c>
      <c r="F471" s="17" t="str">
        <f>_xlfn.IFNA(VLOOKUP(G471,Master!B:C,2,0),"")</f>
        <v/>
      </c>
      <c r="I471" s="10" t="str">
        <f>_xlfn.IFNA(VLOOKUP(E471,Master!$J:$M,4,0),"")</f>
        <v/>
      </c>
      <c r="J471" s="10" t="str">
        <f>_xlfn.IFNA(VLOOKUP($E471,Master!$J:$M,3,0),"")</f>
        <v/>
      </c>
      <c r="AC471" s="14">
        <f t="shared" si="19"/>
        <v>0</v>
      </c>
      <c r="AD471" s="14">
        <f t="shared" si="20"/>
        <v>0</v>
      </c>
    </row>
    <row r="472" spans="2:30" ht="15" customHeight="1">
      <c r="B472" s="10" t="str">
        <f>_xlfn.IFNA(VLOOKUP(C472,Master!$J:$K,2,0),"")</f>
        <v/>
      </c>
      <c r="F472" s="17" t="str">
        <f>_xlfn.IFNA(VLOOKUP(G472,Master!B:C,2,0),"")</f>
        <v/>
      </c>
      <c r="I472" s="10" t="str">
        <f>_xlfn.IFNA(VLOOKUP(E472,Master!$J:$M,4,0),"")</f>
        <v/>
      </c>
      <c r="J472" s="10" t="str">
        <f>_xlfn.IFNA(VLOOKUP($E472,Master!$J:$M,3,0),"")</f>
        <v/>
      </c>
      <c r="AC472" s="14">
        <f t="shared" si="19"/>
        <v>0</v>
      </c>
      <c r="AD472" s="14">
        <f t="shared" si="20"/>
        <v>0</v>
      </c>
    </row>
    <row r="473" spans="2:30" ht="15" customHeight="1">
      <c r="B473" s="10" t="str">
        <f>_xlfn.IFNA(VLOOKUP(C473,Master!$J:$K,2,0),"")</f>
        <v/>
      </c>
      <c r="F473" s="17" t="str">
        <f>_xlfn.IFNA(VLOOKUP(G473,Master!B:C,2,0),"")</f>
        <v/>
      </c>
      <c r="I473" s="10" t="str">
        <f>_xlfn.IFNA(VLOOKUP(E473,Master!$J:$M,4,0),"")</f>
        <v/>
      </c>
      <c r="J473" s="10" t="str">
        <f>_xlfn.IFNA(VLOOKUP($E473,Master!$J:$M,3,0),"")</f>
        <v/>
      </c>
      <c r="AC473" s="14">
        <f t="shared" si="19"/>
        <v>0</v>
      </c>
      <c r="AD473" s="14">
        <f t="shared" si="20"/>
        <v>0</v>
      </c>
    </row>
    <row r="474" spans="2:30" ht="15" customHeight="1">
      <c r="B474" s="10" t="str">
        <f>_xlfn.IFNA(VLOOKUP(C474,Master!$J:$K,2,0),"")</f>
        <v/>
      </c>
      <c r="F474" s="17" t="str">
        <f>_xlfn.IFNA(VLOOKUP(G474,Master!B:C,2,0),"")</f>
        <v/>
      </c>
      <c r="I474" s="10" t="str">
        <f>_xlfn.IFNA(VLOOKUP(E474,Master!$J:$M,4,0),"")</f>
        <v/>
      </c>
      <c r="J474" s="10" t="str">
        <f>_xlfn.IFNA(VLOOKUP($E474,Master!$J:$M,3,0),"")</f>
        <v/>
      </c>
      <c r="AC474" s="14">
        <f t="shared" si="19"/>
        <v>0</v>
      </c>
      <c r="AD474" s="14">
        <f t="shared" si="20"/>
        <v>0</v>
      </c>
    </row>
    <row r="475" spans="2:30" ht="15" customHeight="1">
      <c r="B475" s="10" t="str">
        <f>_xlfn.IFNA(VLOOKUP(C475,Master!$J:$K,2,0),"")</f>
        <v/>
      </c>
      <c r="F475" s="17" t="str">
        <f>_xlfn.IFNA(VLOOKUP(G475,Master!B:C,2,0),"")</f>
        <v/>
      </c>
      <c r="I475" s="10" t="str">
        <f>_xlfn.IFNA(VLOOKUP(E475,Master!$J:$M,4,0),"")</f>
        <v/>
      </c>
      <c r="J475" s="10" t="str">
        <f>_xlfn.IFNA(VLOOKUP($E475,Master!$J:$M,3,0),"")</f>
        <v/>
      </c>
      <c r="AC475" s="14">
        <f t="shared" si="19"/>
        <v>0</v>
      </c>
      <c r="AD475" s="14">
        <f t="shared" si="20"/>
        <v>0</v>
      </c>
    </row>
    <row r="476" spans="2:30" ht="15" customHeight="1">
      <c r="B476" s="10" t="str">
        <f>_xlfn.IFNA(VLOOKUP(C476,Master!$J:$K,2,0),"")</f>
        <v/>
      </c>
      <c r="F476" s="17" t="str">
        <f>_xlfn.IFNA(VLOOKUP(G476,Master!B:C,2,0),"")</f>
        <v/>
      </c>
      <c r="I476" s="10" t="str">
        <f>_xlfn.IFNA(VLOOKUP(E476,Master!$J:$M,4,0),"")</f>
        <v/>
      </c>
      <c r="J476" s="10" t="str">
        <f>_xlfn.IFNA(VLOOKUP($E476,Master!$J:$M,3,0),"")</f>
        <v/>
      </c>
      <c r="AC476" s="14">
        <f t="shared" si="19"/>
        <v>0</v>
      </c>
      <c r="AD476" s="14">
        <f t="shared" si="20"/>
        <v>0</v>
      </c>
    </row>
    <row r="477" spans="2:30" ht="15" customHeight="1">
      <c r="B477" s="10" t="str">
        <f>_xlfn.IFNA(VLOOKUP(C477,Master!$J:$K,2,0),"")</f>
        <v/>
      </c>
      <c r="F477" s="17" t="str">
        <f>_xlfn.IFNA(VLOOKUP(G477,Master!B:C,2,0),"")</f>
        <v/>
      </c>
      <c r="I477" s="10" t="str">
        <f>_xlfn.IFNA(VLOOKUP(E477,Master!$J:$M,4,0),"")</f>
        <v/>
      </c>
      <c r="J477" s="10" t="str">
        <f>_xlfn.IFNA(VLOOKUP($E477,Master!$J:$M,3,0),"")</f>
        <v/>
      </c>
      <c r="AC477" s="14">
        <f t="shared" si="19"/>
        <v>0</v>
      </c>
      <c r="AD477" s="14">
        <f t="shared" si="20"/>
        <v>0</v>
      </c>
    </row>
    <row r="478" spans="2:30" ht="15" customHeight="1">
      <c r="B478" s="10" t="str">
        <f>_xlfn.IFNA(VLOOKUP(C478,Master!$J:$K,2,0),"")</f>
        <v/>
      </c>
      <c r="F478" s="17" t="str">
        <f>_xlfn.IFNA(VLOOKUP(G478,Master!B:C,2,0),"")</f>
        <v/>
      </c>
      <c r="I478" s="10" t="str">
        <f>_xlfn.IFNA(VLOOKUP(E478,Master!$J:$M,4,0),"")</f>
        <v/>
      </c>
      <c r="J478" s="10" t="str">
        <f>_xlfn.IFNA(VLOOKUP($E478,Master!$J:$M,3,0),"")</f>
        <v/>
      </c>
      <c r="AC478" s="14">
        <f t="shared" si="19"/>
        <v>0</v>
      </c>
      <c r="AD478" s="14">
        <f t="shared" si="20"/>
        <v>0</v>
      </c>
    </row>
    <row r="479" spans="2:30" ht="15" customHeight="1">
      <c r="B479" s="10" t="str">
        <f>_xlfn.IFNA(VLOOKUP(C479,Master!$J:$K,2,0),"")</f>
        <v/>
      </c>
      <c r="F479" s="17" t="str">
        <f>_xlfn.IFNA(VLOOKUP(G479,Master!B:C,2,0),"")</f>
        <v/>
      </c>
      <c r="I479" s="10" t="str">
        <f>_xlfn.IFNA(VLOOKUP(E479,Master!$J:$M,4,0),"")</f>
        <v/>
      </c>
      <c r="J479" s="10" t="str">
        <f>_xlfn.IFNA(VLOOKUP($E479,Master!$J:$M,3,0),"")</f>
        <v/>
      </c>
      <c r="AC479" s="14">
        <f t="shared" si="19"/>
        <v>0</v>
      </c>
      <c r="AD479" s="14">
        <f t="shared" si="20"/>
        <v>0</v>
      </c>
    </row>
    <row r="480" spans="2:30" ht="15" customHeight="1">
      <c r="B480" s="10" t="str">
        <f>_xlfn.IFNA(VLOOKUP(C480,Master!$J:$K,2,0),"")</f>
        <v/>
      </c>
      <c r="F480" s="17" t="str">
        <f>_xlfn.IFNA(VLOOKUP(G480,Master!B:C,2,0),"")</f>
        <v/>
      </c>
      <c r="I480" s="10" t="str">
        <f>_xlfn.IFNA(VLOOKUP(E480,Master!$J:$M,4,0),"")</f>
        <v/>
      </c>
      <c r="J480" s="10" t="str">
        <f>_xlfn.IFNA(VLOOKUP($E480,Master!$J:$M,3,0),"")</f>
        <v/>
      </c>
      <c r="AC480" s="14">
        <f t="shared" si="19"/>
        <v>0</v>
      </c>
      <c r="AD480" s="14">
        <f t="shared" si="20"/>
        <v>0</v>
      </c>
    </row>
    <row r="481" spans="2:30" ht="15" customHeight="1">
      <c r="B481" s="10" t="str">
        <f>_xlfn.IFNA(VLOOKUP(C481,Master!$J:$K,2,0),"")</f>
        <v/>
      </c>
      <c r="F481" s="17" t="str">
        <f>_xlfn.IFNA(VLOOKUP(G481,Master!B:C,2,0),"")</f>
        <v/>
      </c>
      <c r="I481" s="10" t="str">
        <f>_xlfn.IFNA(VLOOKUP(E481,Master!$J:$M,4,0),"")</f>
        <v/>
      </c>
      <c r="J481" s="10" t="str">
        <f>_xlfn.IFNA(VLOOKUP($E481,Master!$J:$M,3,0),"")</f>
        <v/>
      </c>
      <c r="AC481" s="14">
        <f t="shared" si="19"/>
        <v>0</v>
      </c>
      <c r="AD481" s="14">
        <f t="shared" si="20"/>
        <v>0</v>
      </c>
    </row>
    <row r="482" spans="2:30" ht="15" customHeight="1">
      <c r="B482" s="10" t="str">
        <f>_xlfn.IFNA(VLOOKUP(C482,Master!$J:$K,2,0),"")</f>
        <v/>
      </c>
      <c r="F482" s="17" t="str">
        <f>_xlfn.IFNA(VLOOKUP(G482,Master!B:C,2,0),"")</f>
        <v/>
      </c>
      <c r="I482" s="10" t="str">
        <f>_xlfn.IFNA(VLOOKUP(E482,Master!$J:$M,4,0),"")</f>
        <v/>
      </c>
      <c r="J482" s="10" t="str">
        <f>_xlfn.IFNA(VLOOKUP($E482,Master!$J:$M,3,0),"")</f>
        <v/>
      </c>
      <c r="AC482" s="14">
        <f t="shared" si="19"/>
        <v>0</v>
      </c>
      <c r="AD482" s="14">
        <f t="shared" si="20"/>
        <v>0</v>
      </c>
    </row>
    <row r="483" spans="2:30" ht="15" customHeight="1">
      <c r="B483" s="10" t="str">
        <f>_xlfn.IFNA(VLOOKUP(C483,Master!$J:$K,2,0),"")</f>
        <v/>
      </c>
      <c r="F483" s="17" t="str">
        <f>_xlfn.IFNA(VLOOKUP(G483,Master!B:C,2,0),"")</f>
        <v/>
      </c>
      <c r="I483" s="10" t="str">
        <f>_xlfn.IFNA(VLOOKUP(E483,Master!$J:$M,4,0),"")</f>
        <v/>
      </c>
      <c r="J483" s="10" t="str">
        <f>_xlfn.IFNA(VLOOKUP($E483,Master!$J:$M,3,0),"")</f>
        <v/>
      </c>
      <c r="AC483" s="14">
        <f t="shared" si="19"/>
        <v>0</v>
      </c>
      <c r="AD483" s="14">
        <f t="shared" si="20"/>
        <v>0</v>
      </c>
    </row>
    <row r="484" spans="2:30" ht="15" customHeight="1">
      <c r="B484" s="10" t="str">
        <f>_xlfn.IFNA(VLOOKUP(C484,Master!$J:$K,2,0),"")</f>
        <v/>
      </c>
      <c r="F484" s="17" t="str">
        <f>_xlfn.IFNA(VLOOKUP(G484,Master!B:C,2,0),"")</f>
        <v/>
      </c>
      <c r="I484" s="10" t="str">
        <f>_xlfn.IFNA(VLOOKUP(E484,Master!$J:$M,4,0),"")</f>
        <v/>
      </c>
      <c r="J484" s="10" t="str">
        <f>_xlfn.IFNA(VLOOKUP($E484,Master!$J:$M,3,0),"")</f>
        <v/>
      </c>
      <c r="AC484" s="14">
        <f t="shared" si="19"/>
        <v>0</v>
      </c>
      <c r="AD484" s="14">
        <f t="shared" si="20"/>
        <v>0</v>
      </c>
    </row>
    <row r="485" spans="2:30" ht="15" customHeight="1">
      <c r="B485" s="10" t="str">
        <f>_xlfn.IFNA(VLOOKUP(C485,Master!$J:$K,2,0),"")</f>
        <v/>
      </c>
      <c r="F485" s="17" t="str">
        <f>_xlfn.IFNA(VLOOKUP(G485,Master!B:C,2,0),"")</f>
        <v/>
      </c>
      <c r="I485" s="10" t="str">
        <f>_xlfn.IFNA(VLOOKUP(E485,Master!$J:$M,4,0),"")</f>
        <v/>
      </c>
      <c r="J485" s="10" t="str">
        <f>_xlfn.IFNA(VLOOKUP($E485,Master!$J:$M,3,0),"")</f>
        <v/>
      </c>
      <c r="AC485" s="14">
        <f t="shared" si="19"/>
        <v>0</v>
      </c>
      <c r="AD485" s="14">
        <f t="shared" si="20"/>
        <v>0</v>
      </c>
    </row>
    <row r="486" spans="2:30" ht="15" customHeight="1">
      <c r="B486" s="10" t="str">
        <f>_xlfn.IFNA(VLOOKUP(C486,Master!$J:$K,2,0),"")</f>
        <v/>
      </c>
      <c r="F486" s="17" t="str">
        <f>_xlfn.IFNA(VLOOKUP(G486,Master!B:C,2,0),"")</f>
        <v/>
      </c>
      <c r="I486" s="10" t="str">
        <f>_xlfn.IFNA(VLOOKUP(E486,Master!$J:$M,4,0),"")</f>
        <v/>
      </c>
      <c r="J486" s="10" t="str">
        <f>_xlfn.IFNA(VLOOKUP($E486,Master!$J:$M,3,0),"")</f>
        <v/>
      </c>
      <c r="AC486" s="14">
        <f t="shared" si="19"/>
        <v>0</v>
      </c>
      <c r="AD486" s="14">
        <f t="shared" si="20"/>
        <v>0</v>
      </c>
    </row>
    <row r="487" spans="2:30" ht="15" customHeight="1">
      <c r="B487" s="10" t="str">
        <f>_xlfn.IFNA(VLOOKUP(C487,Master!$J:$K,2,0),"")</f>
        <v/>
      </c>
      <c r="F487" s="17" t="str">
        <f>_xlfn.IFNA(VLOOKUP(G487,Master!B:C,2,0),"")</f>
        <v/>
      </c>
      <c r="I487" s="10" t="str">
        <f>_xlfn.IFNA(VLOOKUP(E487,Master!$J:$M,4,0),"")</f>
        <v/>
      </c>
      <c r="J487" s="10" t="str">
        <f>_xlfn.IFNA(VLOOKUP($E487,Master!$J:$M,3,0),"")</f>
        <v/>
      </c>
      <c r="AC487" s="14">
        <f t="shared" si="19"/>
        <v>0</v>
      </c>
      <c r="AD487" s="14">
        <f t="shared" si="20"/>
        <v>0</v>
      </c>
    </row>
    <row r="488" spans="2:30" ht="15" customHeight="1">
      <c r="B488" s="10" t="str">
        <f>_xlfn.IFNA(VLOOKUP(C488,Master!$J:$K,2,0),"")</f>
        <v/>
      </c>
      <c r="F488" s="17" t="str">
        <f>_xlfn.IFNA(VLOOKUP(G488,Master!B:C,2,0),"")</f>
        <v/>
      </c>
      <c r="I488" s="10" t="str">
        <f>_xlfn.IFNA(VLOOKUP(E488,Master!$J:$M,4,0),"")</f>
        <v/>
      </c>
      <c r="J488" s="10" t="str">
        <f>_xlfn.IFNA(VLOOKUP($E488,Master!$J:$M,3,0),"")</f>
        <v/>
      </c>
      <c r="AC488" s="14">
        <f t="shared" si="19"/>
        <v>0</v>
      </c>
      <c r="AD488" s="14">
        <f t="shared" si="20"/>
        <v>0</v>
      </c>
    </row>
    <row r="489" spans="2:30" ht="15" customHeight="1">
      <c r="B489" s="10" t="str">
        <f>_xlfn.IFNA(VLOOKUP(C489,Master!$J:$K,2,0),"")</f>
        <v/>
      </c>
      <c r="F489" s="17" t="str">
        <f>_xlfn.IFNA(VLOOKUP(G489,Master!B:C,2,0),"")</f>
        <v/>
      </c>
      <c r="I489" s="10" t="str">
        <f>_xlfn.IFNA(VLOOKUP(E489,Master!$J:$M,4,0),"")</f>
        <v/>
      </c>
      <c r="J489" s="10" t="str">
        <f>_xlfn.IFNA(VLOOKUP($E489,Master!$J:$M,3,0),"")</f>
        <v/>
      </c>
      <c r="AC489" s="14">
        <f t="shared" si="19"/>
        <v>0</v>
      </c>
      <c r="AD489" s="14">
        <f t="shared" si="20"/>
        <v>0</v>
      </c>
    </row>
    <row r="490" spans="2:30" ht="15" customHeight="1">
      <c r="B490" s="10" t="str">
        <f>_xlfn.IFNA(VLOOKUP(C490,Master!$J:$K,2,0),"")</f>
        <v/>
      </c>
      <c r="F490" s="17" t="str">
        <f>_xlfn.IFNA(VLOOKUP(G490,Master!B:C,2,0),"")</f>
        <v/>
      </c>
      <c r="I490" s="10" t="str">
        <f>_xlfn.IFNA(VLOOKUP(E490,Master!$J:$M,4,0),"")</f>
        <v/>
      </c>
      <c r="J490" s="10" t="str">
        <f>_xlfn.IFNA(VLOOKUP($E490,Master!$J:$M,3,0),"")</f>
        <v/>
      </c>
      <c r="AC490" s="14">
        <f t="shared" si="19"/>
        <v>0</v>
      </c>
      <c r="AD490" s="14">
        <f t="shared" si="20"/>
        <v>0</v>
      </c>
    </row>
    <row r="491" spans="2:30" ht="15" customHeight="1">
      <c r="B491" s="10" t="str">
        <f>_xlfn.IFNA(VLOOKUP(C491,Master!$J:$K,2,0),"")</f>
        <v/>
      </c>
      <c r="F491" s="17" t="str">
        <f>_xlfn.IFNA(VLOOKUP(G491,Master!B:C,2,0),"")</f>
        <v/>
      </c>
      <c r="I491" s="10" t="str">
        <f>_xlfn.IFNA(VLOOKUP(E491,Master!$J:$M,4,0),"")</f>
        <v/>
      </c>
      <c r="J491" s="10" t="str">
        <f>_xlfn.IFNA(VLOOKUP($E491,Master!$J:$M,3,0),"")</f>
        <v/>
      </c>
      <c r="AC491" s="14">
        <f t="shared" si="19"/>
        <v>0</v>
      </c>
      <c r="AD491" s="14">
        <f t="shared" si="20"/>
        <v>0</v>
      </c>
    </row>
    <row r="492" spans="2:30" ht="15" customHeight="1">
      <c r="B492" s="10" t="str">
        <f>_xlfn.IFNA(VLOOKUP(C492,Master!$J:$K,2,0),"")</f>
        <v/>
      </c>
      <c r="F492" s="17" t="str">
        <f>_xlfn.IFNA(VLOOKUP(G492,Master!B:C,2,0),"")</f>
        <v/>
      </c>
      <c r="I492" s="10" t="str">
        <f>_xlfn.IFNA(VLOOKUP(E492,Master!$J:$M,4,0),"")</f>
        <v/>
      </c>
      <c r="J492" s="10" t="str">
        <f>_xlfn.IFNA(VLOOKUP($E492,Master!$J:$M,3,0),"")</f>
        <v/>
      </c>
      <c r="AC492" s="14">
        <f t="shared" si="19"/>
        <v>0</v>
      </c>
      <c r="AD492" s="14">
        <f t="shared" si="20"/>
        <v>0</v>
      </c>
    </row>
    <row r="493" spans="2:30" ht="15" customHeight="1">
      <c r="B493" s="10" t="str">
        <f>_xlfn.IFNA(VLOOKUP(C493,Master!$J:$K,2,0),"")</f>
        <v/>
      </c>
      <c r="F493" s="17" t="str">
        <f>_xlfn.IFNA(VLOOKUP(G493,Master!B:C,2,0),"")</f>
        <v/>
      </c>
      <c r="I493" s="10" t="str">
        <f>_xlfn.IFNA(VLOOKUP(E493,Master!$J:$M,4,0),"")</f>
        <v/>
      </c>
      <c r="J493" s="10" t="str">
        <f>_xlfn.IFNA(VLOOKUP($E493,Master!$J:$M,3,0),"")</f>
        <v/>
      </c>
      <c r="AC493" s="14">
        <f t="shared" si="19"/>
        <v>0</v>
      </c>
      <c r="AD493" s="14">
        <f t="shared" si="20"/>
        <v>0</v>
      </c>
    </row>
    <row r="494" spans="2:30" ht="15" customHeight="1">
      <c r="B494" s="10" t="str">
        <f>_xlfn.IFNA(VLOOKUP(C494,Master!$J:$K,2,0),"")</f>
        <v/>
      </c>
      <c r="F494" s="17" t="str">
        <f>_xlfn.IFNA(VLOOKUP(G494,Master!B:C,2,0),"")</f>
        <v/>
      </c>
      <c r="I494" s="10" t="str">
        <f>_xlfn.IFNA(VLOOKUP(E494,Master!$J:$M,4,0),"")</f>
        <v/>
      </c>
      <c r="J494" s="10" t="str">
        <f>_xlfn.IFNA(VLOOKUP($E494,Master!$J:$M,3,0),"")</f>
        <v/>
      </c>
      <c r="AC494" s="14">
        <f t="shared" si="19"/>
        <v>0</v>
      </c>
      <c r="AD494" s="14">
        <f t="shared" si="20"/>
        <v>0</v>
      </c>
    </row>
    <row r="495" spans="2:30" ht="15" customHeight="1">
      <c r="B495" s="10" t="str">
        <f>_xlfn.IFNA(VLOOKUP(C495,Master!$J:$K,2,0),"")</f>
        <v/>
      </c>
      <c r="F495" s="17" t="str">
        <f>_xlfn.IFNA(VLOOKUP(G495,Master!B:C,2,0),"")</f>
        <v/>
      </c>
      <c r="I495" s="10" t="str">
        <f>_xlfn.IFNA(VLOOKUP(E495,Master!$J:$M,4,0),"")</f>
        <v/>
      </c>
      <c r="J495" s="10" t="str">
        <f>_xlfn.IFNA(VLOOKUP($E495,Master!$J:$M,3,0),"")</f>
        <v/>
      </c>
      <c r="AC495" s="14">
        <f t="shared" si="19"/>
        <v>0</v>
      </c>
      <c r="AD495" s="14">
        <f t="shared" si="20"/>
        <v>0</v>
      </c>
    </row>
    <row r="496" spans="2:30" ht="15" customHeight="1">
      <c r="B496" s="10" t="str">
        <f>_xlfn.IFNA(VLOOKUP(C496,Master!$J:$K,2,0),"")</f>
        <v/>
      </c>
      <c r="F496" s="17" t="str">
        <f>_xlfn.IFNA(VLOOKUP(G496,Master!B:C,2,0),"")</f>
        <v/>
      </c>
      <c r="I496" s="10" t="str">
        <f>_xlfn.IFNA(VLOOKUP(E496,Master!$J:$M,4,0),"")</f>
        <v/>
      </c>
      <c r="J496" s="10" t="str">
        <f>_xlfn.IFNA(VLOOKUP($E496,Master!$J:$M,3,0),"")</f>
        <v/>
      </c>
      <c r="AC496" s="14">
        <f t="shared" si="19"/>
        <v>0</v>
      </c>
      <c r="AD496" s="14">
        <f t="shared" si="20"/>
        <v>0</v>
      </c>
    </row>
    <row r="497" spans="2:30" ht="15" customHeight="1">
      <c r="B497" s="10" t="str">
        <f>_xlfn.IFNA(VLOOKUP(C497,Master!$J:$K,2,0),"")</f>
        <v/>
      </c>
      <c r="F497" s="17" t="str">
        <f>_xlfn.IFNA(VLOOKUP(G497,Master!B:C,2,0),"")</f>
        <v/>
      </c>
      <c r="I497" s="10" t="str">
        <f>_xlfn.IFNA(VLOOKUP(E497,Master!$J:$M,4,0),"")</f>
        <v/>
      </c>
      <c r="J497" s="10" t="str">
        <f>_xlfn.IFNA(VLOOKUP($E497,Master!$J:$M,3,0),"")</f>
        <v/>
      </c>
      <c r="AC497" s="14">
        <f t="shared" si="19"/>
        <v>0</v>
      </c>
      <c r="AD497" s="14">
        <f t="shared" si="20"/>
        <v>0</v>
      </c>
    </row>
    <row r="498" spans="2:30" ht="15" customHeight="1">
      <c r="B498" s="10" t="str">
        <f>_xlfn.IFNA(VLOOKUP(C498,Master!$J:$K,2,0),"")</f>
        <v/>
      </c>
      <c r="F498" s="17" t="str">
        <f>_xlfn.IFNA(VLOOKUP(G498,Master!B:C,2,0),"")</f>
        <v/>
      </c>
      <c r="I498" s="10" t="str">
        <f>_xlfn.IFNA(VLOOKUP(E498,Master!$J:$M,4,0),"")</f>
        <v/>
      </c>
      <c r="J498" s="10" t="str">
        <f>_xlfn.IFNA(VLOOKUP($E498,Master!$J:$M,3,0),"")</f>
        <v/>
      </c>
      <c r="AC498" s="14">
        <f t="shared" si="19"/>
        <v>0</v>
      </c>
      <c r="AD498" s="14">
        <f t="shared" si="20"/>
        <v>0</v>
      </c>
    </row>
    <row r="499" spans="2:30" ht="15" customHeight="1">
      <c r="B499" s="10" t="str">
        <f>_xlfn.IFNA(VLOOKUP(C499,Master!$J:$K,2,0),"")</f>
        <v/>
      </c>
      <c r="F499" s="17" t="str">
        <f>_xlfn.IFNA(VLOOKUP(G499,Master!B:C,2,0),"")</f>
        <v/>
      </c>
      <c r="I499" s="10" t="str">
        <f>_xlfn.IFNA(VLOOKUP(E499,Master!$J:$M,4,0),"")</f>
        <v/>
      </c>
      <c r="J499" s="10" t="str">
        <f>_xlfn.IFNA(VLOOKUP($E499,Master!$J:$M,3,0),"")</f>
        <v/>
      </c>
      <c r="AC499" s="14">
        <f t="shared" si="19"/>
        <v>0</v>
      </c>
      <c r="AD499" s="14">
        <f t="shared" si="20"/>
        <v>0</v>
      </c>
    </row>
    <row r="500" spans="2:30" ht="15" customHeight="1">
      <c r="B500" s="10" t="str">
        <f>_xlfn.IFNA(VLOOKUP(C500,Master!$J:$K,2,0),"")</f>
        <v/>
      </c>
      <c r="F500" s="17" t="str">
        <f>_xlfn.IFNA(VLOOKUP(G500,Master!B:C,2,0),"")</f>
        <v/>
      </c>
      <c r="I500" s="10" t="str">
        <f>_xlfn.IFNA(VLOOKUP(E500,Master!$J:$M,4,0),"")</f>
        <v/>
      </c>
      <c r="J500" s="10" t="str">
        <f>_xlfn.IFNA(VLOOKUP($E500,Master!$J:$M,3,0),"")</f>
        <v/>
      </c>
      <c r="AC500" s="14">
        <f t="shared" si="19"/>
        <v>0</v>
      </c>
      <c r="AD500" s="14">
        <f t="shared" si="20"/>
        <v>0</v>
      </c>
    </row>
    <row r="501" spans="2:30" ht="15" customHeight="1">
      <c r="B501" s="10" t="str">
        <f>_xlfn.IFNA(VLOOKUP(C501,Master!$J:$K,2,0),"")</f>
        <v/>
      </c>
      <c r="F501" s="17" t="str">
        <f>_xlfn.IFNA(VLOOKUP(G501,Master!B:C,2,0),"")</f>
        <v/>
      </c>
      <c r="I501" s="10" t="str">
        <f>_xlfn.IFNA(VLOOKUP(E501,Master!$J:$M,4,0),"")</f>
        <v/>
      </c>
      <c r="J501" s="10" t="str">
        <f>_xlfn.IFNA(VLOOKUP($E501,Master!$J:$M,3,0),"")</f>
        <v/>
      </c>
      <c r="AC501" s="14">
        <f t="shared" si="19"/>
        <v>0</v>
      </c>
      <c r="AD501" s="14">
        <f t="shared" si="20"/>
        <v>0</v>
      </c>
    </row>
    <row r="502" spans="2:30" ht="15" customHeight="1">
      <c r="B502" s="10" t="str">
        <f>_xlfn.IFNA(VLOOKUP(C502,Master!$J:$K,2,0),"")</f>
        <v/>
      </c>
      <c r="F502" s="17" t="str">
        <f>_xlfn.IFNA(VLOOKUP(G502,Master!B:C,2,0),"")</f>
        <v/>
      </c>
      <c r="I502" s="10" t="str">
        <f>_xlfn.IFNA(VLOOKUP(E502,Master!$J:$M,4,0),"")</f>
        <v/>
      </c>
      <c r="J502" s="10" t="str">
        <f>_xlfn.IFNA(VLOOKUP($E502,Master!$J:$M,3,0),"")</f>
        <v/>
      </c>
      <c r="AC502" s="14">
        <f t="shared" si="19"/>
        <v>0</v>
      </c>
      <c r="AD502" s="14">
        <f t="shared" si="20"/>
        <v>0</v>
      </c>
    </row>
    <row r="503" spans="2:30" ht="15" customHeight="1">
      <c r="B503" s="10" t="str">
        <f>_xlfn.IFNA(VLOOKUP(C503,Master!$J:$K,2,0),"")</f>
        <v/>
      </c>
      <c r="F503" s="17" t="str">
        <f>_xlfn.IFNA(VLOOKUP(G503,Master!B:C,2,0),"")</f>
        <v/>
      </c>
      <c r="I503" s="10" t="str">
        <f>_xlfn.IFNA(VLOOKUP(E503,Master!$J:$M,4,0),"")</f>
        <v/>
      </c>
      <c r="J503" s="10" t="str">
        <f>_xlfn.IFNA(VLOOKUP($E503,Master!$J:$M,3,0),"")</f>
        <v/>
      </c>
      <c r="AC503" s="14">
        <f t="shared" si="19"/>
        <v>0</v>
      </c>
      <c r="AD503" s="14">
        <f t="shared" si="20"/>
        <v>0</v>
      </c>
    </row>
    <row r="504" spans="2:30" ht="15" customHeight="1">
      <c r="B504" s="10" t="str">
        <f>_xlfn.IFNA(VLOOKUP(C504,Master!$J:$K,2,0),"")</f>
        <v/>
      </c>
      <c r="F504" s="17" t="str">
        <f>_xlfn.IFNA(VLOOKUP(G504,Master!B:C,2,0),"")</f>
        <v/>
      </c>
      <c r="I504" s="10" t="str">
        <f>_xlfn.IFNA(VLOOKUP(E504,Master!$J:$M,4,0),"")</f>
        <v/>
      </c>
      <c r="J504" s="10" t="str">
        <f>_xlfn.IFNA(VLOOKUP($E504,Master!$J:$M,3,0),"")</f>
        <v/>
      </c>
      <c r="AC504" s="14">
        <f t="shared" si="19"/>
        <v>0</v>
      </c>
      <c r="AD504" s="14">
        <f t="shared" si="20"/>
        <v>0</v>
      </c>
    </row>
    <row r="505" spans="2:30" ht="15" customHeight="1">
      <c r="B505" s="10" t="str">
        <f>_xlfn.IFNA(VLOOKUP(C505,Master!$J:$K,2,0),"")</f>
        <v/>
      </c>
      <c r="F505" s="17" t="str">
        <f>_xlfn.IFNA(VLOOKUP(G505,Master!B:C,2,0),"")</f>
        <v/>
      </c>
      <c r="I505" s="10" t="str">
        <f>_xlfn.IFNA(VLOOKUP(E505,Master!$J:$M,4,0),"")</f>
        <v/>
      </c>
      <c r="J505" s="10" t="str">
        <f>_xlfn.IFNA(VLOOKUP($E505,Master!$J:$M,3,0),"")</f>
        <v/>
      </c>
      <c r="AC505" s="14">
        <f t="shared" si="19"/>
        <v>0</v>
      </c>
      <c r="AD505" s="14">
        <f t="shared" si="20"/>
        <v>0</v>
      </c>
    </row>
    <row r="506" spans="2:30" ht="15" customHeight="1">
      <c r="B506" s="10" t="str">
        <f>_xlfn.IFNA(VLOOKUP(C506,Master!$J:$K,2,0),"")</f>
        <v/>
      </c>
      <c r="F506" s="17" t="str">
        <f>_xlfn.IFNA(VLOOKUP(G506,Master!B:C,2,0),"")</f>
        <v/>
      </c>
      <c r="I506" s="10" t="str">
        <f>_xlfn.IFNA(VLOOKUP(E506,Master!$J:$M,4,0),"")</f>
        <v/>
      </c>
      <c r="J506" s="10" t="str">
        <f>_xlfn.IFNA(VLOOKUP($E506,Master!$J:$M,3,0),"")</f>
        <v/>
      </c>
      <c r="AC506" s="14">
        <f t="shared" si="19"/>
        <v>0</v>
      </c>
      <c r="AD506" s="14">
        <f t="shared" si="20"/>
        <v>0</v>
      </c>
    </row>
    <row r="507" spans="2:30" ht="15" customHeight="1">
      <c r="B507" s="10" t="str">
        <f>_xlfn.IFNA(VLOOKUP(C507,Master!$J:$K,2,0),"")</f>
        <v/>
      </c>
      <c r="F507" s="17" t="str">
        <f>_xlfn.IFNA(VLOOKUP(G507,Master!B:C,2,0),"")</f>
        <v/>
      </c>
      <c r="I507" s="10" t="str">
        <f>_xlfn.IFNA(VLOOKUP(E507,Master!$J:$M,4,0),"")</f>
        <v/>
      </c>
      <c r="J507" s="10" t="str">
        <f>_xlfn.IFNA(VLOOKUP($E507,Master!$J:$M,3,0),"")</f>
        <v/>
      </c>
      <c r="AC507" s="14">
        <f t="shared" si="19"/>
        <v>0</v>
      </c>
      <c r="AD507" s="14">
        <f t="shared" si="20"/>
        <v>0</v>
      </c>
    </row>
    <row r="508" spans="2:30" ht="15" customHeight="1">
      <c r="B508" s="10" t="str">
        <f>_xlfn.IFNA(VLOOKUP(C508,Master!$J:$K,2,0),"")</f>
        <v/>
      </c>
      <c r="F508" s="17" t="str">
        <f>_xlfn.IFNA(VLOOKUP(G508,Master!B:C,2,0),"")</f>
        <v/>
      </c>
      <c r="I508" s="10" t="str">
        <f>_xlfn.IFNA(VLOOKUP(E508,Master!$J:$M,4,0),"")</f>
        <v/>
      </c>
      <c r="J508" s="10" t="str">
        <f>_xlfn.IFNA(VLOOKUP($E508,Master!$J:$M,3,0),"")</f>
        <v/>
      </c>
      <c r="AC508" s="14">
        <f t="shared" si="19"/>
        <v>0</v>
      </c>
      <c r="AD508" s="14">
        <f t="shared" si="20"/>
        <v>0</v>
      </c>
    </row>
    <row r="509" spans="2:30" ht="15" customHeight="1">
      <c r="B509" s="10" t="str">
        <f>_xlfn.IFNA(VLOOKUP(C509,Master!$J:$K,2,0),"")</f>
        <v/>
      </c>
      <c r="F509" s="17" t="str">
        <f>_xlfn.IFNA(VLOOKUP(G509,Master!B:C,2,0),"")</f>
        <v/>
      </c>
      <c r="I509" s="10" t="str">
        <f>_xlfn.IFNA(VLOOKUP(E509,Master!$J:$M,4,0),"")</f>
        <v/>
      </c>
      <c r="J509" s="10" t="str">
        <f>_xlfn.IFNA(VLOOKUP($E509,Master!$J:$M,3,0),"")</f>
        <v/>
      </c>
      <c r="AC509" s="14">
        <f t="shared" si="19"/>
        <v>0</v>
      </c>
      <c r="AD509" s="14">
        <f t="shared" si="20"/>
        <v>0</v>
      </c>
    </row>
    <row r="510" spans="2:30" ht="15" customHeight="1">
      <c r="B510" s="10" t="str">
        <f>_xlfn.IFNA(VLOOKUP(C510,Master!$J:$K,2,0),"")</f>
        <v/>
      </c>
      <c r="F510" s="17" t="str">
        <f>_xlfn.IFNA(VLOOKUP(G510,Master!B:C,2,0),"")</f>
        <v/>
      </c>
      <c r="I510" s="10" t="str">
        <f>_xlfn.IFNA(VLOOKUP(E510,Master!$J:$M,4,0),"")</f>
        <v/>
      </c>
      <c r="J510" s="10" t="str">
        <f>_xlfn.IFNA(VLOOKUP($E510,Master!$J:$M,3,0),"")</f>
        <v/>
      </c>
      <c r="AC510" s="14">
        <f t="shared" si="19"/>
        <v>0</v>
      </c>
      <c r="AD510" s="14">
        <f t="shared" si="20"/>
        <v>0</v>
      </c>
    </row>
    <row r="511" spans="2:30" ht="15" customHeight="1">
      <c r="B511" s="10" t="str">
        <f>_xlfn.IFNA(VLOOKUP(C511,Master!$J:$K,2,0),"")</f>
        <v/>
      </c>
      <c r="F511" s="17" t="str">
        <f>_xlfn.IFNA(VLOOKUP(G511,Master!B:C,2,0),"")</f>
        <v/>
      </c>
      <c r="I511" s="10" t="str">
        <f>_xlfn.IFNA(VLOOKUP(E511,Master!$J:$M,4,0),"")</f>
        <v/>
      </c>
      <c r="J511" s="10" t="str">
        <f>_xlfn.IFNA(VLOOKUP($E511,Master!$J:$M,3,0),"")</f>
        <v/>
      </c>
      <c r="AC511" s="14">
        <f t="shared" si="19"/>
        <v>0</v>
      </c>
      <c r="AD511" s="14">
        <f t="shared" si="20"/>
        <v>0</v>
      </c>
    </row>
    <row r="512" spans="2:30" ht="15" customHeight="1">
      <c r="B512" s="10" t="str">
        <f>_xlfn.IFNA(VLOOKUP(C512,Master!$J:$K,2,0),"")</f>
        <v/>
      </c>
      <c r="F512" s="17" t="str">
        <f>_xlfn.IFNA(VLOOKUP(G512,Master!B:C,2,0),"")</f>
        <v/>
      </c>
      <c r="I512" s="10" t="str">
        <f>_xlfn.IFNA(VLOOKUP(E512,Master!$J:$M,4,0),"")</f>
        <v/>
      </c>
      <c r="J512" s="10" t="str">
        <f>_xlfn.IFNA(VLOOKUP($E512,Master!$J:$M,3,0),"")</f>
        <v/>
      </c>
      <c r="AC512" s="14">
        <f t="shared" si="19"/>
        <v>0</v>
      </c>
      <c r="AD512" s="14">
        <f t="shared" si="20"/>
        <v>0</v>
      </c>
    </row>
    <row r="513" spans="2:30" ht="15" customHeight="1">
      <c r="B513" s="10" t="str">
        <f>_xlfn.IFNA(VLOOKUP(C513,Master!$J:$K,2,0),"")</f>
        <v/>
      </c>
      <c r="F513" s="17" t="str">
        <f>_xlfn.IFNA(VLOOKUP(G513,Master!B:C,2,0),"")</f>
        <v/>
      </c>
      <c r="AC513" s="14">
        <f t="shared" si="19"/>
        <v>0</v>
      </c>
      <c r="AD513" s="14">
        <f t="shared" si="20"/>
        <v>0</v>
      </c>
    </row>
    <row r="514" spans="2:30" ht="15" customHeight="1">
      <c r="B514" s="10" t="str">
        <f>_xlfn.IFNA(VLOOKUP(C514,Master!$J:$K,2,0),"")</f>
        <v/>
      </c>
      <c r="F514" s="17" t="str">
        <f>_xlfn.IFNA(VLOOKUP(G514,Master!B:C,2,0),"")</f>
        <v/>
      </c>
      <c r="AC514" s="14">
        <f t="shared" ref="AC514:AC577" si="21">SUM(K514:P514)</f>
        <v>0</v>
      </c>
      <c r="AD514" s="14">
        <f t="shared" ref="AD514:AD577" si="22">SUM(Q514:AB514)</f>
        <v>0</v>
      </c>
    </row>
    <row r="515" spans="2:30" ht="15" customHeight="1">
      <c r="B515" s="10" t="str">
        <f>_xlfn.IFNA(VLOOKUP(C515,Master!$J:$K,2,0),"")</f>
        <v/>
      </c>
      <c r="F515" s="17" t="str">
        <f>_xlfn.IFNA(VLOOKUP(G515,Master!B:C,2,0),"")</f>
        <v/>
      </c>
      <c r="AC515" s="14">
        <f t="shared" si="21"/>
        <v>0</v>
      </c>
      <c r="AD515" s="14">
        <f t="shared" si="22"/>
        <v>0</v>
      </c>
    </row>
    <row r="516" spans="2:30" ht="15" customHeight="1">
      <c r="B516" s="10" t="str">
        <f>_xlfn.IFNA(VLOOKUP(C516,Master!$J:$K,2,0),"")</f>
        <v/>
      </c>
      <c r="F516" s="17" t="str">
        <f>_xlfn.IFNA(VLOOKUP(G516,Master!B:C,2,0),"")</f>
        <v/>
      </c>
      <c r="AC516" s="14">
        <f t="shared" si="21"/>
        <v>0</v>
      </c>
      <c r="AD516" s="14">
        <f t="shared" si="22"/>
        <v>0</v>
      </c>
    </row>
    <row r="517" spans="2:30" ht="15" customHeight="1">
      <c r="B517" s="10" t="str">
        <f>_xlfn.IFNA(VLOOKUP(C517,Master!$J:$K,2,0),"")</f>
        <v/>
      </c>
      <c r="F517" s="17" t="str">
        <f>_xlfn.IFNA(VLOOKUP(G517,Master!B:C,2,0),"")</f>
        <v/>
      </c>
      <c r="AC517" s="14">
        <f t="shared" si="21"/>
        <v>0</v>
      </c>
      <c r="AD517" s="14">
        <f t="shared" si="22"/>
        <v>0</v>
      </c>
    </row>
    <row r="518" spans="2:30" ht="15" customHeight="1">
      <c r="B518" s="10" t="str">
        <f>_xlfn.IFNA(VLOOKUP(C518,Master!$J:$K,2,0),"")</f>
        <v/>
      </c>
      <c r="F518" s="17" t="str">
        <f>_xlfn.IFNA(VLOOKUP(G518,Master!B:C,2,0),"")</f>
        <v/>
      </c>
      <c r="AC518" s="14">
        <f t="shared" si="21"/>
        <v>0</v>
      </c>
      <c r="AD518" s="14">
        <f t="shared" si="22"/>
        <v>0</v>
      </c>
    </row>
    <row r="519" spans="2:30" ht="15" customHeight="1">
      <c r="B519" s="10" t="str">
        <f>_xlfn.IFNA(VLOOKUP(C519,Master!$J:$K,2,0),"")</f>
        <v/>
      </c>
      <c r="F519" s="17" t="str">
        <f>_xlfn.IFNA(VLOOKUP(G519,Master!B:C,2,0),"")</f>
        <v/>
      </c>
      <c r="AC519" s="14">
        <f t="shared" si="21"/>
        <v>0</v>
      </c>
      <c r="AD519" s="14">
        <f t="shared" si="22"/>
        <v>0</v>
      </c>
    </row>
    <row r="520" spans="2:30" ht="15" customHeight="1">
      <c r="B520" s="10" t="str">
        <f>_xlfn.IFNA(VLOOKUP(C520,Master!$J:$K,2,0),"")</f>
        <v/>
      </c>
      <c r="F520" s="17" t="str">
        <f>_xlfn.IFNA(VLOOKUP(G520,Master!B:C,2,0),"")</f>
        <v/>
      </c>
      <c r="AC520" s="14">
        <f t="shared" si="21"/>
        <v>0</v>
      </c>
      <c r="AD520" s="14">
        <f t="shared" si="22"/>
        <v>0</v>
      </c>
    </row>
    <row r="521" spans="2:30" ht="15" customHeight="1">
      <c r="B521" s="10" t="str">
        <f>_xlfn.IFNA(VLOOKUP(C521,Master!$J:$K,2,0),"")</f>
        <v/>
      </c>
      <c r="F521" s="17" t="str">
        <f>_xlfn.IFNA(VLOOKUP(G521,Master!B:C,2,0),"")</f>
        <v/>
      </c>
      <c r="AC521" s="14">
        <f t="shared" si="21"/>
        <v>0</v>
      </c>
      <c r="AD521" s="14">
        <f t="shared" si="22"/>
        <v>0</v>
      </c>
    </row>
    <row r="522" spans="2:30" ht="15" customHeight="1">
      <c r="B522" s="10" t="str">
        <f>_xlfn.IFNA(VLOOKUP(C522,Master!$J:$K,2,0),"")</f>
        <v/>
      </c>
      <c r="F522" s="17" t="str">
        <f>_xlfn.IFNA(VLOOKUP(G522,Master!B:C,2,0),"")</f>
        <v/>
      </c>
      <c r="AC522" s="14">
        <f t="shared" si="21"/>
        <v>0</v>
      </c>
      <c r="AD522" s="14">
        <f t="shared" si="22"/>
        <v>0</v>
      </c>
    </row>
    <row r="523" spans="2:30" ht="15" customHeight="1">
      <c r="B523" s="10" t="str">
        <f>_xlfn.IFNA(VLOOKUP(C523,Master!$J:$K,2,0),"")</f>
        <v/>
      </c>
      <c r="F523" s="17" t="str">
        <f>_xlfn.IFNA(VLOOKUP(G523,Master!B:C,2,0),"")</f>
        <v/>
      </c>
      <c r="AC523" s="14">
        <f t="shared" si="21"/>
        <v>0</v>
      </c>
      <c r="AD523" s="14">
        <f t="shared" si="22"/>
        <v>0</v>
      </c>
    </row>
    <row r="524" spans="2:30" ht="15" customHeight="1">
      <c r="B524" s="10" t="str">
        <f>_xlfn.IFNA(VLOOKUP(C524,Master!$J:$K,2,0),"")</f>
        <v/>
      </c>
      <c r="F524" s="17" t="str">
        <f>_xlfn.IFNA(VLOOKUP(G524,Master!B:C,2,0),"")</f>
        <v/>
      </c>
      <c r="AC524" s="14">
        <f t="shared" si="21"/>
        <v>0</v>
      </c>
      <c r="AD524" s="14">
        <f t="shared" si="22"/>
        <v>0</v>
      </c>
    </row>
    <row r="525" spans="2:30" ht="15" customHeight="1">
      <c r="B525" s="10" t="str">
        <f>_xlfn.IFNA(VLOOKUP(C525,Master!$J:$K,2,0),"")</f>
        <v/>
      </c>
      <c r="AC525" s="14">
        <f t="shared" si="21"/>
        <v>0</v>
      </c>
      <c r="AD525" s="14">
        <f t="shared" si="22"/>
        <v>0</v>
      </c>
    </row>
    <row r="526" spans="2:30" ht="15" customHeight="1">
      <c r="B526" s="10" t="str">
        <f>_xlfn.IFNA(VLOOKUP(C526,Master!$J:$K,2,0),"")</f>
        <v/>
      </c>
      <c r="AC526" s="14">
        <f t="shared" si="21"/>
        <v>0</v>
      </c>
      <c r="AD526" s="14">
        <f t="shared" si="22"/>
        <v>0</v>
      </c>
    </row>
    <row r="527" spans="2:30" ht="15" customHeight="1">
      <c r="B527" s="10" t="str">
        <f>_xlfn.IFNA(VLOOKUP(C527,Master!$J:$K,2,0),"")</f>
        <v/>
      </c>
      <c r="AC527" s="14">
        <f t="shared" si="21"/>
        <v>0</v>
      </c>
      <c r="AD527" s="14">
        <f t="shared" si="22"/>
        <v>0</v>
      </c>
    </row>
    <row r="528" spans="2:30" ht="15" customHeight="1">
      <c r="AC528" s="14">
        <f t="shared" si="21"/>
        <v>0</v>
      </c>
      <c r="AD528" s="14">
        <f t="shared" si="22"/>
        <v>0</v>
      </c>
    </row>
    <row r="529" spans="29:30" ht="15" customHeight="1">
      <c r="AC529" s="14">
        <f t="shared" si="21"/>
        <v>0</v>
      </c>
      <c r="AD529" s="14">
        <f t="shared" si="22"/>
        <v>0</v>
      </c>
    </row>
    <row r="530" spans="29:30" ht="15" customHeight="1">
      <c r="AC530" s="14">
        <f t="shared" si="21"/>
        <v>0</v>
      </c>
      <c r="AD530" s="14">
        <f t="shared" si="22"/>
        <v>0</v>
      </c>
    </row>
    <row r="531" spans="29:30" ht="15" customHeight="1">
      <c r="AC531" s="14">
        <f t="shared" si="21"/>
        <v>0</v>
      </c>
      <c r="AD531" s="14">
        <f t="shared" si="22"/>
        <v>0</v>
      </c>
    </row>
    <row r="532" spans="29:30" ht="15" customHeight="1">
      <c r="AC532" s="14">
        <f t="shared" si="21"/>
        <v>0</v>
      </c>
      <c r="AD532" s="14">
        <f t="shared" si="22"/>
        <v>0</v>
      </c>
    </row>
    <row r="533" spans="29:30" ht="15" customHeight="1">
      <c r="AC533" s="14">
        <f t="shared" si="21"/>
        <v>0</v>
      </c>
      <c r="AD533" s="14">
        <f t="shared" si="22"/>
        <v>0</v>
      </c>
    </row>
    <row r="534" spans="29:30" ht="15" customHeight="1">
      <c r="AC534" s="14">
        <f t="shared" si="21"/>
        <v>0</v>
      </c>
      <c r="AD534" s="14">
        <f t="shared" si="22"/>
        <v>0</v>
      </c>
    </row>
    <row r="535" spans="29:30" ht="15" customHeight="1">
      <c r="AC535" s="14">
        <f t="shared" si="21"/>
        <v>0</v>
      </c>
      <c r="AD535" s="14">
        <f t="shared" si="22"/>
        <v>0</v>
      </c>
    </row>
    <row r="536" spans="29:30" ht="15" customHeight="1">
      <c r="AC536" s="14">
        <f t="shared" si="21"/>
        <v>0</v>
      </c>
      <c r="AD536" s="14">
        <f t="shared" si="22"/>
        <v>0</v>
      </c>
    </row>
    <row r="537" spans="29:30" ht="15" customHeight="1">
      <c r="AC537" s="14">
        <f t="shared" si="21"/>
        <v>0</v>
      </c>
      <c r="AD537" s="14">
        <f t="shared" si="22"/>
        <v>0</v>
      </c>
    </row>
    <row r="538" spans="29:30" ht="15" customHeight="1">
      <c r="AC538" s="14">
        <f t="shared" si="21"/>
        <v>0</v>
      </c>
      <c r="AD538" s="14">
        <f t="shared" si="22"/>
        <v>0</v>
      </c>
    </row>
    <row r="539" spans="29:30" ht="15" customHeight="1">
      <c r="AC539" s="14">
        <f t="shared" si="21"/>
        <v>0</v>
      </c>
      <c r="AD539" s="14">
        <f t="shared" si="22"/>
        <v>0</v>
      </c>
    </row>
    <row r="540" spans="29:30" ht="15" customHeight="1">
      <c r="AC540" s="14">
        <f t="shared" si="21"/>
        <v>0</v>
      </c>
      <c r="AD540" s="14">
        <f t="shared" si="22"/>
        <v>0</v>
      </c>
    </row>
    <row r="541" spans="29:30" ht="15" customHeight="1">
      <c r="AC541" s="14">
        <f t="shared" si="21"/>
        <v>0</v>
      </c>
      <c r="AD541" s="14">
        <f t="shared" si="22"/>
        <v>0</v>
      </c>
    </row>
    <row r="542" spans="29:30" ht="15" customHeight="1">
      <c r="AC542" s="14">
        <f t="shared" si="21"/>
        <v>0</v>
      </c>
      <c r="AD542" s="14">
        <f t="shared" si="22"/>
        <v>0</v>
      </c>
    </row>
    <row r="543" spans="29:30" ht="15" customHeight="1">
      <c r="AC543" s="14">
        <f t="shared" si="21"/>
        <v>0</v>
      </c>
      <c r="AD543" s="14">
        <f t="shared" si="22"/>
        <v>0</v>
      </c>
    </row>
    <row r="544" spans="29:30" ht="15" customHeight="1">
      <c r="AC544" s="14">
        <f t="shared" si="21"/>
        <v>0</v>
      </c>
      <c r="AD544" s="14">
        <f t="shared" si="22"/>
        <v>0</v>
      </c>
    </row>
    <row r="545" spans="29:30" ht="15" customHeight="1">
      <c r="AC545" s="14">
        <f t="shared" si="21"/>
        <v>0</v>
      </c>
      <c r="AD545" s="14">
        <f t="shared" si="22"/>
        <v>0</v>
      </c>
    </row>
    <row r="546" spans="29:30" ht="15" customHeight="1">
      <c r="AC546" s="14">
        <f t="shared" si="21"/>
        <v>0</v>
      </c>
      <c r="AD546" s="14">
        <f t="shared" si="22"/>
        <v>0</v>
      </c>
    </row>
    <row r="547" spans="29:30" ht="15" customHeight="1">
      <c r="AC547" s="14">
        <f t="shared" si="21"/>
        <v>0</v>
      </c>
      <c r="AD547" s="14">
        <f t="shared" si="22"/>
        <v>0</v>
      </c>
    </row>
    <row r="548" spans="29:30" ht="15" customHeight="1">
      <c r="AC548" s="14">
        <f t="shared" si="21"/>
        <v>0</v>
      </c>
      <c r="AD548" s="14">
        <f t="shared" si="22"/>
        <v>0</v>
      </c>
    </row>
    <row r="549" spans="29:30" ht="15" customHeight="1">
      <c r="AC549" s="14">
        <f t="shared" si="21"/>
        <v>0</v>
      </c>
      <c r="AD549" s="14">
        <f t="shared" si="22"/>
        <v>0</v>
      </c>
    </row>
    <row r="550" spans="29:30" ht="15" customHeight="1">
      <c r="AC550" s="14">
        <f t="shared" si="21"/>
        <v>0</v>
      </c>
      <c r="AD550" s="14">
        <f t="shared" si="22"/>
        <v>0</v>
      </c>
    </row>
    <row r="551" spans="29:30" ht="15" customHeight="1">
      <c r="AC551" s="14">
        <f t="shared" si="21"/>
        <v>0</v>
      </c>
      <c r="AD551" s="14">
        <f t="shared" si="22"/>
        <v>0</v>
      </c>
    </row>
    <row r="552" spans="29:30" ht="15" customHeight="1">
      <c r="AC552" s="14">
        <f t="shared" si="21"/>
        <v>0</v>
      </c>
      <c r="AD552" s="14">
        <f t="shared" si="22"/>
        <v>0</v>
      </c>
    </row>
    <row r="553" spans="29:30" ht="15" customHeight="1">
      <c r="AC553" s="14">
        <f t="shared" si="21"/>
        <v>0</v>
      </c>
      <c r="AD553" s="14">
        <f t="shared" si="22"/>
        <v>0</v>
      </c>
    </row>
    <row r="554" spans="29:30" ht="15" customHeight="1">
      <c r="AC554" s="14">
        <f t="shared" si="21"/>
        <v>0</v>
      </c>
      <c r="AD554" s="14">
        <f t="shared" si="22"/>
        <v>0</v>
      </c>
    </row>
    <row r="555" spans="29:30" ht="15" customHeight="1">
      <c r="AC555" s="14">
        <f t="shared" si="21"/>
        <v>0</v>
      </c>
      <c r="AD555" s="14">
        <f t="shared" si="22"/>
        <v>0</v>
      </c>
    </row>
    <row r="556" spans="29:30" ht="15" customHeight="1">
      <c r="AC556" s="14">
        <f t="shared" si="21"/>
        <v>0</v>
      </c>
      <c r="AD556" s="14">
        <f t="shared" si="22"/>
        <v>0</v>
      </c>
    </row>
    <row r="557" spans="29:30" ht="15" customHeight="1">
      <c r="AC557" s="14">
        <f t="shared" si="21"/>
        <v>0</v>
      </c>
      <c r="AD557" s="14">
        <f t="shared" si="22"/>
        <v>0</v>
      </c>
    </row>
    <row r="558" spans="29:30" ht="15" customHeight="1">
      <c r="AC558" s="14">
        <f t="shared" si="21"/>
        <v>0</v>
      </c>
      <c r="AD558" s="14">
        <f t="shared" si="22"/>
        <v>0</v>
      </c>
    </row>
    <row r="559" spans="29:30" ht="15" customHeight="1">
      <c r="AC559" s="14">
        <f t="shared" si="21"/>
        <v>0</v>
      </c>
      <c r="AD559" s="14">
        <f t="shared" si="22"/>
        <v>0</v>
      </c>
    </row>
    <row r="560" spans="29:30" ht="15" customHeight="1">
      <c r="AC560" s="14">
        <f t="shared" si="21"/>
        <v>0</v>
      </c>
      <c r="AD560" s="14">
        <f t="shared" si="22"/>
        <v>0</v>
      </c>
    </row>
    <row r="561" spans="29:30" ht="15" customHeight="1">
      <c r="AC561" s="14">
        <f t="shared" si="21"/>
        <v>0</v>
      </c>
      <c r="AD561" s="14">
        <f t="shared" si="22"/>
        <v>0</v>
      </c>
    </row>
    <row r="562" spans="29:30" ht="15" customHeight="1">
      <c r="AC562" s="14">
        <f t="shared" si="21"/>
        <v>0</v>
      </c>
      <c r="AD562" s="14">
        <f t="shared" si="22"/>
        <v>0</v>
      </c>
    </row>
    <row r="563" spans="29:30" ht="15" customHeight="1">
      <c r="AC563" s="14">
        <f t="shared" si="21"/>
        <v>0</v>
      </c>
      <c r="AD563" s="14">
        <f t="shared" si="22"/>
        <v>0</v>
      </c>
    </row>
    <row r="564" spans="29:30" ht="15" customHeight="1">
      <c r="AC564" s="14">
        <f t="shared" si="21"/>
        <v>0</v>
      </c>
      <c r="AD564" s="14">
        <f t="shared" si="22"/>
        <v>0</v>
      </c>
    </row>
    <row r="565" spans="29:30" ht="15" customHeight="1">
      <c r="AC565" s="14">
        <f t="shared" si="21"/>
        <v>0</v>
      </c>
      <c r="AD565" s="14">
        <f t="shared" si="22"/>
        <v>0</v>
      </c>
    </row>
    <row r="566" spans="29:30" ht="15" customHeight="1">
      <c r="AC566" s="14">
        <f t="shared" si="21"/>
        <v>0</v>
      </c>
      <c r="AD566" s="14">
        <f t="shared" si="22"/>
        <v>0</v>
      </c>
    </row>
    <row r="567" spans="29:30" ht="15" customHeight="1">
      <c r="AC567" s="14">
        <f t="shared" si="21"/>
        <v>0</v>
      </c>
      <c r="AD567" s="14">
        <f t="shared" si="22"/>
        <v>0</v>
      </c>
    </row>
    <row r="568" spans="29:30" ht="15" customHeight="1">
      <c r="AC568" s="14">
        <f t="shared" si="21"/>
        <v>0</v>
      </c>
      <c r="AD568" s="14">
        <f t="shared" si="22"/>
        <v>0</v>
      </c>
    </row>
    <row r="569" spans="29:30" ht="15" customHeight="1">
      <c r="AC569" s="14">
        <f t="shared" si="21"/>
        <v>0</v>
      </c>
      <c r="AD569" s="14">
        <f t="shared" si="22"/>
        <v>0</v>
      </c>
    </row>
    <row r="570" spans="29:30" ht="15" customHeight="1">
      <c r="AC570" s="14">
        <f t="shared" si="21"/>
        <v>0</v>
      </c>
      <c r="AD570" s="14">
        <f t="shared" si="22"/>
        <v>0</v>
      </c>
    </row>
    <row r="571" spans="29:30" ht="15" customHeight="1">
      <c r="AC571" s="14">
        <f t="shared" si="21"/>
        <v>0</v>
      </c>
      <c r="AD571" s="14">
        <f t="shared" si="22"/>
        <v>0</v>
      </c>
    </row>
    <row r="572" spans="29:30" ht="15" customHeight="1">
      <c r="AC572" s="14">
        <f t="shared" si="21"/>
        <v>0</v>
      </c>
      <c r="AD572" s="14">
        <f t="shared" si="22"/>
        <v>0</v>
      </c>
    </row>
    <row r="573" spans="29:30" ht="15" customHeight="1">
      <c r="AC573" s="14">
        <f t="shared" si="21"/>
        <v>0</v>
      </c>
      <c r="AD573" s="14">
        <f t="shared" si="22"/>
        <v>0</v>
      </c>
    </row>
    <row r="574" spans="29:30" ht="15" customHeight="1">
      <c r="AC574" s="14">
        <f t="shared" si="21"/>
        <v>0</v>
      </c>
      <c r="AD574" s="14">
        <f t="shared" si="22"/>
        <v>0</v>
      </c>
    </row>
    <row r="575" spans="29:30" ht="15" customHeight="1">
      <c r="AC575" s="14">
        <f t="shared" si="21"/>
        <v>0</v>
      </c>
      <c r="AD575" s="14">
        <f t="shared" si="22"/>
        <v>0</v>
      </c>
    </row>
    <row r="576" spans="29:30" ht="15" customHeight="1">
      <c r="AC576" s="14">
        <f t="shared" si="21"/>
        <v>0</v>
      </c>
      <c r="AD576" s="14">
        <f t="shared" si="22"/>
        <v>0</v>
      </c>
    </row>
    <row r="577" spans="29:30" ht="15" customHeight="1">
      <c r="AC577" s="14">
        <f t="shared" si="21"/>
        <v>0</v>
      </c>
      <c r="AD577" s="14">
        <f t="shared" si="22"/>
        <v>0</v>
      </c>
    </row>
    <row r="578" spans="29:30" ht="15" customHeight="1">
      <c r="AC578" s="14">
        <f t="shared" ref="AC578:AC641" si="23">SUM(K578:P578)</f>
        <v>0</v>
      </c>
      <c r="AD578" s="14">
        <f t="shared" ref="AD578:AD641" si="24">SUM(Q578:AB578)</f>
        <v>0</v>
      </c>
    </row>
    <row r="579" spans="29:30" ht="15" customHeight="1">
      <c r="AC579" s="14">
        <f t="shared" si="23"/>
        <v>0</v>
      </c>
      <c r="AD579" s="14">
        <f t="shared" si="24"/>
        <v>0</v>
      </c>
    </row>
    <row r="580" spans="29:30" ht="15" customHeight="1">
      <c r="AC580" s="14">
        <f t="shared" si="23"/>
        <v>0</v>
      </c>
      <c r="AD580" s="14">
        <f t="shared" si="24"/>
        <v>0</v>
      </c>
    </row>
    <row r="581" spans="29:30" ht="15" customHeight="1">
      <c r="AC581" s="14">
        <f t="shared" si="23"/>
        <v>0</v>
      </c>
      <c r="AD581" s="14">
        <f t="shared" si="24"/>
        <v>0</v>
      </c>
    </row>
    <row r="582" spans="29:30" ht="15" customHeight="1">
      <c r="AC582" s="14">
        <f t="shared" si="23"/>
        <v>0</v>
      </c>
      <c r="AD582" s="14">
        <f t="shared" si="24"/>
        <v>0</v>
      </c>
    </row>
    <row r="583" spans="29:30" ht="15" customHeight="1">
      <c r="AC583" s="14">
        <f t="shared" si="23"/>
        <v>0</v>
      </c>
      <c r="AD583" s="14">
        <f t="shared" si="24"/>
        <v>0</v>
      </c>
    </row>
    <row r="584" spans="29:30" ht="15" customHeight="1">
      <c r="AC584" s="14">
        <f t="shared" si="23"/>
        <v>0</v>
      </c>
      <c r="AD584" s="14">
        <f t="shared" si="24"/>
        <v>0</v>
      </c>
    </row>
    <row r="585" spans="29:30" ht="15" customHeight="1">
      <c r="AC585" s="14">
        <f t="shared" si="23"/>
        <v>0</v>
      </c>
      <c r="AD585" s="14">
        <f t="shared" si="24"/>
        <v>0</v>
      </c>
    </row>
    <row r="586" spans="29:30" ht="15" customHeight="1">
      <c r="AC586" s="14">
        <f t="shared" si="23"/>
        <v>0</v>
      </c>
      <c r="AD586" s="14">
        <f t="shared" si="24"/>
        <v>0</v>
      </c>
    </row>
    <row r="587" spans="29:30" ht="15" customHeight="1">
      <c r="AC587" s="14">
        <f t="shared" si="23"/>
        <v>0</v>
      </c>
      <c r="AD587" s="14">
        <f t="shared" si="24"/>
        <v>0</v>
      </c>
    </row>
    <row r="588" spans="29:30" ht="15" customHeight="1">
      <c r="AC588" s="14">
        <f t="shared" si="23"/>
        <v>0</v>
      </c>
      <c r="AD588" s="14">
        <f t="shared" si="24"/>
        <v>0</v>
      </c>
    </row>
    <row r="589" spans="29:30" ht="15" customHeight="1">
      <c r="AC589" s="14">
        <f t="shared" si="23"/>
        <v>0</v>
      </c>
      <c r="AD589" s="14">
        <f t="shared" si="24"/>
        <v>0</v>
      </c>
    </row>
    <row r="590" spans="29:30" ht="15" customHeight="1">
      <c r="AC590" s="14">
        <f t="shared" si="23"/>
        <v>0</v>
      </c>
      <c r="AD590" s="14">
        <f t="shared" si="24"/>
        <v>0</v>
      </c>
    </row>
    <row r="591" spans="29:30" ht="15" customHeight="1">
      <c r="AC591" s="14">
        <f t="shared" si="23"/>
        <v>0</v>
      </c>
      <c r="AD591" s="14">
        <f t="shared" si="24"/>
        <v>0</v>
      </c>
    </row>
    <row r="592" spans="29:30" ht="15" customHeight="1">
      <c r="AC592" s="14">
        <f t="shared" si="23"/>
        <v>0</v>
      </c>
      <c r="AD592" s="14">
        <f t="shared" si="24"/>
        <v>0</v>
      </c>
    </row>
    <row r="593" spans="29:30" ht="15" customHeight="1">
      <c r="AC593" s="14">
        <f t="shared" si="23"/>
        <v>0</v>
      </c>
      <c r="AD593" s="14">
        <f t="shared" si="24"/>
        <v>0</v>
      </c>
    </row>
    <row r="594" spans="29:30" ht="15" customHeight="1">
      <c r="AC594" s="14">
        <f t="shared" si="23"/>
        <v>0</v>
      </c>
      <c r="AD594" s="14">
        <f t="shared" si="24"/>
        <v>0</v>
      </c>
    </row>
    <row r="595" spans="29:30" ht="15" customHeight="1">
      <c r="AC595" s="14">
        <f t="shared" si="23"/>
        <v>0</v>
      </c>
      <c r="AD595" s="14">
        <f t="shared" si="24"/>
        <v>0</v>
      </c>
    </row>
    <row r="596" spans="29:30" ht="15" customHeight="1">
      <c r="AC596" s="14">
        <f t="shared" si="23"/>
        <v>0</v>
      </c>
      <c r="AD596" s="14">
        <f t="shared" si="24"/>
        <v>0</v>
      </c>
    </row>
    <row r="597" spans="29:30" ht="15" customHeight="1">
      <c r="AC597" s="14">
        <f t="shared" si="23"/>
        <v>0</v>
      </c>
      <c r="AD597" s="14">
        <f t="shared" si="24"/>
        <v>0</v>
      </c>
    </row>
    <row r="598" spans="29:30" ht="15" customHeight="1">
      <c r="AC598" s="14">
        <f t="shared" si="23"/>
        <v>0</v>
      </c>
      <c r="AD598" s="14">
        <f t="shared" si="24"/>
        <v>0</v>
      </c>
    </row>
    <row r="599" spans="29:30" ht="15" customHeight="1">
      <c r="AC599" s="14">
        <f t="shared" si="23"/>
        <v>0</v>
      </c>
      <c r="AD599" s="14">
        <f t="shared" si="24"/>
        <v>0</v>
      </c>
    </row>
    <row r="600" spans="29:30" ht="15" customHeight="1">
      <c r="AC600" s="14">
        <f t="shared" si="23"/>
        <v>0</v>
      </c>
      <c r="AD600" s="14">
        <f t="shared" si="24"/>
        <v>0</v>
      </c>
    </row>
    <row r="601" spans="29:30" ht="15" customHeight="1">
      <c r="AC601" s="14">
        <f t="shared" si="23"/>
        <v>0</v>
      </c>
      <c r="AD601" s="14">
        <f t="shared" si="24"/>
        <v>0</v>
      </c>
    </row>
    <row r="602" spans="29:30" ht="15" customHeight="1">
      <c r="AC602" s="14">
        <f t="shared" si="23"/>
        <v>0</v>
      </c>
      <c r="AD602" s="14">
        <f t="shared" si="24"/>
        <v>0</v>
      </c>
    </row>
    <row r="603" spans="29:30" ht="15" customHeight="1">
      <c r="AC603" s="14">
        <f t="shared" si="23"/>
        <v>0</v>
      </c>
      <c r="AD603" s="14">
        <f t="shared" si="24"/>
        <v>0</v>
      </c>
    </row>
    <row r="604" spans="29:30" ht="15" customHeight="1">
      <c r="AC604" s="14">
        <f t="shared" si="23"/>
        <v>0</v>
      </c>
      <c r="AD604" s="14">
        <f t="shared" si="24"/>
        <v>0</v>
      </c>
    </row>
    <row r="605" spans="29:30" ht="15" customHeight="1">
      <c r="AC605" s="14">
        <f t="shared" si="23"/>
        <v>0</v>
      </c>
      <c r="AD605" s="14">
        <f t="shared" si="24"/>
        <v>0</v>
      </c>
    </row>
    <row r="606" spans="29:30" ht="15" customHeight="1">
      <c r="AC606" s="14">
        <f t="shared" si="23"/>
        <v>0</v>
      </c>
      <c r="AD606" s="14">
        <f t="shared" si="24"/>
        <v>0</v>
      </c>
    </row>
    <row r="607" spans="29:30" ht="15" customHeight="1">
      <c r="AC607" s="14">
        <f t="shared" si="23"/>
        <v>0</v>
      </c>
      <c r="AD607" s="14">
        <f t="shared" si="24"/>
        <v>0</v>
      </c>
    </row>
    <row r="608" spans="29:30" ht="15" customHeight="1">
      <c r="AC608" s="14">
        <f t="shared" si="23"/>
        <v>0</v>
      </c>
      <c r="AD608" s="14">
        <f t="shared" si="24"/>
        <v>0</v>
      </c>
    </row>
    <row r="609" spans="29:30" ht="15" customHeight="1">
      <c r="AC609" s="14">
        <f t="shared" si="23"/>
        <v>0</v>
      </c>
      <c r="AD609" s="14">
        <f t="shared" si="24"/>
        <v>0</v>
      </c>
    </row>
    <row r="610" spans="29:30" ht="15" customHeight="1">
      <c r="AC610" s="14">
        <f t="shared" si="23"/>
        <v>0</v>
      </c>
      <c r="AD610" s="14">
        <f t="shared" si="24"/>
        <v>0</v>
      </c>
    </row>
    <row r="611" spans="29:30" ht="15" customHeight="1">
      <c r="AC611" s="14">
        <f t="shared" si="23"/>
        <v>0</v>
      </c>
      <c r="AD611" s="14">
        <f t="shared" si="24"/>
        <v>0</v>
      </c>
    </row>
    <row r="612" spans="29:30" ht="15" customHeight="1">
      <c r="AC612" s="14">
        <f t="shared" si="23"/>
        <v>0</v>
      </c>
      <c r="AD612" s="14">
        <f t="shared" si="24"/>
        <v>0</v>
      </c>
    </row>
    <row r="613" spans="29:30" ht="15" customHeight="1">
      <c r="AC613" s="14">
        <f t="shared" si="23"/>
        <v>0</v>
      </c>
      <c r="AD613" s="14">
        <f t="shared" si="24"/>
        <v>0</v>
      </c>
    </row>
    <row r="614" spans="29:30" ht="15" customHeight="1">
      <c r="AC614" s="14">
        <f t="shared" si="23"/>
        <v>0</v>
      </c>
      <c r="AD614" s="14">
        <f t="shared" si="24"/>
        <v>0</v>
      </c>
    </row>
    <row r="615" spans="29:30" ht="15" customHeight="1">
      <c r="AC615" s="14">
        <f t="shared" si="23"/>
        <v>0</v>
      </c>
      <c r="AD615" s="14">
        <f t="shared" si="24"/>
        <v>0</v>
      </c>
    </row>
    <row r="616" spans="29:30" ht="15" customHeight="1">
      <c r="AC616" s="14">
        <f t="shared" si="23"/>
        <v>0</v>
      </c>
      <c r="AD616" s="14">
        <f t="shared" si="24"/>
        <v>0</v>
      </c>
    </row>
    <row r="617" spans="29:30" ht="15" customHeight="1">
      <c r="AC617" s="14">
        <f t="shared" si="23"/>
        <v>0</v>
      </c>
      <c r="AD617" s="14">
        <f t="shared" si="24"/>
        <v>0</v>
      </c>
    </row>
    <row r="618" spans="29:30" ht="15" customHeight="1">
      <c r="AC618" s="14">
        <f t="shared" si="23"/>
        <v>0</v>
      </c>
      <c r="AD618" s="14">
        <f t="shared" si="24"/>
        <v>0</v>
      </c>
    </row>
    <row r="619" spans="29:30" ht="15" customHeight="1">
      <c r="AC619" s="14">
        <f t="shared" si="23"/>
        <v>0</v>
      </c>
      <c r="AD619" s="14">
        <f t="shared" si="24"/>
        <v>0</v>
      </c>
    </row>
    <row r="620" spans="29:30" ht="15" customHeight="1">
      <c r="AC620" s="14">
        <f t="shared" si="23"/>
        <v>0</v>
      </c>
      <c r="AD620" s="14">
        <f t="shared" si="24"/>
        <v>0</v>
      </c>
    </row>
    <row r="621" spans="29:30" ht="15" customHeight="1">
      <c r="AC621" s="14">
        <f t="shared" si="23"/>
        <v>0</v>
      </c>
      <c r="AD621" s="14">
        <f t="shared" si="24"/>
        <v>0</v>
      </c>
    </row>
    <row r="622" spans="29:30" ht="15" customHeight="1">
      <c r="AC622" s="14">
        <f t="shared" si="23"/>
        <v>0</v>
      </c>
      <c r="AD622" s="14">
        <f t="shared" si="24"/>
        <v>0</v>
      </c>
    </row>
    <row r="623" spans="29:30" ht="15" customHeight="1">
      <c r="AC623" s="14">
        <f t="shared" si="23"/>
        <v>0</v>
      </c>
      <c r="AD623" s="14">
        <f t="shared" si="24"/>
        <v>0</v>
      </c>
    </row>
    <row r="624" spans="29:30" ht="15" customHeight="1">
      <c r="AC624" s="14">
        <f t="shared" si="23"/>
        <v>0</v>
      </c>
      <c r="AD624" s="14">
        <f t="shared" si="24"/>
        <v>0</v>
      </c>
    </row>
    <row r="625" spans="29:30" ht="15" customHeight="1">
      <c r="AC625" s="14">
        <f t="shared" si="23"/>
        <v>0</v>
      </c>
      <c r="AD625" s="14">
        <f t="shared" si="24"/>
        <v>0</v>
      </c>
    </row>
    <row r="626" spans="29:30" ht="15" customHeight="1">
      <c r="AC626" s="14">
        <f t="shared" si="23"/>
        <v>0</v>
      </c>
      <c r="AD626" s="14">
        <f t="shared" si="24"/>
        <v>0</v>
      </c>
    </row>
    <row r="627" spans="29:30" ht="15" customHeight="1">
      <c r="AC627" s="14">
        <f t="shared" si="23"/>
        <v>0</v>
      </c>
      <c r="AD627" s="14">
        <f t="shared" si="24"/>
        <v>0</v>
      </c>
    </row>
    <row r="628" spans="29:30" ht="15" customHeight="1">
      <c r="AC628" s="14">
        <f t="shared" si="23"/>
        <v>0</v>
      </c>
      <c r="AD628" s="14">
        <f t="shared" si="24"/>
        <v>0</v>
      </c>
    </row>
    <row r="629" spans="29:30" ht="15" customHeight="1">
      <c r="AC629" s="14">
        <f t="shared" si="23"/>
        <v>0</v>
      </c>
      <c r="AD629" s="14">
        <f t="shared" si="24"/>
        <v>0</v>
      </c>
    </row>
    <row r="630" spans="29:30" ht="15" customHeight="1">
      <c r="AC630" s="14">
        <f t="shared" si="23"/>
        <v>0</v>
      </c>
      <c r="AD630" s="14">
        <f t="shared" si="24"/>
        <v>0</v>
      </c>
    </row>
    <row r="631" spans="29:30" ht="15" customHeight="1">
      <c r="AC631" s="14">
        <f t="shared" si="23"/>
        <v>0</v>
      </c>
      <c r="AD631" s="14">
        <f t="shared" si="24"/>
        <v>0</v>
      </c>
    </row>
    <row r="632" spans="29:30" ht="15" customHeight="1">
      <c r="AC632" s="14">
        <f t="shared" si="23"/>
        <v>0</v>
      </c>
      <c r="AD632" s="14">
        <f t="shared" si="24"/>
        <v>0</v>
      </c>
    </row>
    <row r="633" spans="29:30" ht="15" customHeight="1">
      <c r="AC633" s="14">
        <f t="shared" si="23"/>
        <v>0</v>
      </c>
      <c r="AD633" s="14">
        <f t="shared" si="24"/>
        <v>0</v>
      </c>
    </row>
    <row r="634" spans="29:30" ht="15" customHeight="1">
      <c r="AC634" s="14">
        <f t="shared" si="23"/>
        <v>0</v>
      </c>
      <c r="AD634" s="14">
        <f t="shared" si="24"/>
        <v>0</v>
      </c>
    </row>
    <row r="635" spans="29:30" ht="15" customHeight="1">
      <c r="AC635" s="14">
        <f t="shared" si="23"/>
        <v>0</v>
      </c>
      <c r="AD635" s="14">
        <f t="shared" si="24"/>
        <v>0</v>
      </c>
    </row>
    <row r="636" spans="29:30" ht="15" customHeight="1">
      <c r="AC636" s="14">
        <f t="shared" si="23"/>
        <v>0</v>
      </c>
      <c r="AD636" s="14">
        <f t="shared" si="24"/>
        <v>0</v>
      </c>
    </row>
    <row r="637" spans="29:30" ht="15" customHeight="1">
      <c r="AC637" s="14">
        <f t="shared" si="23"/>
        <v>0</v>
      </c>
      <c r="AD637" s="14">
        <f t="shared" si="24"/>
        <v>0</v>
      </c>
    </row>
    <row r="638" spans="29:30" ht="15" customHeight="1">
      <c r="AC638" s="14">
        <f t="shared" si="23"/>
        <v>0</v>
      </c>
      <c r="AD638" s="14">
        <f t="shared" si="24"/>
        <v>0</v>
      </c>
    </row>
    <row r="639" spans="29:30" ht="15" customHeight="1">
      <c r="AC639" s="14">
        <f t="shared" si="23"/>
        <v>0</v>
      </c>
      <c r="AD639" s="14">
        <f t="shared" si="24"/>
        <v>0</v>
      </c>
    </row>
    <row r="640" spans="29:30" ht="15" customHeight="1">
      <c r="AC640" s="14">
        <f t="shared" si="23"/>
        <v>0</v>
      </c>
      <c r="AD640" s="14">
        <f t="shared" si="24"/>
        <v>0</v>
      </c>
    </row>
    <row r="641" spans="29:30" ht="15" customHeight="1">
      <c r="AC641" s="14">
        <f t="shared" si="23"/>
        <v>0</v>
      </c>
      <c r="AD641" s="14">
        <f t="shared" si="24"/>
        <v>0</v>
      </c>
    </row>
    <row r="642" spans="29:30" ht="15" customHeight="1">
      <c r="AC642" s="14">
        <f t="shared" ref="AC642:AC705" si="25">SUM(K642:P642)</f>
        <v>0</v>
      </c>
      <c r="AD642" s="14">
        <f t="shared" ref="AD642:AD705" si="26">SUM(Q642:AB642)</f>
        <v>0</v>
      </c>
    </row>
    <row r="643" spans="29:30" ht="15" customHeight="1">
      <c r="AC643" s="14">
        <f t="shared" si="25"/>
        <v>0</v>
      </c>
      <c r="AD643" s="14">
        <f t="shared" si="26"/>
        <v>0</v>
      </c>
    </row>
    <row r="644" spans="29:30" ht="15" customHeight="1">
      <c r="AC644" s="14">
        <f t="shared" si="25"/>
        <v>0</v>
      </c>
      <c r="AD644" s="14">
        <f t="shared" si="26"/>
        <v>0</v>
      </c>
    </row>
    <row r="645" spans="29:30" ht="15" customHeight="1">
      <c r="AC645" s="14">
        <f t="shared" si="25"/>
        <v>0</v>
      </c>
      <c r="AD645" s="14">
        <f t="shared" si="26"/>
        <v>0</v>
      </c>
    </row>
    <row r="646" spans="29:30" ht="15" customHeight="1">
      <c r="AC646" s="14">
        <f t="shared" si="25"/>
        <v>0</v>
      </c>
      <c r="AD646" s="14">
        <f t="shared" si="26"/>
        <v>0</v>
      </c>
    </row>
    <row r="647" spans="29:30" ht="15" customHeight="1">
      <c r="AC647" s="14">
        <f t="shared" si="25"/>
        <v>0</v>
      </c>
      <c r="AD647" s="14">
        <f t="shared" si="26"/>
        <v>0</v>
      </c>
    </row>
    <row r="648" spans="29:30" ht="15" customHeight="1">
      <c r="AC648" s="14">
        <f t="shared" si="25"/>
        <v>0</v>
      </c>
      <c r="AD648" s="14">
        <f t="shared" si="26"/>
        <v>0</v>
      </c>
    </row>
    <row r="649" spans="29:30" ht="15" customHeight="1">
      <c r="AC649" s="14">
        <f t="shared" si="25"/>
        <v>0</v>
      </c>
      <c r="AD649" s="14">
        <f t="shared" si="26"/>
        <v>0</v>
      </c>
    </row>
    <row r="650" spans="29:30" ht="15" customHeight="1">
      <c r="AC650" s="14">
        <f t="shared" si="25"/>
        <v>0</v>
      </c>
      <c r="AD650" s="14">
        <f t="shared" si="26"/>
        <v>0</v>
      </c>
    </row>
    <row r="651" spans="29:30" ht="15" customHeight="1">
      <c r="AC651" s="14">
        <f t="shared" si="25"/>
        <v>0</v>
      </c>
      <c r="AD651" s="14">
        <f t="shared" si="26"/>
        <v>0</v>
      </c>
    </row>
    <row r="652" spans="29:30" ht="15" customHeight="1">
      <c r="AC652" s="14">
        <f t="shared" si="25"/>
        <v>0</v>
      </c>
      <c r="AD652" s="14">
        <f t="shared" si="26"/>
        <v>0</v>
      </c>
    </row>
    <row r="653" spans="29:30" ht="15" customHeight="1">
      <c r="AC653" s="14">
        <f t="shared" si="25"/>
        <v>0</v>
      </c>
      <c r="AD653" s="14">
        <f t="shared" si="26"/>
        <v>0</v>
      </c>
    </row>
    <row r="654" spans="29:30" ht="15" customHeight="1">
      <c r="AC654" s="14">
        <f t="shared" si="25"/>
        <v>0</v>
      </c>
      <c r="AD654" s="14">
        <f t="shared" si="26"/>
        <v>0</v>
      </c>
    </row>
    <row r="655" spans="29:30" ht="15" customHeight="1">
      <c r="AC655" s="14">
        <f t="shared" si="25"/>
        <v>0</v>
      </c>
      <c r="AD655" s="14">
        <f t="shared" si="26"/>
        <v>0</v>
      </c>
    </row>
    <row r="656" spans="29:30" ht="15" customHeight="1">
      <c r="AC656" s="14">
        <f t="shared" si="25"/>
        <v>0</v>
      </c>
      <c r="AD656" s="14">
        <f t="shared" si="26"/>
        <v>0</v>
      </c>
    </row>
    <row r="657" spans="29:30" ht="15" customHeight="1">
      <c r="AC657" s="14">
        <f t="shared" si="25"/>
        <v>0</v>
      </c>
      <c r="AD657" s="14">
        <f t="shared" si="26"/>
        <v>0</v>
      </c>
    </row>
    <row r="658" spans="29:30" ht="15" customHeight="1">
      <c r="AC658" s="14">
        <f t="shared" si="25"/>
        <v>0</v>
      </c>
      <c r="AD658" s="14">
        <f t="shared" si="26"/>
        <v>0</v>
      </c>
    </row>
    <row r="659" spans="29:30" ht="15" customHeight="1">
      <c r="AC659" s="14">
        <f t="shared" si="25"/>
        <v>0</v>
      </c>
      <c r="AD659" s="14">
        <f t="shared" si="26"/>
        <v>0</v>
      </c>
    </row>
    <row r="660" spans="29:30" ht="15" customHeight="1">
      <c r="AC660" s="14">
        <f t="shared" si="25"/>
        <v>0</v>
      </c>
      <c r="AD660" s="14">
        <f t="shared" si="26"/>
        <v>0</v>
      </c>
    </row>
    <row r="661" spans="29:30" ht="15" customHeight="1">
      <c r="AC661" s="14">
        <f t="shared" si="25"/>
        <v>0</v>
      </c>
      <c r="AD661" s="14">
        <f t="shared" si="26"/>
        <v>0</v>
      </c>
    </row>
    <row r="662" spans="29:30" ht="15" customHeight="1">
      <c r="AC662" s="14">
        <f t="shared" si="25"/>
        <v>0</v>
      </c>
      <c r="AD662" s="14">
        <f t="shared" si="26"/>
        <v>0</v>
      </c>
    </row>
    <row r="663" spans="29:30" ht="15" customHeight="1">
      <c r="AC663" s="14">
        <f t="shared" si="25"/>
        <v>0</v>
      </c>
      <c r="AD663" s="14">
        <f t="shared" si="26"/>
        <v>0</v>
      </c>
    </row>
    <row r="664" spans="29:30" ht="15" customHeight="1">
      <c r="AC664" s="14">
        <f t="shared" si="25"/>
        <v>0</v>
      </c>
      <c r="AD664" s="14">
        <f t="shared" si="26"/>
        <v>0</v>
      </c>
    </row>
    <row r="665" spans="29:30" ht="15" customHeight="1">
      <c r="AC665" s="14">
        <f t="shared" si="25"/>
        <v>0</v>
      </c>
      <c r="AD665" s="14">
        <f t="shared" si="26"/>
        <v>0</v>
      </c>
    </row>
    <row r="666" spans="29:30" ht="15" customHeight="1">
      <c r="AC666" s="14">
        <f t="shared" si="25"/>
        <v>0</v>
      </c>
      <c r="AD666" s="14">
        <f t="shared" si="26"/>
        <v>0</v>
      </c>
    </row>
    <row r="667" spans="29:30" ht="15" customHeight="1">
      <c r="AC667" s="14">
        <f t="shared" si="25"/>
        <v>0</v>
      </c>
      <c r="AD667" s="14">
        <f t="shared" si="26"/>
        <v>0</v>
      </c>
    </row>
    <row r="668" spans="29:30" ht="15" customHeight="1">
      <c r="AC668" s="14">
        <f t="shared" si="25"/>
        <v>0</v>
      </c>
      <c r="AD668" s="14">
        <f t="shared" si="26"/>
        <v>0</v>
      </c>
    </row>
    <row r="669" spans="29:30" ht="15" customHeight="1">
      <c r="AC669" s="14">
        <f t="shared" si="25"/>
        <v>0</v>
      </c>
      <c r="AD669" s="14">
        <f t="shared" si="26"/>
        <v>0</v>
      </c>
    </row>
    <row r="670" spans="29:30" ht="15" customHeight="1">
      <c r="AC670" s="14">
        <f t="shared" si="25"/>
        <v>0</v>
      </c>
      <c r="AD670" s="14">
        <f t="shared" si="26"/>
        <v>0</v>
      </c>
    </row>
    <row r="671" spans="29:30" ht="15" customHeight="1">
      <c r="AC671" s="14">
        <f t="shared" si="25"/>
        <v>0</v>
      </c>
      <c r="AD671" s="14">
        <f t="shared" si="26"/>
        <v>0</v>
      </c>
    </row>
    <row r="672" spans="29:30" ht="15" customHeight="1">
      <c r="AC672" s="14">
        <f t="shared" si="25"/>
        <v>0</v>
      </c>
      <c r="AD672" s="14">
        <f t="shared" si="26"/>
        <v>0</v>
      </c>
    </row>
    <row r="673" spans="29:30" ht="15" customHeight="1">
      <c r="AC673" s="14">
        <f t="shared" si="25"/>
        <v>0</v>
      </c>
      <c r="AD673" s="14">
        <f t="shared" si="26"/>
        <v>0</v>
      </c>
    </row>
    <row r="674" spans="29:30" ht="15" customHeight="1">
      <c r="AC674" s="14">
        <f t="shared" si="25"/>
        <v>0</v>
      </c>
      <c r="AD674" s="14">
        <f t="shared" si="26"/>
        <v>0</v>
      </c>
    </row>
    <row r="675" spans="29:30" ht="15" customHeight="1">
      <c r="AC675" s="14">
        <f t="shared" si="25"/>
        <v>0</v>
      </c>
      <c r="AD675" s="14">
        <f t="shared" si="26"/>
        <v>0</v>
      </c>
    </row>
    <row r="676" spans="29:30" ht="15" customHeight="1">
      <c r="AC676" s="14">
        <f t="shared" si="25"/>
        <v>0</v>
      </c>
      <c r="AD676" s="14">
        <f t="shared" si="26"/>
        <v>0</v>
      </c>
    </row>
    <row r="677" spans="29:30" ht="15" customHeight="1">
      <c r="AC677" s="14">
        <f t="shared" si="25"/>
        <v>0</v>
      </c>
      <c r="AD677" s="14">
        <f t="shared" si="26"/>
        <v>0</v>
      </c>
    </row>
    <row r="678" spans="29:30" ht="15" customHeight="1">
      <c r="AC678" s="14">
        <f t="shared" si="25"/>
        <v>0</v>
      </c>
      <c r="AD678" s="14">
        <f t="shared" si="26"/>
        <v>0</v>
      </c>
    </row>
    <row r="679" spans="29:30" ht="15" customHeight="1">
      <c r="AC679" s="14">
        <f t="shared" si="25"/>
        <v>0</v>
      </c>
      <c r="AD679" s="14">
        <f t="shared" si="26"/>
        <v>0</v>
      </c>
    </row>
    <row r="680" spans="29:30" ht="15" customHeight="1">
      <c r="AC680" s="14">
        <f t="shared" si="25"/>
        <v>0</v>
      </c>
      <c r="AD680" s="14">
        <f t="shared" si="26"/>
        <v>0</v>
      </c>
    </row>
    <row r="681" spans="29:30" ht="15" customHeight="1">
      <c r="AC681" s="14">
        <f t="shared" si="25"/>
        <v>0</v>
      </c>
      <c r="AD681" s="14">
        <f t="shared" si="26"/>
        <v>0</v>
      </c>
    </row>
    <row r="682" spans="29:30" ht="15" customHeight="1">
      <c r="AC682" s="14">
        <f t="shared" si="25"/>
        <v>0</v>
      </c>
      <c r="AD682" s="14">
        <f t="shared" si="26"/>
        <v>0</v>
      </c>
    </row>
    <row r="683" spans="29:30" ht="15" customHeight="1">
      <c r="AC683" s="14">
        <f t="shared" si="25"/>
        <v>0</v>
      </c>
      <c r="AD683" s="14">
        <f t="shared" si="26"/>
        <v>0</v>
      </c>
    </row>
    <row r="684" spans="29:30" ht="15" customHeight="1">
      <c r="AC684" s="14">
        <f t="shared" si="25"/>
        <v>0</v>
      </c>
      <c r="AD684" s="14">
        <f t="shared" si="26"/>
        <v>0</v>
      </c>
    </row>
    <row r="685" spans="29:30" ht="15" customHeight="1">
      <c r="AC685" s="14">
        <f t="shared" si="25"/>
        <v>0</v>
      </c>
      <c r="AD685" s="14">
        <f t="shared" si="26"/>
        <v>0</v>
      </c>
    </row>
    <row r="686" spans="29:30" ht="15" customHeight="1">
      <c r="AC686" s="14">
        <f t="shared" si="25"/>
        <v>0</v>
      </c>
      <c r="AD686" s="14">
        <f t="shared" si="26"/>
        <v>0</v>
      </c>
    </row>
    <row r="687" spans="29:30" ht="15" customHeight="1">
      <c r="AC687" s="14">
        <f t="shared" si="25"/>
        <v>0</v>
      </c>
      <c r="AD687" s="14">
        <f t="shared" si="26"/>
        <v>0</v>
      </c>
    </row>
    <row r="688" spans="29:30" ht="15" customHeight="1">
      <c r="AC688" s="14">
        <f t="shared" si="25"/>
        <v>0</v>
      </c>
      <c r="AD688" s="14">
        <f t="shared" si="26"/>
        <v>0</v>
      </c>
    </row>
    <row r="689" spans="29:30" ht="15" customHeight="1">
      <c r="AC689" s="14">
        <f t="shared" si="25"/>
        <v>0</v>
      </c>
      <c r="AD689" s="14">
        <f t="shared" si="26"/>
        <v>0</v>
      </c>
    </row>
    <row r="690" spans="29:30" ht="15" customHeight="1">
      <c r="AC690" s="14">
        <f t="shared" si="25"/>
        <v>0</v>
      </c>
      <c r="AD690" s="14">
        <f t="shared" si="26"/>
        <v>0</v>
      </c>
    </row>
    <row r="691" spans="29:30" ht="15" customHeight="1">
      <c r="AC691" s="14">
        <f t="shared" si="25"/>
        <v>0</v>
      </c>
      <c r="AD691" s="14">
        <f t="shared" si="26"/>
        <v>0</v>
      </c>
    </row>
    <row r="692" spans="29:30" ht="15" customHeight="1">
      <c r="AC692" s="14">
        <f t="shared" si="25"/>
        <v>0</v>
      </c>
      <c r="AD692" s="14">
        <f t="shared" si="26"/>
        <v>0</v>
      </c>
    </row>
    <row r="693" spans="29:30" ht="15" customHeight="1">
      <c r="AC693" s="14">
        <f t="shared" si="25"/>
        <v>0</v>
      </c>
      <c r="AD693" s="14">
        <f t="shared" si="26"/>
        <v>0</v>
      </c>
    </row>
    <row r="694" spans="29:30" ht="15" customHeight="1">
      <c r="AC694" s="14">
        <f t="shared" si="25"/>
        <v>0</v>
      </c>
      <c r="AD694" s="14">
        <f t="shared" si="26"/>
        <v>0</v>
      </c>
    </row>
    <row r="695" spans="29:30" ht="15" customHeight="1">
      <c r="AC695" s="14">
        <f t="shared" si="25"/>
        <v>0</v>
      </c>
      <c r="AD695" s="14">
        <f t="shared" si="26"/>
        <v>0</v>
      </c>
    </row>
    <row r="696" spans="29:30" ht="15" customHeight="1">
      <c r="AC696" s="14">
        <f t="shared" si="25"/>
        <v>0</v>
      </c>
      <c r="AD696" s="14">
        <f t="shared" si="26"/>
        <v>0</v>
      </c>
    </row>
    <row r="697" spans="29:30" ht="15" customHeight="1">
      <c r="AC697" s="14">
        <f t="shared" si="25"/>
        <v>0</v>
      </c>
      <c r="AD697" s="14">
        <f t="shared" si="26"/>
        <v>0</v>
      </c>
    </row>
    <row r="698" spans="29:30" ht="15" customHeight="1">
      <c r="AC698" s="14">
        <f t="shared" si="25"/>
        <v>0</v>
      </c>
      <c r="AD698" s="14">
        <f t="shared" si="26"/>
        <v>0</v>
      </c>
    </row>
    <row r="699" spans="29:30" ht="15" customHeight="1">
      <c r="AC699" s="14">
        <f t="shared" si="25"/>
        <v>0</v>
      </c>
      <c r="AD699" s="14">
        <f t="shared" si="26"/>
        <v>0</v>
      </c>
    </row>
    <row r="700" spans="29:30" ht="15" customHeight="1">
      <c r="AC700" s="14">
        <f t="shared" si="25"/>
        <v>0</v>
      </c>
      <c r="AD700" s="14">
        <f t="shared" si="26"/>
        <v>0</v>
      </c>
    </row>
    <row r="701" spans="29:30" ht="15" customHeight="1">
      <c r="AC701" s="14">
        <f t="shared" si="25"/>
        <v>0</v>
      </c>
      <c r="AD701" s="14">
        <f t="shared" si="26"/>
        <v>0</v>
      </c>
    </row>
    <row r="702" spans="29:30" ht="15" customHeight="1">
      <c r="AC702" s="14">
        <f t="shared" si="25"/>
        <v>0</v>
      </c>
      <c r="AD702" s="14">
        <f t="shared" si="26"/>
        <v>0</v>
      </c>
    </row>
    <row r="703" spans="29:30" ht="15" customHeight="1">
      <c r="AC703" s="14">
        <f t="shared" si="25"/>
        <v>0</v>
      </c>
      <c r="AD703" s="14">
        <f t="shared" si="26"/>
        <v>0</v>
      </c>
    </row>
    <row r="704" spans="29:30" ht="15" customHeight="1">
      <c r="AC704" s="14">
        <f t="shared" si="25"/>
        <v>0</v>
      </c>
      <c r="AD704" s="14">
        <f t="shared" si="26"/>
        <v>0</v>
      </c>
    </row>
    <row r="705" spans="29:30" ht="15" customHeight="1">
      <c r="AC705" s="14">
        <f t="shared" si="25"/>
        <v>0</v>
      </c>
      <c r="AD705" s="14">
        <f t="shared" si="26"/>
        <v>0</v>
      </c>
    </row>
    <row r="706" spans="29:30" ht="15" customHeight="1">
      <c r="AC706" s="14">
        <f t="shared" ref="AC706:AC769" si="27">SUM(K706:P706)</f>
        <v>0</v>
      </c>
      <c r="AD706" s="14">
        <f t="shared" ref="AD706:AD769" si="28">SUM(Q706:AB706)</f>
        <v>0</v>
      </c>
    </row>
    <row r="707" spans="29:30" ht="15" customHeight="1">
      <c r="AC707" s="14">
        <f t="shared" si="27"/>
        <v>0</v>
      </c>
      <c r="AD707" s="14">
        <f t="shared" si="28"/>
        <v>0</v>
      </c>
    </row>
    <row r="708" spans="29:30" ht="15" customHeight="1">
      <c r="AC708" s="14">
        <f t="shared" si="27"/>
        <v>0</v>
      </c>
      <c r="AD708" s="14">
        <f t="shared" si="28"/>
        <v>0</v>
      </c>
    </row>
    <row r="709" spans="29:30" ht="15" customHeight="1">
      <c r="AC709" s="14">
        <f t="shared" si="27"/>
        <v>0</v>
      </c>
      <c r="AD709" s="14">
        <f t="shared" si="28"/>
        <v>0</v>
      </c>
    </row>
    <row r="710" spans="29:30" ht="15" customHeight="1">
      <c r="AC710" s="14">
        <f t="shared" si="27"/>
        <v>0</v>
      </c>
      <c r="AD710" s="14">
        <f t="shared" si="28"/>
        <v>0</v>
      </c>
    </row>
    <row r="711" spans="29:30" ht="15" customHeight="1">
      <c r="AC711" s="14">
        <f t="shared" si="27"/>
        <v>0</v>
      </c>
      <c r="AD711" s="14">
        <f t="shared" si="28"/>
        <v>0</v>
      </c>
    </row>
    <row r="712" spans="29:30" ht="15" customHeight="1">
      <c r="AC712" s="14">
        <f t="shared" si="27"/>
        <v>0</v>
      </c>
      <c r="AD712" s="14">
        <f t="shared" si="28"/>
        <v>0</v>
      </c>
    </row>
    <row r="713" spans="29:30" ht="15" customHeight="1">
      <c r="AC713" s="14">
        <f t="shared" si="27"/>
        <v>0</v>
      </c>
      <c r="AD713" s="14">
        <f t="shared" si="28"/>
        <v>0</v>
      </c>
    </row>
    <row r="714" spans="29:30" ht="15" customHeight="1">
      <c r="AC714" s="14">
        <f t="shared" si="27"/>
        <v>0</v>
      </c>
      <c r="AD714" s="14">
        <f t="shared" si="28"/>
        <v>0</v>
      </c>
    </row>
    <row r="715" spans="29:30" ht="15" customHeight="1">
      <c r="AC715" s="14">
        <f t="shared" si="27"/>
        <v>0</v>
      </c>
      <c r="AD715" s="14">
        <f t="shared" si="28"/>
        <v>0</v>
      </c>
    </row>
    <row r="716" spans="29:30" ht="15" customHeight="1">
      <c r="AC716" s="14">
        <f t="shared" si="27"/>
        <v>0</v>
      </c>
      <c r="AD716" s="14">
        <f t="shared" si="28"/>
        <v>0</v>
      </c>
    </row>
    <row r="717" spans="29:30" ht="15" customHeight="1">
      <c r="AC717" s="14">
        <f t="shared" si="27"/>
        <v>0</v>
      </c>
      <c r="AD717" s="14">
        <f t="shared" si="28"/>
        <v>0</v>
      </c>
    </row>
    <row r="718" spans="29:30" ht="15" customHeight="1">
      <c r="AC718" s="14">
        <f t="shared" si="27"/>
        <v>0</v>
      </c>
      <c r="AD718" s="14">
        <f t="shared" si="28"/>
        <v>0</v>
      </c>
    </row>
    <row r="719" spans="29:30" ht="15" customHeight="1">
      <c r="AC719" s="14">
        <f t="shared" si="27"/>
        <v>0</v>
      </c>
      <c r="AD719" s="14">
        <f t="shared" si="28"/>
        <v>0</v>
      </c>
    </row>
    <row r="720" spans="29:30" ht="15" customHeight="1">
      <c r="AC720" s="14">
        <f t="shared" si="27"/>
        <v>0</v>
      </c>
      <c r="AD720" s="14">
        <f t="shared" si="28"/>
        <v>0</v>
      </c>
    </row>
    <row r="721" spans="29:30" ht="15" customHeight="1">
      <c r="AC721" s="14">
        <f t="shared" si="27"/>
        <v>0</v>
      </c>
      <c r="AD721" s="14">
        <f t="shared" si="28"/>
        <v>0</v>
      </c>
    </row>
    <row r="722" spans="29:30" ht="15" customHeight="1">
      <c r="AC722" s="14">
        <f t="shared" si="27"/>
        <v>0</v>
      </c>
      <c r="AD722" s="14">
        <f t="shared" si="28"/>
        <v>0</v>
      </c>
    </row>
    <row r="723" spans="29:30" ht="15" customHeight="1">
      <c r="AC723" s="14">
        <f t="shared" si="27"/>
        <v>0</v>
      </c>
      <c r="AD723" s="14">
        <f t="shared" si="28"/>
        <v>0</v>
      </c>
    </row>
    <row r="724" spans="29:30" ht="15" customHeight="1">
      <c r="AC724" s="14">
        <f t="shared" si="27"/>
        <v>0</v>
      </c>
      <c r="AD724" s="14">
        <f t="shared" si="28"/>
        <v>0</v>
      </c>
    </row>
    <row r="725" spans="29:30" ht="15" customHeight="1">
      <c r="AC725" s="14">
        <f t="shared" si="27"/>
        <v>0</v>
      </c>
      <c r="AD725" s="14">
        <f t="shared" si="28"/>
        <v>0</v>
      </c>
    </row>
    <row r="726" spans="29:30" ht="15" customHeight="1">
      <c r="AC726" s="14">
        <f t="shared" si="27"/>
        <v>0</v>
      </c>
      <c r="AD726" s="14">
        <f t="shared" si="28"/>
        <v>0</v>
      </c>
    </row>
    <row r="727" spans="29:30" ht="15" customHeight="1">
      <c r="AC727" s="14">
        <f t="shared" si="27"/>
        <v>0</v>
      </c>
      <c r="AD727" s="14">
        <f t="shared" si="28"/>
        <v>0</v>
      </c>
    </row>
    <row r="728" spans="29:30" ht="15" customHeight="1">
      <c r="AC728" s="14">
        <f t="shared" si="27"/>
        <v>0</v>
      </c>
      <c r="AD728" s="14">
        <f t="shared" si="28"/>
        <v>0</v>
      </c>
    </row>
    <row r="729" spans="29:30" ht="15" customHeight="1">
      <c r="AC729" s="14">
        <f t="shared" si="27"/>
        <v>0</v>
      </c>
      <c r="AD729" s="14">
        <f t="shared" si="28"/>
        <v>0</v>
      </c>
    </row>
    <row r="730" spans="29:30" ht="15" customHeight="1">
      <c r="AC730" s="14">
        <f t="shared" si="27"/>
        <v>0</v>
      </c>
      <c r="AD730" s="14">
        <f t="shared" si="28"/>
        <v>0</v>
      </c>
    </row>
    <row r="731" spans="29:30" ht="15" customHeight="1">
      <c r="AC731" s="14">
        <f t="shared" si="27"/>
        <v>0</v>
      </c>
      <c r="AD731" s="14">
        <f t="shared" si="28"/>
        <v>0</v>
      </c>
    </row>
    <row r="732" spans="29:30" ht="15" customHeight="1">
      <c r="AC732" s="14">
        <f t="shared" si="27"/>
        <v>0</v>
      </c>
      <c r="AD732" s="14">
        <f t="shared" si="28"/>
        <v>0</v>
      </c>
    </row>
    <row r="733" spans="29:30" ht="15" customHeight="1">
      <c r="AC733" s="14">
        <f t="shared" si="27"/>
        <v>0</v>
      </c>
      <c r="AD733" s="14">
        <f t="shared" si="28"/>
        <v>0</v>
      </c>
    </row>
    <row r="734" spans="29:30" ht="15" customHeight="1">
      <c r="AC734" s="14">
        <f t="shared" si="27"/>
        <v>0</v>
      </c>
      <c r="AD734" s="14">
        <f t="shared" si="28"/>
        <v>0</v>
      </c>
    </row>
    <row r="735" spans="29:30" ht="15" customHeight="1">
      <c r="AC735" s="14">
        <f t="shared" si="27"/>
        <v>0</v>
      </c>
      <c r="AD735" s="14">
        <f t="shared" si="28"/>
        <v>0</v>
      </c>
    </row>
    <row r="736" spans="29:30" ht="15" customHeight="1">
      <c r="AC736" s="14">
        <f t="shared" si="27"/>
        <v>0</v>
      </c>
      <c r="AD736" s="14">
        <f t="shared" si="28"/>
        <v>0</v>
      </c>
    </row>
    <row r="737" spans="29:30" ht="15" customHeight="1">
      <c r="AC737" s="14">
        <f t="shared" si="27"/>
        <v>0</v>
      </c>
      <c r="AD737" s="14">
        <f t="shared" si="28"/>
        <v>0</v>
      </c>
    </row>
    <row r="738" spans="29:30" ht="15" customHeight="1">
      <c r="AC738" s="14">
        <f t="shared" si="27"/>
        <v>0</v>
      </c>
      <c r="AD738" s="14">
        <f t="shared" si="28"/>
        <v>0</v>
      </c>
    </row>
    <row r="739" spans="29:30" ht="15" customHeight="1">
      <c r="AC739" s="14">
        <f t="shared" si="27"/>
        <v>0</v>
      </c>
      <c r="AD739" s="14">
        <f t="shared" si="28"/>
        <v>0</v>
      </c>
    </row>
    <row r="740" spans="29:30" ht="15" customHeight="1">
      <c r="AC740" s="14">
        <f t="shared" si="27"/>
        <v>0</v>
      </c>
      <c r="AD740" s="14">
        <f t="shared" si="28"/>
        <v>0</v>
      </c>
    </row>
    <row r="741" spans="29:30" ht="15" customHeight="1">
      <c r="AC741" s="14">
        <f t="shared" si="27"/>
        <v>0</v>
      </c>
      <c r="AD741" s="14">
        <f t="shared" si="28"/>
        <v>0</v>
      </c>
    </row>
    <row r="742" spans="29:30" ht="15" customHeight="1">
      <c r="AC742" s="14">
        <f t="shared" si="27"/>
        <v>0</v>
      </c>
      <c r="AD742" s="14">
        <f t="shared" si="28"/>
        <v>0</v>
      </c>
    </row>
    <row r="743" spans="29:30" ht="15" customHeight="1">
      <c r="AC743" s="14">
        <f t="shared" si="27"/>
        <v>0</v>
      </c>
      <c r="AD743" s="14">
        <f t="shared" si="28"/>
        <v>0</v>
      </c>
    </row>
    <row r="744" spans="29:30" ht="15" customHeight="1">
      <c r="AC744" s="14">
        <f t="shared" si="27"/>
        <v>0</v>
      </c>
      <c r="AD744" s="14">
        <f t="shared" si="28"/>
        <v>0</v>
      </c>
    </row>
    <row r="745" spans="29:30" ht="15" customHeight="1">
      <c r="AC745" s="14">
        <f t="shared" si="27"/>
        <v>0</v>
      </c>
      <c r="AD745" s="14">
        <f t="shared" si="28"/>
        <v>0</v>
      </c>
    </row>
    <row r="746" spans="29:30" ht="15" customHeight="1">
      <c r="AC746" s="14">
        <f t="shared" si="27"/>
        <v>0</v>
      </c>
      <c r="AD746" s="14">
        <f t="shared" si="28"/>
        <v>0</v>
      </c>
    </row>
    <row r="747" spans="29:30" ht="15" customHeight="1">
      <c r="AC747" s="14">
        <f t="shared" si="27"/>
        <v>0</v>
      </c>
      <c r="AD747" s="14">
        <f t="shared" si="28"/>
        <v>0</v>
      </c>
    </row>
    <row r="748" spans="29:30" ht="15" customHeight="1">
      <c r="AC748" s="14">
        <f t="shared" si="27"/>
        <v>0</v>
      </c>
      <c r="AD748" s="14">
        <f t="shared" si="28"/>
        <v>0</v>
      </c>
    </row>
    <row r="749" spans="29:30" ht="15" customHeight="1">
      <c r="AC749" s="14">
        <f t="shared" si="27"/>
        <v>0</v>
      </c>
      <c r="AD749" s="14">
        <f t="shared" si="28"/>
        <v>0</v>
      </c>
    </row>
    <row r="750" spans="29:30" ht="15" customHeight="1">
      <c r="AC750" s="14">
        <f t="shared" si="27"/>
        <v>0</v>
      </c>
      <c r="AD750" s="14">
        <f t="shared" si="28"/>
        <v>0</v>
      </c>
    </row>
    <row r="751" spans="29:30" ht="15" customHeight="1">
      <c r="AC751" s="14">
        <f t="shared" si="27"/>
        <v>0</v>
      </c>
      <c r="AD751" s="14">
        <f t="shared" si="28"/>
        <v>0</v>
      </c>
    </row>
    <row r="752" spans="29:30" ht="15" customHeight="1">
      <c r="AC752" s="14">
        <f t="shared" si="27"/>
        <v>0</v>
      </c>
      <c r="AD752" s="14">
        <f t="shared" si="28"/>
        <v>0</v>
      </c>
    </row>
    <row r="753" spans="29:30" ht="15" customHeight="1">
      <c r="AC753" s="14">
        <f t="shared" si="27"/>
        <v>0</v>
      </c>
      <c r="AD753" s="14">
        <f t="shared" si="28"/>
        <v>0</v>
      </c>
    </row>
    <row r="754" spans="29:30" ht="15" customHeight="1">
      <c r="AC754" s="14">
        <f t="shared" si="27"/>
        <v>0</v>
      </c>
      <c r="AD754" s="14">
        <f t="shared" si="28"/>
        <v>0</v>
      </c>
    </row>
    <row r="755" spans="29:30" ht="15" customHeight="1">
      <c r="AC755" s="14">
        <f t="shared" si="27"/>
        <v>0</v>
      </c>
      <c r="AD755" s="14">
        <f t="shared" si="28"/>
        <v>0</v>
      </c>
    </row>
    <row r="756" spans="29:30" ht="15" customHeight="1">
      <c r="AC756" s="14">
        <f t="shared" si="27"/>
        <v>0</v>
      </c>
      <c r="AD756" s="14">
        <f t="shared" si="28"/>
        <v>0</v>
      </c>
    </row>
    <row r="757" spans="29:30" ht="15" customHeight="1">
      <c r="AC757" s="14">
        <f t="shared" si="27"/>
        <v>0</v>
      </c>
      <c r="AD757" s="14">
        <f t="shared" si="28"/>
        <v>0</v>
      </c>
    </row>
    <row r="758" spans="29:30" ht="15" customHeight="1">
      <c r="AC758" s="14">
        <f t="shared" si="27"/>
        <v>0</v>
      </c>
      <c r="AD758" s="14">
        <f t="shared" si="28"/>
        <v>0</v>
      </c>
    </row>
    <row r="759" spans="29:30" ht="15" customHeight="1">
      <c r="AC759" s="14">
        <f t="shared" si="27"/>
        <v>0</v>
      </c>
      <c r="AD759" s="14">
        <f t="shared" si="28"/>
        <v>0</v>
      </c>
    </row>
    <row r="760" spans="29:30" ht="15" customHeight="1">
      <c r="AC760" s="14">
        <f t="shared" si="27"/>
        <v>0</v>
      </c>
      <c r="AD760" s="14">
        <f t="shared" si="28"/>
        <v>0</v>
      </c>
    </row>
    <row r="761" spans="29:30" ht="15" customHeight="1">
      <c r="AC761" s="14">
        <f t="shared" si="27"/>
        <v>0</v>
      </c>
      <c r="AD761" s="14">
        <f t="shared" si="28"/>
        <v>0</v>
      </c>
    </row>
    <row r="762" spans="29:30" ht="15" customHeight="1">
      <c r="AC762" s="14">
        <f t="shared" si="27"/>
        <v>0</v>
      </c>
      <c r="AD762" s="14">
        <f t="shared" si="28"/>
        <v>0</v>
      </c>
    </row>
    <row r="763" spans="29:30" ht="15" customHeight="1">
      <c r="AC763" s="14">
        <f t="shared" si="27"/>
        <v>0</v>
      </c>
      <c r="AD763" s="14">
        <f t="shared" si="28"/>
        <v>0</v>
      </c>
    </row>
    <row r="764" spans="29:30" ht="15" customHeight="1">
      <c r="AC764" s="14">
        <f t="shared" si="27"/>
        <v>0</v>
      </c>
      <c r="AD764" s="14">
        <f t="shared" si="28"/>
        <v>0</v>
      </c>
    </row>
    <row r="765" spans="29:30" ht="15" customHeight="1">
      <c r="AC765" s="14">
        <f t="shared" si="27"/>
        <v>0</v>
      </c>
      <c r="AD765" s="14">
        <f t="shared" si="28"/>
        <v>0</v>
      </c>
    </row>
    <row r="766" spans="29:30" ht="15" customHeight="1">
      <c r="AC766" s="14">
        <f t="shared" si="27"/>
        <v>0</v>
      </c>
      <c r="AD766" s="14">
        <f t="shared" si="28"/>
        <v>0</v>
      </c>
    </row>
    <row r="767" spans="29:30" ht="15" customHeight="1">
      <c r="AC767" s="14">
        <f t="shared" si="27"/>
        <v>0</v>
      </c>
      <c r="AD767" s="14">
        <f t="shared" si="28"/>
        <v>0</v>
      </c>
    </row>
    <row r="768" spans="29:30" ht="15" customHeight="1">
      <c r="AC768" s="14">
        <f t="shared" si="27"/>
        <v>0</v>
      </c>
      <c r="AD768" s="14">
        <f t="shared" si="28"/>
        <v>0</v>
      </c>
    </row>
    <row r="769" spans="29:30" ht="15" customHeight="1">
      <c r="AC769" s="14">
        <f t="shared" si="27"/>
        <v>0</v>
      </c>
      <c r="AD769" s="14">
        <f t="shared" si="28"/>
        <v>0</v>
      </c>
    </row>
    <row r="770" spans="29:30" ht="15" customHeight="1">
      <c r="AC770" s="14">
        <f t="shared" ref="AC770:AC833" si="29">SUM(K770:P770)</f>
        <v>0</v>
      </c>
      <c r="AD770" s="14">
        <f t="shared" ref="AD770:AD833" si="30">SUM(Q770:AB770)</f>
        <v>0</v>
      </c>
    </row>
    <row r="771" spans="29:30" ht="15" customHeight="1">
      <c r="AC771" s="14">
        <f t="shared" si="29"/>
        <v>0</v>
      </c>
      <c r="AD771" s="14">
        <f t="shared" si="30"/>
        <v>0</v>
      </c>
    </row>
    <row r="772" spans="29:30" ht="15" customHeight="1">
      <c r="AC772" s="14">
        <f t="shared" si="29"/>
        <v>0</v>
      </c>
      <c r="AD772" s="14">
        <f t="shared" si="30"/>
        <v>0</v>
      </c>
    </row>
    <row r="773" spans="29:30" ht="15" customHeight="1">
      <c r="AC773" s="14">
        <f t="shared" si="29"/>
        <v>0</v>
      </c>
      <c r="AD773" s="14">
        <f t="shared" si="30"/>
        <v>0</v>
      </c>
    </row>
    <row r="774" spans="29:30" ht="15" customHeight="1">
      <c r="AC774" s="14">
        <f t="shared" si="29"/>
        <v>0</v>
      </c>
      <c r="AD774" s="14">
        <f t="shared" si="30"/>
        <v>0</v>
      </c>
    </row>
    <row r="775" spans="29:30" ht="15" customHeight="1">
      <c r="AC775" s="14">
        <f t="shared" si="29"/>
        <v>0</v>
      </c>
      <c r="AD775" s="14">
        <f t="shared" si="30"/>
        <v>0</v>
      </c>
    </row>
    <row r="776" spans="29:30" ht="15" customHeight="1">
      <c r="AC776" s="14">
        <f t="shared" si="29"/>
        <v>0</v>
      </c>
      <c r="AD776" s="14">
        <f t="shared" si="30"/>
        <v>0</v>
      </c>
    </row>
    <row r="777" spans="29:30" ht="15" customHeight="1">
      <c r="AC777" s="14">
        <f t="shared" si="29"/>
        <v>0</v>
      </c>
      <c r="AD777" s="14">
        <f t="shared" si="30"/>
        <v>0</v>
      </c>
    </row>
    <row r="778" spans="29:30" ht="15" customHeight="1">
      <c r="AC778" s="14">
        <f t="shared" si="29"/>
        <v>0</v>
      </c>
      <c r="AD778" s="14">
        <f t="shared" si="30"/>
        <v>0</v>
      </c>
    </row>
    <row r="779" spans="29:30" ht="15" customHeight="1">
      <c r="AC779" s="14">
        <f t="shared" si="29"/>
        <v>0</v>
      </c>
      <c r="AD779" s="14">
        <f t="shared" si="30"/>
        <v>0</v>
      </c>
    </row>
    <row r="780" spans="29:30" ht="15" customHeight="1">
      <c r="AC780" s="14">
        <f t="shared" si="29"/>
        <v>0</v>
      </c>
      <c r="AD780" s="14">
        <f t="shared" si="30"/>
        <v>0</v>
      </c>
    </row>
    <row r="781" spans="29:30" ht="15" customHeight="1">
      <c r="AC781" s="14">
        <f t="shared" si="29"/>
        <v>0</v>
      </c>
      <c r="AD781" s="14">
        <f t="shared" si="30"/>
        <v>0</v>
      </c>
    </row>
    <row r="782" spans="29:30" ht="15" customHeight="1">
      <c r="AC782" s="14">
        <f t="shared" si="29"/>
        <v>0</v>
      </c>
      <c r="AD782" s="14">
        <f t="shared" si="30"/>
        <v>0</v>
      </c>
    </row>
    <row r="783" spans="29:30" ht="15" customHeight="1">
      <c r="AC783" s="14">
        <f t="shared" si="29"/>
        <v>0</v>
      </c>
      <c r="AD783" s="14">
        <f t="shared" si="30"/>
        <v>0</v>
      </c>
    </row>
    <row r="784" spans="29:30" ht="15" customHeight="1">
      <c r="AC784" s="14">
        <f t="shared" si="29"/>
        <v>0</v>
      </c>
      <c r="AD784" s="14">
        <f t="shared" si="30"/>
        <v>0</v>
      </c>
    </row>
    <row r="785" spans="29:30" ht="15" customHeight="1">
      <c r="AC785" s="14">
        <f t="shared" si="29"/>
        <v>0</v>
      </c>
      <c r="AD785" s="14">
        <f t="shared" si="30"/>
        <v>0</v>
      </c>
    </row>
    <row r="786" spans="29:30" ht="15" customHeight="1">
      <c r="AC786" s="14">
        <f t="shared" si="29"/>
        <v>0</v>
      </c>
      <c r="AD786" s="14">
        <f t="shared" si="30"/>
        <v>0</v>
      </c>
    </row>
    <row r="787" spans="29:30" ht="15" customHeight="1">
      <c r="AC787" s="14">
        <f t="shared" si="29"/>
        <v>0</v>
      </c>
      <c r="AD787" s="14">
        <f t="shared" si="30"/>
        <v>0</v>
      </c>
    </row>
    <row r="788" spans="29:30" ht="15" customHeight="1">
      <c r="AC788" s="14">
        <f t="shared" si="29"/>
        <v>0</v>
      </c>
      <c r="AD788" s="14">
        <f t="shared" si="30"/>
        <v>0</v>
      </c>
    </row>
    <row r="789" spans="29:30" ht="15" customHeight="1">
      <c r="AC789" s="14">
        <f t="shared" si="29"/>
        <v>0</v>
      </c>
      <c r="AD789" s="14">
        <f t="shared" si="30"/>
        <v>0</v>
      </c>
    </row>
    <row r="790" spans="29:30" ht="15" customHeight="1">
      <c r="AC790" s="14">
        <f t="shared" si="29"/>
        <v>0</v>
      </c>
      <c r="AD790" s="14">
        <f t="shared" si="30"/>
        <v>0</v>
      </c>
    </row>
    <row r="791" spans="29:30" ht="15" customHeight="1">
      <c r="AC791" s="14">
        <f t="shared" si="29"/>
        <v>0</v>
      </c>
      <c r="AD791" s="14">
        <f t="shared" si="30"/>
        <v>0</v>
      </c>
    </row>
    <row r="792" spans="29:30" ht="15" customHeight="1">
      <c r="AC792" s="14">
        <f t="shared" si="29"/>
        <v>0</v>
      </c>
      <c r="AD792" s="14">
        <f t="shared" si="30"/>
        <v>0</v>
      </c>
    </row>
    <row r="793" spans="29:30" ht="15" customHeight="1">
      <c r="AC793" s="14">
        <f t="shared" si="29"/>
        <v>0</v>
      </c>
      <c r="AD793" s="14">
        <f t="shared" si="30"/>
        <v>0</v>
      </c>
    </row>
    <row r="794" spans="29:30" ht="15" customHeight="1">
      <c r="AC794" s="14">
        <f t="shared" si="29"/>
        <v>0</v>
      </c>
      <c r="AD794" s="14">
        <f t="shared" si="30"/>
        <v>0</v>
      </c>
    </row>
    <row r="795" spans="29:30" ht="15" customHeight="1">
      <c r="AC795" s="14">
        <f t="shared" si="29"/>
        <v>0</v>
      </c>
      <c r="AD795" s="14">
        <f t="shared" si="30"/>
        <v>0</v>
      </c>
    </row>
    <row r="796" spans="29:30" ht="15" customHeight="1">
      <c r="AC796" s="14">
        <f t="shared" si="29"/>
        <v>0</v>
      </c>
      <c r="AD796" s="14">
        <f t="shared" si="30"/>
        <v>0</v>
      </c>
    </row>
    <row r="797" spans="29:30" ht="15" customHeight="1">
      <c r="AC797" s="14">
        <f t="shared" si="29"/>
        <v>0</v>
      </c>
      <c r="AD797" s="14">
        <f t="shared" si="30"/>
        <v>0</v>
      </c>
    </row>
    <row r="798" spans="29:30" ht="15" customHeight="1">
      <c r="AC798" s="14">
        <f t="shared" si="29"/>
        <v>0</v>
      </c>
      <c r="AD798" s="14">
        <f t="shared" si="30"/>
        <v>0</v>
      </c>
    </row>
    <row r="799" spans="29:30" ht="15" customHeight="1">
      <c r="AC799" s="14">
        <f t="shared" si="29"/>
        <v>0</v>
      </c>
      <c r="AD799" s="14">
        <f t="shared" si="30"/>
        <v>0</v>
      </c>
    </row>
    <row r="800" spans="29:30" ht="15" customHeight="1">
      <c r="AC800" s="14">
        <f t="shared" si="29"/>
        <v>0</v>
      </c>
      <c r="AD800" s="14">
        <f t="shared" si="30"/>
        <v>0</v>
      </c>
    </row>
    <row r="801" spans="29:30" ht="15" customHeight="1">
      <c r="AC801" s="14">
        <f t="shared" si="29"/>
        <v>0</v>
      </c>
      <c r="AD801" s="14">
        <f t="shared" si="30"/>
        <v>0</v>
      </c>
    </row>
    <row r="802" spans="29:30" ht="15" customHeight="1">
      <c r="AC802" s="14">
        <f t="shared" si="29"/>
        <v>0</v>
      </c>
      <c r="AD802" s="14">
        <f t="shared" si="30"/>
        <v>0</v>
      </c>
    </row>
    <row r="803" spans="29:30" ht="15" customHeight="1">
      <c r="AC803" s="14">
        <f t="shared" si="29"/>
        <v>0</v>
      </c>
      <c r="AD803" s="14">
        <f t="shared" si="30"/>
        <v>0</v>
      </c>
    </row>
    <row r="804" spans="29:30" ht="15" customHeight="1">
      <c r="AC804" s="14">
        <f t="shared" si="29"/>
        <v>0</v>
      </c>
      <c r="AD804" s="14">
        <f t="shared" si="30"/>
        <v>0</v>
      </c>
    </row>
    <row r="805" spans="29:30" ht="15" customHeight="1">
      <c r="AC805" s="14">
        <f t="shared" si="29"/>
        <v>0</v>
      </c>
      <c r="AD805" s="14">
        <f t="shared" si="30"/>
        <v>0</v>
      </c>
    </row>
    <row r="806" spans="29:30" ht="15" customHeight="1">
      <c r="AC806" s="14">
        <f t="shared" si="29"/>
        <v>0</v>
      </c>
      <c r="AD806" s="14">
        <f t="shared" si="30"/>
        <v>0</v>
      </c>
    </row>
    <row r="807" spans="29:30" ht="15" customHeight="1">
      <c r="AC807" s="14">
        <f t="shared" si="29"/>
        <v>0</v>
      </c>
      <c r="AD807" s="14">
        <f t="shared" si="30"/>
        <v>0</v>
      </c>
    </row>
    <row r="808" spans="29:30" ht="15" customHeight="1">
      <c r="AC808" s="14">
        <f t="shared" si="29"/>
        <v>0</v>
      </c>
      <c r="AD808" s="14">
        <f t="shared" si="30"/>
        <v>0</v>
      </c>
    </row>
    <row r="809" spans="29:30" ht="15" customHeight="1">
      <c r="AC809" s="14">
        <f t="shared" si="29"/>
        <v>0</v>
      </c>
      <c r="AD809" s="14">
        <f t="shared" si="30"/>
        <v>0</v>
      </c>
    </row>
    <row r="810" spans="29:30" ht="15" customHeight="1">
      <c r="AC810" s="14">
        <f t="shared" si="29"/>
        <v>0</v>
      </c>
      <c r="AD810" s="14">
        <f t="shared" si="30"/>
        <v>0</v>
      </c>
    </row>
    <row r="811" spans="29:30" ht="15" customHeight="1">
      <c r="AC811" s="14">
        <f t="shared" si="29"/>
        <v>0</v>
      </c>
      <c r="AD811" s="14">
        <f t="shared" si="30"/>
        <v>0</v>
      </c>
    </row>
    <row r="812" spans="29:30" ht="15" customHeight="1">
      <c r="AC812" s="14">
        <f t="shared" si="29"/>
        <v>0</v>
      </c>
      <c r="AD812" s="14">
        <f t="shared" si="30"/>
        <v>0</v>
      </c>
    </row>
    <row r="813" spans="29:30" ht="15" customHeight="1">
      <c r="AC813" s="14">
        <f t="shared" si="29"/>
        <v>0</v>
      </c>
      <c r="AD813" s="14">
        <f t="shared" si="30"/>
        <v>0</v>
      </c>
    </row>
    <row r="814" spans="29:30" ht="15" customHeight="1">
      <c r="AC814" s="14">
        <f t="shared" si="29"/>
        <v>0</v>
      </c>
      <c r="AD814" s="14">
        <f t="shared" si="30"/>
        <v>0</v>
      </c>
    </row>
    <row r="815" spans="29:30" ht="15" customHeight="1">
      <c r="AC815" s="14">
        <f t="shared" si="29"/>
        <v>0</v>
      </c>
      <c r="AD815" s="14">
        <f t="shared" si="30"/>
        <v>0</v>
      </c>
    </row>
    <row r="816" spans="29:30" ht="15" customHeight="1">
      <c r="AC816" s="14">
        <f t="shared" si="29"/>
        <v>0</v>
      </c>
      <c r="AD816" s="14">
        <f t="shared" si="30"/>
        <v>0</v>
      </c>
    </row>
    <row r="817" spans="29:30" ht="15" customHeight="1">
      <c r="AC817" s="14">
        <f t="shared" si="29"/>
        <v>0</v>
      </c>
      <c r="AD817" s="14">
        <f t="shared" si="30"/>
        <v>0</v>
      </c>
    </row>
    <row r="818" spans="29:30" ht="15" customHeight="1">
      <c r="AC818" s="14">
        <f t="shared" si="29"/>
        <v>0</v>
      </c>
      <c r="AD818" s="14">
        <f t="shared" si="30"/>
        <v>0</v>
      </c>
    </row>
    <row r="819" spans="29:30" ht="15" customHeight="1">
      <c r="AC819" s="14">
        <f t="shared" si="29"/>
        <v>0</v>
      </c>
      <c r="AD819" s="14">
        <f t="shared" si="30"/>
        <v>0</v>
      </c>
    </row>
    <row r="820" spans="29:30" ht="15" customHeight="1">
      <c r="AC820" s="14">
        <f t="shared" si="29"/>
        <v>0</v>
      </c>
      <c r="AD820" s="14">
        <f t="shared" si="30"/>
        <v>0</v>
      </c>
    </row>
    <row r="821" spans="29:30" ht="15" customHeight="1">
      <c r="AC821" s="14">
        <f t="shared" si="29"/>
        <v>0</v>
      </c>
      <c r="AD821" s="14">
        <f t="shared" si="30"/>
        <v>0</v>
      </c>
    </row>
    <row r="822" spans="29:30" ht="15" customHeight="1">
      <c r="AC822" s="14">
        <f t="shared" si="29"/>
        <v>0</v>
      </c>
      <c r="AD822" s="14">
        <f t="shared" si="30"/>
        <v>0</v>
      </c>
    </row>
    <row r="823" spans="29:30" ht="15" customHeight="1">
      <c r="AC823" s="14">
        <f t="shared" si="29"/>
        <v>0</v>
      </c>
      <c r="AD823" s="14">
        <f t="shared" si="30"/>
        <v>0</v>
      </c>
    </row>
    <row r="824" spans="29:30" ht="15" customHeight="1">
      <c r="AC824" s="14">
        <f t="shared" si="29"/>
        <v>0</v>
      </c>
      <c r="AD824" s="14">
        <f t="shared" si="30"/>
        <v>0</v>
      </c>
    </row>
    <row r="825" spans="29:30" ht="15" customHeight="1">
      <c r="AC825" s="14">
        <f t="shared" si="29"/>
        <v>0</v>
      </c>
      <c r="AD825" s="14">
        <f t="shared" si="30"/>
        <v>0</v>
      </c>
    </row>
    <row r="826" spans="29:30" ht="15" customHeight="1">
      <c r="AC826" s="14">
        <f t="shared" si="29"/>
        <v>0</v>
      </c>
      <c r="AD826" s="14">
        <f t="shared" si="30"/>
        <v>0</v>
      </c>
    </row>
    <row r="827" spans="29:30" ht="15" customHeight="1">
      <c r="AC827" s="14">
        <f t="shared" si="29"/>
        <v>0</v>
      </c>
      <c r="AD827" s="14">
        <f t="shared" si="30"/>
        <v>0</v>
      </c>
    </row>
    <row r="828" spans="29:30" ht="15" customHeight="1">
      <c r="AC828" s="14">
        <f t="shared" si="29"/>
        <v>0</v>
      </c>
      <c r="AD828" s="14">
        <f t="shared" si="30"/>
        <v>0</v>
      </c>
    </row>
    <row r="829" spans="29:30" ht="15" customHeight="1">
      <c r="AC829" s="14">
        <f t="shared" si="29"/>
        <v>0</v>
      </c>
      <c r="AD829" s="14">
        <f t="shared" si="30"/>
        <v>0</v>
      </c>
    </row>
    <row r="830" spans="29:30" ht="15" customHeight="1">
      <c r="AC830" s="14">
        <f t="shared" si="29"/>
        <v>0</v>
      </c>
      <c r="AD830" s="14">
        <f t="shared" si="30"/>
        <v>0</v>
      </c>
    </row>
    <row r="831" spans="29:30" ht="15" customHeight="1">
      <c r="AC831" s="14">
        <f t="shared" si="29"/>
        <v>0</v>
      </c>
      <c r="AD831" s="14">
        <f t="shared" si="30"/>
        <v>0</v>
      </c>
    </row>
    <row r="832" spans="29:30" ht="15" customHeight="1">
      <c r="AC832" s="14">
        <f t="shared" si="29"/>
        <v>0</v>
      </c>
      <c r="AD832" s="14">
        <f t="shared" si="30"/>
        <v>0</v>
      </c>
    </row>
    <row r="833" spans="29:30" ht="15" customHeight="1">
      <c r="AC833" s="14">
        <f t="shared" si="29"/>
        <v>0</v>
      </c>
      <c r="AD833" s="14">
        <f t="shared" si="30"/>
        <v>0</v>
      </c>
    </row>
    <row r="834" spans="29:30" ht="15" customHeight="1">
      <c r="AC834" s="14">
        <f t="shared" ref="AC834:AC897" si="31">SUM(K834:P834)</f>
        <v>0</v>
      </c>
      <c r="AD834" s="14">
        <f t="shared" ref="AD834:AD897" si="32">SUM(Q834:AB834)</f>
        <v>0</v>
      </c>
    </row>
    <row r="835" spans="29:30" ht="15" customHeight="1">
      <c r="AC835" s="14">
        <f t="shared" si="31"/>
        <v>0</v>
      </c>
      <c r="AD835" s="14">
        <f t="shared" si="32"/>
        <v>0</v>
      </c>
    </row>
    <row r="836" spans="29:30" ht="15" customHeight="1">
      <c r="AC836" s="14">
        <f t="shared" si="31"/>
        <v>0</v>
      </c>
      <c r="AD836" s="14">
        <f t="shared" si="32"/>
        <v>0</v>
      </c>
    </row>
    <row r="837" spans="29:30" ht="15" customHeight="1">
      <c r="AC837" s="14">
        <f t="shared" si="31"/>
        <v>0</v>
      </c>
      <c r="AD837" s="14">
        <f t="shared" si="32"/>
        <v>0</v>
      </c>
    </row>
    <row r="838" spans="29:30" ht="15" customHeight="1">
      <c r="AC838" s="14">
        <f t="shared" si="31"/>
        <v>0</v>
      </c>
      <c r="AD838" s="14">
        <f t="shared" si="32"/>
        <v>0</v>
      </c>
    </row>
    <row r="839" spans="29:30" ht="15" customHeight="1">
      <c r="AC839" s="14">
        <f t="shared" si="31"/>
        <v>0</v>
      </c>
      <c r="AD839" s="14">
        <f t="shared" si="32"/>
        <v>0</v>
      </c>
    </row>
    <row r="840" spans="29:30" ht="15" customHeight="1">
      <c r="AC840" s="14">
        <f t="shared" si="31"/>
        <v>0</v>
      </c>
      <c r="AD840" s="14">
        <f t="shared" si="32"/>
        <v>0</v>
      </c>
    </row>
    <row r="841" spans="29:30" ht="15" customHeight="1">
      <c r="AC841" s="14">
        <f t="shared" si="31"/>
        <v>0</v>
      </c>
      <c r="AD841" s="14">
        <f t="shared" si="32"/>
        <v>0</v>
      </c>
    </row>
    <row r="842" spans="29:30" ht="15" customHeight="1">
      <c r="AC842" s="14">
        <f t="shared" si="31"/>
        <v>0</v>
      </c>
      <c r="AD842" s="14">
        <f t="shared" si="32"/>
        <v>0</v>
      </c>
    </row>
    <row r="843" spans="29:30" ht="15" customHeight="1">
      <c r="AC843" s="14">
        <f t="shared" si="31"/>
        <v>0</v>
      </c>
      <c r="AD843" s="14">
        <f t="shared" si="32"/>
        <v>0</v>
      </c>
    </row>
    <row r="844" spans="29:30" ht="15" customHeight="1">
      <c r="AC844" s="14">
        <f t="shared" si="31"/>
        <v>0</v>
      </c>
      <c r="AD844" s="14">
        <f t="shared" si="32"/>
        <v>0</v>
      </c>
    </row>
    <row r="845" spans="29:30" ht="15" customHeight="1">
      <c r="AC845" s="14">
        <f t="shared" si="31"/>
        <v>0</v>
      </c>
      <c r="AD845" s="14">
        <f t="shared" si="32"/>
        <v>0</v>
      </c>
    </row>
    <row r="846" spans="29:30" ht="15" customHeight="1">
      <c r="AC846" s="14">
        <f t="shared" si="31"/>
        <v>0</v>
      </c>
      <c r="AD846" s="14">
        <f t="shared" si="32"/>
        <v>0</v>
      </c>
    </row>
    <row r="847" spans="29:30" ht="15" customHeight="1">
      <c r="AC847" s="14">
        <f t="shared" si="31"/>
        <v>0</v>
      </c>
      <c r="AD847" s="14">
        <f t="shared" si="32"/>
        <v>0</v>
      </c>
    </row>
    <row r="848" spans="29:30" ht="15" customHeight="1">
      <c r="AC848" s="14">
        <f t="shared" si="31"/>
        <v>0</v>
      </c>
      <c r="AD848" s="14">
        <f t="shared" si="32"/>
        <v>0</v>
      </c>
    </row>
    <row r="849" spans="29:30" ht="15" customHeight="1">
      <c r="AC849" s="14">
        <f t="shared" si="31"/>
        <v>0</v>
      </c>
      <c r="AD849" s="14">
        <f t="shared" si="32"/>
        <v>0</v>
      </c>
    </row>
    <row r="850" spans="29:30" ht="15" customHeight="1">
      <c r="AC850" s="14">
        <f t="shared" si="31"/>
        <v>0</v>
      </c>
      <c r="AD850" s="14">
        <f t="shared" si="32"/>
        <v>0</v>
      </c>
    </row>
    <row r="851" spans="29:30" ht="15" customHeight="1">
      <c r="AC851" s="14">
        <f t="shared" si="31"/>
        <v>0</v>
      </c>
      <c r="AD851" s="14">
        <f t="shared" si="32"/>
        <v>0</v>
      </c>
    </row>
    <row r="852" spans="29:30" ht="15" customHeight="1">
      <c r="AC852" s="14">
        <f t="shared" si="31"/>
        <v>0</v>
      </c>
      <c r="AD852" s="14">
        <f t="shared" si="32"/>
        <v>0</v>
      </c>
    </row>
    <row r="853" spans="29:30" ht="15" customHeight="1">
      <c r="AC853" s="14">
        <f t="shared" si="31"/>
        <v>0</v>
      </c>
      <c r="AD853" s="14">
        <f t="shared" si="32"/>
        <v>0</v>
      </c>
    </row>
    <row r="854" spans="29:30" ht="15" customHeight="1">
      <c r="AC854" s="14">
        <f t="shared" si="31"/>
        <v>0</v>
      </c>
      <c r="AD854" s="14">
        <f t="shared" si="32"/>
        <v>0</v>
      </c>
    </row>
    <row r="855" spans="29:30" ht="15" customHeight="1">
      <c r="AC855" s="14">
        <f t="shared" si="31"/>
        <v>0</v>
      </c>
      <c r="AD855" s="14">
        <f t="shared" si="32"/>
        <v>0</v>
      </c>
    </row>
    <row r="856" spans="29:30" ht="15" customHeight="1">
      <c r="AC856" s="14">
        <f t="shared" si="31"/>
        <v>0</v>
      </c>
      <c r="AD856" s="14">
        <f t="shared" si="32"/>
        <v>0</v>
      </c>
    </row>
    <row r="857" spans="29:30" ht="15" customHeight="1">
      <c r="AC857" s="14">
        <f t="shared" si="31"/>
        <v>0</v>
      </c>
      <c r="AD857" s="14">
        <f t="shared" si="32"/>
        <v>0</v>
      </c>
    </row>
    <row r="858" spans="29:30" ht="15" customHeight="1">
      <c r="AC858" s="14">
        <f t="shared" si="31"/>
        <v>0</v>
      </c>
      <c r="AD858" s="14">
        <f t="shared" si="32"/>
        <v>0</v>
      </c>
    </row>
    <row r="859" spans="29:30" ht="15" customHeight="1">
      <c r="AC859" s="14">
        <f t="shared" si="31"/>
        <v>0</v>
      </c>
      <c r="AD859" s="14">
        <f t="shared" si="32"/>
        <v>0</v>
      </c>
    </row>
    <row r="860" spans="29:30" ht="15" customHeight="1">
      <c r="AC860" s="14">
        <f t="shared" si="31"/>
        <v>0</v>
      </c>
      <c r="AD860" s="14">
        <f t="shared" si="32"/>
        <v>0</v>
      </c>
    </row>
    <row r="861" spans="29:30" ht="15" customHeight="1">
      <c r="AC861" s="14">
        <f t="shared" si="31"/>
        <v>0</v>
      </c>
      <c r="AD861" s="14">
        <f t="shared" si="32"/>
        <v>0</v>
      </c>
    </row>
    <row r="862" spans="29:30" ht="15" customHeight="1">
      <c r="AC862" s="14">
        <f t="shared" si="31"/>
        <v>0</v>
      </c>
      <c r="AD862" s="14">
        <f t="shared" si="32"/>
        <v>0</v>
      </c>
    </row>
    <row r="863" spans="29:30" ht="15" customHeight="1">
      <c r="AC863" s="14">
        <f t="shared" si="31"/>
        <v>0</v>
      </c>
      <c r="AD863" s="14">
        <f t="shared" si="32"/>
        <v>0</v>
      </c>
    </row>
    <row r="864" spans="29:30" ht="15" customHeight="1">
      <c r="AC864" s="14">
        <f t="shared" si="31"/>
        <v>0</v>
      </c>
      <c r="AD864" s="14">
        <f t="shared" si="32"/>
        <v>0</v>
      </c>
    </row>
    <row r="865" spans="29:30" ht="15" customHeight="1">
      <c r="AC865" s="14">
        <f t="shared" si="31"/>
        <v>0</v>
      </c>
      <c r="AD865" s="14">
        <f t="shared" si="32"/>
        <v>0</v>
      </c>
    </row>
    <row r="866" spans="29:30" ht="15" customHeight="1">
      <c r="AC866" s="14">
        <f t="shared" si="31"/>
        <v>0</v>
      </c>
      <c r="AD866" s="14">
        <f t="shared" si="32"/>
        <v>0</v>
      </c>
    </row>
    <row r="867" spans="29:30" ht="15" customHeight="1">
      <c r="AC867" s="14">
        <f t="shared" si="31"/>
        <v>0</v>
      </c>
      <c r="AD867" s="14">
        <f t="shared" si="32"/>
        <v>0</v>
      </c>
    </row>
    <row r="868" spans="29:30" ht="15" customHeight="1">
      <c r="AC868" s="14">
        <f t="shared" si="31"/>
        <v>0</v>
      </c>
      <c r="AD868" s="14">
        <f t="shared" si="32"/>
        <v>0</v>
      </c>
    </row>
    <row r="869" spans="29:30" ht="15" customHeight="1">
      <c r="AC869" s="14">
        <f t="shared" si="31"/>
        <v>0</v>
      </c>
      <c r="AD869" s="14">
        <f t="shared" si="32"/>
        <v>0</v>
      </c>
    </row>
    <row r="870" spans="29:30" ht="15" customHeight="1">
      <c r="AC870" s="14">
        <f t="shared" si="31"/>
        <v>0</v>
      </c>
      <c r="AD870" s="14">
        <f t="shared" si="32"/>
        <v>0</v>
      </c>
    </row>
    <row r="871" spans="29:30" ht="15" customHeight="1">
      <c r="AC871" s="14">
        <f t="shared" si="31"/>
        <v>0</v>
      </c>
      <c r="AD871" s="14">
        <f t="shared" si="32"/>
        <v>0</v>
      </c>
    </row>
    <row r="872" spans="29:30" ht="15" customHeight="1">
      <c r="AC872" s="14">
        <f t="shared" si="31"/>
        <v>0</v>
      </c>
      <c r="AD872" s="14">
        <f t="shared" si="32"/>
        <v>0</v>
      </c>
    </row>
    <row r="873" spans="29:30" ht="15" customHeight="1">
      <c r="AC873" s="14">
        <f t="shared" si="31"/>
        <v>0</v>
      </c>
      <c r="AD873" s="14">
        <f t="shared" si="32"/>
        <v>0</v>
      </c>
    </row>
    <row r="874" spans="29:30" ht="15" customHeight="1">
      <c r="AC874" s="14">
        <f t="shared" si="31"/>
        <v>0</v>
      </c>
      <c r="AD874" s="14">
        <f t="shared" si="32"/>
        <v>0</v>
      </c>
    </row>
    <row r="875" spans="29:30" ht="15" customHeight="1">
      <c r="AC875" s="14">
        <f t="shared" si="31"/>
        <v>0</v>
      </c>
      <c r="AD875" s="14">
        <f t="shared" si="32"/>
        <v>0</v>
      </c>
    </row>
    <row r="876" spans="29:30" ht="15" customHeight="1">
      <c r="AC876" s="14">
        <f t="shared" si="31"/>
        <v>0</v>
      </c>
      <c r="AD876" s="14">
        <f t="shared" si="32"/>
        <v>0</v>
      </c>
    </row>
    <row r="877" spans="29:30" ht="15" customHeight="1">
      <c r="AC877" s="14">
        <f t="shared" si="31"/>
        <v>0</v>
      </c>
      <c r="AD877" s="14">
        <f t="shared" si="32"/>
        <v>0</v>
      </c>
    </row>
    <row r="878" spans="29:30" ht="15" customHeight="1">
      <c r="AC878" s="14">
        <f t="shared" si="31"/>
        <v>0</v>
      </c>
      <c r="AD878" s="14">
        <f t="shared" si="32"/>
        <v>0</v>
      </c>
    </row>
    <row r="879" spans="29:30" ht="15" customHeight="1">
      <c r="AC879" s="14">
        <f t="shared" si="31"/>
        <v>0</v>
      </c>
      <c r="AD879" s="14">
        <f t="shared" si="32"/>
        <v>0</v>
      </c>
    </row>
    <row r="880" spans="29:30" ht="15" customHeight="1">
      <c r="AC880" s="14">
        <f t="shared" si="31"/>
        <v>0</v>
      </c>
      <c r="AD880" s="14">
        <f t="shared" si="32"/>
        <v>0</v>
      </c>
    </row>
    <row r="881" spans="29:30" ht="15" customHeight="1">
      <c r="AC881" s="14">
        <f t="shared" si="31"/>
        <v>0</v>
      </c>
      <c r="AD881" s="14">
        <f t="shared" si="32"/>
        <v>0</v>
      </c>
    </row>
    <row r="882" spans="29:30" ht="15" customHeight="1">
      <c r="AC882" s="14">
        <f t="shared" si="31"/>
        <v>0</v>
      </c>
      <c r="AD882" s="14">
        <f t="shared" si="32"/>
        <v>0</v>
      </c>
    </row>
    <row r="883" spans="29:30" ht="15" customHeight="1">
      <c r="AC883" s="14">
        <f t="shared" si="31"/>
        <v>0</v>
      </c>
      <c r="AD883" s="14">
        <f t="shared" si="32"/>
        <v>0</v>
      </c>
    </row>
    <row r="884" spans="29:30" ht="15" customHeight="1">
      <c r="AC884" s="14">
        <f t="shared" si="31"/>
        <v>0</v>
      </c>
      <c r="AD884" s="14">
        <f t="shared" si="32"/>
        <v>0</v>
      </c>
    </row>
    <row r="885" spans="29:30" ht="15" customHeight="1">
      <c r="AC885" s="14">
        <f t="shared" si="31"/>
        <v>0</v>
      </c>
      <c r="AD885" s="14">
        <f t="shared" si="32"/>
        <v>0</v>
      </c>
    </row>
    <row r="886" spans="29:30" ht="15" customHeight="1">
      <c r="AC886" s="14">
        <f t="shared" si="31"/>
        <v>0</v>
      </c>
      <c r="AD886" s="14">
        <f t="shared" si="32"/>
        <v>0</v>
      </c>
    </row>
    <row r="887" spans="29:30" ht="15" customHeight="1">
      <c r="AC887" s="14">
        <f t="shared" si="31"/>
        <v>0</v>
      </c>
      <c r="AD887" s="14">
        <f t="shared" si="32"/>
        <v>0</v>
      </c>
    </row>
    <row r="888" spans="29:30" ht="15" customHeight="1">
      <c r="AC888" s="14">
        <f t="shared" si="31"/>
        <v>0</v>
      </c>
      <c r="AD888" s="14">
        <f t="shared" si="32"/>
        <v>0</v>
      </c>
    </row>
    <row r="889" spans="29:30" ht="15" customHeight="1">
      <c r="AC889" s="14">
        <f t="shared" si="31"/>
        <v>0</v>
      </c>
      <c r="AD889" s="14">
        <f t="shared" si="32"/>
        <v>0</v>
      </c>
    </row>
    <row r="890" spans="29:30" ht="15" customHeight="1">
      <c r="AC890" s="14">
        <f t="shared" si="31"/>
        <v>0</v>
      </c>
      <c r="AD890" s="14">
        <f t="shared" si="32"/>
        <v>0</v>
      </c>
    </row>
    <row r="891" spans="29:30" ht="15" customHeight="1">
      <c r="AC891" s="14">
        <f t="shared" si="31"/>
        <v>0</v>
      </c>
      <c r="AD891" s="14">
        <f t="shared" si="32"/>
        <v>0</v>
      </c>
    </row>
    <row r="892" spans="29:30" ht="15" customHeight="1">
      <c r="AC892" s="14">
        <f t="shared" si="31"/>
        <v>0</v>
      </c>
      <c r="AD892" s="14">
        <f t="shared" si="32"/>
        <v>0</v>
      </c>
    </row>
    <row r="893" spans="29:30" ht="15" customHeight="1">
      <c r="AC893" s="14">
        <f t="shared" si="31"/>
        <v>0</v>
      </c>
      <c r="AD893" s="14">
        <f t="shared" si="32"/>
        <v>0</v>
      </c>
    </row>
    <row r="894" spans="29:30" ht="15" customHeight="1">
      <c r="AC894" s="14">
        <f t="shared" si="31"/>
        <v>0</v>
      </c>
      <c r="AD894" s="14">
        <f t="shared" si="32"/>
        <v>0</v>
      </c>
    </row>
    <row r="895" spans="29:30" ht="15" customHeight="1">
      <c r="AC895" s="14">
        <f t="shared" si="31"/>
        <v>0</v>
      </c>
      <c r="AD895" s="14">
        <f t="shared" si="32"/>
        <v>0</v>
      </c>
    </row>
    <row r="896" spans="29:30" ht="15" customHeight="1">
      <c r="AC896" s="14">
        <f t="shared" si="31"/>
        <v>0</v>
      </c>
      <c r="AD896" s="14">
        <f t="shared" si="32"/>
        <v>0</v>
      </c>
    </row>
    <row r="897" spans="29:30" ht="15" customHeight="1">
      <c r="AC897" s="14">
        <f t="shared" si="31"/>
        <v>0</v>
      </c>
      <c r="AD897" s="14">
        <f t="shared" si="32"/>
        <v>0</v>
      </c>
    </row>
    <row r="898" spans="29:30" ht="15" customHeight="1">
      <c r="AC898" s="14">
        <f t="shared" ref="AC898:AC961" si="33">SUM(K898:P898)</f>
        <v>0</v>
      </c>
      <c r="AD898" s="14">
        <f t="shared" ref="AD898:AD961" si="34">SUM(Q898:AB898)</f>
        <v>0</v>
      </c>
    </row>
    <row r="899" spans="29:30" ht="15" customHeight="1">
      <c r="AC899" s="14">
        <f t="shared" si="33"/>
        <v>0</v>
      </c>
      <c r="AD899" s="14">
        <f t="shared" si="34"/>
        <v>0</v>
      </c>
    </row>
    <row r="900" spans="29:30" ht="15" customHeight="1">
      <c r="AC900" s="14">
        <f t="shared" si="33"/>
        <v>0</v>
      </c>
      <c r="AD900" s="14">
        <f t="shared" si="34"/>
        <v>0</v>
      </c>
    </row>
    <row r="901" spans="29:30" ht="15" customHeight="1">
      <c r="AC901" s="14">
        <f t="shared" si="33"/>
        <v>0</v>
      </c>
      <c r="AD901" s="14">
        <f t="shared" si="34"/>
        <v>0</v>
      </c>
    </row>
    <row r="902" spans="29:30" ht="15" customHeight="1">
      <c r="AC902" s="14">
        <f t="shared" si="33"/>
        <v>0</v>
      </c>
      <c r="AD902" s="14">
        <f t="shared" si="34"/>
        <v>0</v>
      </c>
    </row>
    <row r="903" spans="29:30" ht="15" customHeight="1">
      <c r="AC903" s="14">
        <f t="shared" si="33"/>
        <v>0</v>
      </c>
      <c r="AD903" s="14">
        <f t="shared" si="34"/>
        <v>0</v>
      </c>
    </row>
    <row r="904" spans="29:30" ht="15" customHeight="1">
      <c r="AC904" s="14">
        <f t="shared" si="33"/>
        <v>0</v>
      </c>
      <c r="AD904" s="14">
        <f t="shared" si="34"/>
        <v>0</v>
      </c>
    </row>
    <row r="905" spans="29:30" ht="15" customHeight="1">
      <c r="AC905" s="14">
        <f t="shared" si="33"/>
        <v>0</v>
      </c>
      <c r="AD905" s="14">
        <f t="shared" si="34"/>
        <v>0</v>
      </c>
    </row>
    <row r="906" spans="29:30" ht="15" customHeight="1">
      <c r="AC906" s="14">
        <f t="shared" si="33"/>
        <v>0</v>
      </c>
      <c r="AD906" s="14">
        <f t="shared" si="34"/>
        <v>0</v>
      </c>
    </row>
    <row r="907" spans="29:30" ht="15" customHeight="1">
      <c r="AC907" s="14">
        <f t="shared" si="33"/>
        <v>0</v>
      </c>
      <c r="AD907" s="14">
        <f t="shared" si="34"/>
        <v>0</v>
      </c>
    </row>
    <row r="908" spans="29:30" ht="15" customHeight="1">
      <c r="AC908" s="14">
        <f t="shared" si="33"/>
        <v>0</v>
      </c>
      <c r="AD908" s="14">
        <f t="shared" si="34"/>
        <v>0</v>
      </c>
    </row>
    <row r="909" spans="29:30" ht="15" customHeight="1">
      <c r="AC909" s="14">
        <f t="shared" si="33"/>
        <v>0</v>
      </c>
      <c r="AD909" s="14">
        <f t="shared" si="34"/>
        <v>0</v>
      </c>
    </row>
    <row r="910" spans="29:30" ht="15" customHeight="1">
      <c r="AC910" s="14">
        <f t="shared" si="33"/>
        <v>0</v>
      </c>
      <c r="AD910" s="14">
        <f t="shared" si="34"/>
        <v>0</v>
      </c>
    </row>
    <row r="911" spans="29:30" ht="15" customHeight="1">
      <c r="AC911" s="14">
        <f t="shared" si="33"/>
        <v>0</v>
      </c>
      <c r="AD911" s="14">
        <f t="shared" si="34"/>
        <v>0</v>
      </c>
    </row>
    <row r="912" spans="29:30" ht="15" customHeight="1">
      <c r="AC912" s="14">
        <f t="shared" si="33"/>
        <v>0</v>
      </c>
      <c r="AD912" s="14">
        <f t="shared" si="34"/>
        <v>0</v>
      </c>
    </row>
    <row r="913" spans="29:30" ht="15" customHeight="1">
      <c r="AC913" s="14">
        <f t="shared" si="33"/>
        <v>0</v>
      </c>
      <c r="AD913" s="14">
        <f t="shared" si="34"/>
        <v>0</v>
      </c>
    </row>
    <row r="914" spans="29:30" ht="15" customHeight="1">
      <c r="AC914" s="14">
        <f t="shared" si="33"/>
        <v>0</v>
      </c>
      <c r="AD914" s="14">
        <f t="shared" si="34"/>
        <v>0</v>
      </c>
    </row>
    <row r="915" spans="29:30" ht="15" customHeight="1">
      <c r="AC915" s="14">
        <f t="shared" si="33"/>
        <v>0</v>
      </c>
      <c r="AD915" s="14">
        <f t="shared" si="34"/>
        <v>0</v>
      </c>
    </row>
    <row r="916" spans="29:30" ht="15" customHeight="1">
      <c r="AC916" s="14">
        <f t="shared" si="33"/>
        <v>0</v>
      </c>
      <c r="AD916" s="14">
        <f t="shared" si="34"/>
        <v>0</v>
      </c>
    </row>
    <row r="917" spans="29:30" ht="15" customHeight="1">
      <c r="AC917" s="14">
        <f t="shared" si="33"/>
        <v>0</v>
      </c>
      <c r="AD917" s="14">
        <f t="shared" si="34"/>
        <v>0</v>
      </c>
    </row>
    <row r="918" spans="29:30" ht="15" customHeight="1">
      <c r="AC918" s="14">
        <f t="shared" si="33"/>
        <v>0</v>
      </c>
      <c r="AD918" s="14">
        <f t="shared" si="34"/>
        <v>0</v>
      </c>
    </row>
    <row r="919" spans="29:30" ht="15" customHeight="1">
      <c r="AC919" s="14">
        <f t="shared" si="33"/>
        <v>0</v>
      </c>
      <c r="AD919" s="14">
        <f t="shared" si="34"/>
        <v>0</v>
      </c>
    </row>
    <row r="920" spans="29:30" ht="15" customHeight="1">
      <c r="AC920" s="14">
        <f t="shared" si="33"/>
        <v>0</v>
      </c>
      <c r="AD920" s="14">
        <f t="shared" si="34"/>
        <v>0</v>
      </c>
    </row>
    <row r="921" spans="29:30" ht="15" customHeight="1">
      <c r="AC921" s="14">
        <f t="shared" si="33"/>
        <v>0</v>
      </c>
      <c r="AD921" s="14">
        <f t="shared" si="34"/>
        <v>0</v>
      </c>
    </row>
    <row r="922" spans="29:30" ht="15" customHeight="1">
      <c r="AC922" s="14">
        <f t="shared" si="33"/>
        <v>0</v>
      </c>
      <c r="AD922" s="14">
        <f t="shared" si="34"/>
        <v>0</v>
      </c>
    </row>
    <row r="923" spans="29:30" ht="15" customHeight="1">
      <c r="AC923" s="14">
        <f t="shared" si="33"/>
        <v>0</v>
      </c>
      <c r="AD923" s="14">
        <f t="shared" si="34"/>
        <v>0</v>
      </c>
    </row>
    <row r="924" spans="29:30" ht="15" customHeight="1">
      <c r="AC924" s="14">
        <f t="shared" si="33"/>
        <v>0</v>
      </c>
      <c r="AD924" s="14">
        <f t="shared" si="34"/>
        <v>0</v>
      </c>
    </row>
    <row r="925" spans="29:30" ht="15" customHeight="1">
      <c r="AC925" s="14">
        <f t="shared" si="33"/>
        <v>0</v>
      </c>
      <c r="AD925" s="14">
        <f t="shared" si="34"/>
        <v>0</v>
      </c>
    </row>
    <row r="926" spans="29:30" ht="15" customHeight="1">
      <c r="AC926" s="14">
        <f t="shared" si="33"/>
        <v>0</v>
      </c>
      <c r="AD926" s="14">
        <f t="shared" si="34"/>
        <v>0</v>
      </c>
    </row>
    <row r="927" spans="29:30" ht="15" customHeight="1">
      <c r="AC927" s="14">
        <f t="shared" si="33"/>
        <v>0</v>
      </c>
      <c r="AD927" s="14">
        <f t="shared" si="34"/>
        <v>0</v>
      </c>
    </row>
    <row r="928" spans="29:30" ht="15" customHeight="1">
      <c r="AC928" s="14">
        <f t="shared" si="33"/>
        <v>0</v>
      </c>
      <c r="AD928" s="14">
        <f t="shared" si="34"/>
        <v>0</v>
      </c>
    </row>
    <row r="929" spans="29:30" ht="15" customHeight="1">
      <c r="AC929" s="14">
        <f t="shared" si="33"/>
        <v>0</v>
      </c>
      <c r="AD929" s="14">
        <f t="shared" si="34"/>
        <v>0</v>
      </c>
    </row>
    <row r="930" spans="29:30" ht="15" customHeight="1">
      <c r="AC930" s="14">
        <f t="shared" si="33"/>
        <v>0</v>
      </c>
      <c r="AD930" s="14">
        <f t="shared" si="34"/>
        <v>0</v>
      </c>
    </row>
    <row r="931" spans="29:30" ht="15" customHeight="1">
      <c r="AC931" s="14">
        <f t="shared" si="33"/>
        <v>0</v>
      </c>
      <c r="AD931" s="14">
        <f t="shared" si="34"/>
        <v>0</v>
      </c>
    </row>
    <row r="932" spans="29:30" ht="15" customHeight="1">
      <c r="AC932" s="14">
        <f t="shared" si="33"/>
        <v>0</v>
      </c>
      <c r="AD932" s="14">
        <f t="shared" si="34"/>
        <v>0</v>
      </c>
    </row>
    <row r="933" spans="29:30" ht="15" customHeight="1">
      <c r="AC933" s="14">
        <f t="shared" si="33"/>
        <v>0</v>
      </c>
      <c r="AD933" s="14">
        <f t="shared" si="34"/>
        <v>0</v>
      </c>
    </row>
    <row r="934" spans="29:30" ht="15" customHeight="1">
      <c r="AC934" s="14">
        <f t="shared" si="33"/>
        <v>0</v>
      </c>
      <c r="AD934" s="14">
        <f t="shared" si="34"/>
        <v>0</v>
      </c>
    </row>
    <row r="935" spans="29:30" ht="15" customHeight="1">
      <c r="AC935" s="14">
        <f t="shared" si="33"/>
        <v>0</v>
      </c>
      <c r="AD935" s="14">
        <f t="shared" si="34"/>
        <v>0</v>
      </c>
    </row>
    <row r="936" spans="29:30" ht="15" customHeight="1">
      <c r="AC936" s="14">
        <f t="shared" si="33"/>
        <v>0</v>
      </c>
      <c r="AD936" s="14">
        <f t="shared" si="34"/>
        <v>0</v>
      </c>
    </row>
    <row r="937" spans="29:30" ht="15" customHeight="1">
      <c r="AC937" s="14">
        <f t="shared" si="33"/>
        <v>0</v>
      </c>
      <c r="AD937" s="14">
        <f t="shared" si="34"/>
        <v>0</v>
      </c>
    </row>
    <row r="938" spans="29:30" ht="15" customHeight="1">
      <c r="AC938" s="14">
        <f t="shared" si="33"/>
        <v>0</v>
      </c>
      <c r="AD938" s="14">
        <f t="shared" si="34"/>
        <v>0</v>
      </c>
    </row>
    <row r="939" spans="29:30" ht="15" customHeight="1">
      <c r="AC939" s="14">
        <f t="shared" si="33"/>
        <v>0</v>
      </c>
      <c r="AD939" s="14">
        <f t="shared" si="34"/>
        <v>0</v>
      </c>
    </row>
    <row r="940" spans="29:30" ht="15" customHeight="1">
      <c r="AC940" s="14">
        <f t="shared" si="33"/>
        <v>0</v>
      </c>
      <c r="AD940" s="14">
        <f t="shared" si="34"/>
        <v>0</v>
      </c>
    </row>
    <row r="941" spans="29:30" ht="15" customHeight="1">
      <c r="AC941" s="14">
        <f t="shared" si="33"/>
        <v>0</v>
      </c>
      <c r="AD941" s="14">
        <f t="shared" si="34"/>
        <v>0</v>
      </c>
    </row>
    <row r="942" spans="29:30" ht="15" customHeight="1">
      <c r="AC942" s="14">
        <f t="shared" si="33"/>
        <v>0</v>
      </c>
      <c r="AD942" s="14">
        <f t="shared" si="34"/>
        <v>0</v>
      </c>
    </row>
    <row r="943" spans="29:30" ht="15" customHeight="1">
      <c r="AC943" s="14">
        <f t="shared" si="33"/>
        <v>0</v>
      </c>
      <c r="AD943" s="14">
        <f t="shared" si="34"/>
        <v>0</v>
      </c>
    </row>
    <row r="944" spans="29:30" ht="15" customHeight="1">
      <c r="AC944" s="14">
        <f t="shared" si="33"/>
        <v>0</v>
      </c>
      <c r="AD944" s="14">
        <f t="shared" si="34"/>
        <v>0</v>
      </c>
    </row>
    <row r="945" spans="29:30" ht="15" customHeight="1">
      <c r="AC945" s="14">
        <f t="shared" si="33"/>
        <v>0</v>
      </c>
      <c r="AD945" s="14">
        <f t="shared" si="34"/>
        <v>0</v>
      </c>
    </row>
    <row r="946" spans="29:30" ht="15" customHeight="1">
      <c r="AC946" s="14">
        <f t="shared" si="33"/>
        <v>0</v>
      </c>
      <c r="AD946" s="14">
        <f t="shared" si="34"/>
        <v>0</v>
      </c>
    </row>
    <row r="947" spans="29:30" ht="15" customHeight="1">
      <c r="AC947" s="14">
        <f t="shared" si="33"/>
        <v>0</v>
      </c>
      <c r="AD947" s="14">
        <f t="shared" si="34"/>
        <v>0</v>
      </c>
    </row>
    <row r="948" spans="29:30" ht="15" customHeight="1">
      <c r="AC948" s="14">
        <f t="shared" si="33"/>
        <v>0</v>
      </c>
      <c r="AD948" s="14">
        <f t="shared" si="34"/>
        <v>0</v>
      </c>
    </row>
    <row r="949" spans="29:30" ht="15" customHeight="1">
      <c r="AC949" s="14">
        <f t="shared" si="33"/>
        <v>0</v>
      </c>
      <c r="AD949" s="14">
        <f t="shared" si="34"/>
        <v>0</v>
      </c>
    </row>
    <row r="950" spans="29:30" ht="15" customHeight="1">
      <c r="AC950" s="14">
        <f t="shared" si="33"/>
        <v>0</v>
      </c>
      <c r="AD950" s="14">
        <f t="shared" si="34"/>
        <v>0</v>
      </c>
    </row>
    <row r="951" spans="29:30" ht="15" customHeight="1">
      <c r="AC951" s="14">
        <f t="shared" si="33"/>
        <v>0</v>
      </c>
      <c r="AD951" s="14">
        <f t="shared" si="34"/>
        <v>0</v>
      </c>
    </row>
    <row r="952" spans="29:30" ht="15" customHeight="1">
      <c r="AC952" s="14">
        <f t="shared" si="33"/>
        <v>0</v>
      </c>
      <c r="AD952" s="14">
        <f t="shared" si="34"/>
        <v>0</v>
      </c>
    </row>
    <row r="953" spans="29:30" ht="15" customHeight="1">
      <c r="AC953" s="14">
        <f t="shared" si="33"/>
        <v>0</v>
      </c>
      <c r="AD953" s="14">
        <f t="shared" si="34"/>
        <v>0</v>
      </c>
    </row>
    <row r="954" spans="29:30" ht="15" customHeight="1">
      <c r="AC954" s="14">
        <f t="shared" si="33"/>
        <v>0</v>
      </c>
      <c r="AD954" s="14">
        <f t="shared" si="34"/>
        <v>0</v>
      </c>
    </row>
    <row r="955" spans="29:30" ht="15" customHeight="1">
      <c r="AC955" s="14">
        <f t="shared" si="33"/>
        <v>0</v>
      </c>
      <c r="AD955" s="14">
        <f t="shared" si="34"/>
        <v>0</v>
      </c>
    </row>
    <row r="956" spans="29:30" ht="15" customHeight="1">
      <c r="AC956" s="14">
        <f t="shared" si="33"/>
        <v>0</v>
      </c>
      <c r="AD956" s="14">
        <f t="shared" si="34"/>
        <v>0</v>
      </c>
    </row>
    <row r="957" spans="29:30" ht="15" customHeight="1">
      <c r="AC957" s="14">
        <f t="shared" si="33"/>
        <v>0</v>
      </c>
      <c r="AD957" s="14">
        <f t="shared" si="34"/>
        <v>0</v>
      </c>
    </row>
    <row r="958" spans="29:30" ht="15" customHeight="1">
      <c r="AC958" s="14">
        <f t="shared" si="33"/>
        <v>0</v>
      </c>
      <c r="AD958" s="14">
        <f t="shared" si="34"/>
        <v>0</v>
      </c>
    </row>
    <row r="959" spans="29:30" ht="15" customHeight="1">
      <c r="AC959" s="14">
        <f t="shared" si="33"/>
        <v>0</v>
      </c>
      <c r="AD959" s="14">
        <f t="shared" si="34"/>
        <v>0</v>
      </c>
    </row>
    <row r="960" spans="29:30" ht="15" customHeight="1">
      <c r="AC960" s="14">
        <f t="shared" si="33"/>
        <v>0</v>
      </c>
      <c r="AD960" s="14">
        <f t="shared" si="34"/>
        <v>0</v>
      </c>
    </row>
    <row r="961" spans="29:30" ht="15" customHeight="1">
      <c r="AC961" s="14">
        <f t="shared" si="33"/>
        <v>0</v>
      </c>
      <c r="AD961" s="14">
        <f t="shared" si="34"/>
        <v>0</v>
      </c>
    </row>
    <row r="962" spans="29:30" ht="15" customHeight="1">
      <c r="AC962" s="14">
        <f t="shared" ref="AC962:AC999" si="35">SUM(K962:P962)</f>
        <v>0</v>
      </c>
      <c r="AD962" s="14">
        <f t="shared" ref="AD962:AD999" si="36">SUM(Q962:AB962)</f>
        <v>0</v>
      </c>
    </row>
    <row r="963" spans="29:30" ht="15" customHeight="1">
      <c r="AC963" s="14">
        <f t="shared" si="35"/>
        <v>0</v>
      </c>
      <c r="AD963" s="14">
        <f t="shared" si="36"/>
        <v>0</v>
      </c>
    </row>
    <row r="964" spans="29:30" ht="15" customHeight="1">
      <c r="AC964" s="14">
        <f t="shared" si="35"/>
        <v>0</v>
      </c>
      <c r="AD964" s="14">
        <f t="shared" si="36"/>
        <v>0</v>
      </c>
    </row>
    <row r="965" spans="29:30" ht="15" customHeight="1">
      <c r="AC965" s="14">
        <f t="shared" si="35"/>
        <v>0</v>
      </c>
      <c r="AD965" s="14">
        <f t="shared" si="36"/>
        <v>0</v>
      </c>
    </row>
    <row r="966" spans="29:30" ht="15" customHeight="1">
      <c r="AC966" s="14">
        <f t="shared" si="35"/>
        <v>0</v>
      </c>
      <c r="AD966" s="14">
        <f t="shared" si="36"/>
        <v>0</v>
      </c>
    </row>
    <row r="967" spans="29:30" ht="15" customHeight="1">
      <c r="AC967" s="14">
        <f t="shared" si="35"/>
        <v>0</v>
      </c>
      <c r="AD967" s="14">
        <f t="shared" si="36"/>
        <v>0</v>
      </c>
    </row>
    <row r="968" spans="29:30" ht="15" customHeight="1">
      <c r="AC968" s="14">
        <f t="shared" si="35"/>
        <v>0</v>
      </c>
      <c r="AD968" s="14">
        <f t="shared" si="36"/>
        <v>0</v>
      </c>
    </row>
    <row r="969" spans="29:30" ht="15" customHeight="1">
      <c r="AC969" s="14">
        <f t="shared" si="35"/>
        <v>0</v>
      </c>
      <c r="AD969" s="14">
        <f t="shared" si="36"/>
        <v>0</v>
      </c>
    </row>
    <row r="970" spans="29:30" ht="15" customHeight="1">
      <c r="AC970" s="14">
        <f t="shared" si="35"/>
        <v>0</v>
      </c>
      <c r="AD970" s="14">
        <f t="shared" si="36"/>
        <v>0</v>
      </c>
    </row>
    <row r="971" spans="29:30" ht="15" customHeight="1">
      <c r="AC971" s="14">
        <f t="shared" si="35"/>
        <v>0</v>
      </c>
      <c r="AD971" s="14">
        <f t="shared" si="36"/>
        <v>0</v>
      </c>
    </row>
    <row r="972" spans="29:30" ht="15" customHeight="1">
      <c r="AC972" s="14">
        <f t="shared" si="35"/>
        <v>0</v>
      </c>
      <c r="AD972" s="14">
        <f t="shared" si="36"/>
        <v>0</v>
      </c>
    </row>
    <row r="973" spans="29:30" ht="15" customHeight="1">
      <c r="AC973" s="14">
        <f t="shared" si="35"/>
        <v>0</v>
      </c>
      <c r="AD973" s="14">
        <f t="shared" si="36"/>
        <v>0</v>
      </c>
    </row>
    <row r="974" spans="29:30" ht="15" customHeight="1">
      <c r="AC974" s="14">
        <f t="shared" si="35"/>
        <v>0</v>
      </c>
      <c r="AD974" s="14">
        <f t="shared" si="36"/>
        <v>0</v>
      </c>
    </row>
    <row r="975" spans="29:30" ht="15" customHeight="1">
      <c r="AC975" s="14">
        <f t="shared" si="35"/>
        <v>0</v>
      </c>
      <c r="AD975" s="14">
        <f t="shared" si="36"/>
        <v>0</v>
      </c>
    </row>
    <row r="976" spans="29:30" ht="15" customHeight="1">
      <c r="AC976" s="14">
        <f t="shared" si="35"/>
        <v>0</v>
      </c>
      <c r="AD976" s="14">
        <f t="shared" si="36"/>
        <v>0</v>
      </c>
    </row>
    <row r="977" spans="29:30" ht="15" customHeight="1">
      <c r="AC977" s="14">
        <f t="shared" si="35"/>
        <v>0</v>
      </c>
      <c r="AD977" s="14">
        <f t="shared" si="36"/>
        <v>0</v>
      </c>
    </row>
    <row r="978" spans="29:30" ht="15" customHeight="1">
      <c r="AC978" s="14">
        <f t="shared" si="35"/>
        <v>0</v>
      </c>
      <c r="AD978" s="14">
        <f t="shared" si="36"/>
        <v>0</v>
      </c>
    </row>
    <row r="979" spans="29:30" ht="15" customHeight="1">
      <c r="AC979" s="14">
        <f t="shared" si="35"/>
        <v>0</v>
      </c>
      <c r="AD979" s="14">
        <f t="shared" si="36"/>
        <v>0</v>
      </c>
    </row>
    <row r="980" spans="29:30" ht="15" customHeight="1">
      <c r="AC980" s="14">
        <f t="shared" si="35"/>
        <v>0</v>
      </c>
      <c r="AD980" s="14">
        <f t="shared" si="36"/>
        <v>0</v>
      </c>
    </row>
    <row r="981" spans="29:30" ht="15" customHeight="1">
      <c r="AC981" s="14">
        <f t="shared" si="35"/>
        <v>0</v>
      </c>
      <c r="AD981" s="14">
        <f t="shared" si="36"/>
        <v>0</v>
      </c>
    </row>
    <row r="982" spans="29:30" ht="15" customHeight="1">
      <c r="AC982" s="14">
        <f t="shared" si="35"/>
        <v>0</v>
      </c>
      <c r="AD982" s="14">
        <f t="shared" si="36"/>
        <v>0</v>
      </c>
    </row>
    <row r="983" spans="29:30" ht="15" customHeight="1">
      <c r="AC983" s="14">
        <f t="shared" si="35"/>
        <v>0</v>
      </c>
      <c r="AD983" s="14">
        <f t="shared" si="36"/>
        <v>0</v>
      </c>
    </row>
    <row r="984" spans="29:30" ht="15" customHeight="1">
      <c r="AC984" s="14">
        <f t="shared" si="35"/>
        <v>0</v>
      </c>
      <c r="AD984" s="14">
        <f t="shared" si="36"/>
        <v>0</v>
      </c>
    </row>
    <row r="985" spans="29:30" ht="15" customHeight="1">
      <c r="AC985" s="14">
        <f t="shared" si="35"/>
        <v>0</v>
      </c>
      <c r="AD985" s="14">
        <f t="shared" si="36"/>
        <v>0</v>
      </c>
    </row>
    <row r="986" spans="29:30" ht="15" customHeight="1">
      <c r="AC986" s="14">
        <f t="shared" si="35"/>
        <v>0</v>
      </c>
      <c r="AD986" s="14">
        <f t="shared" si="36"/>
        <v>0</v>
      </c>
    </row>
    <row r="987" spans="29:30" ht="15" customHeight="1">
      <c r="AC987" s="14">
        <f t="shared" si="35"/>
        <v>0</v>
      </c>
      <c r="AD987" s="14">
        <f t="shared" si="36"/>
        <v>0</v>
      </c>
    </row>
    <row r="988" spans="29:30" ht="15" customHeight="1">
      <c r="AC988" s="14">
        <f t="shared" si="35"/>
        <v>0</v>
      </c>
      <c r="AD988" s="14">
        <f t="shared" si="36"/>
        <v>0</v>
      </c>
    </row>
    <row r="989" spans="29:30" ht="15" customHeight="1">
      <c r="AC989" s="14">
        <f t="shared" si="35"/>
        <v>0</v>
      </c>
      <c r="AD989" s="14">
        <f t="shared" si="36"/>
        <v>0</v>
      </c>
    </row>
    <row r="990" spans="29:30" ht="15" customHeight="1">
      <c r="AC990" s="14">
        <f t="shared" si="35"/>
        <v>0</v>
      </c>
      <c r="AD990" s="14">
        <f t="shared" si="36"/>
        <v>0</v>
      </c>
    </row>
    <row r="991" spans="29:30" ht="15" customHeight="1">
      <c r="AC991" s="14">
        <f t="shared" si="35"/>
        <v>0</v>
      </c>
      <c r="AD991" s="14">
        <f t="shared" si="36"/>
        <v>0</v>
      </c>
    </row>
    <row r="992" spans="29:30" ht="15" customHeight="1">
      <c r="AC992" s="14">
        <f t="shared" si="35"/>
        <v>0</v>
      </c>
      <c r="AD992" s="14">
        <f t="shared" si="36"/>
        <v>0</v>
      </c>
    </row>
    <row r="993" spans="29:30" ht="15" customHeight="1">
      <c r="AC993" s="14">
        <f t="shared" si="35"/>
        <v>0</v>
      </c>
      <c r="AD993" s="14">
        <f t="shared" si="36"/>
        <v>0</v>
      </c>
    </row>
    <row r="994" spans="29:30" ht="15" customHeight="1">
      <c r="AC994" s="14">
        <f t="shared" si="35"/>
        <v>0</v>
      </c>
      <c r="AD994" s="14">
        <f t="shared" si="36"/>
        <v>0</v>
      </c>
    </row>
    <row r="995" spans="29:30" ht="15" customHeight="1">
      <c r="AC995" s="14">
        <f t="shared" si="35"/>
        <v>0</v>
      </c>
      <c r="AD995" s="14">
        <f t="shared" si="36"/>
        <v>0</v>
      </c>
    </row>
    <row r="996" spans="29:30" ht="15" customHeight="1">
      <c r="AC996" s="14">
        <f t="shared" si="35"/>
        <v>0</v>
      </c>
      <c r="AD996" s="14">
        <f t="shared" si="36"/>
        <v>0</v>
      </c>
    </row>
    <row r="997" spans="29:30" ht="15" customHeight="1">
      <c r="AC997" s="14">
        <f t="shared" si="35"/>
        <v>0</v>
      </c>
      <c r="AD997" s="14">
        <f t="shared" si="36"/>
        <v>0</v>
      </c>
    </row>
    <row r="998" spans="29:30" ht="15" customHeight="1">
      <c r="AC998" s="14">
        <f t="shared" si="35"/>
        <v>0</v>
      </c>
      <c r="AD998" s="14">
        <f t="shared" si="36"/>
        <v>0</v>
      </c>
    </row>
    <row r="999" spans="29:30" ht="15" customHeight="1">
      <c r="AC999" s="14">
        <f t="shared" si="35"/>
        <v>0</v>
      </c>
      <c r="AD999" s="14">
        <f t="shared" si="36"/>
        <v>0</v>
      </c>
    </row>
    <row r="1000" spans="29:30" ht="15" customHeight="1">
      <c r="AC1000" s="14">
        <f t="shared" ref="AC1000" si="37">SUM(K1000:P1000)</f>
        <v>0</v>
      </c>
      <c r="AD1000" s="14">
        <f t="shared" ref="AD1000" si="38">SUM(Q1000:AB1000)</f>
        <v>0</v>
      </c>
    </row>
    <row r="1001" spans="29:30" ht="15" customHeight="1">
      <c r="AC1001" s="14">
        <f t="shared" ref="AC1001" si="39">SUM(K1001:P1001)</f>
        <v>0</v>
      </c>
      <c r="AD1001" s="14">
        <f t="shared" ref="AD1001" si="40">SUM(Q1001:AB1001)</f>
        <v>0</v>
      </c>
    </row>
  </sheetData>
  <autoFilter ref="A1:AH1" xr:uid="{D99A5B5C-C3F5-443F-A84D-5944EEAD2D2F}"/>
  <phoneticPr fontId="7" type="noConversion"/>
  <conditionalFormatting sqref="A1:A1048576 G1:H1048576 AE1:AF1048576 E1:E1048576 C1:C1048576">
    <cfRule type="containsBlanks" dxfId="3" priority="9">
      <formula>LEN(TRIM(A1))=0</formula>
    </cfRule>
  </conditionalFormatting>
  <conditionalFormatting sqref="B1:B1048576 D1:D1048576 F1:F1048576 I1:J1048576 AC1:AD1048576">
    <cfRule type="containsBlanks" dxfId="2" priority="10">
      <formula>LEN(TRIM(B1))=0</formula>
    </cfRule>
  </conditionalFormatting>
  <conditionalFormatting sqref="K1:AB1048576">
    <cfRule type="expression" priority="35">
      <formula>#REF! &gt; 0</formula>
    </cfRule>
    <cfRule type="containsBlanks" dxfId="1" priority="36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A2D90E-BC03-4668-96C5-2D0778242D9A}">
          <x14:formula1>
            <xm:f>Master!$J$2:$J$41</xm:f>
          </x14:formula1>
          <xm:sqref>E1:E1048576 C1:C1048576</xm:sqref>
        </x14:dataValidation>
        <x14:dataValidation type="list" allowBlank="1" showInputMessage="1" showErrorMessage="1" xr:uid="{0DFCF46C-9C69-4ABA-BA0A-B740071FFE1F}">
          <x14:formula1>
            <xm:f>Master!$B$2:$B$172</xm:f>
          </x14:formula1>
          <xm:sqref>G1:G1048576</xm:sqref>
        </x14:dataValidation>
        <x14:dataValidation type="list" allowBlank="1" showInputMessage="1" showErrorMessage="1" xr:uid="{F6E0DD80-CD35-4C25-9DC8-E570F3D90499}">
          <x14:formula1>
            <xm:f>Master!$S$2:$S$4</xm:f>
          </x14:formula1>
          <xm:sqref>AG1:AG1048576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3"/>
  <sheetViews>
    <sheetView zoomScale="80" zoomScaleNormal="80" workbookViewId="0">
      <pane xSplit="2" ySplit="1" topLeftCell="M2" activePane="bottomRight" state="frozen"/>
      <selection activeCell="F17" sqref="F17"/>
      <selection pane="topRight" activeCell="F17" sqref="F17"/>
      <selection pane="bottomLeft" activeCell="F17" sqref="F17"/>
      <selection pane="bottomRight" activeCell="P6" sqref="P6"/>
    </sheetView>
  </sheetViews>
  <sheetFormatPr defaultColWidth="8.81640625" defaultRowHeight="18" customHeight="1"/>
  <cols>
    <col min="1" max="1" width="10.7265625" style="29" bestFit="1" customWidth="1"/>
    <col min="2" max="2" width="56.1796875" style="28" bestFit="1" customWidth="1"/>
    <col min="3" max="3" width="10.7265625" style="29" bestFit="1" customWidth="1"/>
    <col min="4" max="4" width="10.7265625" style="29" hidden="1" customWidth="1"/>
    <col min="5" max="5" width="12.7265625" style="30" bestFit="1" customWidth="1"/>
    <col min="6" max="6" width="12.26953125" style="30" bestFit="1" customWidth="1"/>
    <col min="7" max="7" width="13.81640625" style="30" bestFit="1" customWidth="1"/>
    <col min="8" max="8" width="50.7265625" style="28" customWidth="1"/>
    <col min="9" max="9" width="0.81640625" style="32" customWidth="1"/>
    <col min="10" max="10" width="28.7265625" style="28" bestFit="1" customWidth="1"/>
    <col min="11" max="11" width="11.26953125" style="29" bestFit="1" customWidth="1"/>
    <col min="12" max="12" width="15.81640625" style="28" bestFit="1" customWidth="1"/>
    <col min="13" max="13" width="19.453125" style="28" bestFit="1" customWidth="1"/>
    <col min="14" max="14" width="28.7265625" style="28" bestFit="1" customWidth="1"/>
    <col min="15" max="15" width="0.81640625" style="32" customWidth="1"/>
    <col min="16" max="16" width="9.81640625" style="28" bestFit="1" customWidth="1"/>
    <col min="17" max="17" width="19.7265625" style="28" bestFit="1" customWidth="1"/>
    <col min="18" max="18" width="0.81640625" style="32" customWidth="1"/>
    <col min="19" max="19" width="18.26953125" style="40" bestFit="1" customWidth="1"/>
    <col min="20" max="20" width="19" style="41" bestFit="1" customWidth="1"/>
    <col min="21" max="21" width="72.7265625" style="42" bestFit="1" customWidth="1"/>
    <col min="22" max="16384" width="8.81640625" style="28"/>
  </cols>
  <sheetData>
    <row r="1" spans="1:21" s="27" customFormat="1" ht="60" customHeight="1">
      <c r="A1" s="18" t="s">
        <v>256</v>
      </c>
      <c r="B1" s="18" t="s">
        <v>255</v>
      </c>
      <c r="C1" s="18" t="s">
        <v>256</v>
      </c>
      <c r="D1" s="18" t="s">
        <v>256</v>
      </c>
      <c r="E1" s="19" t="s">
        <v>257</v>
      </c>
      <c r="F1" s="19" t="s">
        <v>10</v>
      </c>
      <c r="G1" s="19" t="s">
        <v>258</v>
      </c>
      <c r="H1" s="18" t="s">
        <v>259</v>
      </c>
      <c r="I1" s="20"/>
      <c r="J1" s="21" t="s">
        <v>260</v>
      </c>
      <c r="K1" s="21" t="s">
        <v>261</v>
      </c>
      <c r="L1" s="22" t="s">
        <v>9</v>
      </c>
      <c r="M1" s="22" t="s">
        <v>8</v>
      </c>
      <c r="N1" s="21" t="s">
        <v>260</v>
      </c>
      <c r="O1" s="23"/>
      <c r="P1" s="24" t="s">
        <v>262</v>
      </c>
      <c r="Q1" s="24" t="s">
        <v>260</v>
      </c>
      <c r="R1" s="23"/>
      <c r="S1" s="25" t="s">
        <v>263</v>
      </c>
      <c r="T1" s="25" t="s">
        <v>264</v>
      </c>
      <c r="U1" s="26" t="s">
        <v>259</v>
      </c>
    </row>
    <row r="2" spans="1:21" ht="18" customHeight="1">
      <c r="A2" s="29">
        <v>7511101</v>
      </c>
      <c r="B2" s="28" t="s">
        <v>117</v>
      </c>
      <c r="C2" s="29">
        <v>7511101</v>
      </c>
      <c r="D2" s="29">
        <v>7511101</v>
      </c>
      <c r="E2" s="30" t="s">
        <v>37</v>
      </c>
      <c r="F2" s="31" t="s">
        <v>118</v>
      </c>
      <c r="G2" s="30" t="s">
        <v>39</v>
      </c>
      <c r="H2" s="28" t="s">
        <v>117</v>
      </c>
      <c r="J2" s="33" t="s">
        <v>16</v>
      </c>
      <c r="K2" s="34" t="s">
        <v>35</v>
      </c>
      <c r="L2" s="35" t="s">
        <v>37</v>
      </c>
      <c r="M2" s="36" t="s">
        <v>36</v>
      </c>
      <c r="N2" s="36" t="s">
        <v>16</v>
      </c>
      <c r="P2" s="36">
        <v>53450</v>
      </c>
      <c r="Q2" s="36" t="s">
        <v>265</v>
      </c>
      <c r="S2" s="37" t="s">
        <v>231</v>
      </c>
      <c r="T2" s="38" t="s">
        <v>266</v>
      </c>
      <c r="U2" s="39" t="s">
        <v>267</v>
      </c>
    </row>
    <row r="3" spans="1:21" ht="18" customHeight="1">
      <c r="A3" s="29">
        <v>7511102</v>
      </c>
      <c r="B3" s="28" t="s">
        <v>17</v>
      </c>
      <c r="C3" s="29">
        <v>7511102</v>
      </c>
      <c r="D3" s="29">
        <v>7511102</v>
      </c>
      <c r="E3" s="30" t="s">
        <v>37</v>
      </c>
      <c r="F3" s="31" t="s">
        <v>38</v>
      </c>
      <c r="G3" s="30" t="s">
        <v>39</v>
      </c>
      <c r="H3" s="28" t="s">
        <v>268</v>
      </c>
      <c r="J3" s="33" t="s">
        <v>116</v>
      </c>
      <c r="K3" s="34" t="s">
        <v>115</v>
      </c>
      <c r="L3" s="35" t="s">
        <v>37</v>
      </c>
      <c r="M3" s="36" t="s">
        <v>36</v>
      </c>
      <c r="N3" s="36" t="s">
        <v>116</v>
      </c>
      <c r="P3" s="36"/>
      <c r="Q3" s="36"/>
      <c r="S3" s="37" t="s">
        <v>241</v>
      </c>
      <c r="T3" s="38" t="s">
        <v>269</v>
      </c>
      <c r="U3" s="39" t="s">
        <v>270</v>
      </c>
    </row>
    <row r="4" spans="1:21" ht="18" customHeight="1">
      <c r="A4" s="29">
        <v>7511103</v>
      </c>
      <c r="B4" s="28" t="s">
        <v>271</v>
      </c>
      <c r="C4" s="29">
        <v>7511103</v>
      </c>
      <c r="D4" s="29">
        <v>7511103</v>
      </c>
      <c r="E4" s="30" t="s">
        <v>37</v>
      </c>
      <c r="F4" s="31" t="s">
        <v>436</v>
      </c>
      <c r="G4" s="30" t="s">
        <v>272</v>
      </c>
      <c r="H4" s="28" t="s">
        <v>273</v>
      </c>
      <c r="J4" s="33" t="s">
        <v>84</v>
      </c>
      <c r="K4" s="34" t="s">
        <v>83</v>
      </c>
      <c r="L4" s="35" t="s">
        <v>37</v>
      </c>
      <c r="M4" s="36" t="s">
        <v>36</v>
      </c>
      <c r="N4" s="36" t="s">
        <v>84</v>
      </c>
      <c r="P4" s="36"/>
      <c r="Q4" s="36"/>
      <c r="S4" s="37" t="s">
        <v>274</v>
      </c>
      <c r="T4" s="38" t="s">
        <v>275</v>
      </c>
      <c r="U4" s="39" t="s">
        <v>276</v>
      </c>
    </row>
    <row r="5" spans="1:21" ht="18" customHeight="1">
      <c r="A5" s="29">
        <v>7511111</v>
      </c>
      <c r="B5" s="28" t="s">
        <v>277</v>
      </c>
      <c r="C5" s="29">
        <v>7511111</v>
      </c>
      <c r="D5" s="29">
        <v>7511111</v>
      </c>
      <c r="E5" s="30" t="s">
        <v>37</v>
      </c>
      <c r="F5" s="31" t="s">
        <v>437</v>
      </c>
      <c r="G5" s="30" t="s">
        <v>272</v>
      </c>
      <c r="H5" s="28" t="s">
        <v>278</v>
      </c>
      <c r="J5" s="33" t="s">
        <v>160</v>
      </c>
      <c r="K5" s="34" t="s">
        <v>159</v>
      </c>
      <c r="L5" s="35" t="s">
        <v>37</v>
      </c>
      <c r="M5" s="36" t="s">
        <v>36</v>
      </c>
      <c r="N5" s="36" t="s">
        <v>160</v>
      </c>
    </row>
    <row r="6" spans="1:21" ht="18" customHeight="1">
      <c r="A6" s="29">
        <v>7511112</v>
      </c>
      <c r="B6" s="28" t="s">
        <v>279</v>
      </c>
      <c r="C6" s="29">
        <v>7511112</v>
      </c>
      <c r="D6" s="29">
        <v>7511112</v>
      </c>
      <c r="E6" s="30" t="s">
        <v>37</v>
      </c>
      <c r="F6" s="31" t="s">
        <v>456</v>
      </c>
      <c r="G6" s="30" t="s">
        <v>272</v>
      </c>
      <c r="H6" s="28" t="s">
        <v>280</v>
      </c>
      <c r="J6" s="33" t="s">
        <v>162</v>
      </c>
      <c r="K6" s="34" t="s">
        <v>161</v>
      </c>
      <c r="L6" s="35" t="s">
        <v>37</v>
      </c>
      <c r="M6" s="36" t="s">
        <v>36</v>
      </c>
      <c r="N6" s="36" t="s">
        <v>162</v>
      </c>
      <c r="P6" s="28" t="s">
        <v>13</v>
      </c>
    </row>
    <row r="7" spans="1:21" ht="18" customHeight="1">
      <c r="A7" s="29">
        <v>7511121</v>
      </c>
      <c r="B7" s="28" t="s">
        <v>281</v>
      </c>
      <c r="C7" s="29">
        <v>7511121</v>
      </c>
      <c r="D7" s="29">
        <v>7511121</v>
      </c>
      <c r="E7" s="30" t="s">
        <v>37</v>
      </c>
      <c r="F7" s="31" t="s">
        <v>438</v>
      </c>
      <c r="G7" s="30" t="s">
        <v>272</v>
      </c>
      <c r="H7" s="28" t="s">
        <v>282</v>
      </c>
      <c r="J7" s="33" t="s">
        <v>164</v>
      </c>
      <c r="K7" s="34" t="s">
        <v>163</v>
      </c>
      <c r="L7" s="35" t="s">
        <v>37</v>
      </c>
      <c r="M7" s="36" t="s">
        <v>36</v>
      </c>
      <c r="N7" s="36" t="s">
        <v>164</v>
      </c>
      <c r="P7" s="28" t="s">
        <v>501</v>
      </c>
    </row>
    <row r="8" spans="1:21" ht="18" customHeight="1">
      <c r="A8" s="29">
        <v>7511122</v>
      </c>
      <c r="B8" s="28" t="s">
        <v>283</v>
      </c>
      <c r="C8" s="29">
        <v>7511122</v>
      </c>
      <c r="D8" s="29">
        <v>7511122</v>
      </c>
      <c r="E8" s="30" t="s">
        <v>37</v>
      </c>
      <c r="F8" s="31" t="s">
        <v>439</v>
      </c>
      <c r="G8" s="30" t="s">
        <v>272</v>
      </c>
      <c r="H8" s="28" t="s">
        <v>284</v>
      </c>
      <c r="J8" s="33" t="s">
        <v>14</v>
      </c>
      <c r="K8" s="34" t="s">
        <v>30</v>
      </c>
      <c r="L8" s="35" t="s">
        <v>37</v>
      </c>
      <c r="M8" s="36" t="s">
        <v>36</v>
      </c>
      <c r="N8" s="36" t="s">
        <v>14</v>
      </c>
    </row>
    <row r="9" spans="1:21" ht="18" customHeight="1">
      <c r="A9" s="29">
        <v>7511201</v>
      </c>
      <c r="B9" s="28" t="s">
        <v>285</v>
      </c>
      <c r="C9" s="29">
        <v>7511201</v>
      </c>
      <c r="D9" s="29">
        <v>7511201</v>
      </c>
      <c r="E9" s="30" t="s">
        <v>37</v>
      </c>
      <c r="F9" s="31" t="s">
        <v>440</v>
      </c>
      <c r="G9" s="30" t="s">
        <v>286</v>
      </c>
      <c r="H9" s="28" t="s">
        <v>287</v>
      </c>
      <c r="J9" s="33" t="s">
        <v>106</v>
      </c>
      <c r="K9" s="34" t="s">
        <v>105</v>
      </c>
      <c r="L9" s="35" t="s">
        <v>37</v>
      </c>
      <c r="M9" s="36" t="s">
        <v>36</v>
      </c>
      <c r="N9" s="36" t="s">
        <v>106</v>
      </c>
    </row>
    <row r="10" spans="1:21" ht="18" customHeight="1">
      <c r="A10" s="29">
        <v>7512111</v>
      </c>
      <c r="B10" s="28" t="s">
        <v>288</v>
      </c>
      <c r="C10" s="29">
        <v>7512111</v>
      </c>
      <c r="D10" s="29">
        <v>7512111</v>
      </c>
      <c r="E10" s="30" t="s">
        <v>37</v>
      </c>
      <c r="F10" s="31" t="s">
        <v>441</v>
      </c>
      <c r="G10" s="30" t="s">
        <v>41</v>
      </c>
      <c r="H10" s="28" t="s">
        <v>289</v>
      </c>
      <c r="J10" s="33" t="s">
        <v>82</v>
      </c>
      <c r="K10" s="34" t="s">
        <v>81</v>
      </c>
      <c r="L10" s="35" t="s">
        <v>37</v>
      </c>
      <c r="M10" s="36" t="s">
        <v>36</v>
      </c>
      <c r="N10" s="36" t="s">
        <v>82</v>
      </c>
    </row>
    <row r="11" spans="1:21" ht="18" customHeight="1">
      <c r="A11" s="29">
        <v>7512112</v>
      </c>
      <c r="B11" s="28" t="s">
        <v>290</v>
      </c>
      <c r="C11" s="29">
        <v>7512112</v>
      </c>
      <c r="D11" s="29">
        <v>7512112</v>
      </c>
      <c r="E11" s="30" t="s">
        <v>37</v>
      </c>
      <c r="F11" s="31" t="s">
        <v>442</v>
      </c>
      <c r="G11" s="30" t="s">
        <v>41</v>
      </c>
      <c r="H11" s="28" t="s">
        <v>291</v>
      </c>
      <c r="J11" s="33" t="s">
        <v>110</v>
      </c>
      <c r="K11" s="34" t="s">
        <v>109</v>
      </c>
      <c r="L11" s="35" t="s">
        <v>37</v>
      </c>
      <c r="M11" s="36" t="s">
        <v>36</v>
      </c>
      <c r="N11" s="36" t="s">
        <v>110</v>
      </c>
    </row>
    <row r="12" spans="1:21" ht="18" customHeight="1">
      <c r="A12" s="29">
        <v>7514101</v>
      </c>
      <c r="B12" s="28" t="s">
        <v>292</v>
      </c>
      <c r="C12" s="29">
        <v>7514101</v>
      </c>
      <c r="D12" s="29">
        <v>7514101</v>
      </c>
      <c r="E12" s="30" t="s">
        <v>37</v>
      </c>
      <c r="F12" s="31" t="s">
        <v>443</v>
      </c>
      <c r="G12" s="30" t="s">
        <v>272</v>
      </c>
      <c r="H12" s="28" t="s">
        <v>293</v>
      </c>
      <c r="J12" s="33" t="s">
        <v>166</v>
      </c>
      <c r="K12" s="34" t="s">
        <v>165</v>
      </c>
      <c r="L12" s="35" t="s">
        <v>37</v>
      </c>
      <c r="M12" s="36" t="s">
        <v>36</v>
      </c>
      <c r="N12" s="36" t="s">
        <v>166</v>
      </c>
    </row>
    <row r="13" spans="1:21" ht="18" customHeight="1">
      <c r="A13" s="29">
        <v>7514102</v>
      </c>
      <c r="B13" s="28" t="s">
        <v>294</v>
      </c>
      <c r="C13" s="29">
        <v>7514102</v>
      </c>
      <c r="D13" s="29">
        <v>7514102</v>
      </c>
      <c r="E13" s="30" t="s">
        <v>37</v>
      </c>
      <c r="F13" s="31" t="s">
        <v>444</v>
      </c>
      <c r="G13" s="30" t="s">
        <v>272</v>
      </c>
      <c r="H13" s="28" t="s">
        <v>295</v>
      </c>
      <c r="J13" s="33" t="s">
        <v>120</v>
      </c>
      <c r="K13" s="34" t="s">
        <v>119</v>
      </c>
      <c r="L13" s="35" t="s">
        <v>37</v>
      </c>
      <c r="M13" s="36" t="s">
        <v>36</v>
      </c>
      <c r="N13" s="36" t="s">
        <v>120</v>
      </c>
    </row>
    <row r="14" spans="1:21" ht="18" customHeight="1">
      <c r="A14" s="29">
        <v>7515401</v>
      </c>
      <c r="B14" s="28" t="s">
        <v>19</v>
      </c>
      <c r="C14" s="29">
        <v>7515401</v>
      </c>
      <c r="D14" s="29">
        <v>7515401</v>
      </c>
      <c r="E14" s="30" t="s">
        <v>37</v>
      </c>
      <c r="F14" s="31" t="s">
        <v>42</v>
      </c>
      <c r="G14" s="30" t="s">
        <v>41</v>
      </c>
      <c r="H14" s="28" t="s">
        <v>296</v>
      </c>
      <c r="J14" s="33" t="s">
        <v>104</v>
      </c>
      <c r="K14" s="34" t="s">
        <v>103</v>
      </c>
      <c r="L14" s="35" t="s">
        <v>37</v>
      </c>
      <c r="M14" s="36" t="s">
        <v>36</v>
      </c>
      <c r="N14" s="36" t="s">
        <v>104</v>
      </c>
    </row>
    <row r="15" spans="1:21" ht="18" customHeight="1">
      <c r="A15" s="29">
        <v>7515402</v>
      </c>
      <c r="B15" s="28" t="s">
        <v>65</v>
      </c>
      <c r="C15" s="29">
        <v>7515402</v>
      </c>
      <c r="D15" s="29">
        <v>7515402</v>
      </c>
      <c r="E15" s="30" t="s">
        <v>37</v>
      </c>
      <c r="F15" s="31" t="s">
        <v>127</v>
      </c>
      <c r="G15" s="30" t="s">
        <v>41</v>
      </c>
      <c r="H15" s="28" t="s">
        <v>297</v>
      </c>
      <c r="J15" s="33" t="s">
        <v>133</v>
      </c>
      <c r="K15" s="34" t="s">
        <v>132</v>
      </c>
      <c r="L15" s="36" t="s">
        <v>33</v>
      </c>
      <c r="M15" s="36" t="s">
        <v>32</v>
      </c>
      <c r="N15" s="36" t="s">
        <v>133</v>
      </c>
    </row>
    <row r="16" spans="1:21" ht="18" customHeight="1">
      <c r="A16" s="29">
        <v>7515403</v>
      </c>
      <c r="B16" s="28" t="s">
        <v>125</v>
      </c>
      <c r="C16" s="29">
        <v>7515403</v>
      </c>
      <c r="D16" s="29">
        <v>7515403</v>
      </c>
      <c r="E16" s="30" t="s">
        <v>37</v>
      </c>
      <c r="F16" s="31" t="s">
        <v>126</v>
      </c>
      <c r="G16" s="30" t="s">
        <v>41</v>
      </c>
      <c r="H16" s="28" t="s">
        <v>298</v>
      </c>
      <c r="J16" s="33" t="s">
        <v>137</v>
      </c>
      <c r="K16" s="34" t="s">
        <v>136</v>
      </c>
      <c r="L16" s="36" t="s">
        <v>33</v>
      </c>
      <c r="M16" s="36" t="s">
        <v>32</v>
      </c>
      <c r="N16" s="36" t="s">
        <v>137</v>
      </c>
    </row>
    <row r="17" spans="1:14" ht="18" customHeight="1">
      <c r="A17" s="29">
        <v>7515404</v>
      </c>
      <c r="B17" s="28" t="s">
        <v>123</v>
      </c>
      <c r="C17" s="29">
        <v>7515404</v>
      </c>
      <c r="D17" s="29">
        <v>7515404</v>
      </c>
      <c r="E17" s="30" t="s">
        <v>37</v>
      </c>
      <c r="F17" s="31" t="s">
        <v>124</v>
      </c>
      <c r="G17" s="30" t="s">
        <v>41</v>
      </c>
      <c r="H17" s="28" t="s">
        <v>299</v>
      </c>
      <c r="J17" s="43" t="s">
        <v>15</v>
      </c>
      <c r="K17" s="34" t="s">
        <v>31</v>
      </c>
      <c r="L17" s="36" t="s">
        <v>33</v>
      </c>
      <c r="M17" s="36" t="s">
        <v>32</v>
      </c>
      <c r="N17" s="36" t="s">
        <v>15</v>
      </c>
    </row>
    <row r="18" spans="1:14" ht="18" customHeight="1">
      <c r="A18" s="29">
        <v>7515405</v>
      </c>
      <c r="B18" s="28" t="s">
        <v>202</v>
      </c>
      <c r="C18" s="29">
        <v>7515405</v>
      </c>
      <c r="D18" s="29">
        <v>7515405</v>
      </c>
      <c r="E18" s="30" t="s">
        <v>37</v>
      </c>
      <c r="F18" s="31" t="s">
        <v>203</v>
      </c>
      <c r="G18" s="30" t="s">
        <v>41</v>
      </c>
      <c r="H18" s="28" t="s">
        <v>300</v>
      </c>
      <c r="J18" s="43" t="s">
        <v>139</v>
      </c>
      <c r="K18" s="34" t="s">
        <v>138</v>
      </c>
      <c r="L18" s="36" t="s">
        <v>33</v>
      </c>
      <c r="M18" s="36" t="s">
        <v>32</v>
      </c>
      <c r="N18" s="36" t="s">
        <v>139</v>
      </c>
    </row>
    <row r="19" spans="1:14" ht="18" customHeight="1">
      <c r="A19" s="29">
        <v>7515406</v>
      </c>
      <c r="B19" s="28" t="s">
        <v>190</v>
      </c>
      <c r="C19" s="29">
        <v>7515406</v>
      </c>
      <c r="D19" s="29">
        <v>7515406</v>
      </c>
      <c r="E19" s="30" t="s">
        <v>37</v>
      </c>
      <c r="F19" s="31" t="s">
        <v>194</v>
      </c>
      <c r="G19" s="30" t="s">
        <v>41</v>
      </c>
      <c r="H19" s="28" t="s">
        <v>301</v>
      </c>
      <c r="J19" s="43" t="s">
        <v>302</v>
      </c>
      <c r="K19" s="34" t="s">
        <v>303</v>
      </c>
      <c r="L19" s="36" t="s">
        <v>33</v>
      </c>
      <c r="M19" s="36" t="s">
        <v>32</v>
      </c>
      <c r="N19" s="36" t="s">
        <v>302</v>
      </c>
    </row>
    <row r="20" spans="1:14" ht="18" customHeight="1">
      <c r="A20" s="29">
        <v>7515407</v>
      </c>
      <c r="B20" s="28" t="s">
        <v>304</v>
      </c>
      <c r="C20" s="29">
        <v>7515407</v>
      </c>
      <c r="D20" s="29">
        <v>7515407</v>
      </c>
      <c r="E20" s="30" t="s">
        <v>37</v>
      </c>
      <c r="F20" s="31" t="s">
        <v>457</v>
      </c>
      <c r="G20" s="30" t="s">
        <v>41</v>
      </c>
      <c r="J20" s="43" t="s">
        <v>141</v>
      </c>
      <c r="K20" s="34" t="s">
        <v>140</v>
      </c>
      <c r="L20" s="36" t="s">
        <v>33</v>
      </c>
      <c r="M20" s="36" t="s">
        <v>32</v>
      </c>
      <c r="N20" s="36" t="s">
        <v>141</v>
      </c>
    </row>
    <row r="21" spans="1:14" ht="18" customHeight="1">
      <c r="A21" s="29">
        <v>7515408</v>
      </c>
      <c r="B21" s="28" t="s">
        <v>195</v>
      </c>
      <c r="C21" s="29">
        <v>7515408</v>
      </c>
      <c r="D21" s="29">
        <v>7515408</v>
      </c>
      <c r="E21" s="30" t="s">
        <v>37</v>
      </c>
      <c r="F21" s="31" t="s">
        <v>196</v>
      </c>
      <c r="G21" s="30" t="s">
        <v>41</v>
      </c>
      <c r="H21" s="28" t="s">
        <v>305</v>
      </c>
      <c r="J21" s="43" t="s">
        <v>143</v>
      </c>
      <c r="K21" s="34" t="s">
        <v>142</v>
      </c>
      <c r="L21" s="36" t="s">
        <v>33</v>
      </c>
      <c r="M21" s="36" t="s">
        <v>32</v>
      </c>
      <c r="N21" s="36" t="s">
        <v>143</v>
      </c>
    </row>
    <row r="22" spans="1:14" ht="18" customHeight="1">
      <c r="A22" s="29">
        <v>7515409</v>
      </c>
      <c r="B22" s="28" t="s">
        <v>128</v>
      </c>
      <c r="C22" s="29">
        <v>7515409</v>
      </c>
      <c r="D22" s="29">
        <v>7515409</v>
      </c>
      <c r="E22" s="30" t="s">
        <v>37</v>
      </c>
      <c r="F22" s="31" t="s">
        <v>129</v>
      </c>
      <c r="G22" s="30" t="s">
        <v>41</v>
      </c>
      <c r="H22" s="28" t="s">
        <v>306</v>
      </c>
      <c r="J22" s="43" t="s">
        <v>147</v>
      </c>
      <c r="K22" s="34" t="s">
        <v>146</v>
      </c>
      <c r="L22" s="36" t="s">
        <v>33</v>
      </c>
      <c r="M22" s="36" t="s">
        <v>32</v>
      </c>
      <c r="N22" s="36" t="s">
        <v>147</v>
      </c>
    </row>
    <row r="23" spans="1:14" ht="18" customHeight="1">
      <c r="A23" s="29">
        <v>7515410</v>
      </c>
      <c r="B23" s="28" t="s">
        <v>67</v>
      </c>
      <c r="C23" s="29">
        <v>7515410</v>
      </c>
      <c r="D23" s="29">
        <v>7515410</v>
      </c>
      <c r="E23" s="30" t="s">
        <v>37</v>
      </c>
      <c r="F23" s="31" t="s">
        <v>458</v>
      </c>
      <c r="G23" s="30" t="s">
        <v>41</v>
      </c>
      <c r="H23" s="28" t="s">
        <v>307</v>
      </c>
      <c r="J23" s="43" t="s">
        <v>145</v>
      </c>
      <c r="K23" s="34" t="s">
        <v>144</v>
      </c>
      <c r="L23" s="36" t="s">
        <v>33</v>
      </c>
      <c r="M23" s="36" t="s">
        <v>32</v>
      </c>
      <c r="N23" s="36" t="s">
        <v>145</v>
      </c>
    </row>
    <row r="24" spans="1:14" ht="18" customHeight="1">
      <c r="A24" s="29">
        <v>7515499</v>
      </c>
      <c r="B24" s="28" t="s">
        <v>18</v>
      </c>
      <c r="C24" s="29">
        <v>7515499</v>
      </c>
      <c r="D24" s="29">
        <v>7515499</v>
      </c>
      <c r="E24" s="30" t="s">
        <v>37</v>
      </c>
      <c r="F24" s="31" t="s">
        <v>40</v>
      </c>
      <c r="G24" s="30" t="s">
        <v>41</v>
      </c>
      <c r="H24" s="28" t="s">
        <v>308</v>
      </c>
      <c r="J24" s="43" t="s">
        <v>149</v>
      </c>
      <c r="K24" s="34" t="s">
        <v>148</v>
      </c>
      <c r="L24" s="36" t="s">
        <v>33</v>
      </c>
      <c r="M24" s="36" t="s">
        <v>32</v>
      </c>
      <c r="N24" s="36" t="s">
        <v>149</v>
      </c>
    </row>
    <row r="25" spans="1:14" ht="18" customHeight="1">
      <c r="A25" s="29">
        <v>7516102</v>
      </c>
      <c r="B25" s="28" t="s">
        <v>309</v>
      </c>
      <c r="C25" s="29">
        <v>7516102</v>
      </c>
      <c r="D25" s="29">
        <v>7516102</v>
      </c>
      <c r="E25" s="30" t="s">
        <v>37</v>
      </c>
      <c r="F25" s="31" t="s">
        <v>445</v>
      </c>
      <c r="G25" s="30" t="s">
        <v>310</v>
      </c>
      <c r="H25" s="28" t="s">
        <v>311</v>
      </c>
      <c r="J25" s="43" t="s">
        <v>151</v>
      </c>
      <c r="K25" s="34" t="s">
        <v>150</v>
      </c>
      <c r="L25" s="36" t="s">
        <v>33</v>
      </c>
      <c r="M25" s="36" t="s">
        <v>32</v>
      </c>
      <c r="N25" s="36" t="s">
        <v>151</v>
      </c>
    </row>
    <row r="26" spans="1:14" ht="18" customHeight="1">
      <c r="A26" s="29">
        <v>7519101</v>
      </c>
      <c r="B26" s="28" t="s">
        <v>28</v>
      </c>
      <c r="C26" s="29">
        <v>7519101</v>
      </c>
      <c r="D26" s="29">
        <v>7519101</v>
      </c>
      <c r="E26" s="30" t="s">
        <v>37</v>
      </c>
      <c r="F26" s="31" t="s">
        <v>58</v>
      </c>
      <c r="G26" s="30" t="s">
        <v>39</v>
      </c>
      <c r="H26" s="28" t="s">
        <v>312</v>
      </c>
      <c r="J26" s="43" t="s">
        <v>153</v>
      </c>
      <c r="K26" s="34" t="s">
        <v>152</v>
      </c>
      <c r="L26" s="36" t="s">
        <v>33</v>
      </c>
      <c r="M26" s="36" t="s">
        <v>32</v>
      </c>
      <c r="N26" s="36" t="s">
        <v>153</v>
      </c>
    </row>
    <row r="27" spans="1:14" ht="18" customHeight="1">
      <c r="A27" s="29">
        <v>7521101</v>
      </c>
      <c r="B27" s="28" t="s">
        <v>313</v>
      </c>
      <c r="C27" s="29">
        <v>7521101</v>
      </c>
      <c r="D27" s="29">
        <v>7521101</v>
      </c>
      <c r="E27" s="30" t="s">
        <v>37</v>
      </c>
      <c r="F27" s="31" t="s">
        <v>446</v>
      </c>
      <c r="G27" s="30" t="s">
        <v>272</v>
      </c>
      <c r="H27" s="28" t="s">
        <v>314</v>
      </c>
      <c r="J27" s="43" t="s">
        <v>155</v>
      </c>
      <c r="K27" s="34" t="s">
        <v>154</v>
      </c>
      <c r="L27" s="36" t="s">
        <v>33</v>
      </c>
      <c r="M27" s="36" t="s">
        <v>32</v>
      </c>
      <c r="N27" s="36" t="s">
        <v>155</v>
      </c>
    </row>
    <row r="28" spans="1:14" ht="18" customHeight="1">
      <c r="A28" s="29">
        <v>7521102</v>
      </c>
      <c r="B28" s="28" t="s">
        <v>315</v>
      </c>
      <c r="C28" s="29">
        <v>7521102</v>
      </c>
      <c r="D28" s="29">
        <v>7521102</v>
      </c>
      <c r="E28" s="30" t="s">
        <v>37</v>
      </c>
      <c r="F28" s="31" t="s">
        <v>447</v>
      </c>
      <c r="G28" s="30" t="s">
        <v>286</v>
      </c>
      <c r="H28" s="28" t="s">
        <v>316</v>
      </c>
      <c r="J28" s="43" t="s">
        <v>157</v>
      </c>
      <c r="K28" s="34" t="s">
        <v>156</v>
      </c>
      <c r="L28" s="36" t="s">
        <v>33</v>
      </c>
      <c r="M28" s="36" t="s">
        <v>32</v>
      </c>
      <c r="N28" s="36" t="s">
        <v>157</v>
      </c>
    </row>
    <row r="29" spans="1:14" ht="18" customHeight="1">
      <c r="A29" s="29">
        <v>7571101</v>
      </c>
      <c r="B29" s="28" t="s">
        <v>236</v>
      </c>
      <c r="C29" s="29">
        <v>7571101</v>
      </c>
      <c r="D29" s="29">
        <v>7571101</v>
      </c>
      <c r="E29" s="30" t="s">
        <v>37</v>
      </c>
      <c r="F29" s="31" t="s">
        <v>459</v>
      </c>
      <c r="G29" s="30" t="s">
        <v>317</v>
      </c>
      <c r="H29" s="28" t="s">
        <v>318</v>
      </c>
      <c r="J29" s="43" t="s">
        <v>79</v>
      </c>
      <c r="K29" s="34" t="s">
        <v>78</v>
      </c>
      <c r="L29" s="36" t="s">
        <v>33</v>
      </c>
      <c r="M29" s="36" t="s">
        <v>63</v>
      </c>
      <c r="N29" s="36" t="s">
        <v>79</v>
      </c>
    </row>
    <row r="30" spans="1:14" ht="18" customHeight="1">
      <c r="A30" s="29">
        <v>7611100</v>
      </c>
      <c r="B30" s="28" t="s">
        <v>319</v>
      </c>
      <c r="C30" s="29">
        <v>7611100</v>
      </c>
      <c r="D30" s="29">
        <v>7611100</v>
      </c>
      <c r="E30" s="30" t="s">
        <v>37</v>
      </c>
      <c r="F30" s="31" t="s">
        <v>415</v>
      </c>
      <c r="G30" s="30" t="s">
        <v>46</v>
      </c>
      <c r="H30" s="28" t="s">
        <v>320</v>
      </c>
      <c r="J30" s="43" t="s">
        <v>183</v>
      </c>
      <c r="K30" s="34" t="s">
        <v>182</v>
      </c>
      <c r="L30" s="36" t="s">
        <v>33</v>
      </c>
      <c r="M30" s="36" t="s">
        <v>63</v>
      </c>
      <c r="N30" s="36" t="s">
        <v>183</v>
      </c>
    </row>
    <row r="31" spans="1:14" ht="18" customHeight="1">
      <c r="A31" s="29">
        <v>7611300</v>
      </c>
      <c r="B31" s="28" t="s">
        <v>321</v>
      </c>
      <c r="C31" s="29">
        <v>7611300</v>
      </c>
      <c r="D31" s="29">
        <v>7611300</v>
      </c>
      <c r="E31" s="30" t="s">
        <v>37</v>
      </c>
      <c r="F31" s="31" t="s">
        <v>419</v>
      </c>
      <c r="G31" s="30" t="s">
        <v>46</v>
      </c>
      <c r="H31" s="28" t="s">
        <v>322</v>
      </c>
      <c r="J31" s="43" t="s">
        <v>168</v>
      </c>
      <c r="K31" s="34" t="s">
        <v>167</v>
      </c>
      <c r="L31" s="36" t="s">
        <v>33</v>
      </c>
      <c r="M31" s="36" t="s">
        <v>63</v>
      </c>
      <c r="N31" s="36" t="s">
        <v>168</v>
      </c>
    </row>
    <row r="32" spans="1:14" ht="18" customHeight="1">
      <c r="A32" s="29">
        <v>7611400</v>
      </c>
      <c r="B32" s="28" t="s">
        <v>323</v>
      </c>
      <c r="C32" s="29">
        <v>7611400</v>
      </c>
      <c r="D32" s="29">
        <v>7611400</v>
      </c>
      <c r="E32" s="30" t="s">
        <v>37</v>
      </c>
      <c r="F32" s="31" t="s">
        <v>460</v>
      </c>
      <c r="G32" s="30" t="s">
        <v>46</v>
      </c>
      <c r="H32" s="28" t="s">
        <v>324</v>
      </c>
      <c r="J32" s="43" t="s">
        <v>193</v>
      </c>
      <c r="K32" s="34" t="s">
        <v>192</v>
      </c>
      <c r="L32" s="36" t="s">
        <v>33</v>
      </c>
      <c r="M32" s="36" t="s">
        <v>63</v>
      </c>
      <c r="N32" s="36" t="s">
        <v>193</v>
      </c>
    </row>
    <row r="33" spans="1:14" ht="18" customHeight="1">
      <c r="A33" s="29">
        <v>7611500</v>
      </c>
      <c r="B33" s="28" t="s">
        <v>325</v>
      </c>
      <c r="C33" s="29">
        <v>7611500</v>
      </c>
      <c r="D33" s="29">
        <v>7611500</v>
      </c>
      <c r="E33" s="30" t="s">
        <v>37</v>
      </c>
      <c r="F33" s="31" t="s">
        <v>423</v>
      </c>
      <c r="G33" s="30" t="s">
        <v>46</v>
      </c>
      <c r="H33" s="28" t="s">
        <v>326</v>
      </c>
      <c r="J33" s="43" t="s">
        <v>176</v>
      </c>
      <c r="K33" s="34" t="s">
        <v>175</v>
      </c>
      <c r="L33" s="36" t="s">
        <v>33</v>
      </c>
      <c r="M33" s="36" t="s">
        <v>63</v>
      </c>
      <c r="N33" s="36" t="s">
        <v>176</v>
      </c>
    </row>
    <row r="34" spans="1:14" ht="18" customHeight="1">
      <c r="A34" s="29">
        <v>7611600</v>
      </c>
      <c r="B34" s="28" t="s">
        <v>327</v>
      </c>
      <c r="C34" s="29">
        <v>7611600</v>
      </c>
      <c r="D34" s="29">
        <v>7611600</v>
      </c>
      <c r="E34" s="30" t="s">
        <v>37</v>
      </c>
      <c r="F34" s="31" t="s">
        <v>417</v>
      </c>
      <c r="G34" s="30" t="s">
        <v>46</v>
      </c>
      <c r="H34" s="28" t="s">
        <v>328</v>
      </c>
      <c r="J34" s="43" t="s">
        <v>178</v>
      </c>
      <c r="K34" s="34" t="s">
        <v>177</v>
      </c>
      <c r="L34" s="36" t="s">
        <v>33</v>
      </c>
      <c r="M34" s="36" t="s">
        <v>63</v>
      </c>
      <c r="N34" s="36" t="s">
        <v>178</v>
      </c>
    </row>
    <row r="35" spans="1:14" ht="18" customHeight="1">
      <c r="A35" s="29">
        <v>7611700</v>
      </c>
      <c r="B35" s="28" t="s">
        <v>329</v>
      </c>
      <c r="C35" s="29">
        <v>7611700</v>
      </c>
      <c r="D35" s="29">
        <v>7611700</v>
      </c>
      <c r="E35" s="30" t="s">
        <v>37</v>
      </c>
      <c r="F35" s="31" t="s">
        <v>421</v>
      </c>
      <c r="G35" s="30" t="s">
        <v>46</v>
      </c>
      <c r="H35" s="28" t="s">
        <v>330</v>
      </c>
      <c r="J35" s="43" t="s">
        <v>108</v>
      </c>
      <c r="K35" s="34" t="s">
        <v>107</v>
      </c>
      <c r="L35" s="36" t="s">
        <v>33</v>
      </c>
      <c r="M35" s="36" t="s">
        <v>63</v>
      </c>
      <c r="N35" s="36" t="s">
        <v>108</v>
      </c>
    </row>
    <row r="36" spans="1:14" ht="18" customHeight="1">
      <c r="A36" s="29">
        <v>7611800</v>
      </c>
      <c r="B36" s="28" t="s">
        <v>88</v>
      </c>
      <c r="C36" s="29">
        <v>7611800</v>
      </c>
      <c r="D36" s="29">
        <v>7611800</v>
      </c>
      <c r="E36" s="30" t="s">
        <v>37</v>
      </c>
      <c r="F36" s="31" t="s">
        <v>89</v>
      </c>
      <c r="G36" s="30" t="s">
        <v>46</v>
      </c>
      <c r="H36" s="28" t="s">
        <v>331</v>
      </c>
      <c r="J36" s="43" t="s">
        <v>172</v>
      </c>
      <c r="K36" s="34" t="s">
        <v>171</v>
      </c>
      <c r="L36" s="36" t="s">
        <v>33</v>
      </c>
      <c r="M36" s="36" t="s">
        <v>63</v>
      </c>
      <c r="N36" s="36" t="s">
        <v>172</v>
      </c>
    </row>
    <row r="37" spans="1:14" ht="18" customHeight="1">
      <c r="A37" s="29">
        <v>7621101</v>
      </c>
      <c r="B37" s="28" t="s">
        <v>332</v>
      </c>
      <c r="C37" s="29">
        <v>7621101</v>
      </c>
      <c r="D37" s="29">
        <v>7621101</v>
      </c>
      <c r="E37" s="30" t="s">
        <v>37</v>
      </c>
      <c r="F37" s="31" t="s">
        <v>461</v>
      </c>
      <c r="G37" s="30" t="s">
        <v>44</v>
      </c>
      <c r="H37" s="28" t="s">
        <v>333</v>
      </c>
      <c r="J37" s="33" t="s">
        <v>170</v>
      </c>
      <c r="K37" s="34" t="s">
        <v>169</v>
      </c>
      <c r="L37" s="36" t="s">
        <v>33</v>
      </c>
      <c r="M37" s="36" t="s">
        <v>63</v>
      </c>
      <c r="N37" s="36" t="s">
        <v>170</v>
      </c>
    </row>
    <row r="38" spans="1:14" ht="18" customHeight="1">
      <c r="A38" s="29">
        <v>7621199</v>
      </c>
      <c r="B38" s="28" t="s">
        <v>334</v>
      </c>
      <c r="C38" s="29">
        <v>7621199</v>
      </c>
      <c r="D38" s="29">
        <v>7621199</v>
      </c>
      <c r="E38" s="30" t="s">
        <v>37</v>
      </c>
      <c r="F38" s="31" t="s">
        <v>462</v>
      </c>
      <c r="G38" s="30" t="s">
        <v>335</v>
      </c>
      <c r="H38" s="28" t="s">
        <v>336</v>
      </c>
      <c r="J38" s="33" t="s">
        <v>112</v>
      </c>
      <c r="K38" s="34" t="s">
        <v>111</v>
      </c>
      <c r="L38" s="36" t="s">
        <v>33</v>
      </c>
      <c r="M38" s="36" t="s">
        <v>63</v>
      </c>
      <c r="N38" s="36" t="s">
        <v>112</v>
      </c>
    </row>
    <row r="39" spans="1:14" ht="18" customHeight="1">
      <c r="A39" s="29">
        <v>7631101</v>
      </c>
      <c r="B39" s="28" t="s">
        <v>219</v>
      </c>
      <c r="C39" s="29">
        <v>7631101</v>
      </c>
      <c r="D39" s="29">
        <v>7631101</v>
      </c>
      <c r="E39" s="30" t="s">
        <v>37</v>
      </c>
      <c r="F39" s="31" t="s">
        <v>221</v>
      </c>
      <c r="G39" s="30" t="s">
        <v>222</v>
      </c>
      <c r="H39" s="28" t="s">
        <v>337</v>
      </c>
      <c r="J39" s="44" t="s">
        <v>100</v>
      </c>
      <c r="K39" s="45" t="s">
        <v>99</v>
      </c>
      <c r="L39" s="46" t="s">
        <v>37</v>
      </c>
      <c r="M39" s="46" t="s">
        <v>36</v>
      </c>
      <c r="N39" s="46" t="s">
        <v>100</v>
      </c>
    </row>
    <row r="40" spans="1:14" ht="18" customHeight="1">
      <c r="A40" s="29">
        <v>7631102</v>
      </c>
      <c r="B40" s="28" t="s">
        <v>223</v>
      </c>
      <c r="C40" s="29">
        <v>7631102</v>
      </c>
      <c r="D40" s="29">
        <v>7631102</v>
      </c>
      <c r="E40" s="30" t="s">
        <v>37</v>
      </c>
      <c r="F40" s="31" t="s">
        <v>225</v>
      </c>
      <c r="G40" s="30" t="s">
        <v>226</v>
      </c>
      <c r="H40" s="28" t="s">
        <v>338</v>
      </c>
      <c r="J40" s="33" t="s">
        <v>174</v>
      </c>
      <c r="K40" s="34" t="s">
        <v>173</v>
      </c>
      <c r="L40" s="36" t="s">
        <v>33</v>
      </c>
      <c r="M40" s="36" t="s">
        <v>63</v>
      </c>
      <c r="N40" s="36" t="s">
        <v>174</v>
      </c>
    </row>
    <row r="41" spans="1:14" ht="18" customHeight="1">
      <c r="A41" s="29">
        <v>7641101</v>
      </c>
      <c r="B41" s="28" t="s">
        <v>204</v>
      </c>
      <c r="C41" s="29">
        <v>7641101</v>
      </c>
      <c r="D41" s="29">
        <v>7641101</v>
      </c>
      <c r="E41" s="30" t="s">
        <v>37</v>
      </c>
      <c r="F41" s="31" t="s">
        <v>205</v>
      </c>
      <c r="G41" s="30" t="s">
        <v>60</v>
      </c>
      <c r="H41" s="28" t="s">
        <v>339</v>
      </c>
      <c r="J41" s="33" t="s">
        <v>62</v>
      </c>
      <c r="K41" s="34" t="s">
        <v>61</v>
      </c>
      <c r="L41" s="36" t="s">
        <v>33</v>
      </c>
      <c r="M41" s="36" t="s">
        <v>63</v>
      </c>
      <c r="N41" s="36" t="s">
        <v>62</v>
      </c>
    </row>
    <row r="42" spans="1:14" ht="18" customHeight="1">
      <c r="A42" s="29">
        <v>7641102</v>
      </c>
      <c r="B42" s="28" t="s">
        <v>29</v>
      </c>
      <c r="C42" s="29">
        <v>7641102</v>
      </c>
      <c r="D42" s="29">
        <v>7641102</v>
      </c>
      <c r="E42" s="30" t="s">
        <v>37</v>
      </c>
      <c r="F42" s="31" t="s">
        <v>59</v>
      </c>
      <c r="G42" s="30" t="s">
        <v>60</v>
      </c>
      <c r="H42" s="28" t="s">
        <v>340</v>
      </c>
      <c r="J42" s="28" t="s">
        <v>342</v>
      </c>
      <c r="K42" s="29" t="s">
        <v>343</v>
      </c>
      <c r="N42" s="28" t="s">
        <v>342</v>
      </c>
    </row>
    <row r="43" spans="1:14" ht="18" customHeight="1">
      <c r="A43" s="29">
        <v>7641103</v>
      </c>
      <c r="B43" s="28" t="s">
        <v>209</v>
      </c>
      <c r="C43" s="29">
        <v>7641103</v>
      </c>
      <c r="D43" s="29">
        <v>7641103</v>
      </c>
      <c r="E43" s="30" t="s">
        <v>37</v>
      </c>
      <c r="F43" s="31" t="s">
        <v>210</v>
      </c>
      <c r="G43" s="30" t="s">
        <v>53</v>
      </c>
      <c r="H43" s="28" t="s">
        <v>341</v>
      </c>
    </row>
    <row r="44" spans="1:14" ht="18" customHeight="1">
      <c r="A44" s="29">
        <v>7641104</v>
      </c>
      <c r="B44" s="28" t="s">
        <v>238</v>
      </c>
      <c r="C44" s="29">
        <v>7641104</v>
      </c>
      <c r="D44" s="29">
        <v>7641104</v>
      </c>
      <c r="E44" s="30" t="s">
        <v>37</v>
      </c>
      <c r="F44" s="31" t="s">
        <v>463</v>
      </c>
      <c r="G44" s="30" t="s">
        <v>53</v>
      </c>
      <c r="H44" s="28" t="s">
        <v>344</v>
      </c>
    </row>
    <row r="45" spans="1:14" ht="18" customHeight="1">
      <c r="A45" s="29">
        <v>7651101</v>
      </c>
      <c r="B45" s="28" t="s">
        <v>23</v>
      </c>
      <c r="C45" s="29">
        <v>7651101</v>
      </c>
      <c r="D45" s="29">
        <v>7651101</v>
      </c>
      <c r="E45" s="30" t="s">
        <v>37</v>
      </c>
      <c r="F45" s="31" t="s">
        <v>49</v>
      </c>
      <c r="G45" s="30" t="s">
        <v>44</v>
      </c>
      <c r="H45" s="28" t="s">
        <v>345</v>
      </c>
    </row>
    <row r="46" spans="1:14" ht="18" customHeight="1">
      <c r="A46" s="29">
        <v>7651102</v>
      </c>
      <c r="B46" s="28" t="s">
        <v>21</v>
      </c>
      <c r="C46" s="29">
        <v>7651102</v>
      </c>
      <c r="D46" s="29">
        <v>7651102</v>
      </c>
      <c r="E46" s="30" t="s">
        <v>37</v>
      </c>
      <c r="F46" s="31" t="s">
        <v>45</v>
      </c>
      <c r="G46" s="30" t="s">
        <v>44</v>
      </c>
      <c r="H46" s="28" t="s">
        <v>346</v>
      </c>
    </row>
    <row r="47" spans="1:14" ht="18" customHeight="1">
      <c r="A47" s="29">
        <v>7651103</v>
      </c>
      <c r="B47" s="28" t="s">
        <v>20</v>
      </c>
      <c r="C47" s="29">
        <v>7651103</v>
      </c>
      <c r="D47" s="29">
        <v>7651103</v>
      </c>
      <c r="E47" s="30" t="s">
        <v>37</v>
      </c>
      <c r="F47" s="31" t="s">
        <v>43</v>
      </c>
      <c r="G47" s="30" t="s">
        <v>44</v>
      </c>
      <c r="H47" s="28" t="s">
        <v>347</v>
      </c>
    </row>
    <row r="48" spans="1:14" ht="18" customHeight="1">
      <c r="A48" s="29">
        <v>7661101</v>
      </c>
      <c r="B48" s="28" t="s">
        <v>24</v>
      </c>
      <c r="C48" s="29">
        <v>7661101</v>
      </c>
      <c r="D48" s="29">
        <v>7661101</v>
      </c>
      <c r="E48" s="30" t="s">
        <v>37</v>
      </c>
      <c r="F48" s="31" t="s">
        <v>50</v>
      </c>
      <c r="G48" s="30" t="s">
        <v>51</v>
      </c>
      <c r="H48" s="28" t="s">
        <v>348</v>
      </c>
    </row>
    <row r="49" spans="1:8" ht="18" customHeight="1">
      <c r="A49" s="29">
        <v>7671102</v>
      </c>
      <c r="B49" s="28" t="s">
        <v>179</v>
      </c>
      <c r="C49" s="29">
        <v>7671102</v>
      </c>
      <c r="D49" s="29">
        <v>7671102</v>
      </c>
      <c r="E49" s="30" t="s">
        <v>37</v>
      </c>
      <c r="F49" s="31" t="s">
        <v>181</v>
      </c>
      <c r="G49" s="30" t="s">
        <v>53</v>
      </c>
      <c r="H49" s="28" t="s">
        <v>349</v>
      </c>
    </row>
    <row r="50" spans="1:8" ht="18" customHeight="1">
      <c r="A50" s="29">
        <v>7671103</v>
      </c>
      <c r="B50" s="28" t="s">
        <v>188</v>
      </c>
      <c r="C50" s="29">
        <v>7671103</v>
      </c>
      <c r="D50" s="29">
        <v>7671103</v>
      </c>
      <c r="E50" s="30" t="s">
        <v>37</v>
      </c>
      <c r="F50" s="31" t="s">
        <v>189</v>
      </c>
      <c r="G50" s="30" t="s">
        <v>53</v>
      </c>
      <c r="H50" s="28" t="s">
        <v>350</v>
      </c>
    </row>
    <row r="51" spans="1:8" ht="18" customHeight="1">
      <c r="A51" s="29">
        <v>7681101</v>
      </c>
      <c r="B51" s="28" t="s">
        <v>134</v>
      </c>
      <c r="C51" s="29">
        <v>7681101</v>
      </c>
      <c r="D51" s="29">
        <v>7681101</v>
      </c>
      <c r="E51" s="30" t="s">
        <v>37</v>
      </c>
      <c r="F51" s="31" t="s">
        <v>158</v>
      </c>
      <c r="G51" s="30" t="s">
        <v>53</v>
      </c>
      <c r="H51" s="28" t="s">
        <v>351</v>
      </c>
    </row>
    <row r="52" spans="1:8" ht="18" customHeight="1">
      <c r="A52" s="29">
        <v>7691000</v>
      </c>
      <c r="B52" s="28" t="s">
        <v>70</v>
      </c>
      <c r="C52" s="29">
        <v>7691000</v>
      </c>
      <c r="D52" s="29">
        <v>7691000</v>
      </c>
      <c r="E52" s="30" t="s">
        <v>37</v>
      </c>
      <c r="F52" s="31" t="s">
        <v>113</v>
      </c>
      <c r="G52" s="30" t="s">
        <v>53</v>
      </c>
      <c r="H52" s="28" t="s">
        <v>352</v>
      </c>
    </row>
    <row r="53" spans="1:8" ht="18" customHeight="1">
      <c r="A53" s="29">
        <v>7711101</v>
      </c>
      <c r="B53" s="28" t="s">
        <v>27</v>
      </c>
      <c r="C53" s="29">
        <v>7711101</v>
      </c>
      <c r="D53" s="29">
        <v>7711101</v>
      </c>
      <c r="E53" s="30" t="s">
        <v>37</v>
      </c>
      <c r="F53" s="31" t="s">
        <v>55</v>
      </c>
      <c r="G53" s="30" t="s">
        <v>53</v>
      </c>
      <c r="H53" s="28" t="s">
        <v>353</v>
      </c>
    </row>
    <row r="54" spans="1:8" ht="18" customHeight="1">
      <c r="A54" s="29">
        <v>7711102</v>
      </c>
      <c r="B54" s="28" t="s">
        <v>73</v>
      </c>
      <c r="C54" s="29">
        <v>7711102</v>
      </c>
      <c r="D54" s="29">
        <v>7711102</v>
      </c>
      <c r="E54" s="30" t="s">
        <v>37</v>
      </c>
      <c r="F54" s="31" t="s">
        <v>94</v>
      </c>
      <c r="G54" s="30" t="s">
        <v>95</v>
      </c>
      <c r="H54" s="28" t="s">
        <v>354</v>
      </c>
    </row>
    <row r="55" spans="1:8" ht="18" customHeight="1">
      <c r="A55" s="29">
        <v>7711103</v>
      </c>
      <c r="B55" s="28" t="s">
        <v>130</v>
      </c>
      <c r="C55" s="29">
        <v>7711103</v>
      </c>
      <c r="D55" s="29">
        <v>7711103</v>
      </c>
      <c r="E55" s="30" t="s">
        <v>37</v>
      </c>
      <c r="F55" s="31" t="s">
        <v>131</v>
      </c>
      <c r="G55" s="30" t="s">
        <v>53</v>
      </c>
      <c r="H55" s="28" t="s">
        <v>355</v>
      </c>
    </row>
    <row r="56" spans="1:8" ht="18" customHeight="1">
      <c r="A56" s="29">
        <v>7721101</v>
      </c>
      <c r="B56" s="28" t="s">
        <v>92</v>
      </c>
      <c r="C56" s="29">
        <v>7721101</v>
      </c>
      <c r="D56" s="29">
        <v>7721101</v>
      </c>
      <c r="E56" s="30" t="s">
        <v>37</v>
      </c>
      <c r="F56" s="31" t="s">
        <v>93</v>
      </c>
      <c r="G56" s="30" t="s">
        <v>53</v>
      </c>
      <c r="H56" s="28" t="s">
        <v>356</v>
      </c>
    </row>
    <row r="57" spans="1:8" ht="18" customHeight="1">
      <c r="A57" s="29">
        <v>7729101</v>
      </c>
      <c r="B57" s="28" t="s">
        <v>22</v>
      </c>
      <c r="C57" s="29">
        <v>7729101</v>
      </c>
      <c r="D57" s="29">
        <v>7729101</v>
      </c>
      <c r="E57" s="30" t="s">
        <v>37</v>
      </c>
      <c r="F57" s="31" t="s">
        <v>47</v>
      </c>
      <c r="G57" s="30" t="s">
        <v>48</v>
      </c>
      <c r="H57" s="28" t="s">
        <v>357</v>
      </c>
    </row>
    <row r="58" spans="1:8" ht="18" customHeight="1">
      <c r="A58" s="29">
        <v>7729103</v>
      </c>
      <c r="B58" s="28" t="s">
        <v>97</v>
      </c>
      <c r="C58" s="29">
        <v>7729103</v>
      </c>
      <c r="D58" s="29">
        <v>7729103</v>
      </c>
      <c r="E58" s="30" t="s">
        <v>37</v>
      </c>
      <c r="F58" s="31" t="s">
        <v>101</v>
      </c>
      <c r="G58" s="30" t="s">
        <v>102</v>
      </c>
      <c r="H58" s="28" t="s">
        <v>358</v>
      </c>
    </row>
    <row r="59" spans="1:8" ht="18" customHeight="1">
      <c r="A59" s="29">
        <v>7729105</v>
      </c>
      <c r="B59" s="28" t="s">
        <v>359</v>
      </c>
      <c r="C59" s="29">
        <v>7729105</v>
      </c>
      <c r="D59" s="29">
        <v>7729105</v>
      </c>
      <c r="E59" s="30" t="s">
        <v>37</v>
      </c>
      <c r="F59" s="31" t="s">
        <v>464</v>
      </c>
      <c r="G59" s="30" t="s">
        <v>53</v>
      </c>
      <c r="H59" s="28" t="s">
        <v>360</v>
      </c>
    </row>
    <row r="60" spans="1:8" ht="18" customHeight="1">
      <c r="A60" s="29">
        <v>7781101</v>
      </c>
      <c r="B60" s="28" t="s">
        <v>76</v>
      </c>
      <c r="C60" s="29">
        <v>7781101</v>
      </c>
      <c r="D60" s="29">
        <v>7781101</v>
      </c>
      <c r="E60" s="30" t="s">
        <v>37</v>
      </c>
      <c r="F60" s="31" t="s">
        <v>96</v>
      </c>
      <c r="G60" s="30" t="s">
        <v>53</v>
      </c>
      <c r="H60" s="28" t="s">
        <v>361</v>
      </c>
    </row>
    <row r="61" spans="1:8" ht="18" customHeight="1">
      <c r="A61" s="29">
        <v>7781103</v>
      </c>
      <c r="B61" s="28" t="s">
        <v>25</v>
      </c>
      <c r="C61" s="29">
        <v>7781103</v>
      </c>
      <c r="D61" s="29">
        <v>7781103</v>
      </c>
      <c r="E61" s="30" t="s">
        <v>37</v>
      </c>
      <c r="F61" s="31" t="s">
        <v>52</v>
      </c>
      <c r="G61" s="30" t="s">
        <v>53</v>
      </c>
      <c r="H61" s="28" t="s">
        <v>362</v>
      </c>
    </row>
    <row r="62" spans="1:8" ht="18" customHeight="1">
      <c r="A62" s="29">
        <v>7781104</v>
      </c>
      <c r="B62" s="28" t="s">
        <v>363</v>
      </c>
      <c r="C62" s="29">
        <v>7781104</v>
      </c>
      <c r="D62" s="29">
        <v>7781104</v>
      </c>
      <c r="E62" s="30" t="s">
        <v>37</v>
      </c>
      <c r="F62" s="31" t="s">
        <v>465</v>
      </c>
      <c r="G62" s="30" t="s">
        <v>53</v>
      </c>
      <c r="H62" s="28" t="s">
        <v>364</v>
      </c>
    </row>
    <row r="63" spans="1:8" ht="18" customHeight="1">
      <c r="A63" s="29">
        <v>7781105</v>
      </c>
      <c r="B63" s="28" t="s">
        <v>254</v>
      </c>
      <c r="C63" s="29">
        <v>7781105</v>
      </c>
      <c r="D63" s="29">
        <v>7781105</v>
      </c>
      <c r="E63" s="30" t="s">
        <v>37</v>
      </c>
      <c r="F63" s="31" t="s">
        <v>413</v>
      </c>
      <c r="G63" s="30" t="s">
        <v>53</v>
      </c>
      <c r="H63" s="28" t="s">
        <v>365</v>
      </c>
    </row>
    <row r="64" spans="1:8" ht="18" customHeight="1">
      <c r="A64" s="29">
        <v>7781106</v>
      </c>
      <c r="B64" s="28" t="s">
        <v>366</v>
      </c>
      <c r="C64" s="29">
        <v>7781106</v>
      </c>
      <c r="D64" s="29">
        <v>7781106</v>
      </c>
      <c r="E64" s="30" t="s">
        <v>37</v>
      </c>
      <c r="F64" s="31" t="s">
        <v>466</v>
      </c>
      <c r="G64" s="30" t="s">
        <v>53</v>
      </c>
      <c r="H64" s="28" t="s">
        <v>367</v>
      </c>
    </row>
    <row r="65" spans="1:8" ht="18" customHeight="1">
      <c r="A65" s="29">
        <v>7781107</v>
      </c>
      <c r="B65" s="28" t="s">
        <v>198</v>
      </c>
      <c r="C65" s="29">
        <v>7781107</v>
      </c>
      <c r="D65" s="29">
        <v>7781107</v>
      </c>
      <c r="E65" s="30" t="s">
        <v>37</v>
      </c>
      <c r="F65" s="31" t="s">
        <v>56</v>
      </c>
      <c r="G65" s="30" t="s">
        <v>57</v>
      </c>
      <c r="H65" s="28" t="s">
        <v>368</v>
      </c>
    </row>
    <row r="66" spans="1:8" ht="18" customHeight="1">
      <c r="A66" s="29">
        <v>7781111</v>
      </c>
      <c r="B66" s="28" t="s">
        <v>199</v>
      </c>
      <c r="C66" s="29">
        <v>7781111</v>
      </c>
      <c r="D66" s="29">
        <v>7781111</v>
      </c>
      <c r="E66" s="30" t="s">
        <v>37</v>
      </c>
      <c r="F66" s="31" t="s">
        <v>200</v>
      </c>
      <c r="G66" s="30" t="s">
        <v>53</v>
      </c>
      <c r="H66" s="28" t="s">
        <v>369</v>
      </c>
    </row>
    <row r="67" spans="1:8" ht="18" customHeight="1">
      <c r="A67" s="29">
        <v>7781112</v>
      </c>
      <c r="B67" s="28" t="s">
        <v>26</v>
      </c>
      <c r="C67" s="29">
        <v>7781112</v>
      </c>
      <c r="D67" s="29">
        <v>7781112</v>
      </c>
      <c r="E67" s="30" t="s">
        <v>37</v>
      </c>
      <c r="F67" s="31" t="s">
        <v>54</v>
      </c>
      <c r="G67" s="30" t="s">
        <v>53</v>
      </c>
      <c r="H67" s="28" t="s">
        <v>370</v>
      </c>
    </row>
    <row r="68" spans="1:8" ht="18" customHeight="1">
      <c r="A68" s="29">
        <v>7781113</v>
      </c>
      <c r="B68" s="28" t="s">
        <v>85</v>
      </c>
      <c r="C68" s="29">
        <v>7781113</v>
      </c>
      <c r="D68" s="29">
        <v>7781113</v>
      </c>
      <c r="E68" s="30" t="s">
        <v>37</v>
      </c>
      <c r="F68" s="31" t="s">
        <v>86</v>
      </c>
      <c r="G68" s="30" t="s">
        <v>53</v>
      </c>
      <c r="H68" s="28" t="s">
        <v>371</v>
      </c>
    </row>
    <row r="69" spans="1:8" ht="18" customHeight="1">
      <c r="A69" s="29">
        <v>7411101</v>
      </c>
      <c r="B69" s="28" t="s">
        <v>372</v>
      </c>
      <c r="C69" s="29">
        <v>7411101</v>
      </c>
      <c r="D69" s="29">
        <v>7411101</v>
      </c>
      <c r="E69" s="30" t="s">
        <v>37</v>
      </c>
      <c r="F69" s="31" t="s">
        <v>249</v>
      </c>
      <c r="G69" s="30" t="s">
        <v>250</v>
      </c>
      <c r="H69" s="28" t="s">
        <v>373</v>
      </c>
    </row>
    <row r="70" spans="1:8" ht="18" customHeight="1">
      <c r="A70" s="29">
        <v>7411103</v>
      </c>
      <c r="B70" s="28" t="s">
        <v>246</v>
      </c>
      <c r="C70" s="29">
        <v>7411103</v>
      </c>
      <c r="D70" s="29">
        <v>7411103</v>
      </c>
      <c r="E70" s="30" t="s">
        <v>37</v>
      </c>
      <c r="F70" s="31" t="s">
        <v>247</v>
      </c>
      <c r="G70" s="30" t="s">
        <v>248</v>
      </c>
      <c r="H70" s="28" t="s">
        <v>374</v>
      </c>
    </row>
    <row r="71" spans="1:8" ht="18" customHeight="1">
      <c r="A71" s="29">
        <v>7411104</v>
      </c>
      <c r="B71" s="28" t="s">
        <v>375</v>
      </c>
      <c r="C71" s="29">
        <v>7411104</v>
      </c>
      <c r="D71" s="29">
        <v>7411104</v>
      </c>
      <c r="E71" s="30" t="s">
        <v>37</v>
      </c>
      <c r="F71" s="31" t="s">
        <v>467</v>
      </c>
      <c r="G71" s="30" t="s">
        <v>376</v>
      </c>
      <c r="H71" s="28" t="s">
        <v>377</v>
      </c>
    </row>
    <row r="72" spans="1:8" ht="18" customHeight="1">
      <c r="A72" s="29">
        <v>7431101</v>
      </c>
      <c r="B72" s="28" t="s">
        <v>242</v>
      </c>
      <c r="C72" s="29">
        <v>7431101</v>
      </c>
      <c r="D72" s="29">
        <v>7431101</v>
      </c>
      <c r="E72" s="30" t="s">
        <v>37</v>
      </c>
      <c r="F72" s="31" t="s">
        <v>243</v>
      </c>
      <c r="G72" s="30" t="s">
        <v>244</v>
      </c>
      <c r="H72" s="28" t="s">
        <v>378</v>
      </c>
    </row>
    <row r="73" spans="1:8" ht="18" customHeight="1">
      <c r="A73" s="29">
        <v>7451101</v>
      </c>
      <c r="B73" s="28" t="s">
        <v>379</v>
      </c>
      <c r="C73" s="29">
        <v>7451101</v>
      </c>
      <c r="D73" s="29">
        <v>7451101</v>
      </c>
      <c r="E73" s="30" t="s">
        <v>37</v>
      </c>
      <c r="F73" s="31" t="s">
        <v>468</v>
      </c>
      <c r="G73" s="30" t="s">
        <v>380</v>
      </c>
      <c r="H73" s="28" t="s">
        <v>381</v>
      </c>
    </row>
    <row r="74" spans="1:8" ht="18" customHeight="1">
      <c r="A74" s="29">
        <v>7451102</v>
      </c>
      <c r="B74" s="28" t="s">
        <v>500</v>
      </c>
      <c r="C74" s="29">
        <v>7451102</v>
      </c>
      <c r="D74" s="29">
        <v>7451102</v>
      </c>
      <c r="E74" s="30" t="s">
        <v>37</v>
      </c>
      <c r="F74" s="31" t="s">
        <v>245</v>
      </c>
      <c r="G74" s="30" t="s">
        <v>382</v>
      </c>
      <c r="H74" s="28" t="s">
        <v>383</v>
      </c>
    </row>
    <row r="75" spans="1:8" ht="18" customHeight="1">
      <c r="A75" s="29">
        <v>7451103</v>
      </c>
      <c r="B75" s="28" t="s">
        <v>499</v>
      </c>
      <c r="C75" s="29">
        <v>7451103</v>
      </c>
      <c r="D75" s="29">
        <v>7451103</v>
      </c>
      <c r="E75" s="30" t="s">
        <v>37</v>
      </c>
      <c r="F75" s="31" t="s">
        <v>240</v>
      </c>
      <c r="G75" s="30" t="s">
        <v>384</v>
      </c>
      <c r="H75" s="28" t="s">
        <v>385</v>
      </c>
    </row>
    <row r="76" spans="1:8" ht="18" customHeight="1">
      <c r="A76" s="29">
        <v>7461101</v>
      </c>
      <c r="B76" s="47" t="s">
        <v>386</v>
      </c>
      <c r="C76" s="29">
        <v>7461101</v>
      </c>
      <c r="D76" s="29">
        <v>7461101</v>
      </c>
      <c r="E76" s="30" t="s">
        <v>37</v>
      </c>
      <c r="F76" s="31" t="s">
        <v>469</v>
      </c>
      <c r="G76" s="30" t="s">
        <v>387</v>
      </c>
      <c r="H76" s="28" t="s">
        <v>388</v>
      </c>
    </row>
    <row r="77" spans="1:8" ht="18" customHeight="1">
      <c r="A77" s="29">
        <v>7411105</v>
      </c>
      <c r="B77" s="28" t="s">
        <v>186</v>
      </c>
      <c r="C77" s="29">
        <v>7411105</v>
      </c>
      <c r="D77" s="29">
        <v>7411105</v>
      </c>
      <c r="E77" s="30" t="s">
        <v>37</v>
      </c>
      <c r="F77" s="30" t="s">
        <v>187</v>
      </c>
      <c r="G77" s="48" t="s">
        <v>389</v>
      </c>
    </row>
    <row r="78" spans="1:8" ht="18" customHeight="1">
      <c r="A78" s="29">
        <v>7471201</v>
      </c>
      <c r="B78" s="28" t="s">
        <v>184</v>
      </c>
      <c r="C78" s="29">
        <v>7471201</v>
      </c>
      <c r="D78" s="29">
        <v>7471201</v>
      </c>
      <c r="E78" s="30" t="s">
        <v>37</v>
      </c>
      <c r="F78" s="30" t="s">
        <v>185</v>
      </c>
      <c r="G78" s="48" t="s">
        <v>389</v>
      </c>
    </row>
    <row r="79" spans="1:8" ht="18" customHeight="1">
      <c r="A79" s="29">
        <v>7751101</v>
      </c>
      <c r="B79" s="28" t="s">
        <v>390</v>
      </c>
      <c r="C79" s="29">
        <v>7751101</v>
      </c>
      <c r="D79" s="29">
        <v>7751101</v>
      </c>
      <c r="E79" s="30" t="s">
        <v>37</v>
      </c>
      <c r="F79" s="30" t="s">
        <v>470</v>
      </c>
    </row>
    <row r="80" spans="1:8" ht="18" customHeight="1">
      <c r="A80" s="29">
        <v>7751102</v>
      </c>
      <c r="B80" s="28" t="s">
        <v>121</v>
      </c>
      <c r="C80" s="29">
        <v>7751102</v>
      </c>
      <c r="D80" s="29">
        <v>7751102</v>
      </c>
      <c r="E80" s="30" t="s">
        <v>37</v>
      </c>
      <c r="F80" s="30" t="s">
        <v>122</v>
      </c>
    </row>
    <row r="81" spans="1:8" ht="18" customHeight="1">
      <c r="A81" s="49">
        <v>7111211</v>
      </c>
      <c r="B81" s="28" t="s">
        <v>391</v>
      </c>
      <c r="C81" s="49">
        <v>7111211</v>
      </c>
      <c r="D81" s="49">
        <v>7111211</v>
      </c>
      <c r="E81" s="49" t="s">
        <v>33</v>
      </c>
      <c r="F81" s="49" t="s">
        <v>448</v>
      </c>
    </row>
    <row r="82" spans="1:8" ht="18" customHeight="1">
      <c r="A82" s="49">
        <v>7111212</v>
      </c>
      <c r="B82" s="28" t="s">
        <v>392</v>
      </c>
      <c r="C82" s="49">
        <v>7111212</v>
      </c>
      <c r="D82" s="49">
        <v>7111212</v>
      </c>
      <c r="E82" s="49" t="s">
        <v>33</v>
      </c>
      <c r="F82" s="49" t="s">
        <v>471</v>
      </c>
    </row>
    <row r="83" spans="1:8" ht="18" customHeight="1">
      <c r="A83" s="49">
        <v>7111221</v>
      </c>
      <c r="B83" s="28" t="s">
        <v>393</v>
      </c>
      <c r="C83" s="49">
        <v>7111221</v>
      </c>
      <c r="D83" s="49">
        <v>7111221</v>
      </c>
      <c r="E83" s="49" t="s">
        <v>33</v>
      </c>
      <c r="F83" s="49" t="s">
        <v>449</v>
      </c>
    </row>
    <row r="84" spans="1:8" ht="18" customHeight="1">
      <c r="A84" s="49">
        <v>7111222</v>
      </c>
      <c r="B84" s="28" t="s">
        <v>394</v>
      </c>
      <c r="C84" s="49">
        <v>7111222</v>
      </c>
      <c r="D84" s="49">
        <v>7111222</v>
      </c>
      <c r="E84" s="49" t="s">
        <v>33</v>
      </c>
      <c r="F84" s="49" t="s">
        <v>450</v>
      </c>
    </row>
    <row r="85" spans="1:8" ht="18" customHeight="1">
      <c r="A85" s="49">
        <v>7111223</v>
      </c>
      <c r="B85" s="28" t="s">
        <v>395</v>
      </c>
      <c r="C85" s="49">
        <v>7111223</v>
      </c>
      <c r="D85" s="49">
        <v>7111223</v>
      </c>
      <c r="E85" s="49" t="s">
        <v>33</v>
      </c>
      <c r="F85" s="49" t="s">
        <v>451</v>
      </c>
    </row>
    <row r="86" spans="1:8" ht="18" customHeight="1">
      <c r="A86" s="49">
        <v>7111311</v>
      </c>
      <c r="B86" s="28" t="s">
        <v>396</v>
      </c>
      <c r="C86" s="49">
        <v>7111311</v>
      </c>
      <c r="D86" s="49">
        <v>7111311</v>
      </c>
      <c r="E86" s="49" t="s">
        <v>33</v>
      </c>
      <c r="F86" s="49" t="s">
        <v>452</v>
      </c>
    </row>
    <row r="87" spans="1:8" ht="18" customHeight="1">
      <c r="A87" s="49">
        <v>7111312</v>
      </c>
      <c r="B87" s="28" t="s">
        <v>397</v>
      </c>
      <c r="C87" s="49">
        <v>7111312</v>
      </c>
      <c r="D87" s="49">
        <v>7111312</v>
      </c>
      <c r="E87" s="49" t="s">
        <v>33</v>
      </c>
      <c r="F87" s="49" t="s">
        <v>472</v>
      </c>
    </row>
    <row r="88" spans="1:8" ht="18" customHeight="1">
      <c r="A88" s="49">
        <v>7111321</v>
      </c>
      <c r="B88" s="28" t="s">
        <v>398</v>
      </c>
      <c r="C88" s="49">
        <v>7111321</v>
      </c>
      <c r="D88" s="49">
        <v>7111321</v>
      </c>
      <c r="E88" s="49" t="s">
        <v>33</v>
      </c>
      <c r="F88" s="49" t="s">
        <v>453</v>
      </c>
    </row>
    <row r="89" spans="1:8" ht="18" customHeight="1">
      <c r="A89" s="49">
        <v>7111322</v>
      </c>
      <c r="B89" s="28" t="s">
        <v>399</v>
      </c>
      <c r="C89" s="49">
        <v>7111322</v>
      </c>
      <c r="D89" s="49">
        <v>7111322</v>
      </c>
      <c r="E89" s="49" t="s">
        <v>33</v>
      </c>
      <c r="F89" s="49" t="s">
        <v>454</v>
      </c>
    </row>
    <row r="90" spans="1:8" ht="18" customHeight="1">
      <c r="A90" s="49">
        <v>7111323</v>
      </c>
      <c r="B90" s="28" t="s">
        <v>400</v>
      </c>
      <c r="C90" s="49">
        <v>7111323</v>
      </c>
      <c r="D90" s="49">
        <v>7111323</v>
      </c>
      <c r="E90" s="49" t="s">
        <v>33</v>
      </c>
      <c r="F90" s="49" t="s">
        <v>455</v>
      </c>
    </row>
    <row r="91" spans="1:8" ht="18" customHeight="1">
      <c r="A91" s="49">
        <v>7111411</v>
      </c>
      <c r="B91" s="28" t="s">
        <v>401</v>
      </c>
      <c r="C91" s="49">
        <v>7111411</v>
      </c>
      <c r="D91" s="49">
        <v>7111411</v>
      </c>
      <c r="E91" s="49" t="s">
        <v>33</v>
      </c>
      <c r="F91" s="49" t="s">
        <v>473</v>
      </c>
    </row>
    <row r="92" spans="1:8" ht="18" customHeight="1">
      <c r="A92" s="49">
        <v>7151101</v>
      </c>
      <c r="B92" s="28" t="s">
        <v>402</v>
      </c>
      <c r="C92" s="49">
        <v>7151101</v>
      </c>
      <c r="D92" s="49">
        <v>7151101</v>
      </c>
      <c r="E92" s="49" t="s">
        <v>33</v>
      </c>
      <c r="F92" s="49" t="s">
        <v>474</v>
      </c>
    </row>
    <row r="93" spans="1:8" ht="18" customHeight="1">
      <c r="A93" s="49">
        <v>7200000</v>
      </c>
      <c r="B93" s="28" t="s">
        <v>403</v>
      </c>
      <c r="C93" s="49">
        <v>7200000</v>
      </c>
      <c r="D93" s="49">
        <v>7200000</v>
      </c>
      <c r="E93" s="49" t="s">
        <v>33</v>
      </c>
      <c r="F93" s="49" t="s">
        <v>475</v>
      </c>
    </row>
    <row r="94" spans="1:8" ht="18" customHeight="1">
      <c r="A94" s="49">
        <v>7211101</v>
      </c>
      <c r="B94" s="28" t="s">
        <v>404</v>
      </c>
      <c r="C94" s="49">
        <v>7211101</v>
      </c>
      <c r="D94" s="49">
        <v>7211101</v>
      </c>
      <c r="E94" s="49" t="s">
        <v>33</v>
      </c>
      <c r="F94" s="49" t="s">
        <v>476</v>
      </c>
    </row>
    <row r="95" spans="1:8" ht="18" customHeight="1">
      <c r="A95" s="49">
        <v>7211102</v>
      </c>
      <c r="B95" s="28" t="s">
        <v>405</v>
      </c>
      <c r="C95" s="49">
        <v>7211102</v>
      </c>
      <c r="D95" s="49">
        <v>7211102</v>
      </c>
      <c r="E95" s="49" t="s">
        <v>33</v>
      </c>
      <c r="F95" s="49" t="s">
        <v>34</v>
      </c>
      <c r="G95" s="49">
        <v>901</v>
      </c>
      <c r="H95" s="28" t="s">
        <v>406</v>
      </c>
    </row>
    <row r="96" spans="1:8" ht="18" customHeight="1">
      <c r="A96" s="49">
        <v>7211103</v>
      </c>
      <c r="B96" s="28" t="s">
        <v>234</v>
      </c>
      <c r="C96" s="49">
        <v>7211103</v>
      </c>
      <c r="D96" s="49">
        <v>7211103</v>
      </c>
      <c r="E96" s="49" t="s">
        <v>33</v>
      </c>
      <c r="F96" s="49" t="s">
        <v>235</v>
      </c>
      <c r="G96" s="49"/>
    </row>
    <row r="97" spans="1:8" ht="18" customHeight="1">
      <c r="A97" s="49">
        <v>7211104</v>
      </c>
      <c r="B97" s="28" t="s">
        <v>407</v>
      </c>
      <c r="C97" s="49">
        <v>7211104</v>
      </c>
      <c r="D97" s="49">
        <v>7211104</v>
      </c>
      <c r="E97" s="49" t="s">
        <v>33</v>
      </c>
      <c r="F97" s="49" t="s">
        <v>477</v>
      </c>
      <c r="G97" s="49">
        <v>302</v>
      </c>
    </row>
    <row r="98" spans="1:8" ht="18" customHeight="1">
      <c r="A98" s="49">
        <v>7221101</v>
      </c>
      <c r="B98" s="28" t="s">
        <v>227</v>
      </c>
      <c r="C98" s="49">
        <v>7221101</v>
      </c>
      <c r="D98" s="49">
        <v>7221101</v>
      </c>
      <c r="E98" s="49" t="s">
        <v>33</v>
      </c>
      <c r="F98" s="49" t="s">
        <v>228</v>
      </c>
      <c r="G98" s="49">
        <v>302</v>
      </c>
      <c r="H98" s="28" t="s">
        <v>408</v>
      </c>
    </row>
    <row r="99" spans="1:8" ht="18" customHeight="1">
      <c r="A99" s="49">
        <v>7221102</v>
      </c>
      <c r="B99" s="28" t="s">
        <v>229</v>
      </c>
      <c r="C99" s="49">
        <v>7221102</v>
      </c>
      <c r="D99" s="49">
        <v>7221102</v>
      </c>
      <c r="E99" s="49" t="s">
        <v>33</v>
      </c>
      <c r="F99" s="49" t="s">
        <v>230</v>
      </c>
      <c r="G99" s="49">
        <v>301</v>
      </c>
      <c r="H99" s="28" t="s">
        <v>409</v>
      </c>
    </row>
    <row r="100" spans="1:8" ht="18" customHeight="1">
      <c r="A100" s="49">
        <v>7511101</v>
      </c>
      <c r="B100" s="28" t="s">
        <v>117</v>
      </c>
      <c r="C100" s="49">
        <v>7511101</v>
      </c>
      <c r="D100" s="49">
        <v>7511101</v>
      </c>
      <c r="E100" s="49" t="s">
        <v>33</v>
      </c>
      <c r="F100" s="49" t="s">
        <v>478</v>
      </c>
      <c r="G100" s="49">
        <v>602</v>
      </c>
      <c r="H100" s="28" t="s">
        <v>117</v>
      </c>
    </row>
    <row r="101" spans="1:8" ht="18" customHeight="1">
      <c r="A101" s="49">
        <v>7511102</v>
      </c>
      <c r="B101" s="28" t="s">
        <v>17</v>
      </c>
      <c r="C101" s="49">
        <v>7511102</v>
      </c>
      <c r="D101" s="49">
        <v>7511102</v>
      </c>
      <c r="E101" s="49" t="s">
        <v>33</v>
      </c>
      <c r="F101" s="49" t="s">
        <v>80</v>
      </c>
      <c r="G101" s="49">
        <v>602</v>
      </c>
      <c r="H101" s="28" t="s">
        <v>268</v>
      </c>
    </row>
    <row r="102" spans="1:8" ht="18" customHeight="1">
      <c r="A102" s="49">
        <v>7511103</v>
      </c>
      <c r="B102" s="28" t="s">
        <v>271</v>
      </c>
      <c r="C102" s="49">
        <v>7511103</v>
      </c>
      <c r="D102" s="49">
        <v>7511103</v>
      </c>
      <c r="E102" s="49" t="s">
        <v>33</v>
      </c>
      <c r="F102" s="49" t="s">
        <v>424</v>
      </c>
      <c r="G102" s="49">
        <v>601</v>
      </c>
      <c r="H102" s="28" t="s">
        <v>273</v>
      </c>
    </row>
    <row r="103" spans="1:8" ht="18" customHeight="1">
      <c r="A103" s="49">
        <v>7511111</v>
      </c>
      <c r="B103" s="28" t="s">
        <v>277</v>
      </c>
      <c r="C103" s="49">
        <v>7511111</v>
      </c>
      <c r="D103" s="49">
        <v>7511111</v>
      </c>
      <c r="E103" s="49" t="s">
        <v>33</v>
      </c>
      <c r="F103" s="49" t="s">
        <v>425</v>
      </c>
      <c r="G103" s="49">
        <v>601</v>
      </c>
      <c r="H103" s="28" t="s">
        <v>278</v>
      </c>
    </row>
    <row r="104" spans="1:8" ht="18" customHeight="1">
      <c r="A104" s="49">
        <v>7511112</v>
      </c>
      <c r="B104" s="28" t="s">
        <v>279</v>
      </c>
      <c r="C104" s="49">
        <v>7511112</v>
      </c>
      <c r="D104" s="49">
        <v>7511112</v>
      </c>
      <c r="E104" s="49" t="s">
        <v>33</v>
      </c>
      <c r="F104" s="49" t="s">
        <v>479</v>
      </c>
      <c r="G104" s="49">
        <v>601</v>
      </c>
      <c r="H104" s="28" t="s">
        <v>280</v>
      </c>
    </row>
    <row r="105" spans="1:8" ht="18" customHeight="1">
      <c r="A105" s="49">
        <v>7511121</v>
      </c>
      <c r="B105" s="28" t="s">
        <v>281</v>
      </c>
      <c r="C105" s="49">
        <v>7511121</v>
      </c>
      <c r="D105" s="49">
        <v>7511121</v>
      </c>
      <c r="E105" s="49" t="s">
        <v>33</v>
      </c>
      <c r="F105" s="49" t="s">
        <v>426</v>
      </c>
      <c r="G105" s="49">
        <v>601</v>
      </c>
      <c r="H105" s="28" t="s">
        <v>282</v>
      </c>
    </row>
    <row r="106" spans="1:8" ht="18" customHeight="1">
      <c r="A106" s="49">
        <v>7511122</v>
      </c>
      <c r="B106" s="28" t="s">
        <v>283</v>
      </c>
      <c r="C106" s="49">
        <v>7511122</v>
      </c>
      <c r="D106" s="49">
        <v>7511122</v>
      </c>
      <c r="E106" s="49" t="s">
        <v>33</v>
      </c>
      <c r="F106" s="49" t="s">
        <v>427</v>
      </c>
      <c r="G106" s="49">
        <v>601</v>
      </c>
      <c r="H106" s="28" t="s">
        <v>284</v>
      </c>
    </row>
    <row r="107" spans="1:8" ht="18" customHeight="1">
      <c r="A107" s="49">
        <v>7511201</v>
      </c>
      <c r="B107" s="28" t="s">
        <v>285</v>
      </c>
      <c r="C107" s="49">
        <v>7511201</v>
      </c>
      <c r="D107" s="49">
        <v>7511201</v>
      </c>
      <c r="E107" s="49" t="s">
        <v>33</v>
      </c>
      <c r="F107" s="49" t="s">
        <v>428</v>
      </c>
      <c r="G107" s="49">
        <v>603</v>
      </c>
      <c r="H107" s="28" t="s">
        <v>287</v>
      </c>
    </row>
    <row r="108" spans="1:8" ht="18" customHeight="1">
      <c r="A108" s="49">
        <v>7512111</v>
      </c>
      <c r="B108" s="28" t="s">
        <v>288</v>
      </c>
      <c r="C108" s="49">
        <v>7512111</v>
      </c>
      <c r="D108" s="49">
        <v>7512111</v>
      </c>
      <c r="E108" s="49" t="s">
        <v>33</v>
      </c>
      <c r="F108" s="49" t="s">
        <v>429</v>
      </c>
      <c r="G108" s="49">
        <v>604</v>
      </c>
      <c r="H108" s="28" t="s">
        <v>289</v>
      </c>
    </row>
    <row r="109" spans="1:8" ht="18" customHeight="1">
      <c r="A109" s="49">
        <v>7512112</v>
      </c>
      <c r="B109" s="28" t="s">
        <v>290</v>
      </c>
      <c r="C109" s="49">
        <v>7512112</v>
      </c>
      <c r="D109" s="49">
        <v>7512112</v>
      </c>
      <c r="E109" s="49" t="s">
        <v>33</v>
      </c>
      <c r="F109" s="49" t="s">
        <v>430</v>
      </c>
      <c r="G109" s="49">
        <v>604</v>
      </c>
      <c r="H109" s="28" t="s">
        <v>291</v>
      </c>
    </row>
    <row r="110" spans="1:8" ht="18" customHeight="1">
      <c r="A110" s="49">
        <v>7514101</v>
      </c>
      <c r="B110" s="28" t="s">
        <v>292</v>
      </c>
      <c r="C110" s="49">
        <v>7514101</v>
      </c>
      <c r="D110" s="49">
        <v>7514101</v>
      </c>
      <c r="E110" s="49" t="s">
        <v>33</v>
      </c>
      <c r="F110" s="49" t="s">
        <v>431</v>
      </c>
      <c r="G110" s="49">
        <v>601</v>
      </c>
      <c r="H110" s="28" t="s">
        <v>293</v>
      </c>
    </row>
    <row r="111" spans="1:8" ht="18" customHeight="1">
      <c r="A111" s="49">
        <v>7514102</v>
      </c>
      <c r="B111" s="28" t="s">
        <v>294</v>
      </c>
      <c r="C111" s="49">
        <v>7514102</v>
      </c>
      <c r="D111" s="49">
        <v>7514102</v>
      </c>
      <c r="E111" s="49" t="s">
        <v>33</v>
      </c>
      <c r="F111" s="49" t="s">
        <v>432</v>
      </c>
      <c r="G111" s="49">
        <v>601</v>
      </c>
      <c r="H111" s="28" t="s">
        <v>295</v>
      </c>
    </row>
    <row r="112" spans="1:8" ht="18" customHeight="1">
      <c r="A112" s="49">
        <v>7515401</v>
      </c>
      <c r="B112" s="28" t="s">
        <v>19</v>
      </c>
      <c r="C112" s="49">
        <v>7515401</v>
      </c>
      <c r="D112" s="49">
        <v>7515401</v>
      </c>
      <c r="E112" s="49" t="s">
        <v>33</v>
      </c>
      <c r="F112" s="49" t="s">
        <v>64</v>
      </c>
      <c r="G112" s="49">
        <v>604</v>
      </c>
      <c r="H112" s="28" t="s">
        <v>296</v>
      </c>
    </row>
    <row r="113" spans="1:8" ht="18" customHeight="1">
      <c r="A113" s="49">
        <v>7515402</v>
      </c>
      <c r="B113" s="28" t="s">
        <v>65</v>
      </c>
      <c r="C113" s="49">
        <v>7515402</v>
      </c>
      <c r="D113" s="49">
        <v>7515402</v>
      </c>
      <c r="E113" s="49" t="s">
        <v>33</v>
      </c>
      <c r="F113" s="49" t="s">
        <v>66</v>
      </c>
      <c r="G113" s="49">
        <v>604</v>
      </c>
      <c r="H113" s="28" t="s">
        <v>297</v>
      </c>
    </row>
    <row r="114" spans="1:8" ht="18" customHeight="1">
      <c r="A114" s="49">
        <v>7515403</v>
      </c>
      <c r="B114" s="28" t="s">
        <v>125</v>
      </c>
      <c r="C114" s="49">
        <v>7515403</v>
      </c>
      <c r="D114" s="49">
        <v>7515403</v>
      </c>
      <c r="E114" s="49" t="s">
        <v>33</v>
      </c>
      <c r="F114" s="49" t="s">
        <v>215</v>
      </c>
      <c r="G114" s="49">
        <v>604</v>
      </c>
      <c r="H114" s="28" t="s">
        <v>298</v>
      </c>
    </row>
    <row r="115" spans="1:8" ht="18" customHeight="1">
      <c r="A115" s="49">
        <v>7515404</v>
      </c>
      <c r="B115" s="28" t="s">
        <v>123</v>
      </c>
      <c r="C115" s="49">
        <v>7515404</v>
      </c>
      <c r="D115" s="49">
        <v>7515404</v>
      </c>
      <c r="E115" s="49" t="s">
        <v>33</v>
      </c>
      <c r="F115" s="49" t="s">
        <v>216</v>
      </c>
      <c r="G115" s="49">
        <v>604</v>
      </c>
      <c r="H115" s="28" t="s">
        <v>299</v>
      </c>
    </row>
    <row r="116" spans="1:8" ht="18" customHeight="1">
      <c r="A116" s="49">
        <v>7515405</v>
      </c>
      <c r="B116" s="28" t="s">
        <v>202</v>
      </c>
      <c r="C116" s="49">
        <v>7515405</v>
      </c>
      <c r="D116" s="49">
        <v>7515405</v>
      </c>
      <c r="E116" s="49" t="s">
        <v>33</v>
      </c>
      <c r="F116" s="49" t="s">
        <v>211</v>
      </c>
      <c r="G116" s="49">
        <v>604</v>
      </c>
      <c r="H116" s="28" t="s">
        <v>300</v>
      </c>
    </row>
    <row r="117" spans="1:8" ht="18" customHeight="1">
      <c r="A117" s="49">
        <v>7515406</v>
      </c>
      <c r="B117" s="28" t="s">
        <v>190</v>
      </c>
      <c r="C117" s="49">
        <v>7515406</v>
      </c>
      <c r="D117" s="49">
        <v>7515406</v>
      </c>
      <c r="E117" s="49" t="s">
        <v>33</v>
      </c>
      <c r="F117" s="49" t="s">
        <v>191</v>
      </c>
      <c r="G117" s="49">
        <v>604</v>
      </c>
      <c r="H117" s="28" t="s">
        <v>301</v>
      </c>
    </row>
    <row r="118" spans="1:8" ht="18" customHeight="1">
      <c r="A118" s="49">
        <v>7515407</v>
      </c>
      <c r="B118" s="28" t="s">
        <v>304</v>
      </c>
      <c r="C118" s="49">
        <v>7515407</v>
      </c>
      <c r="D118" s="49">
        <v>7515407</v>
      </c>
      <c r="E118" s="49" t="s">
        <v>33</v>
      </c>
      <c r="F118" s="49" t="s">
        <v>480</v>
      </c>
      <c r="G118" s="49">
        <v>604</v>
      </c>
    </row>
    <row r="119" spans="1:8" ht="18" customHeight="1">
      <c r="A119" s="49">
        <v>7515408</v>
      </c>
      <c r="B119" s="28" t="s">
        <v>195</v>
      </c>
      <c r="C119" s="49">
        <v>7515408</v>
      </c>
      <c r="D119" s="49">
        <v>7515408</v>
      </c>
      <c r="E119" s="49" t="s">
        <v>33</v>
      </c>
      <c r="F119" s="49" t="s">
        <v>481</v>
      </c>
      <c r="G119" s="49">
        <v>604</v>
      </c>
      <c r="H119" s="28" t="s">
        <v>305</v>
      </c>
    </row>
    <row r="120" spans="1:8" ht="18" customHeight="1">
      <c r="A120" s="49">
        <v>7515409</v>
      </c>
      <c r="B120" s="28" t="s">
        <v>128</v>
      </c>
      <c r="C120" s="49">
        <v>7515409</v>
      </c>
      <c r="D120" s="49">
        <v>7515409</v>
      </c>
      <c r="E120" s="49" t="s">
        <v>33</v>
      </c>
      <c r="F120" s="49" t="s">
        <v>197</v>
      </c>
      <c r="G120" s="49">
        <v>604</v>
      </c>
      <c r="H120" s="28" t="s">
        <v>306</v>
      </c>
    </row>
    <row r="121" spans="1:8" ht="18" customHeight="1">
      <c r="A121" s="49">
        <v>7515410</v>
      </c>
      <c r="B121" s="28" t="s">
        <v>67</v>
      </c>
      <c r="C121" s="49">
        <v>7515410</v>
      </c>
      <c r="D121" s="49">
        <v>7515410</v>
      </c>
      <c r="E121" s="49" t="s">
        <v>33</v>
      </c>
      <c r="F121" s="49" t="s">
        <v>68</v>
      </c>
      <c r="G121" s="49">
        <v>604</v>
      </c>
      <c r="H121" s="28" t="s">
        <v>307</v>
      </c>
    </row>
    <row r="122" spans="1:8" ht="18" customHeight="1">
      <c r="A122" s="49">
        <v>7515499</v>
      </c>
      <c r="B122" s="28" t="s">
        <v>18</v>
      </c>
      <c r="C122" s="49">
        <v>7515499</v>
      </c>
      <c r="D122" s="49">
        <v>7515499</v>
      </c>
      <c r="E122" s="49" t="s">
        <v>33</v>
      </c>
      <c r="F122" s="49" t="s">
        <v>233</v>
      </c>
      <c r="G122" s="49">
        <v>604</v>
      </c>
      <c r="H122" s="28" t="s">
        <v>308</v>
      </c>
    </row>
    <row r="123" spans="1:8" ht="18" customHeight="1">
      <c r="A123" s="49">
        <v>7516102</v>
      </c>
      <c r="B123" s="28" t="s">
        <v>309</v>
      </c>
      <c r="C123" s="49">
        <v>7516102</v>
      </c>
      <c r="D123" s="49">
        <v>7516102</v>
      </c>
      <c r="E123" s="49" t="s">
        <v>33</v>
      </c>
      <c r="F123" s="49" t="s">
        <v>433</v>
      </c>
      <c r="G123" s="49">
        <v>605</v>
      </c>
      <c r="H123" s="28" t="s">
        <v>311</v>
      </c>
    </row>
    <row r="124" spans="1:8" ht="18" customHeight="1">
      <c r="A124" s="49">
        <v>7519101</v>
      </c>
      <c r="B124" s="28" t="s">
        <v>28</v>
      </c>
      <c r="C124" s="49">
        <v>7519101</v>
      </c>
      <c r="D124" s="49">
        <v>7519101</v>
      </c>
      <c r="E124" s="49" t="s">
        <v>33</v>
      </c>
      <c r="F124" s="49" t="s">
        <v>90</v>
      </c>
      <c r="G124" s="49">
        <v>602</v>
      </c>
      <c r="H124" s="28" t="s">
        <v>312</v>
      </c>
    </row>
    <row r="125" spans="1:8" ht="18" customHeight="1">
      <c r="A125" s="49">
        <v>7521101</v>
      </c>
      <c r="B125" s="28" t="s">
        <v>410</v>
      </c>
      <c r="C125" s="49">
        <v>7521101</v>
      </c>
      <c r="D125" s="49">
        <v>7521101</v>
      </c>
      <c r="E125" s="49" t="s">
        <v>33</v>
      </c>
      <c r="F125" s="49" t="s">
        <v>434</v>
      </c>
      <c r="G125" s="49">
        <v>601</v>
      </c>
      <c r="H125" s="28" t="s">
        <v>314</v>
      </c>
    </row>
    <row r="126" spans="1:8" ht="18" customHeight="1">
      <c r="A126" s="49">
        <v>7521102</v>
      </c>
      <c r="B126" s="28" t="s">
        <v>315</v>
      </c>
      <c r="C126" s="49">
        <v>7521102</v>
      </c>
      <c r="D126" s="49">
        <v>7521102</v>
      </c>
      <c r="E126" s="49" t="s">
        <v>33</v>
      </c>
      <c r="F126" s="49" t="s">
        <v>435</v>
      </c>
      <c r="G126" s="49">
        <v>603</v>
      </c>
      <c r="H126" s="28" t="s">
        <v>316</v>
      </c>
    </row>
    <row r="127" spans="1:8" ht="18" customHeight="1">
      <c r="A127" s="49">
        <v>7571101</v>
      </c>
      <c r="B127" s="28" t="s">
        <v>236</v>
      </c>
      <c r="C127" s="49">
        <v>7571101</v>
      </c>
      <c r="D127" s="49">
        <v>7571101</v>
      </c>
      <c r="E127" s="49" t="s">
        <v>33</v>
      </c>
      <c r="F127" s="49" t="s">
        <v>237</v>
      </c>
      <c r="G127" s="49">
        <v>606</v>
      </c>
      <c r="H127" s="28" t="s">
        <v>318</v>
      </c>
    </row>
    <row r="128" spans="1:8" ht="18" customHeight="1">
      <c r="A128" s="49">
        <v>7611100</v>
      </c>
      <c r="B128" s="28" t="s">
        <v>319</v>
      </c>
      <c r="C128" s="49">
        <v>7611100</v>
      </c>
      <c r="D128" s="49">
        <v>7611100</v>
      </c>
      <c r="E128" s="49" t="s">
        <v>33</v>
      </c>
      <c r="F128" s="49" t="s">
        <v>414</v>
      </c>
      <c r="G128" s="49">
        <v>701</v>
      </c>
      <c r="H128" s="28" t="s">
        <v>320</v>
      </c>
    </row>
    <row r="129" spans="1:8" ht="18" customHeight="1">
      <c r="A129" s="49">
        <v>7611300</v>
      </c>
      <c r="B129" s="28" t="s">
        <v>321</v>
      </c>
      <c r="C129" s="49">
        <v>7611300</v>
      </c>
      <c r="D129" s="49">
        <v>7611300</v>
      </c>
      <c r="E129" s="49" t="s">
        <v>33</v>
      </c>
      <c r="F129" s="49" t="s">
        <v>418</v>
      </c>
      <c r="G129" s="49">
        <v>701</v>
      </c>
      <c r="H129" s="28" t="s">
        <v>322</v>
      </c>
    </row>
    <row r="130" spans="1:8" ht="18" customHeight="1">
      <c r="A130" s="49">
        <v>7611400</v>
      </c>
      <c r="B130" s="28" t="s">
        <v>323</v>
      </c>
      <c r="C130" s="49">
        <v>7611400</v>
      </c>
      <c r="D130" s="49">
        <v>7611400</v>
      </c>
      <c r="E130" s="49" t="s">
        <v>33</v>
      </c>
      <c r="F130" s="49" t="s">
        <v>482</v>
      </c>
      <c r="G130" s="49">
        <v>701</v>
      </c>
      <c r="H130" s="28" t="s">
        <v>324</v>
      </c>
    </row>
    <row r="131" spans="1:8" ht="18" customHeight="1">
      <c r="A131" s="49">
        <v>7611500</v>
      </c>
      <c r="B131" s="28" t="s">
        <v>325</v>
      </c>
      <c r="C131" s="49">
        <v>7611500</v>
      </c>
      <c r="D131" s="49">
        <v>7611500</v>
      </c>
      <c r="E131" s="49" t="s">
        <v>33</v>
      </c>
      <c r="F131" s="49" t="s">
        <v>422</v>
      </c>
      <c r="G131" s="49">
        <v>701</v>
      </c>
      <c r="H131" s="28" t="s">
        <v>326</v>
      </c>
    </row>
    <row r="132" spans="1:8" ht="18" customHeight="1">
      <c r="A132" s="49">
        <v>7611600</v>
      </c>
      <c r="B132" s="28" t="s">
        <v>327</v>
      </c>
      <c r="C132" s="49">
        <v>7611600</v>
      </c>
      <c r="D132" s="49">
        <v>7611600</v>
      </c>
      <c r="E132" s="49" t="s">
        <v>33</v>
      </c>
      <c r="F132" s="49" t="s">
        <v>416</v>
      </c>
      <c r="G132" s="49">
        <v>701</v>
      </c>
      <c r="H132" s="28" t="s">
        <v>328</v>
      </c>
    </row>
    <row r="133" spans="1:8" ht="18" customHeight="1">
      <c r="A133" s="49">
        <v>7611700</v>
      </c>
      <c r="B133" s="28" t="s">
        <v>329</v>
      </c>
      <c r="C133" s="49">
        <v>7611700</v>
      </c>
      <c r="D133" s="49">
        <v>7611700</v>
      </c>
      <c r="E133" s="49" t="s">
        <v>33</v>
      </c>
      <c r="F133" s="49" t="s">
        <v>420</v>
      </c>
      <c r="G133" s="49">
        <v>701</v>
      </c>
      <c r="H133" s="28" t="s">
        <v>330</v>
      </c>
    </row>
    <row r="134" spans="1:8" ht="18" customHeight="1">
      <c r="A134" s="49">
        <v>7611800</v>
      </c>
      <c r="B134" s="28" t="s">
        <v>88</v>
      </c>
      <c r="C134" s="49">
        <v>7611800</v>
      </c>
      <c r="D134" s="49">
        <v>7611800</v>
      </c>
      <c r="E134" s="49" t="s">
        <v>33</v>
      </c>
      <c r="F134" s="49" t="s">
        <v>91</v>
      </c>
      <c r="G134" s="49">
        <v>701</v>
      </c>
      <c r="H134" s="28" t="s">
        <v>331</v>
      </c>
    </row>
    <row r="135" spans="1:8" ht="18" customHeight="1">
      <c r="A135" s="49">
        <v>7621101</v>
      </c>
      <c r="B135" s="28" t="s">
        <v>332</v>
      </c>
      <c r="C135" s="49">
        <v>7621101</v>
      </c>
      <c r="D135" s="49">
        <v>7621101</v>
      </c>
      <c r="E135" s="49" t="s">
        <v>33</v>
      </c>
      <c r="F135" s="49" t="s">
        <v>483</v>
      </c>
      <c r="G135" s="49">
        <v>903</v>
      </c>
      <c r="H135" s="28" t="s">
        <v>333</v>
      </c>
    </row>
    <row r="136" spans="1:8" ht="18" customHeight="1">
      <c r="A136" s="50">
        <v>7621199</v>
      </c>
      <c r="B136" s="47" t="s">
        <v>334</v>
      </c>
      <c r="C136" s="50">
        <v>7621199</v>
      </c>
      <c r="D136" s="50">
        <v>7621199</v>
      </c>
      <c r="E136" s="49" t="s">
        <v>33</v>
      </c>
      <c r="F136" s="49" t="s">
        <v>484</v>
      </c>
      <c r="G136" s="49">
        <v>801</v>
      </c>
      <c r="H136" s="28" t="s">
        <v>336</v>
      </c>
    </row>
    <row r="137" spans="1:8" ht="18" customHeight="1">
      <c r="A137" s="49">
        <v>7631101</v>
      </c>
      <c r="B137" s="28" t="s">
        <v>219</v>
      </c>
      <c r="C137" s="49">
        <v>7631101</v>
      </c>
      <c r="D137" s="49">
        <v>7631101</v>
      </c>
      <c r="E137" s="49" t="s">
        <v>33</v>
      </c>
      <c r="F137" s="49" t="s">
        <v>220</v>
      </c>
      <c r="G137" s="49">
        <v>501</v>
      </c>
      <c r="H137" s="28" t="s">
        <v>337</v>
      </c>
    </row>
    <row r="138" spans="1:8" ht="18" customHeight="1">
      <c r="A138" s="49">
        <v>7631102</v>
      </c>
      <c r="B138" s="28" t="s">
        <v>223</v>
      </c>
      <c r="C138" s="49">
        <v>7631102</v>
      </c>
      <c r="D138" s="49">
        <v>7631102</v>
      </c>
      <c r="E138" s="49" t="s">
        <v>33</v>
      </c>
      <c r="F138" s="49" t="s">
        <v>224</v>
      </c>
      <c r="G138" s="49">
        <v>502</v>
      </c>
      <c r="H138" s="28" t="s">
        <v>338</v>
      </c>
    </row>
    <row r="139" spans="1:8" ht="18" customHeight="1">
      <c r="A139" s="49">
        <v>7641101</v>
      </c>
      <c r="B139" s="28" t="s">
        <v>204</v>
      </c>
      <c r="C139" s="49">
        <v>7641101</v>
      </c>
      <c r="D139" s="49">
        <v>7641101</v>
      </c>
      <c r="E139" s="49" t="s">
        <v>33</v>
      </c>
      <c r="F139" s="49" t="s">
        <v>218</v>
      </c>
      <c r="G139" s="49">
        <v>401</v>
      </c>
      <c r="H139" s="28" t="s">
        <v>339</v>
      </c>
    </row>
    <row r="140" spans="1:8" ht="18" customHeight="1">
      <c r="A140" s="49">
        <v>7641102</v>
      </c>
      <c r="B140" s="28" t="s">
        <v>29</v>
      </c>
      <c r="C140" s="49">
        <v>7641102</v>
      </c>
      <c r="D140" s="49">
        <v>7641102</v>
      </c>
      <c r="E140" s="49" t="s">
        <v>33</v>
      </c>
      <c r="F140" s="49" t="s">
        <v>217</v>
      </c>
      <c r="G140" s="49">
        <v>401</v>
      </c>
      <c r="H140" s="28" t="s">
        <v>340</v>
      </c>
    </row>
    <row r="141" spans="1:8" ht="18" customHeight="1">
      <c r="A141" s="49">
        <v>7641103</v>
      </c>
      <c r="B141" s="28" t="s">
        <v>209</v>
      </c>
      <c r="C141" s="49">
        <v>7641103</v>
      </c>
      <c r="D141" s="49">
        <v>7641103</v>
      </c>
      <c r="E141" s="49" t="s">
        <v>33</v>
      </c>
      <c r="F141" s="49" t="s">
        <v>212</v>
      </c>
      <c r="G141" s="49">
        <v>902</v>
      </c>
      <c r="H141" s="28" t="s">
        <v>341</v>
      </c>
    </row>
    <row r="142" spans="1:8" ht="18" customHeight="1">
      <c r="A142" s="49">
        <v>7641104</v>
      </c>
      <c r="B142" s="28" t="s">
        <v>238</v>
      </c>
      <c r="C142" s="49">
        <v>7641104</v>
      </c>
      <c r="D142" s="49">
        <v>7641104</v>
      </c>
      <c r="E142" s="49" t="s">
        <v>33</v>
      </c>
      <c r="F142" s="49" t="s">
        <v>239</v>
      </c>
      <c r="G142" s="49">
        <v>999</v>
      </c>
      <c r="H142" s="28" t="s">
        <v>344</v>
      </c>
    </row>
    <row r="143" spans="1:8" ht="18" customHeight="1">
      <c r="A143" s="49">
        <v>7651101</v>
      </c>
      <c r="B143" s="28" t="s">
        <v>23</v>
      </c>
      <c r="C143" s="49">
        <v>7651101</v>
      </c>
      <c r="D143" s="49">
        <v>7651101</v>
      </c>
      <c r="E143" s="49" t="s">
        <v>33</v>
      </c>
      <c r="F143" s="49" t="s">
        <v>232</v>
      </c>
      <c r="G143" s="49">
        <v>903</v>
      </c>
      <c r="H143" s="28" t="s">
        <v>345</v>
      </c>
    </row>
    <row r="144" spans="1:8" ht="18" customHeight="1">
      <c r="A144" s="49">
        <v>7651102</v>
      </c>
      <c r="B144" s="28" t="s">
        <v>21</v>
      </c>
      <c r="C144" s="49">
        <v>7651102</v>
      </c>
      <c r="D144" s="49">
        <v>7651102</v>
      </c>
      <c r="E144" s="49" t="s">
        <v>33</v>
      </c>
      <c r="F144" s="49" t="s">
        <v>69</v>
      </c>
      <c r="G144" s="49">
        <v>903</v>
      </c>
      <c r="H144" s="28" t="s">
        <v>346</v>
      </c>
    </row>
    <row r="145" spans="1:8" ht="18" customHeight="1">
      <c r="A145" s="49">
        <v>7651103</v>
      </c>
      <c r="B145" s="28" t="s">
        <v>20</v>
      </c>
      <c r="C145" s="49">
        <v>7651103</v>
      </c>
      <c r="D145" s="49">
        <v>7651103</v>
      </c>
      <c r="E145" s="49" t="s">
        <v>33</v>
      </c>
      <c r="F145" s="49" t="s">
        <v>214</v>
      </c>
      <c r="G145" s="49">
        <v>903</v>
      </c>
      <c r="H145" s="28" t="s">
        <v>347</v>
      </c>
    </row>
    <row r="146" spans="1:8" ht="18" customHeight="1">
      <c r="A146" s="49">
        <v>7661101</v>
      </c>
      <c r="B146" s="28" t="s">
        <v>24</v>
      </c>
      <c r="C146" s="49">
        <v>7661101</v>
      </c>
      <c r="D146" s="49">
        <v>7661101</v>
      </c>
      <c r="E146" s="49" t="s">
        <v>33</v>
      </c>
      <c r="F146" s="49" t="s">
        <v>251</v>
      </c>
      <c r="G146" s="49">
        <v>999</v>
      </c>
      <c r="H146" s="28" t="s">
        <v>348</v>
      </c>
    </row>
    <row r="147" spans="1:8" ht="18" customHeight="1">
      <c r="A147" s="49">
        <v>7671102</v>
      </c>
      <c r="B147" s="28" t="s">
        <v>179</v>
      </c>
      <c r="C147" s="49">
        <v>7671102</v>
      </c>
      <c r="D147" s="49">
        <v>7671102</v>
      </c>
      <c r="E147" s="49" t="s">
        <v>33</v>
      </c>
      <c r="F147" s="49" t="s">
        <v>180</v>
      </c>
      <c r="G147" s="49">
        <v>999</v>
      </c>
      <c r="H147" s="28" t="s">
        <v>349</v>
      </c>
    </row>
    <row r="148" spans="1:8" ht="18" customHeight="1">
      <c r="A148" s="49">
        <v>7671103</v>
      </c>
      <c r="B148" s="28" t="s">
        <v>188</v>
      </c>
      <c r="C148" s="49">
        <v>7671103</v>
      </c>
      <c r="D148" s="49">
        <v>7671103</v>
      </c>
      <c r="E148" s="49" t="s">
        <v>33</v>
      </c>
      <c r="F148" s="49" t="s">
        <v>485</v>
      </c>
      <c r="G148" s="49">
        <v>999</v>
      </c>
      <c r="H148" s="28" t="s">
        <v>350</v>
      </c>
    </row>
    <row r="149" spans="1:8" ht="18" customHeight="1">
      <c r="A149" s="49">
        <v>7681101</v>
      </c>
      <c r="B149" s="28" t="s">
        <v>134</v>
      </c>
      <c r="C149" s="49">
        <v>7681101</v>
      </c>
      <c r="D149" s="49">
        <v>7681101</v>
      </c>
      <c r="E149" s="49" t="s">
        <v>33</v>
      </c>
      <c r="F149" s="49" t="s">
        <v>135</v>
      </c>
      <c r="G149" s="49">
        <v>999</v>
      </c>
      <c r="H149" s="28" t="s">
        <v>351</v>
      </c>
    </row>
    <row r="150" spans="1:8" ht="18" customHeight="1">
      <c r="A150" s="49">
        <v>7691000</v>
      </c>
      <c r="B150" s="28" t="s">
        <v>70</v>
      </c>
      <c r="C150" s="49">
        <v>7691000</v>
      </c>
      <c r="D150" s="49">
        <v>7691000</v>
      </c>
      <c r="E150" s="49" t="s">
        <v>33</v>
      </c>
      <c r="F150" s="49" t="s">
        <v>71</v>
      </c>
      <c r="G150" s="49">
        <v>999</v>
      </c>
      <c r="H150" s="28" t="s">
        <v>352</v>
      </c>
    </row>
    <row r="151" spans="1:8" ht="18" customHeight="1">
      <c r="A151" s="49">
        <v>7711101</v>
      </c>
      <c r="B151" s="28" t="s">
        <v>27</v>
      </c>
      <c r="C151" s="49">
        <v>7711101</v>
      </c>
      <c r="D151" s="49">
        <v>7711101</v>
      </c>
      <c r="E151" s="49" t="s">
        <v>33</v>
      </c>
      <c r="F151" s="49" t="s">
        <v>72</v>
      </c>
      <c r="G151" s="49">
        <v>999</v>
      </c>
      <c r="H151" s="28" t="s">
        <v>353</v>
      </c>
    </row>
    <row r="152" spans="1:8" ht="18" customHeight="1">
      <c r="A152" s="49">
        <v>7711102</v>
      </c>
      <c r="B152" s="28" t="s">
        <v>73</v>
      </c>
      <c r="C152" s="49">
        <v>7711102</v>
      </c>
      <c r="D152" s="49">
        <v>7711102</v>
      </c>
      <c r="E152" s="49" t="s">
        <v>33</v>
      </c>
      <c r="F152" s="49" t="s">
        <v>74</v>
      </c>
      <c r="G152" s="49">
        <v>904</v>
      </c>
      <c r="H152" s="28" t="s">
        <v>354</v>
      </c>
    </row>
    <row r="153" spans="1:8" ht="18" customHeight="1">
      <c r="A153" s="49">
        <v>7711103</v>
      </c>
      <c r="B153" s="28" t="s">
        <v>130</v>
      </c>
      <c r="C153" s="49">
        <v>7711103</v>
      </c>
      <c r="D153" s="49">
        <v>7711103</v>
      </c>
      <c r="E153" s="49" t="s">
        <v>33</v>
      </c>
      <c r="F153" s="49" t="s">
        <v>486</v>
      </c>
      <c r="G153" s="49">
        <v>999</v>
      </c>
      <c r="H153" s="28" t="s">
        <v>355</v>
      </c>
    </row>
    <row r="154" spans="1:8" ht="18" customHeight="1">
      <c r="A154" s="49">
        <v>7721101</v>
      </c>
      <c r="B154" s="28" t="s">
        <v>92</v>
      </c>
      <c r="C154" s="49">
        <v>7721101</v>
      </c>
      <c r="D154" s="49">
        <v>7721101</v>
      </c>
      <c r="E154" s="49" t="s">
        <v>33</v>
      </c>
      <c r="F154" s="49" t="s">
        <v>487</v>
      </c>
      <c r="G154" s="49">
        <v>999</v>
      </c>
      <c r="H154" s="28" t="s">
        <v>356</v>
      </c>
    </row>
    <row r="155" spans="1:8" ht="18" customHeight="1">
      <c r="A155" s="49">
        <v>7729101</v>
      </c>
      <c r="B155" s="28" t="s">
        <v>22</v>
      </c>
      <c r="C155" s="49">
        <v>7729101</v>
      </c>
      <c r="D155" s="49">
        <v>7729101</v>
      </c>
      <c r="E155" s="49" t="s">
        <v>33</v>
      </c>
      <c r="F155" s="49" t="s">
        <v>75</v>
      </c>
      <c r="G155" s="49">
        <v>905</v>
      </c>
      <c r="H155" s="28" t="s">
        <v>357</v>
      </c>
    </row>
    <row r="156" spans="1:8" ht="18" customHeight="1">
      <c r="A156" s="49">
        <v>7729103</v>
      </c>
      <c r="B156" s="28" t="s">
        <v>97</v>
      </c>
      <c r="C156" s="49">
        <v>7729103</v>
      </c>
      <c r="D156" s="49">
        <v>7729103</v>
      </c>
      <c r="E156" s="49" t="s">
        <v>33</v>
      </c>
      <c r="F156" s="49" t="s">
        <v>98</v>
      </c>
      <c r="G156" s="49">
        <v>907</v>
      </c>
      <c r="H156" s="28" t="s">
        <v>358</v>
      </c>
    </row>
    <row r="157" spans="1:8" ht="18" customHeight="1">
      <c r="A157" s="49">
        <v>7729105</v>
      </c>
      <c r="B157" s="28" t="s">
        <v>359</v>
      </c>
      <c r="C157" s="49">
        <v>7729105</v>
      </c>
      <c r="D157" s="49">
        <v>7729105</v>
      </c>
      <c r="E157" s="49" t="s">
        <v>33</v>
      </c>
      <c r="F157" s="49" t="s">
        <v>488</v>
      </c>
      <c r="G157" s="49">
        <v>999</v>
      </c>
      <c r="H157" s="28" t="s">
        <v>360</v>
      </c>
    </row>
    <row r="158" spans="1:8" ht="18" customHeight="1">
      <c r="A158" s="49">
        <v>7781101</v>
      </c>
      <c r="B158" s="28" t="s">
        <v>76</v>
      </c>
      <c r="C158" s="49">
        <v>7781101</v>
      </c>
      <c r="D158" s="49">
        <v>7781101</v>
      </c>
      <c r="E158" s="49" t="s">
        <v>33</v>
      </c>
      <c r="F158" s="49" t="s">
        <v>77</v>
      </c>
      <c r="G158" s="49">
        <v>999</v>
      </c>
      <c r="H158" s="28" t="s">
        <v>361</v>
      </c>
    </row>
    <row r="159" spans="1:8" ht="18" customHeight="1">
      <c r="A159" s="49">
        <v>7781103</v>
      </c>
      <c r="B159" s="28" t="s">
        <v>25</v>
      </c>
      <c r="C159" s="49">
        <v>7781103</v>
      </c>
      <c r="D159" s="49">
        <v>7781103</v>
      </c>
      <c r="E159" s="49" t="s">
        <v>33</v>
      </c>
      <c r="F159" s="49" t="s">
        <v>253</v>
      </c>
      <c r="G159" s="49">
        <v>999</v>
      </c>
      <c r="H159" s="28" t="s">
        <v>362</v>
      </c>
    </row>
    <row r="160" spans="1:8" ht="18" customHeight="1">
      <c r="A160" s="49">
        <v>7781104</v>
      </c>
      <c r="B160" s="28" t="s">
        <v>363</v>
      </c>
      <c r="C160" s="49">
        <v>7781104</v>
      </c>
      <c r="D160" s="49">
        <v>7781104</v>
      </c>
      <c r="E160" s="49" t="s">
        <v>33</v>
      </c>
      <c r="F160" s="49" t="s">
        <v>489</v>
      </c>
      <c r="G160" s="49">
        <v>999</v>
      </c>
      <c r="H160" s="28" t="s">
        <v>364</v>
      </c>
    </row>
    <row r="161" spans="1:8" ht="18" customHeight="1">
      <c r="A161" s="49">
        <v>7781105</v>
      </c>
      <c r="B161" s="28" t="s">
        <v>254</v>
      </c>
      <c r="C161" s="49">
        <v>7781105</v>
      </c>
      <c r="D161" s="49">
        <v>7781105</v>
      </c>
      <c r="E161" s="49" t="s">
        <v>33</v>
      </c>
      <c r="F161" s="49" t="s">
        <v>490</v>
      </c>
      <c r="G161" s="49">
        <v>999</v>
      </c>
      <c r="H161" s="28" t="s">
        <v>365</v>
      </c>
    </row>
    <row r="162" spans="1:8" ht="18" customHeight="1">
      <c r="A162" s="49">
        <v>7781106</v>
      </c>
      <c r="B162" s="28" t="s">
        <v>366</v>
      </c>
      <c r="C162" s="49">
        <v>7781106</v>
      </c>
      <c r="D162" s="49">
        <v>7781106</v>
      </c>
      <c r="E162" s="49" t="s">
        <v>33</v>
      </c>
      <c r="F162" s="49" t="s">
        <v>491</v>
      </c>
      <c r="G162" s="49">
        <v>999</v>
      </c>
      <c r="H162" s="28" t="s">
        <v>367</v>
      </c>
    </row>
    <row r="163" spans="1:8" ht="18" customHeight="1">
      <c r="A163" s="49">
        <v>7781107</v>
      </c>
      <c r="B163" s="28" t="s">
        <v>198</v>
      </c>
      <c r="C163" s="49">
        <v>7781107</v>
      </c>
      <c r="D163" s="49">
        <v>7781107</v>
      </c>
      <c r="E163" s="49" t="s">
        <v>33</v>
      </c>
      <c r="F163" s="49" t="s">
        <v>213</v>
      </c>
      <c r="G163" s="49">
        <v>906</v>
      </c>
      <c r="H163" s="28" t="s">
        <v>368</v>
      </c>
    </row>
    <row r="164" spans="1:8" ht="18" customHeight="1">
      <c r="A164" s="49">
        <v>7781111</v>
      </c>
      <c r="B164" s="28" t="s">
        <v>199</v>
      </c>
      <c r="C164" s="49">
        <v>7781111</v>
      </c>
      <c r="D164" s="49">
        <v>7781111</v>
      </c>
      <c r="E164" s="49" t="s">
        <v>33</v>
      </c>
      <c r="F164" s="49" t="s">
        <v>492</v>
      </c>
      <c r="G164" s="49">
        <v>999</v>
      </c>
      <c r="H164" s="28" t="s">
        <v>369</v>
      </c>
    </row>
    <row r="165" spans="1:8" ht="18" customHeight="1">
      <c r="A165" s="49">
        <v>7781112</v>
      </c>
      <c r="B165" s="28" t="s">
        <v>26</v>
      </c>
      <c r="C165" s="49">
        <v>7781112</v>
      </c>
      <c r="D165" s="49">
        <v>7781112</v>
      </c>
      <c r="E165" s="49" t="s">
        <v>33</v>
      </c>
      <c r="F165" s="49" t="s">
        <v>252</v>
      </c>
      <c r="G165" s="49">
        <v>999</v>
      </c>
      <c r="H165" s="28" t="s">
        <v>370</v>
      </c>
    </row>
    <row r="166" spans="1:8" ht="18" customHeight="1">
      <c r="A166" s="49">
        <v>7781113</v>
      </c>
      <c r="B166" s="28" t="s">
        <v>85</v>
      </c>
      <c r="C166" s="49">
        <v>7781113</v>
      </c>
      <c r="D166" s="49">
        <v>7781113</v>
      </c>
      <c r="E166" s="49" t="s">
        <v>33</v>
      </c>
      <c r="F166" s="49" t="s">
        <v>87</v>
      </c>
      <c r="G166" s="49">
        <v>999</v>
      </c>
      <c r="H166" s="28" t="s">
        <v>371</v>
      </c>
    </row>
    <row r="167" spans="1:8" ht="18" customHeight="1">
      <c r="A167" s="29">
        <v>8291101</v>
      </c>
      <c r="B167" s="28" t="s">
        <v>206</v>
      </c>
      <c r="C167" s="29">
        <v>8291101</v>
      </c>
      <c r="D167" s="29">
        <v>8291101</v>
      </c>
      <c r="E167" s="30" t="s">
        <v>411</v>
      </c>
      <c r="F167" s="30" t="s">
        <v>493</v>
      </c>
    </row>
    <row r="168" spans="1:8" ht="18" customHeight="1">
      <c r="A168" s="29">
        <v>8291102</v>
      </c>
      <c r="B168" s="28" t="s">
        <v>114</v>
      </c>
      <c r="C168" s="29">
        <v>8291102</v>
      </c>
      <c r="D168" s="29">
        <v>8291102</v>
      </c>
      <c r="E168" s="30" t="s">
        <v>411</v>
      </c>
      <c r="F168" s="30" t="s">
        <v>494</v>
      </c>
    </row>
    <row r="169" spans="1:8" ht="18" customHeight="1">
      <c r="A169" s="29">
        <v>8291201</v>
      </c>
      <c r="B169" s="28" t="s">
        <v>201</v>
      </c>
      <c r="C169" s="29">
        <v>8291201</v>
      </c>
      <c r="D169" s="29">
        <v>8291201</v>
      </c>
      <c r="E169" s="30" t="s">
        <v>411</v>
      </c>
      <c r="F169" s="30" t="s">
        <v>495</v>
      </c>
    </row>
    <row r="170" spans="1:8" ht="18" customHeight="1">
      <c r="A170" s="29">
        <v>8291202</v>
      </c>
      <c r="B170" s="28" t="s">
        <v>207</v>
      </c>
      <c r="C170" s="29">
        <v>8291202</v>
      </c>
      <c r="D170" s="29">
        <v>8291202</v>
      </c>
      <c r="E170" s="30" t="s">
        <v>411</v>
      </c>
      <c r="F170" s="30" t="s">
        <v>496</v>
      </c>
    </row>
    <row r="171" spans="1:8" ht="18" customHeight="1">
      <c r="A171" s="29">
        <v>8291203</v>
      </c>
      <c r="B171" s="28" t="s">
        <v>208</v>
      </c>
      <c r="C171" s="29">
        <v>8291203</v>
      </c>
      <c r="D171" s="29">
        <v>8291203</v>
      </c>
      <c r="E171" s="30" t="s">
        <v>411</v>
      </c>
      <c r="F171" s="30" t="s">
        <v>497</v>
      </c>
    </row>
    <row r="172" spans="1:8" ht="18" customHeight="1">
      <c r="A172" s="29">
        <v>8191101</v>
      </c>
      <c r="B172" s="28" t="s">
        <v>412</v>
      </c>
      <c r="C172" s="29">
        <v>8191101</v>
      </c>
      <c r="D172" s="29">
        <v>8191101</v>
      </c>
      <c r="E172" s="30" t="s">
        <v>411</v>
      </c>
      <c r="F172" s="30" t="s">
        <v>498</v>
      </c>
    </row>
    <row r="173" spans="1:8" ht="18" customHeight="1">
      <c r="G173" s="51"/>
    </row>
  </sheetData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Agung Harjanto</cp:lastModifiedBy>
  <dcterms:created xsi:type="dcterms:W3CDTF">2020-12-08T03:20:39Z</dcterms:created>
  <dcterms:modified xsi:type="dcterms:W3CDTF">2021-11-18T07:26:54Z</dcterms:modified>
</cp:coreProperties>
</file>
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ew folder (3)\"/>
    </mc:Choice>
  </mc:AlternateContent>
  <xr:revisionPtr revIDLastSave="0" documentId="13_ncr:1_{DBCA6244-EB77-4C09-9DA4-27F666CA4D6B}" xr6:coauthVersionLast="47" xr6:coauthVersionMax="47" xr10:uidLastSave="{00000000-0000-0000-0000-000000000000}"/>
  <bookViews>
    <workbookView xWindow="-23148" yWindow="-1116" windowWidth="23256" windowHeight="12456" xr2:uid="{C53FDC34-7892-4F4E-9408-2EF96F6145C2}"/>
  </bookViews>
  <sheets>
    <sheet name="Data" sheetId="1" r:id="rId1"/>
    <sheet name="Master" sheetId="2" r:id="rId2"/>
    <sheet name="Priority" sheetId="4" r:id="rId3"/>
    <sheet name="Password" sheetId="3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j102" localSheetId="1">#REF!</definedName>
    <definedName name="__j102" localSheetId="3">#REF!</definedName>
    <definedName name="__j102">#REF!</definedName>
    <definedName name="_1">#N/A</definedName>
    <definedName name="_Fill" localSheetId="1" hidden="1">#REF!</definedName>
    <definedName name="_Fill" localSheetId="3" hidden="1">#REF!</definedName>
    <definedName name="_Fill" hidden="1">#REF!</definedName>
    <definedName name="_xlnm._FilterDatabase" localSheetId="0" hidden="1">Data!$A$1:$AH$1402</definedName>
    <definedName name="_xlnm._FilterDatabase" localSheetId="3" hidden="1">[1]金具工程見出し!$A$9:$K$9</definedName>
    <definedName name="_xlnm._FilterDatabase" hidden="1">[2]金具工程見出し!$A$9:$K$9</definedName>
    <definedName name="_j102" localSheetId="1">#REF!</definedName>
    <definedName name="_j102" localSheetId="3">#REF!</definedName>
    <definedName name="_j102">#REF!</definedName>
    <definedName name="_Key1" localSheetId="1" hidden="1">#REF!</definedName>
    <definedName name="_Key1" localSheetId="3" hidden="1">#REF!</definedName>
    <definedName name="_Key1" hidden="1">#REF!</definedName>
    <definedName name="_Order1" hidden="1">255</definedName>
    <definedName name="_Sort" localSheetId="1" hidden="1">#REF!</definedName>
    <definedName name="_Sort" localSheetId="3" hidden="1">#REF!</definedName>
    <definedName name="_Sort" hidden="1">#REF!</definedName>
    <definedName name="aa" localSheetId="3">#REF!</definedName>
    <definedName name="aa">#REF!</definedName>
    <definedName name="AB" localSheetId="3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dy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1" hidden="1">{"'Stock November   ' 99'!$A$1:$AF$46"}</definedName>
    <definedName name="HTML_Control" localSheetId="3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3">#REF!</definedName>
    <definedName name="kissa">#REF!</definedName>
    <definedName name="kissakei" localSheetId="3">#REF!</definedName>
    <definedName name="kissakei">#REF!</definedName>
    <definedName name="kk" localSheetId="3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[1]金具工程見出し!$A$9:$K$9</definedName>
    <definedName name="_xlnm.Print_Area">[1]金具工程見出し!$B$1:$K$65536</definedName>
    <definedName name="PRINT_AREA_MI" localSheetId="1">#REF!</definedName>
    <definedName name="Print_Area_MI" localSheetId="3">#REF!</definedName>
    <definedName name="PRINT_AREA_MI">#REF!</definedName>
    <definedName name="_xlnm.Print_Titles">#N/A</definedName>
    <definedName name="PRINT_TITLES_MI" localSheetId="3">#REF!</definedName>
    <definedName name="PRINT_TITLES_MI">#REF!</definedName>
    <definedName name="ry" localSheetId="3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1">#REF!</definedName>
    <definedName name="Tgl" localSheetId="3">#REF!</definedName>
    <definedName name="Tgl">#REF!</definedName>
    <definedName name="tgll" localSheetId="1">#REF!</definedName>
    <definedName name="tgll" localSheetId="3">#REF!</definedName>
    <definedName name="tgll">#REF!</definedName>
    <definedName name="tr" localSheetId="1">#REF!</definedName>
    <definedName name="tr" localSheetId="3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1" hidden="1">{"'Stock November   ' 99'!$A$1:$AF$46"}</definedName>
    <definedName name="uj" localSheetId="3" hidden="1">{"'Stock November   ' 99'!$A$1:$AF$46"}</definedName>
    <definedName name="uj" hidden="1">{"'Stock November   ' 99'!$A$1:$AF$46"}</definedName>
    <definedName name="uji" localSheetId="1" hidden="1">{"'Stock November   ' 99'!$A$1:$AF$46"}</definedName>
    <definedName name="uji" localSheetId="3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1">#REF!</definedName>
    <definedName name="ﾃﾞｰﾀ海市" localSheetId="3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1">#REF!</definedName>
    <definedName name="ルピア" localSheetId="3">#REF!</definedName>
    <definedName name="ルピア">#REF!</definedName>
    <definedName name="予算ﾚｰﾄ" localSheetId="1">#REF!</definedName>
    <definedName name="予算ﾚｰﾄ" localSheetId="3">#REF!</definedName>
    <definedName name="予算ﾚｰﾄ">#REF!</definedName>
    <definedName name="今" localSheetId="1">#REF!</definedName>
    <definedName name="今" localSheetId="3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 localSheetId="3">[6]支援計画・０４!$G$4:$G$171</definedName>
    <definedName name="出発">[7]支援計画・０４!$G$4:$G$171</definedName>
    <definedName name="到着" localSheetId="3">[6]支援計画・０４!$F$4:$F$171</definedName>
    <definedName name="到着">[7]支援計画・０４!$F$4:$F$171</definedName>
    <definedName name="印刷領域" localSheetId="1">#REF!</definedName>
    <definedName name="印刷領域" localSheetId="3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1">#REF!</definedName>
    <definedName name="品種別実績" localSheetId="3">#REF!</definedName>
    <definedName name="品種別実績">#REF!</definedName>
    <definedName name="商品群" localSheetId="3">[8]テーブル!$B$2:$B$7</definedName>
    <definedName name="商品群">[9]テーブル!$B$2:$B$7</definedName>
    <definedName name="実績レート" localSheetId="1">#REF!</definedName>
    <definedName name="実績レート" localSheetId="3">#REF!</definedName>
    <definedName name="実績レート">#REF!</definedName>
    <definedName name="対象日数" localSheetId="1">#REF!</definedName>
    <definedName name="対象日数" localSheetId="3">#REF!</definedName>
    <definedName name="対象日数">#REF!</definedName>
    <definedName name="技術開発経費181" localSheetId="1">#REF!</definedName>
    <definedName name="技術開発経費181" localSheetId="3">#REF!</definedName>
    <definedName name="技術開発経費181">#REF!</definedName>
    <definedName name="技術開発経費182">#REF!</definedName>
    <definedName name="担当者" localSheetId="3">[8]テーブル!$F$2:$F$24</definedName>
    <definedName name="担当者">[9]テーブル!$F$2:$F$24</definedName>
    <definedName name="支援まとめ">'[10]予定日別1-6'!$U$4:$GV$4</definedName>
    <definedName name="日付" localSheetId="3">[6]支援計画・０４!$J$4:$CW$4</definedName>
    <definedName name="日付">[7]支援計画・０４!$J$4:$CW$4</definedName>
    <definedName name="日数" localSheetId="1">#REF!</definedName>
    <definedName name="日数" localSheetId="3">#REF!</definedName>
    <definedName name="日数">#REF!</definedName>
    <definedName name="期" localSheetId="1">#REF!</definedName>
    <definedName name="期" localSheetId="3">#REF!</definedName>
    <definedName name="期">#REF!</definedName>
    <definedName name="梱包_Ｍ３">'[11]KB,MOLD ESTIMATE.00'!$F$13:$X$13</definedName>
    <definedName name="機能分類リスト" localSheetId="3">[12]開発計画品番リスト!#REF!</definedName>
    <definedName name="機能分類リスト">[12]開発計画品番リスト!#REF!</definedName>
    <definedName name="比率" localSheetId="3">[13]調達計画!#REF!</definedName>
    <definedName name="比率">[13]調達計画!#REF!</definedName>
    <definedName name="決算期区分" localSheetId="1">#REF!</definedName>
    <definedName name="決算期区分" localSheetId="3">#REF!</definedName>
    <definedName name="決算期区分">#REF!</definedName>
    <definedName name="為替" localSheetId="1">#REF!</definedName>
    <definedName name="為替" localSheetId="3">#REF!</definedName>
    <definedName name="為替">#REF!</definedName>
    <definedName name="為替レートEU" localSheetId="1">#REF!</definedName>
    <definedName name="為替レートEU" localSheetId="3">#REF!</definedName>
    <definedName name="為替レートEU">#REF!</definedName>
    <definedName name="為替レートUS">#REF!</definedName>
    <definedName name="生産拠点" localSheetId="3">[8]テーブル!$C$2:$C$6</definedName>
    <definedName name="生産拠点">[9]テーブル!$C$2:$C$6</definedName>
    <definedName name="直販ｺｰﾄﾞ">'[4]ｺﾋﾟｰ用（直セ）'!$F$1:$AN$263</definedName>
    <definedName name="立上年" localSheetId="3">[8]テーブル!$A$2:$A$11</definedName>
    <definedName name="立上年">[9]テーブル!$A$2:$A$11</definedName>
    <definedName name="立上月" localSheetId="3">[8]テーブル!$D$2:$D$13</definedName>
    <definedName name="立上月">[9]テーブル!$D$2:$D$13</definedName>
    <definedName name="補助部門比率" localSheetId="1">#REF!</definedName>
    <definedName name="補助部門比率" localSheetId="3">#REF!</definedName>
    <definedName name="補助部門比率">#REF!</definedName>
    <definedName name="補助部門費_設計以外181" localSheetId="1">#REF!</definedName>
    <definedName name="補助部門費_設計以外181" localSheetId="3">#REF!</definedName>
    <definedName name="補助部門費_設計以外181">#REF!</definedName>
    <definedName name="補助部門費_設計以外182" localSheetId="1">#REF!</definedName>
    <definedName name="補助部門費_設計以外182" localSheetId="3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25" i="1" l="1"/>
  <c r="AD525" i="1"/>
  <c r="AC526" i="1"/>
  <c r="AD526" i="1"/>
  <c r="AC527" i="1"/>
  <c r="AD527" i="1"/>
  <c r="AC528" i="1"/>
  <c r="AD528" i="1"/>
  <c r="AC529" i="1"/>
  <c r="AD529" i="1"/>
  <c r="AC530" i="1"/>
  <c r="AD530" i="1"/>
  <c r="AC531" i="1"/>
  <c r="AD531" i="1"/>
  <c r="AC532" i="1"/>
  <c r="AD532" i="1"/>
  <c r="AC533" i="1"/>
  <c r="AD533" i="1"/>
  <c r="AC534" i="1"/>
  <c r="AD534" i="1"/>
  <c r="AC535" i="1"/>
  <c r="AD535" i="1"/>
  <c r="AC536" i="1"/>
  <c r="AD536" i="1"/>
  <c r="AC537" i="1"/>
  <c r="AD537" i="1"/>
  <c r="AC538" i="1"/>
  <c r="AD538" i="1"/>
  <c r="AC539" i="1"/>
  <c r="AD539" i="1"/>
  <c r="AC540" i="1"/>
  <c r="AD540" i="1"/>
  <c r="AC541" i="1"/>
  <c r="AD541" i="1"/>
  <c r="AC542" i="1"/>
  <c r="AD542" i="1"/>
  <c r="AC543" i="1"/>
  <c r="AD543" i="1"/>
  <c r="AC544" i="1"/>
  <c r="AD544" i="1"/>
  <c r="AC545" i="1"/>
  <c r="AD545" i="1"/>
  <c r="AC546" i="1"/>
  <c r="AD546" i="1"/>
  <c r="AC547" i="1"/>
  <c r="AD547" i="1"/>
  <c r="AC548" i="1"/>
  <c r="AD548" i="1"/>
  <c r="AC549" i="1"/>
  <c r="AD549" i="1"/>
  <c r="AC550" i="1"/>
  <c r="AD550" i="1"/>
  <c r="AC551" i="1"/>
  <c r="AD551" i="1"/>
  <c r="AC552" i="1"/>
  <c r="AD552" i="1"/>
  <c r="AC553" i="1"/>
  <c r="AD553" i="1"/>
  <c r="AC554" i="1"/>
  <c r="AD554" i="1"/>
  <c r="AC555" i="1"/>
  <c r="AD555" i="1"/>
  <c r="AC556" i="1"/>
  <c r="AD556" i="1"/>
  <c r="AC557" i="1"/>
  <c r="AD557" i="1"/>
  <c r="AC558" i="1"/>
  <c r="AD558" i="1"/>
  <c r="AC559" i="1"/>
  <c r="AD559" i="1"/>
  <c r="AC560" i="1"/>
  <c r="AD560" i="1"/>
  <c r="AC561" i="1"/>
  <c r="AD561" i="1"/>
  <c r="AC562" i="1"/>
  <c r="AD562" i="1"/>
  <c r="AC563" i="1"/>
  <c r="AD563" i="1"/>
  <c r="AC564" i="1"/>
  <c r="AD564" i="1"/>
  <c r="AC565" i="1"/>
  <c r="AD565" i="1"/>
  <c r="AC566" i="1"/>
  <c r="AD566" i="1"/>
  <c r="AC567" i="1"/>
  <c r="AD567" i="1"/>
  <c r="AC568" i="1"/>
  <c r="AD568" i="1"/>
  <c r="AC569" i="1"/>
  <c r="AD569" i="1"/>
  <c r="AC570" i="1"/>
  <c r="AD570" i="1"/>
  <c r="AC571" i="1"/>
  <c r="AD571" i="1"/>
  <c r="AC572" i="1"/>
  <c r="AD572" i="1"/>
  <c r="AC573" i="1"/>
  <c r="AD573" i="1"/>
  <c r="AC574" i="1"/>
  <c r="AD574" i="1"/>
  <c r="AC575" i="1"/>
  <c r="AD575" i="1"/>
  <c r="AC576" i="1"/>
  <c r="AD576" i="1"/>
  <c r="AC577" i="1"/>
  <c r="AD577" i="1"/>
  <c r="AC578" i="1"/>
  <c r="AD578" i="1"/>
  <c r="AC579" i="1"/>
  <c r="AD579" i="1"/>
  <c r="AC580" i="1"/>
  <c r="AD580" i="1"/>
  <c r="AC581" i="1"/>
  <c r="AD581" i="1"/>
  <c r="AC582" i="1"/>
  <c r="AD582" i="1"/>
  <c r="AC583" i="1"/>
  <c r="AD583" i="1"/>
  <c r="AC584" i="1"/>
  <c r="AD584" i="1"/>
  <c r="AC585" i="1"/>
  <c r="AD585" i="1"/>
  <c r="AC586" i="1"/>
  <c r="AD586" i="1"/>
  <c r="AC587" i="1"/>
  <c r="AD587" i="1"/>
  <c r="AC588" i="1"/>
  <c r="AD588" i="1"/>
  <c r="AC589" i="1"/>
  <c r="AD589" i="1"/>
  <c r="AC590" i="1"/>
  <c r="AD590" i="1"/>
  <c r="AC591" i="1"/>
  <c r="AD591" i="1"/>
  <c r="AC592" i="1"/>
  <c r="AD592" i="1"/>
  <c r="AC593" i="1"/>
  <c r="AD593" i="1"/>
  <c r="AC594" i="1"/>
  <c r="AD594" i="1"/>
  <c r="AC595" i="1"/>
  <c r="AD595" i="1"/>
  <c r="AC596" i="1"/>
  <c r="AD596" i="1"/>
  <c r="AC597" i="1"/>
  <c r="AD597" i="1"/>
  <c r="AC598" i="1"/>
  <c r="AD598" i="1"/>
  <c r="AC599" i="1"/>
  <c r="AD599" i="1"/>
  <c r="AC600" i="1"/>
  <c r="AD600" i="1"/>
  <c r="AC601" i="1"/>
  <c r="AD601" i="1"/>
  <c r="AC602" i="1"/>
  <c r="AD602" i="1"/>
  <c r="AC603" i="1"/>
  <c r="AD603" i="1"/>
  <c r="AC604" i="1"/>
  <c r="AD604" i="1"/>
  <c r="AC605" i="1"/>
  <c r="AD605" i="1"/>
  <c r="AC606" i="1"/>
  <c r="AD606" i="1"/>
  <c r="AC607" i="1"/>
  <c r="AD607" i="1"/>
  <c r="AC608" i="1"/>
  <c r="AD608" i="1"/>
  <c r="AC609" i="1"/>
  <c r="AD609" i="1"/>
  <c r="AC610" i="1"/>
  <c r="AD610" i="1"/>
  <c r="AC611" i="1"/>
  <c r="AD611" i="1"/>
  <c r="AC612" i="1"/>
  <c r="AD612" i="1"/>
  <c r="AC613" i="1"/>
  <c r="AD613" i="1"/>
  <c r="AC614" i="1"/>
  <c r="AD614" i="1"/>
  <c r="AC615" i="1"/>
  <c r="AD615" i="1"/>
  <c r="AC616" i="1"/>
  <c r="AD616" i="1"/>
  <c r="AC617" i="1"/>
  <c r="AD617" i="1"/>
  <c r="AC618" i="1"/>
  <c r="AD618" i="1"/>
  <c r="AC619" i="1"/>
  <c r="AD619" i="1"/>
  <c r="AC620" i="1"/>
  <c r="AD620" i="1"/>
  <c r="AC621" i="1"/>
  <c r="AD621" i="1"/>
  <c r="AC622" i="1"/>
  <c r="AD622" i="1"/>
  <c r="AC623" i="1"/>
  <c r="AD623" i="1"/>
  <c r="AC624" i="1"/>
  <c r="AD624" i="1"/>
  <c r="AC625" i="1"/>
  <c r="AD625" i="1"/>
  <c r="AC626" i="1"/>
  <c r="AD626" i="1"/>
  <c r="AC627" i="1"/>
  <c r="AD627" i="1"/>
  <c r="AC628" i="1"/>
  <c r="AD628" i="1"/>
  <c r="AC629" i="1"/>
  <c r="AD629" i="1"/>
  <c r="AC630" i="1"/>
  <c r="AD630" i="1"/>
  <c r="AC631" i="1"/>
  <c r="AD631" i="1"/>
  <c r="AC632" i="1"/>
  <c r="AD632" i="1"/>
  <c r="AC633" i="1"/>
  <c r="AD633" i="1"/>
  <c r="AC634" i="1"/>
  <c r="AD634" i="1"/>
  <c r="AC635" i="1"/>
  <c r="AD635" i="1"/>
  <c r="AC636" i="1"/>
  <c r="AD636" i="1"/>
  <c r="AC637" i="1"/>
  <c r="AD637" i="1"/>
  <c r="AC638" i="1"/>
  <c r="AD638" i="1"/>
  <c r="AC639" i="1"/>
  <c r="AD639" i="1"/>
  <c r="AC640" i="1"/>
  <c r="AD640" i="1"/>
  <c r="AC641" i="1"/>
  <c r="AD641" i="1"/>
  <c r="AC642" i="1"/>
  <c r="AD642" i="1"/>
  <c r="AC643" i="1"/>
  <c r="AD643" i="1"/>
  <c r="AC644" i="1"/>
  <c r="AD644" i="1"/>
  <c r="AC645" i="1"/>
  <c r="AD645" i="1"/>
  <c r="AC646" i="1"/>
  <c r="AD646" i="1"/>
  <c r="AC647" i="1"/>
  <c r="AD647" i="1"/>
  <c r="AC648" i="1"/>
  <c r="AD648" i="1"/>
  <c r="AC649" i="1"/>
  <c r="AD649" i="1"/>
  <c r="AC650" i="1"/>
  <c r="AD650" i="1"/>
  <c r="AC651" i="1"/>
  <c r="AD651" i="1"/>
  <c r="AC652" i="1"/>
  <c r="AD652" i="1"/>
  <c r="AC653" i="1"/>
  <c r="AD653" i="1"/>
  <c r="AC654" i="1"/>
  <c r="AD654" i="1"/>
  <c r="AC655" i="1"/>
  <c r="AD655" i="1"/>
  <c r="AC656" i="1"/>
  <c r="AD656" i="1"/>
  <c r="AC657" i="1"/>
  <c r="AD657" i="1"/>
  <c r="AC658" i="1"/>
  <c r="AD658" i="1"/>
  <c r="AC659" i="1"/>
  <c r="AD659" i="1"/>
  <c r="AC660" i="1"/>
  <c r="AD660" i="1"/>
  <c r="AC661" i="1"/>
  <c r="AD661" i="1"/>
  <c r="AC662" i="1"/>
  <c r="AD662" i="1"/>
  <c r="AC663" i="1"/>
  <c r="AD663" i="1"/>
  <c r="AC664" i="1"/>
  <c r="AD664" i="1"/>
  <c r="AC665" i="1"/>
  <c r="AD665" i="1"/>
  <c r="AC666" i="1"/>
  <c r="AD666" i="1"/>
  <c r="AC667" i="1"/>
  <c r="AD667" i="1"/>
  <c r="AC668" i="1"/>
  <c r="AD668" i="1"/>
  <c r="AC669" i="1"/>
  <c r="AD669" i="1"/>
  <c r="AC670" i="1"/>
  <c r="AD670" i="1"/>
  <c r="AC671" i="1"/>
  <c r="AD671" i="1"/>
  <c r="AC672" i="1"/>
  <c r="AD672" i="1"/>
  <c r="AC673" i="1"/>
  <c r="AD673" i="1"/>
  <c r="AC674" i="1"/>
  <c r="AD674" i="1"/>
  <c r="AC675" i="1"/>
  <c r="AD675" i="1"/>
  <c r="AC676" i="1"/>
  <c r="AD676" i="1"/>
  <c r="AC677" i="1"/>
  <c r="AD677" i="1"/>
  <c r="AC678" i="1"/>
  <c r="AD678" i="1"/>
  <c r="AC679" i="1"/>
  <c r="AD679" i="1"/>
  <c r="AC680" i="1"/>
  <c r="AD680" i="1"/>
  <c r="AC681" i="1"/>
  <c r="AD681" i="1"/>
  <c r="AC682" i="1"/>
  <c r="AD682" i="1"/>
  <c r="AC683" i="1"/>
  <c r="AD683" i="1"/>
  <c r="AC684" i="1"/>
  <c r="AD684" i="1"/>
  <c r="AC685" i="1"/>
  <c r="AD685" i="1"/>
  <c r="AC686" i="1"/>
  <c r="AD686" i="1"/>
  <c r="AC687" i="1"/>
  <c r="AD687" i="1"/>
  <c r="AC688" i="1"/>
  <c r="AD688" i="1"/>
  <c r="AC689" i="1"/>
  <c r="AD689" i="1"/>
  <c r="AC690" i="1"/>
  <c r="AD690" i="1"/>
  <c r="AC691" i="1"/>
  <c r="AD691" i="1"/>
  <c r="AC692" i="1"/>
  <c r="AD692" i="1"/>
  <c r="AC693" i="1"/>
  <c r="AD693" i="1"/>
  <c r="AC694" i="1"/>
  <c r="AD694" i="1"/>
  <c r="AC695" i="1"/>
  <c r="AD695" i="1"/>
  <c r="AC696" i="1"/>
  <c r="AD696" i="1"/>
  <c r="AC697" i="1"/>
  <c r="AD697" i="1"/>
  <c r="AC698" i="1"/>
  <c r="AD698" i="1"/>
  <c r="AC699" i="1"/>
  <c r="AD699" i="1"/>
  <c r="AC700" i="1"/>
  <c r="AD700" i="1"/>
  <c r="AC701" i="1"/>
  <c r="AD701" i="1"/>
  <c r="AC702" i="1"/>
  <c r="AD702" i="1"/>
  <c r="AC703" i="1"/>
  <c r="AD703" i="1"/>
  <c r="AC704" i="1"/>
  <c r="AD704" i="1"/>
  <c r="AC705" i="1"/>
  <c r="AD705" i="1"/>
  <c r="AC706" i="1"/>
  <c r="AD706" i="1"/>
  <c r="AC707" i="1"/>
  <c r="AD707" i="1"/>
  <c r="AC708" i="1"/>
  <c r="AD708" i="1"/>
  <c r="AC709" i="1"/>
  <c r="AD709" i="1"/>
  <c r="AC710" i="1"/>
  <c r="AD710" i="1"/>
  <c r="AC711" i="1"/>
  <c r="AD711" i="1"/>
  <c r="AC712" i="1"/>
  <c r="AD712" i="1"/>
  <c r="AC713" i="1"/>
  <c r="AD713" i="1"/>
  <c r="AC714" i="1"/>
  <c r="AD714" i="1"/>
  <c r="AC715" i="1"/>
  <c r="AD715" i="1"/>
  <c r="AC716" i="1"/>
  <c r="AD716" i="1"/>
  <c r="AC717" i="1"/>
  <c r="AD717" i="1"/>
  <c r="AC718" i="1"/>
  <c r="AD718" i="1"/>
  <c r="AC719" i="1"/>
  <c r="AD719" i="1"/>
  <c r="AC720" i="1"/>
  <c r="AD720" i="1"/>
  <c r="AC721" i="1"/>
  <c r="AD721" i="1"/>
  <c r="AC722" i="1"/>
  <c r="AD722" i="1"/>
  <c r="AC723" i="1"/>
  <c r="AD723" i="1"/>
  <c r="AC724" i="1"/>
  <c r="AD724" i="1"/>
  <c r="AC725" i="1"/>
  <c r="AD725" i="1"/>
  <c r="AC726" i="1"/>
  <c r="AD726" i="1"/>
  <c r="AC727" i="1"/>
  <c r="AD727" i="1"/>
  <c r="AC728" i="1"/>
  <c r="AD728" i="1"/>
  <c r="AC729" i="1"/>
  <c r="AD729" i="1"/>
  <c r="AC730" i="1"/>
  <c r="AD730" i="1"/>
  <c r="AC731" i="1"/>
  <c r="AD731" i="1"/>
  <c r="AC732" i="1"/>
  <c r="AD732" i="1"/>
  <c r="AC733" i="1"/>
  <c r="AD733" i="1"/>
  <c r="AC734" i="1"/>
  <c r="AD734" i="1"/>
  <c r="AC735" i="1"/>
  <c r="AD735" i="1"/>
  <c r="AC736" i="1"/>
  <c r="AD736" i="1"/>
  <c r="AC737" i="1"/>
  <c r="AD737" i="1"/>
  <c r="AC738" i="1"/>
  <c r="AD738" i="1"/>
  <c r="AC739" i="1"/>
  <c r="AD739" i="1"/>
  <c r="AC740" i="1"/>
  <c r="AD740" i="1"/>
  <c r="AC741" i="1"/>
  <c r="AD741" i="1"/>
  <c r="AC742" i="1"/>
  <c r="AD742" i="1"/>
  <c r="AC743" i="1"/>
  <c r="AD743" i="1"/>
  <c r="AC744" i="1"/>
  <c r="AD744" i="1"/>
  <c r="AC745" i="1"/>
  <c r="AD745" i="1"/>
  <c r="AC746" i="1"/>
  <c r="AD746" i="1"/>
  <c r="AC747" i="1"/>
  <c r="AD747" i="1"/>
  <c r="AC748" i="1"/>
  <c r="AD748" i="1"/>
  <c r="AC749" i="1"/>
  <c r="AD749" i="1"/>
  <c r="AC750" i="1"/>
  <c r="AD750" i="1"/>
  <c r="AC751" i="1"/>
  <c r="AD751" i="1"/>
  <c r="AC752" i="1"/>
  <c r="AD752" i="1"/>
  <c r="AC753" i="1"/>
  <c r="AD753" i="1"/>
  <c r="AC754" i="1"/>
  <c r="AD754" i="1"/>
  <c r="AC755" i="1"/>
  <c r="AD755" i="1"/>
  <c r="AC756" i="1"/>
  <c r="AD756" i="1"/>
  <c r="AC757" i="1"/>
  <c r="AD757" i="1"/>
  <c r="AC758" i="1"/>
  <c r="AD758" i="1"/>
  <c r="AC759" i="1"/>
  <c r="AD759" i="1"/>
  <c r="AC760" i="1"/>
  <c r="AD760" i="1"/>
  <c r="AC761" i="1"/>
  <c r="AD761" i="1"/>
  <c r="AC762" i="1"/>
  <c r="AD762" i="1"/>
  <c r="AC763" i="1"/>
  <c r="AD763" i="1"/>
  <c r="AC764" i="1"/>
  <c r="AD764" i="1"/>
  <c r="AC765" i="1"/>
  <c r="AD765" i="1"/>
  <c r="AC766" i="1"/>
  <c r="AD766" i="1"/>
  <c r="AC767" i="1"/>
  <c r="AD767" i="1"/>
  <c r="AC768" i="1"/>
  <c r="AD768" i="1"/>
  <c r="AC769" i="1"/>
  <c r="AD769" i="1"/>
  <c r="AC770" i="1"/>
  <c r="AD770" i="1"/>
  <c r="AC771" i="1"/>
  <c r="AD771" i="1"/>
  <c r="AC772" i="1"/>
  <c r="AD772" i="1"/>
  <c r="AC773" i="1"/>
  <c r="AD773" i="1"/>
  <c r="AC774" i="1"/>
  <c r="AD774" i="1"/>
  <c r="AC775" i="1"/>
  <c r="AD775" i="1"/>
  <c r="AC776" i="1"/>
  <c r="AD776" i="1"/>
  <c r="AC777" i="1"/>
  <c r="AD777" i="1"/>
  <c r="AC778" i="1"/>
  <c r="AD778" i="1"/>
  <c r="AC779" i="1"/>
  <c r="AD779" i="1"/>
  <c r="AC780" i="1"/>
  <c r="AD780" i="1"/>
  <c r="AC781" i="1"/>
  <c r="AD781" i="1"/>
  <c r="AC782" i="1"/>
  <c r="AD782" i="1"/>
  <c r="AC783" i="1"/>
  <c r="AD783" i="1"/>
  <c r="AC784" i="1"/>
  <c r="AD784" i="1"/>
  <c r="AC785" i="1"/>
  <c r="AD785" i="1"/>
  <c r="AC786" i="1"/>
  <c r="AD786" i="1"/>
  <c r="AC787" i="1"/>
  <c r="AD787" i="1"/>
  <c r="AC788" i="1"/>
  <c r="AD788" i="1"/>
  <c r="AC789" i="1"/>
  <c r="AD789" i="1"/>
  <c r="AC790" i="1"/>
  <c r="AD790" i="1"/>
  <c r="AC791" i="1"/>
  <c r="AD791" i="1"/>
  <c r="AC792" i="1"/>
  <c r="AD792" i="1"/>
  <c r="AC793" i="1"/>
  <c r="AD793" i="1"/>
  <c r="AC794" i="1"/>
  <c r="AD794" i="1"/>
  <c r="AC795" i="1"/>
  <c r="AD795" i="1"/>
  <c r="AC796" i="1"/>
  <c r="AD796" i="1"/>
  <c r="AC797" i="1"/>
  <c r="AD797" i="1"/>
  <c r="AC798" i="1"/>
  <c r="AD798" i="1"/>
  <c r="AC799" i="1"/>
  <c r="AD799" i="1"/>
  <c r="AC800" i="1"/>
  <c r="AD800" i="1"/>
  <c r="AC801" i="1"/>
  <c r="AD801" i="1"/>
  <c r="AC802" i="1"/>
  <c r="AD802" i="1"/>
  <c r="AC803" i="1"/>
  <c r="AD803" i="1"/>
  <c r="AC804" i="1"/>
  <c r="AD804" i="1"/>
  <c r="AC805" i="1"/>
  <c r="AD805" i="1"/>
  <c r="AC806" i="1"/>
  <c r="AD806" i="1"/>
  <c r="AC807" i="1"/>
  <c r="AD807" i="1"/>
  <c r="AC808" i="1"/>
  <c r="AD808" i="1"/>
  <c r="AC809" i="1"/>
  <c r="AD809" i="1"/>
  <c r="AC810" i="1"/>
  <c r="AD810" i="1"/>
  <c r="AC811" i="1"/>
  <c r="AD811" i="1"/>
  <c r="AC812" i="1"/>
  <c r="AD812" i="1"/>
  <c r="AC813" i="1"/>
  <c r="AD813" i="1"/>
  <c r="AC814" i="1"/>
  <c r="AD814" i="1"/>
  <c r="AC815" i="1"/>
  <c r="AD815" i="1"/>
  <c r="AC816" i="1"/>
  <c r="AD816" i="1"/>
  <c r="AC817" i="1"/>
  <c r="AD817" i="1"/>
  <c r="AC818" i="1"/>
  <c r="AD818" i="1"/>
  <c r="AC819" i="1"/>
  <c r="AD819" i="1"/>
  <c r="AC820" i="1"/>
  <c r="AD820" i="1"/>
  <c r="AC821" i="1"/>
  <c r="AD821" i="1"/>
  <c r="AC822" i="1"/>
  <c r="AD822" i="1"/>
  <c r="AC823" i="1"/>
  <c r="AD823" i="1"/>
  <c r="AC824" i="1"/>
  <c r="AD824" i="1"/>
  <c r="AC825" i="1"/>
  <c r="AD825" i="1"/>
  <c r="AC826" i="1"/>
  <c r="AD826" i="1"/>
  <c r="AC827" i="1"/>
  <c r="AD827" i="1"/>
  <c r="AC828" i="1"/>
  <c r="AD828" i="1"/>
  <c r="AC829" i="1"/>
  <c r="AD829" i="1"/>
  <c r="AC830" i="1"/>
  <c r="AD830" i="1"/>
  <c r="AC831" i="1"/>
  <c r="AD831" i="1"/>
  <c r="AC832" i="1"/>
  <c r="AD832" i="1"/>
  <c r="AC833" i="1"/>
  <c r="AD833" i="1"/>
  <c r="AC834" i="1"/>
  <c r="AD834" i="1"/>
  <c r="AC835" i="1"/>
  <c r="AD835" i="1"/>
  <c r="AC836" i="1"/>
  <c r="AD836" i="1"/>
  <c r="AC837" i="1"/>
  <c r="AD837" i="1"/>
  <c r="AC838" i="1"/>
  <c r="AD838" i="1"/>
  <c r="AC839" i="1"/>
  <c r="AD839" i="1"/>
  <c r="AC840" i="1"/>
  <c r="AD840" i="1"/>
  <c r="AC841" i="1"/>
  <c r="AD841" i="1"/>
  <c r="AC842" i="1"/>
  <c r="AD842" i="1"/>
  <c r="AC843" i="1"/>
  <c r="AD843" i="1"/>
  <c r="AC844" i="1"/>
  <c r="AD844" i="1"/>
  <c r="AC845" i="1"/>
  <c r="AD845" i="1"/>
  <c r="AC846" i="1"/>
  <c r="AD846" i="1"/>
  <c r="AC847" i="1"/>
  <c r="AD847" i="1"/>
  <c r="AC848" i="1"/>
  <c r="AD848" i="1"/>
  <c r="AC849" i="1"/>
  <c r="AD849" i="1"/>
  <c r="AC850" i="1"/>
  <c r="AD850" i="1"/>
  <c r="AC851" i="1"/>
  <c r="AD851" i="1"/>
  <c r="AC852" i="1"/>
  <c r="AD852" i="1"/>
  <c r="AC853" i="1"/>
  <c r="AD853" i="1"/>
  <c r="AC854" i="1"/>
  <c r="AD854" i="1"/>
  <c r="AC855" i="1"/>
  <c r="AD855" i="1"/>
  <c r="AC856" i="1"/>
  <c r="AD856" i="1"/>
  <c r="AC857" i="1"/>
  <c r="AD857" i="1"/>
  <c r="AC858" i="1"/>
  <c r="AD858" i="1"/>
  <c r="AC859" i="1"/>
  <c r="AD859" i="1"/>
  <c r="AC860" i="1"/>
  <c r="AD860" i="1"/>
  <c r="AC861" i="1"/>
  <c r="AD861" i="1"/>
  <c r="AC862" i="1"/>
  <c r="AD862" i="1"/>
  <c r="AC863" i="1"/>
  <c r="AD863" i="1"/>
  <c r="AC864" i="1"/>
  <c r="AD864" i="1"/>
  <c r="AC865" i="1"/>
  <c r="AD865" i="1"/>
  <c r="AC866" i="1"/>
  <c r="AD866" i="1"/>
  <c r="AC867" i="1"/>
  <c r="AD867" i="1"/>
  <c r="AC868" i="1"/>
  <c r="AD868" i="1"/>
  <c r="AC869" i="1"/>
  <c r="AD869" i="1"/>
  <c r="AC870" i="1"/>
  <c r="AD870" i="1"/>
  <c r="AC871" i="1"/>
  <c r="AD871" i="1"/>
  <c r="AC872" i="1"/>
  <c r="AD872" i="1"/>
  <c r="AC873" i="1"/>
  <c r="AD873" i="1"/>
  <c r="AC874" i="1"/>
  <c r="AD874" i="1"/>
  <c r="AC875" i="1"/>
  <c r="AD875" i="1"/>
  <c r="AC876" i="1"/>
  <c r="AD876" i="1"/>
  <c r="AC877" i="1"/>
  <c r="AD877" i="1"/>
  <c r="AC878" i="1"/>
  <c r="AD878" i="1"/>
  <c r="AC879" i="1"/>
  <c r="AD879" i="1"/>
  <c r="AC880" i="1"/>
  <c r="AD880" i="1"/>
  <c r="AC881" i="1"/>
  <c r="AD881" i="1"/>
  <c r="AC882" i="1"/>
  <c r="AD882" i="1"/>
  <c r="AC883" i="1"/>
  <c r="AD883" i="1"/>
  <c r="AC884" i="1"/>
  <c r="AD884" i="1"/>
  <c r="AC885" i="1"/>
  <c r="AD885" i="1"/>
  <c r="AC886" i="1"/>
  <c r="AD886" i="1"/>
  <c r="AC887" i="1"/>
  <c r="AD887" i="1"/>
  <c r="AC888" i="1"/>
  <c r="AD888" i="1"/>
  <c r="AC889" i="1"/>
  <c r="AD889" i="1"/>
  <c r="AC890" i="1"/>
  <c r="AD890" i="1"/>
  <c r="AC891" i="1"/>
  <c r="AD891" i="1"/>
  <c r="AC892" i="1"/>
  <c r="AD892" i="1"/>
  <c r="AC893" i="1"/>
  <c r="AD893" i="1"/>
  <c r="AC894" i="1"/>
  <c r="AD894" i="1"/>
  <c r="AC895" i="1"/>
  <c r="AD895" i="1"/>
  <c r="AC896" i="1"/>
  <c r="AD896" i="1"/>
  <c r="AC897" i="1"/>
  <c r="AD897" i="1"/>
  <c r="AC898" i="1"/>
  <c r="AD898" i="1"/>
  <c r="AC899" i="1"/>
  <c r="AD899" i="1"/>
  <c r="AC900" i="1"/>
  <c r="AD900" i="1"/>
  <c r="AC901" i="1"/>
  <c r="AD901" i="1"/>
  <c r="AC902" i="1"/>
  <c r="AD902" i="1"/>
  <c r="AC903" i="1"/>
  <c r="AD903" i="1"/>
  <c r="AC904" i="1"/>
  <c r="AD904" i="1"/>
  <c r="AC905" i="1"/>
  <c r="AD905" i="1"/>
  <c r="AC906" i="1"/>
  <c r="AD906" i="1"/>
  <c r="AC907" i="1"/>
  <c r="AD907" i="1"/>
  <c r="AC908" i="1"/>
  <c r="AD908" i="1"/>
  <c r="AC909" i="1"/>
  <c r="AD909" i="1"/>
  <c r="AC910" i="1"/>
  <c r="AD910" i="1"/>
  <c r="AC911" i="1"/>
  <c r="AD911" i="1"/>
  <c r="AC912" i="1"/>
  <c r="AD912" i="1"/>
  <c r="AC913" i="1"/>
  <c r="AD913" i="1"/>
  <c r="AC914" i="1"/>
  <c r="AD914" i="1"/>
  <c r="AC915" i="1"/>
  <c r="AD915" i="1"/>
  <c r="AC916" i="1"/>
  <c r="AD916" i="1"/>
  <c r="AC917" i="1"/>
  <c r="AD917" i="1"/>
  <c r="AC918" i="1"/>
  <c r="AD918" i="1"/>
  <c r="AC919" i="1"/>
  <c r="AD919" i="1"/>
  <c r="AC920" i="1"/>
  <c r="AD920" i="1"/>
  <c r="AC921" i="1"/>
  <c r="AD921" i="1"/>
  <c r="AC922" i="1"/>
  <c r="AD922" i="1"/>
  <c r="AC923" i="1"/>
  <c r="AD923" i="1"/>
  <c r="AC924" i="1"/>
  <c r="AD924" i="1"/>
  <c r="AC925" i="1"/>
  <c r="AD925" i="1"/>
  <c r="AC926" i="1"/>
  <c r="AD926" i="1"/>
  <c r="AC927" i="1"/>
  <c r="AD927" i="1"/>
  <c r="AC928" i="1"/>
  <c r="AD928" i="1"/>
  <c r="AC929" i="1"/>
  <c r="AD929" i="1"/>
  <c r="AC930" i="1"/>
  <c r="AD930" i="1"/>
  <c r="AC931" i="1"/>
  <c r="AD931" i="1"/>
  <c r="AC932" i="1"/>
  <c r="AD932" i="1"/>
  <c r="AC933" i="1"/>
  <c r="AD933" i="1"/>
  <c r="AC934" i="1"/>
  <c r="AD934" i="1"/>
  <c r="AC935" i="1"/>
  <c r="AD935" i="1"/>
  <c r="AC936" i="1"/>
  <c r="AD936" i="1"/>
  <c r="AC937" i="1"/>
  <c r="AD937" i="1"/>
  <c r="AC938" i="1"/>
  <c r="AD938" i="1"/>
  <c r="AC939" i="1"/>
  <c r="AD939" i="1"/>
  <c r="AC940" i="1"/>
  <c r="AD940" i="1"/>
  <c r="AC941" i="1"/>
  <c r="AD941" i="1"/>
  <c r="AC942" i="1"/>
  <c r="AD942" i="1"/>
  <c r="AC943" i="1"/>
  <c r="AD943" i="1"/>
  <c r="AC944" i="1"/>
  <c r="AD944" i="1"/>
  <c r="AC945" i="1"/>
  <c r="AD945" i="1"/>
  <c r="AC946" i="1"/>
  <c r="AD946" i="1"/>
  <c r="AC947" i="1"/>
  <c r="AD947" i="1"/>
  <c r="AC948" i="1"/>
  <c r="AD948" i="1"/>
  <c r="AC949" i="1"/>
  <c r="AD949" i="1"/>
  <c r="AC950" i="1"/>
  <c r="AD950" i="1"/>
  <c r="AC951" i="1"/>
  <c r="AD951" i="1"/>
  <c r="AC952" i="1"/>
  <c r="AD952" i="1"/>
  <c r="AC953" i="1"/>
  <c r="AD953" i="1"/>
  <c r="AC954" i="1"/>
  <c r="AD954" i="1"/>
  <c r="AC955" i="1"/>
  <c r="AD955" i="1"/>
  <c r="AC956" i="1"/>
  <c r="AD956" i="1"/>
  <c r="AC957" i="1"/>
  <c r="AD957" i="1"/>
  <c r="AC958" i="1"/>
  <c r="AD958" i="1"/>
  <c r="AC959" i="1"/>
  <c r="AD959" i="1"/>
  <c r="AC960" i="1"/>
  <c r="AD960" i="1"/>
  <c r="AC961" i="1"/>
  <c r="AD961" i="1"/>
  <c r="AC962" i="1"/>
  <c r="AD962" i="1"/>
  <c r="AC963" i="1"/>
  <c r="AD963" i="1"/>
  <c r="AC964" i="1"/>
  <c r="AD964" i="1"/>
  <c r="AC965" i="1"/>
  <c r="AD965" i="1"/>
  <c r="AC966" i="1"/>
  <c r="AD966" i="1"/>
  <c r="AC967" i="1"/>
  <c r="AD967" i="1"/>
  <c r="AC968" i="1"/>
  <c r="AD968" i="1"/>
  <c r="AC969" i="1"/>
  <c r="AD969" i="1"/>
  <c r="AC970" i="1"/>
  <c r="AD970" i="1"/>
  <c r="AC971" i="1"/>
  <c r="AD971" i="1"/>
  <c r="AC972" i="1"/>
  <c r="AD972" i="1"/>
  <c r="AC973" i="1"/>
  <c r="AD973" i="1"/>
  <c r="AC974" i="1"/>
  <c r="AD974" i="1"/>
  <c r="AC975" i="1"/>
  <c r="AD975" i="1"/>
  <c r="AC976" i="1"/>
  <c r="AD976" i="1"/>
  <c r="AC977" i="1"/>
  <c r="AD977" i="1"/>
  <c r="AC978" i="1"/>
  <c r="AD978" i="1"/>
  <c r="AC979" i="1"/>
  <c r="AD979" i="1"/>
  <c r="AC980" i="1"/>
  <c r="AD980" i="1"/>
  <c r="AC981" i="1"/>
  <c r="AD981" i="1"/>
  <c r="AC982" i="1"/>
  <c r="AD982" i="1"/>
  <c r="AC983" i="1"/>
  <c r="AD983" i="1"/>
  <c r="AC984" i="1"/>
  <c r="AD984" i="1"/>
  <c r="AC985" i="1"/>
  <c r="AD985" i="1"/>
  <c r="AC986" i="1"/>
  <c r="AD986" i="1"/>
  <c r="AC987" i="1"/>
  <c r="AD987" i="1"/>
  <c r="AC988" i="1"/>
  <c r="AD988" i="1"/>
  <c r="AC989" i="1"/>
  <c r="AD989" i="1"/>
  <c r="AC990" i="1"/>
  <c r="AD990" i="1"/>
  <c r="AC991" i="1"/>
  <c r="AD991" i="1"/>
  <c r="AC992" i="1"/>
  <c r="AD992" i="1"/>
  <c r="AC993" i="1"/>
  <c r="AD993" i="1"/>
  <c r="AC994" i="1"/>
  <c r="AD994" i="1"/>
  <c r="AC995" i="1"/>
  <c r="AD995" i="1"/>
  <c r="AC996" i="1"/>
  <c r="AD996" i="1"/>
  <c r="AC997" i="1"/>
  <c r="AD997" i="1"/>
  <c r="AC998" i="1"/>
  <c r="AD998" i="1"/>
  <c r="AC999" i="1"/>
  <c r="AD999" i="1"/>
  <c r="AC1000" i="1"/>
  <c r="AD1000" i="1"/>
  <c r="AC1001" i="1"/>
  <c r="AD1001" i="1"/>
  <c r="AC1002" i="1"/>
  <c r="AD1002" i="1"/>
  <c r="AC1003" i="1"/>
  <c r="AD1003" i="1"/>
  <c r="AC1004" i="1"/>
  <c r="AD1004" i="1"/>
  <c r="AC1005" i="1"/>
  <c r="AD1005" i="1"/>
  <c r="AC1006" i="1"/>
  <c r="AD1006" i="1"/>
  <c r="AC1007" i="1"/>
  <c r="AD1007" i="1"/>
  <c r="AC1008" i="1"/>
  <c r="AD1008" i="1"/>
  <c r="AC1009" i="1"/>
  <c r="AD1009" i="1"/>
  <c r="AC1010" i="1"/>
  <c r="AD1010" i="1"/>
  <c r="AC1011" i="1"/>
  <c r="AD1011" i="1"/>
  <c r="AC1012" i="1"/>
  <c r="AD1012" i="1"/>
  <c r="AC1013" i="1"/>
  <c r="AD1013" i="1"/>
  <c r="AC1014" i="1"/>
  <c r="AD1014" i="1"/>
  <c r="AC1015" i="1"/>
  <c r="AD1015" i="1"/>
  <c r="AC1016" i="1"/>
  <c r="AD1016" i="1"/>
  <c r="AC1017" i="1"/>
  <c r="AD1017" i="1"/>
  <c r="AC1018" i="1"/>
  <c r="AD1018" i="1"/>
  <c r="AC1019" i="1"/>
  <c r="AD1019" i="1"/>
  <c r="AC1020" i="1"/>
  <c r="AD1020" i="1"/>
  <c r="AC1021" i="1"/>
  <c r="AD1021" i="1"/>
  <c r="AC1022" i="1"/>
  <c r="AD1022" i="1"/>
  <c r="AC1023" i="1"/>
  <c r="AD1023" i="1"/>
  <c r="AC1024" i="1"/>
  <c r="AD1024" i="1"/>
  <c r="AC1025" i="1"/>
  <c r="AD1025" i="1"/>
  <c r="AC1026" i="1"/>
  <c r="AD1026" i="1"/>
  <c r="AC1027" i="1"/>
  <c r="AD1027" i="1"/>
  <c r="AC1028" i="1"/>
  <c r="AD1028" i="1"/>
  <c r="AC1029" i="1"/>
  <c r="AD1029" i="1"/>
  <c r="AC1030" i="1"/>
  <c r="AD1030" i="1"/>
  <c r="AC1031" i="1"/>
  <c r="AD1031" i="1"/>
  <c r="AC1032" i="1"/>
  <c r="AD1032" i="1"/>
  <c r="AC1033" i="1"/>
  <c r="AD1033" i="1"/>
  <c r="AC1034" i="1"/>
  <c r="AD1034" i="1"/>
  <c r="AC1035" i="1"/>
  <c r="AD1035" i="1"/>
  <c r="AC1036" i="1"/>
  <c r="AD1036" i="1"/>
  <c r="AC1037" i="1"/>
  <c r="AD1037" i="1"/>
  <c r="AC1038" i="1"/>
  <c r="AD1038" i="1"/>
  <c r="AC1039" i="1"/>
  <c r="AD1039" i="1"/>
  <c r="AC1040" i="1"/>
  <c r="AD1040" i="1"/>
  <c r="AC1041" i="1"/>
  <c r="AD1041" i="1"/>
  <c r="AC1042" i="1"/>
  <c r="AD1042" i="1"/>
  <c r="AC1043" i="1"/>
  <c r="AD1043" i="1"/>
  <c r="AC1044" i="1"/>
  <c r="AD1044" i="1"/>
  <c r="AC1045" i="1"/>
  <c r="AD1045" i="1"/>
  <c r="AC1046" i="1"/>
  <c r="AD1046" i="1"/>
  <c r="AC1047" i="1"/>
  <c r="AD1047" i="1"/>
  <c r="AC1048" i="1"/>
  <c r="AD1048" i="1"/>
  <c r="AC1049" i="1"/>
  <c r="AD1049" i="1"/>
  <c r="AC1050" i="1"/>
  <c r="AD1050" i="1"/>
  <c r="AC1051" i="1"/>
  <c r="AD1051" i="1"/>
  <c r="AC1052" i="1"/>
  <c r="AD1052" i="1"/>
  <c r="AC1053" i="1"/>
  <c r="AD1053" i="1"/>
  <c r="AC1054" i="1"/>
  <c r="AD1054" i="1"/>
  <c r="AC1055" i="1"/>
  <c r="AD1055" i="1"/>
  <c r="AC1056" i="1"/>
  <c r="AD1056" i="1"/>
  <c r="AC1057" i="1"/>
  <c r="AD1057" i="1"/>
  <c r="AC1058" i="1"/>
  <c r="AD1058" i="1"/>
  <c r="AC1059" i="1"/>
  <c r="AD1059" i="1"/>
  <c r="AC1060" i="1"/>
  <c r="AD1060" i="1"/>
  <c r="AC1061" i="1"/>
  <c r="AD1061" i="1"/>
  <c r="AC1062" i="1"/>
  <c r="AD1062" i="1"/>
  <c r="AC1063" i="1"/>
  <c r="AD1063" i="1"/>
  <c r="AC1064" i="1"/>
  <c r="AD1064" i="1"/>
  <c r="AC1065" i="1"/>
  <c r="AD1065" i="1"/>
  <c r="AC1066" i="1"/>
  <c r="AD1066" i="1"/>
  <c r="AC1067" i="1"/>
  <c r="AD1067" i="1"/>
  <c r="AC1068" i="1"/>
  <c r="AD1068" i="1"/>
  <c r="AC1069" i="1"/>
  <c r="AD1069" i="1"/>
  <c r="AC1070" i="1"/>
  <c r="AD1070" i="1"/>
  <c r="AC1071" i="1"/>
  <c r="AD1071" i="1"/>
  <c r="AC1072" i="1"/>
  <c r="AD1072" i="1"/>
  <c r="AC1073" i="1"/>
  <c r="AD1073" i="1"/>
  <c r="AC1074" i="1"/>
  <c r="AD1074" i="1"/>
  <c r="AC1075" i="1"/>
  <c r="AD1075" i="1"/>
  <c r="AC1076" i="1"/>
  <c r="AD1076" i="1"/>
  <c r="AC1077" i="1"/>
  <c r="AD1077" i="1"/>
  <c r="AC1078" i="1"/>
  <c r="AD1078" i="1"/>
  <c r="AC1079" i="1"/>
  <c r="AD1079" i="1"/>
  <c r="AC1080" i="1"/>
  <c r="AD1080" i="1"/>
  <c r="AC1081" i="1"/>
  <c r="AD1081" i="1"/>
  <c r="AC1082" i="1"/>
  <c r="AD1082" i="1"/>
  <c r="AC1083" i="1"/>
  <c r="AD1083" i="1"/>
  <c r="AC1084" i="1"/>
  <c r="AD1084" i="1"/>
  <c r="AC1085" i="1"/>
  <c r="AD1085" i="1"/>
  <c r="AC1086" i="1"/>
  <c r="AD1086" i="1"/>
  <c r="AC1087" i="1"/>
  <c r="AD1087" i="1"/>
  <c r="AC1088" i="1"/>
  <c r="AD1088" i="1"/>
  <c r="AC1089" i="1"/>
  <c r="AD1089" i="1"/>
  <c r="AC1090" i="1"/>
  <c r="AD1090" i="1"/>
  <c r="AC1091" i="1"/>
  <c r="AD1091" i="1"/>
  <c r="AC1092" i="1"/>
  <c r="AD1092" i="1"/>
  <c r="AC1093" i="1"/>
  <c r="AD1093" i="1"/>
  <c r="AC1094" i="1"/>
  <c r="AD1094" i="1"/>
  <c r="AC1095" i="1"/>
  <c r="AD1095" i="1"/>
  <c r="AC1096" i="1"/>
  <c r="AD1096" i="1"/>
  <c r="AC1097" i="1"/>
  <c r="AD1097" i="1"/>
  <c r="AC1098" i="1"/>
  <c r="AD1098" i="1"/>
  <c r="AC1099" i="1"/>
  <c r="AD1099" i="1"/>
  <c r="AC1100" i="1"/>
  <c r="AD1100" i="1"/>
  <c r="AC1101" i="1"/>
  <c r="AD1101" i="1"/>
  <c r="AC1102" i="1"/>
  <c r="AD1102" i="1"/>
  <c r="AC1103" i="1"/>
  <c r="AD1103" i="1"/>
  <c r="AC1104" i="1"/>
  <c r="AD1104" i="1"/>
  <c r="AC1105" i="1"/>
  <c r="AD1105" i="1"/>
  <c r="AC1106" i="1"/>
  <c r="AD1106" i="1"/>
  <c r="AC1107" i="1"/>
  <c r="AD1107" i="1"/>
  <c r="AC1108" i="1"/>
  <c r="AD1108" i="1"/>
  <c r="AC1109" i="1"/>
  <c r="AD1109" i="1"/>
  <c r="AC1110" i="1"/>
  <c r="AD1110" i="1"/>
  <c r="AC1111" i="1"/>
  <c r="AD1111" i="1"/>
  <c r="AC1112" i="1"/>
  <c r="AD1112" i="1"/>
  <c r="AC1113" i="1"/>
  <c r="AD1113" i="1"/>
  <c r="AC1114" i="1"/>
  <c r="AD1114" i="1"/>
  <c r="AC1115" i="1"/>
  <c r="AD1115" i="1"/>
  <c r="AC1116" i="1"/>
  <c r="AD1116" i="1"/>
  <c r="AC1117" i="1"/>
  <c r="AD1117" i="1"/>
  <c r="AC1118" i="1"/>
  <c r="AD1118" i="1"/>
  <c r="AC1119" i="1"/>
  <c r="AD1119" i="1"/>
  <c r="AC1120" i="1"/>
  <c r="AD1120" i="1"/>
  <c r="AC1121" i="1"/>
  <c r="AD1121" i="1"/>
  <c r="AC1122" i="1"/>
  <c r="AD1122" i="1"/>
  <c r="AC1123" i="1"/>
  <c r="AD1123" i="1"/>
  <c r="AC1124" i="1"/>
  <c r="AD1124" i="1"/>
  <c r="AC1125" i="1"/>
  <c r="AD1125" i="1"/>
  <c r="AC1126" i="1"/>
  <c r="AD1126" i="1"/>
  <c r="AC1127" i="1"/>
  <c r="AD1127" i="1"/>
  <c r="AC1128" i="1"/>
  <c r="AD1128" i="1"/>
  <c r="AC1129" i="1"/>
  <c r="AD1129" i="1"/>
  <c r="AC1130" i="1"/>
  <c r="AD1130" i="1"/>
  <c r="AC1131" i="1"/>
  <c r="AD1131" i="1"/>
  <c r="AC1132" i="1"/>
  <c r="AD1132" i="1"/>
  <c r="AC1133" i="1"/>
  <c r="AD1133" i="1"/>
  <c r="AC1134" i="1"/>
  <c r="AD1134" i="1"/>
  <c r="AC1135" i="1"/>
  <c r="AD1135" i="1"/>
  <c r="AC1136" i="1"/>
  <c r="AD1136" i="1"/>
  <c r="AC1137" i="1"/>
  <c r="AD1137" i="1"/>
  <c r="AC1138" i="1"/>
  <c r="AD1138" i="1"/>
  <c r="AC1139" i="1"/>
  <c r="AD1139" i="1"/>
  <c r="AC1140" i="1"/>
  <c r="AD1140" i="1"/>
  <c r="AC1141" i="1"/>
  <c r="AD1141" i="1"/>
  <c r="AC1142" i="1"/>
  <c r="AD1142" i="1"/>
  <c r="AC1143" i="1"/>
  <c r="AD1143" i="1"/>
  <c r="AC1144" i="1"/>
  <c r="AD1144" i="1"/>
  <c r="AC1145" i="1"/>
  <c r="AD1145" i="1"/>
  <c r="AC1146" i="1"/>
  <c r="AD1146" i="1"/>
  <c r="AC1147" i="1"/>
  <c r="AD1147" i="1"/>
  <c r="AC1148" i="1"/>
  <c r="AD1148" i="1"/>
  <c r="AC1149" i="1"/>
  <c r="AD1149" i="1"/>
  <c r="AC1150" i="1"/>
  <c r="AD1150" i="1"/>
  <c r="AC1151" i="1"/>
  <c r="AD1151" i="1"/>
  <c r="AC1152" i="1"/>
  <c r="AD1152" i="1"/>
  <c r="AC1153" i="1"/>
  <c r="AD1153" i="1"/>
  <c r="AC1154" i="1"/>
  <c r="AD1154" i="1"/>
  <c r="AC1155" i="1"/>
  <c r="AD1155" i="1"/>
  <c r="AC1156" i="1"/>
  <c r="AD1156" i="1"/>
  <c r="AC1157" i="1"/>
  <c r="AD1157" i="1"/>
  <c r="AC1158" i="1"/>
  <c r="AD1158" i="1"/>
  <c r="AC1159" i="1"/>
  <c r="AD1159" i="1"/>
  <c r="AC1160" i="1"/>
  <c r="AD1160" i="1"/>
  <c r="AC1161" i="1"/>
  <c r="AD1161" i="1"/>
  <c r="AC1162" i="1"/>
  <c r="AD1162" i="1"/>
  <c r="AC1163" i="1"/>
  <c r="AD1163" i="1"/>
  <c r="AC1164" i="1"/>
  <c r="AD1164" i="1"/>
  <c r="AC1165" i="1"/>
  <c r="AD1165" i="1"/>
  <c r="AC1166" i="1"/>
  <c r="AD1166" i="1"/>
  <c r="AC1167" i="1"/>
  <c r="AD1167" i="1"/>
  <c r="AC1168" i="1"/>
  <c r="AD1168" i="1"/>
  <c r="AC1169" i="1"/>
  <c r="AD1169" i="1"/>
  <c r="AC1170" i="1"/>
  <c r="AD1170" i="1"/>
  <c r="AC1171" i="1"/>
  <c r="AD1171" i="1"/>
  <c r="AC1172" i="1"/>
  <c r="AD1172" i="1"/>
  <c r="AC1173" i="1"/>
  <c r="AD1173" i="1"/>
  <c r="AC1174" i="1"/>
  <c r="AD1174" i="1"/>
  <c r="AC1175" i="1"/>
  <c r="AD1175" i="1"/>
  <c r="AC1176" i="1"/>
  <c r="AD1176" i="1"/>
  <c r="AC1177" i="1"/>
  <c r="AD1177" i="1"/>
  <c r="AC1178" i="1"/>
  <c r="AD1178" i="1"/>
  <c r="AC1179" i="1"/>
  <c r="AD1179" i="1"/>
  <c r="AC1180" i="1"/>
  <c r="AD1180" i="1"/>
  <c r="AC1181" i="1"/>
  <c r="AD1181" i="1"/>
  <c r="AC1182" i="1"/>
  <c r="AD1182" i="1"/>
  <c r="AC1183" i="1"/>
  <c r="AD1183" i="1"/>
  <c r="AC1184" i="1"/>
  <c r="AD1184" i="1"/>
  <c r="AC1185" i="1"/>
  <c r="AD1185" i="1"/>
  <c r="AC1186" i="1"/>
  <c r="AD1186" i="1"/>
  <c r="AC1187" i="1"/>
  <c r="AD1187" i="1"/>
  <c r="AC1188" i="1"/>
  <c r="AD1188" i="1"/>
  <c r="AC1189" i="1"/>
  <c r="AD1189" i="1"/>
  <c r="AC1190" i="1"/>
  <c r="AD1190" i="1"/>
  <c r="AC1191" i="1"/>
  <c r="AD1191" i="1"/>
  <c r="AC1192" i="1"/>
  <c r="AD1192" i="1"/>
  <c r="AC1193" i="1"/>
  <c r="AD1193" i="1"/>
  <c r="AC1194" i="1"/>
  <c r="AD1194" i="1"/>
  <c r="AC1195" i="1"/>
  <c r="AD1195" i="1"/>
  <c r="AC1196" i="1"/>
  <c r="AD1196" i="1"/>
  <c r="AC1197" i="1"/>
  <c r="AD1197" i="1"/>
  <c r="AC1198" i="1"/>
  <c r="AD1198" i="1"/>
  <c r="AC1199" i="1"/>
  <c r="AD1199" i="1"/>
  <c r="AC1200" i="1"/>
  <c r="AD1200" i="1"/>
  <c r="AC1201" i="1"/>
  <c r="AD1201" i="1"/>
  <c r="AC1202" i="1"/>
  <c r="AD1202" i="1"/>
  <c r="AC1203" i="1"/>
  <c r="AD1203" i="1"/>
  <c r="AC1204" i="1"/>
  <c r="AD1204" i="1"/>
  <c r="AC1205" i="1"/>
  <c r="AD1205" i="1"/>
  <c r="AC1206" i="1"/>
  <c r="AD1206" i="1"/>
  <c r="AC1207" i="1"/>
  <c r="AD1207" i="1"/>
  <c r="AC1208" i="1"/>
  <c r="AD1208" i="1"/>
  <c r="AC1209" i="1"/>
  <c r="AD1209" i="1"/>
  <c r="AC1210" i="1"/>
  <c r="AD1210" i="1"/>
  <c r="AC1211" i="1"/>
  <c r="AD1211" i="1"/>
  <c r="AC1212" i="1"/>
  <c r="AD1212" i="1"/>
  <c r="AC1213" i="1"/>
  <c r="AD1213" i="1"/>
  <c r="AC1214" i="1"/>
  <c r="AD1214" i="1"/>
  <c r="AC1215" i="1"/>
  <c r="AD1215" i="1"/>
  <c r="AC1216" i="1"/>
  <c r="AD1216" i="1"/>
  <c r="AC1217" i="1"/>
  <c r="AD1217" i="1"/>
  <c r="AC1218" i="1"/>
  <c r="AD1218" i="1"/>
  <c r="AC1219" i="1"/>
  <c r="AD1219" i="1"/>
  <c r="AC1220" i="1"/>
  <c r="AD1220" i="1"/>
  <c r="AC1221" i="1"/>
  <c r="AD1221" i="1"/>
  <c r="AC1222" i="1"/>
  <c r="AD1222" i="1"/>
  <c r="AC1223" i="1"/>
  <c r="AD1223" i="1"/>
  <c r="AC1224" i="1"/>
  <c r="AD1224" i="1"/>
  <c r="AC1225" i="1"/>
  <c r="AD1225" i="1"/>
  <c r="AC1226" i="1"/>
  <c r="AD1226" i="1"/>
  <c r="AC1227" i="1"/>
  <c r="AD1227" i="1"/>
  <c r="AC1228" i="1"/>
  <c r="AD1228" i="1"/>
  <c r="AC1229" i="1"/>
  <c r="AD1229" i="1"/>
  <c r="AC1230" i="1"/>
  <c r="AD1230" i="1"/>
  <c r="AC1231" i="1"/>
  <c r="AD1231" i="1"/>
  <c r="AC1232" i="1"/>
  <c r="AD1232" i="1"/>
  <c r="AC1233" i="1"/>
  <c r="AD1233" i="1"/>
  <c r="AC1234" i="1"/>
  <c r="AD1234" i="1"/>
  <c r="AC1235" i="1"/>
  <c r="AD1235" i="1"/>
  <c r="AC1236" i="1"/>
  <c r="AD1236" i="1"/>
  <c r="AC1237" i="1"/>
  <c r="AD1237" i="1"/>
  <c r="AC1238" i="1"/>
  <c r="AD1238" i="1"/>
  <c r="AC1239" i="1"/>
  <c r="AD1239" i="1"/>
  <c r="AC1240" i="1"/>
  <c r="AD1240" i="1"/>
  <c r="AC1241" i="1"/>
  <c r="AD1241" i="1"/>
  <c r="AC1242" i="1"/>
  <c r="AD1242" i="1"/>
  <c r="AC1243" i="1"/>
  <c r="AD1243" i="1"/>
  <c r="AC1244" i="1"/>
  <c r="AD1244" i="1"/>
  <c r="AC1245" i="1"/>
  <c r="AD1245" i="1"/>
  <c r="AC1246" i="1"/>
  <c r="AD1246" i="1"/>
  <c r="AC1247" i="1"/>
  <c r="AD1247" i="1"/>
  <c r="AC1248" i="1"/>
  <c r="AD1248" i="1"/>
  <c r="AC1249" i="1"/>
  <c r="AD1249" i="1"/>
  <c r="AC1250" i="1"/>
  <c r="AD1250" i="1"/>
  <c r="AC1251" i="1"/>
  <c r="AD1251" i="1"/>
  <c r="AC1252" i="1"/>
  <c r="AD1252" i="1"/>
  <c r="AC1253" i="1"/>
  <c r="AD1253" i="1"/>
  <c r="AC1254" i="1"/>
  <c r="AD1254" i="1"/>
  <c r="AC1255" i="1"/>
  <c r="AD1255" i="1"/>
  <c r="AC1256" i="1"/>
  <c r="AD1256" i="1"/>
  <c r="AC1257" i="1"/>
  <c r="AD1257" i="1"/>
  <c r="AC1258" i="1"/>
  <c r="AD1258" i="1"/>
  <c r="AC1259" i="1"/>
  <c r="AD1259" i="1"/>
  <c r="AC1260" i="1"/>
  <c r="AD1260" i="1"/>
  <c r="AC1261" i="1"/>
  <c r="AD1261" i="1"/>
  <c r="AC1262" i="1"/>
  <c r="AD1262" i="1"/>
  <c r="AC1263" i="1"/>
  <c r="AD1263" i="1"/>
  <c r="AC1264" i="1"/>
  <c r="AD1264" i="1"/>
  <c r="AC1265" i="1"/>
  <c r="AD1265" i="1"/>
  <c r="AC1266" i="1"/>
  <c r="AD1266" i="1"/>
  <c r="AC1267" i="1"/>
  <c r="AD1267" i="1"/>
  <c r="AC1268" i="1"/>
  <c r="AD1268" i="1"/>
  <c r="AC1269" i="1"/>
  <c r="AD1269" i="1"/>
  <c r="AC1270" i="1"/>
  <c r="AD1270" i="1"/>
  <c r="AC1271" i="1"/>
  <c r="AD1271" i="1"/>
  <c r="AC1272" i="1"/>
  <c r="AD1272" i="1"/>
  <c r="AC1273" i="1"/>
  <c r="AD1273" i="1"/>
  <c r="AC1274" i="1"/>
  <c r="AD1274" i="1"/>
  <c r="AC1275" i="1"/>
  <c r="AD1275" i="1"/>
  <c r="AC1276" i="1"/>
  <c r="AD1276" i="1"/>
  <c r="AC1277" i="1"/>
  <c r="AD1277" i="1"/>
  <c r="AC1278" i="1"/>
  <c r="AD1278" i="1"/>
  <c r="AC1279" i="1"/>
  <c r="AD1279" i="1"/>
  <c r="AC1280" i="1"/>
  <c r="AD1280" i="1"/>
  <c r="AC1281" i="1"/>
  <c r="AD1281" i="1"/>
  <c r="AC1282" i="1"/>
  <c r="AD1282" i="1"/>
  <c r="AC1283" i="1"/>
  <c r="AD1283" i="1"/>
  <c r="AC1284" i="1"/>
  <c r="AD1284" i="1"/>
  <c r="AC1285" i="1"/>
  <c r="AD1285" i="1"/>
  <c r="AC1286" i="1"/>
  <c r="AD1286" i="1"/>
  <c r="AC1287" i="1"/>
  <c r="AD1287" i="1"/>
  <c r="AC1288" i="1"/>
  <c r="AD1288" i="1"/>
  <c r="AC1289" i="1"/>
  <c r="AD1289" i="1"/>
  <c r="AC1290" i="1"/>
  <c r="AD1290" i="1"/>
  <c r="AC1291" i="1"/>
  <c r="AD1291" i="1"/>
  <c r="AC1292" i="1"/>
  <c r="AD1292" i="1"/>
  <c r="AC1293" i="1"/>
  <c r="AD1293" i="1"/>
  <c r="AC1294" i="1"/>
  <c r="AD1294" i="1"/>
  <c r="AC1295" i="1"/>
  <c r="AD1295" i="1"/>
  <c r="AC1296" i="1"/>
  <c r="AD1296" i="1"/>
  <c r="AC1297" i="1"/>
  <c r="AD1297" i="1"/>
  <c r="AC1298" i="1"/>
  <c r="AD1298" i="1"/>
  <c r="AC1299" i="1"/>
  <c r="AD1299" i="1"/>
  <c r="AC1300" i="1"/>
  <c r="AD1300" i="1"/>
  <c r="AC1301" i="1"/>
  <c r="AD1301" i="1"/>
  <c r="AC1302" i="1"/>
  <c r="AD1302" i="1"/>
  <c r="AC1303" i="1"/>
  <c r="AD1303" i="1"/>
  <c r="AC1304" i="1"/>
  <c r="AD1304" i="1"/>
  <c r="AC1305" i="1"/>
  <c r="AD1305" i="1"/>
  <c r="AC1306" i="1"/>
  <c r="AD1306" i="1"/>
  <c r="AC1307" i="1"/>
  <c r="AD1307" i="1"/>
  <c r="AC1308" i="1"/>
  <c r="AD1308" i="1"/>
  <c r="AC1309" i="1"/>
  <c r="AD1309" i="1"/>
  <c r="AC1310" i="1"/>
  <c r="AD1310" i="1"/>
  <c r="AC1311" i="1"/>
  <c r="AD1311" i="1"/>
  <c r="AC1312" i="1"/>
  <c r="AD1312" i="1"/>
  <c r="AC1313" i="1"/>
  <c r="AD1313" i="1"/>
  <c r="AC1314" i="1"/>
  <c r="AD1314" i="1"/>
  <c r="AC1315" i="1"/>
  <c r="AD1315" i="1"/>
  <c r="AC1316" i="1"/>
  <c r="AD1316" i="1"/>
  <c r="AC1317" i="1"/>
  <c r="AD1317" i="1"/>
  <c r="AC1318" i="1"/>
  <c r="AD1318" i="1"/>
  <c r="AC1319" i="1"/>
  <c r="AD1319" i="1"/>
  <c r="AC1320" i="1"/>
  <c r="AD1320" i="1"/>
  <c r="AC1321" i="1"/>
  <c r="AD1321" i="1"/>
  <c r="AC1322" i="1"/>
  <c r="AD1322" i="1"/>
  <c r="AC1323" i="1"/>
  <c r="AD1323" i="1"/>
  <c r="AC1324" i="1"/>
  <c r="AD1324" i="1"/>
  <c r="AC1325" i="1"/>
  <c r="AD1325" i="1"/>
  <c r="AC1326" i="1"/>
  <c r="AD1326" i="1"/>
  <c r="AC1327" i="1"/>
  <c r="AD1327" i="1"/>
  <c r="AC1328" i="1"/>
  <c r="AD1328" i="1"/>
  <c r="AC1329" i="1"/>
  <c r="AD1329" i="1"/>
  <c r="AC1330" i="1"/>
  <c r="AD1330" i="1"/>
  <c r="AC1331" i="1"/>
  <c r="AD1331" i="1"/>
  <c r="AC1332" i="1"/>
  <c r="AD1332" i="1"/>
  <c r="AC1333" i="1"/>
  <c r="AD1333" i="1"/>
  <c r="AC1334" i="1"/>
  <c r="AD1334" i="1"/>
  <c r="AC1335" i="1"/>
  <c r="AD1335" i="1"/>
  <c r="AC1336" i="1"/>
  <c r="AD1336" i="1"/>
  <c r="AC1337" i="1"/>
  <c r="AD1337" i="1"/>
  <c r="AC1338" i="1"/>
  <c r="AD1338" i="1"/>
  <c r="AC1339" i="1"/>
  <c r="AD1339" i="1"/>
  <c r="AC1340" i="1"/>
  <c r="AD1340" i="1"/>
  <c r="AC1341" i="1"/>
  <c r="AD1341" i="1"/>
  <c r="AC1342" i="1"/>
  <c r="AD1342" i="1"/>
  <c r="AC1343" i="1"/>
  <c r="AD1343" i="1"/>
  <c r="AC1344" i="1"/>
  <c r="AD1344" i="1"/>
  <c r="AC1345" i="1"/>
  <c r="AD1345" i="1"/>
  <c r="AC1346" i="1"/>
  <c r="AD1346" i="1"/>
  <c r="AC1347" i="1"/>
  <c r="AD1347" i="1"/>
  <c r="AC1348" i="1"/>
  <c r="AD1348" i="1"/>
  <c r="AC1349" i="1"/>
  <c r="AD1349" i="1"/>
  <c r="AC1350" i="1"/>
  <c r="AD1350" i="1"/>
  <c r="AC1351" i="1"/>
  <c r="AD1351" i="1"/>
  <c r="AC1352" i="1"/>
  <c r="AD1352" i="1"/>
  <c r="AC1353" i="1"/>
  <c r="AD1353" i="1"/>
  <c r="AC1354" i="1"/>
  <c r="AD1354" i="1"/>
  <c r="AC1355" i="1"/>
  <c r="AD1355" i="1"/>
  <c r="AC1356" i="1"/>
  <c r="AD1356" i="1"/>
  <c r="AC1357" i="1"/>
  <c r="AD1357" i="1"/>
  <c r="AC1358" i="1"/>
  <c r="AD1358" i="1"/>
  <c r="AC1359" i="1"/>
  <c r="AD1359" i="1"/>
  <c r="AC1360" i="1"/>
  <c r="AD1360" i="1"/>
  <c r="AC1361" i="1"/>
  <c r="AD1361" i="1"/>
  <c r="AC1362" i="1"/>
  <c r="AD1362" i="1"/>
  <c r="AC1363" i="1"/>
  <c r="AD1363" i="1"/>
  <c r="AC1364" i="1"/>
  <c r="AD1364" i="1"/>
  <c r="AC1365" i="1"/>
  <c r="AD1365" i="1"/>
  <c r="AC1366" i="1"/>
  <c r="AD1366" i="1"/>
  <c r="AC1367" i="1"/>
  <c r="AD1367" i="1"/>
  <c r="AC1368" i="1"/>
  <c r="AD1368" i="1"/>
  <c r="AC1369" i="1"/>
  <c r="AD1369" i="1"/>
  <c r="AC1370" i="1"/>
  <c r="AD1370" i="1"/>
  <c r="AC1371" i="1"/>
  <c r="AD1371" i="1"/>
  <c r="AC1372" i="1"/>
  <c r="AD1372" i="1"/>
  <c r="AC1373" i="1"/>
  <c r="AD1373" i="1"/>
  <c r="AC1374" i="1"/>
  <c r="AD1374" i="1"/>
  <c r="AC1375" i="1"/>
  <c r="AD1375" i="1"/>
  <c r="AC1376" i="1"/>
  <c r="AD1376" i="1"/>
  <c r="AC1377" i="1"/>
  <c r="AD1377" i="1"/>
  <c r="AC1378" i="1"/>
  <c r="AD1378" i="1"/>
  <c r="AC1379" i="1"/>
  <c r="AD1379" i="1"/>
  <c r="AC1380" i="1"/>
  <c r="AD1380" i="1"/>
  <c r="AC1381" i="1"/>
  <c r="AD1381" i="1"/>
  <c r="AC1382" i="1"/>
  <c r="AD1382" i="1"/>
  <c r="AC1383" i="1"/>
  <c r="AD1383" i="1"/>
  <c r="AC1384" i="1"/>
  <c r="AD1384" i="1"/>
  <c r="AC1385" i="1"/>
  <c r="AD1385" i="1"/>
  <c r="AC1386" i="1"/>
  <c r="AD1386" i="1"/>
  <c r="AC1387" i="1"/>
  <c r="AD1387" i="1"/>
  <c r="AC1388" i="1"/>
  <c r="AD1388" i="1"/>
  <c r="AC1389" i="1"/>
  <c r="AD1389" i="1"/>
  <c r="AC1390" i="1"/>
  <c r="AD1390" i="1"/>
  <c r="AC1391" i="1"/>
  <c r="AD1391" i="1"/>
  <c r="AC1392" i="1"/>
  <c r="AD1392" i="1"/>
  <c r="AC1393" i="1"/>
  <c r="AD1393" i="1"/>
  <c r="AC1394" i="1"/>
  <c r="AD1394" i="1"/>
  <c r="AC1395" i="1"/>
  <c r="AD1395" i="1"/>
  <c r="AC1396" i="1"/>
  <c r="AD1396" i="1"/>
  <c r="AC1397" i="1"/>
  <c r="AD1397" i="1"/>
  <c r="AC1398" i="1"/>
  <c r="AD1398" i="1"/>
  <c r="AC1399" i="1"/>
  <c r="AD1399" i="1"/>
  <c r="AC1400" i="1"/>
  <c r="AD1400" i="1"/>
  <c r="AC1401" i="1"/>
  <c r="AD1401" i="1"/>
  <c r="AC1402" i="1"/>
  <c r="AD1402" i="1"/>
  <c r="F1386" i="1"/>
  <c r="F1387" i="1"/>
  <c r="F1385" i="1"/>
  <c r="F1389" i="1"/>
  <c r="F1388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B2" i="1"/>
  <c r="D2" i="1"/>
  <c r="F2" i="1"/>
  <c r="I2" i="1"/>
  <c r="J2" i="1"/>
  <c r="AC2" i="1"/>
  <c r="AD2" i="1"/>
  <c r="B3" i="1"/>
  <c r="D3" i="1"/>
  <c r="F3" i="1"/>
  <c r="I3" i="1"/>
  <c r="J3" i="1"/>
  <c r="AC3" i="1"/>
  <c r="AD3" i="1"/>
  <c r="B4" i="1"/>
  <c r="D4" i="1"/>
  <c r="F4" i="1"/>
  <c r="I4" i="1"/>
  <c r="J4" i="1"/>
  <c r="AC4" i="1"/>
  <c r="AD4" i="1"/>
  <c r="B5" i="1"/>
  <c r="D5" i="1"/>
  <c r="F5" i="1"/>
  <c r="I5" i="1"/>
  <c r="J5" i="1"/>
  <c r="AC5" i="1"/>
  <c r="AD5" i="1"/>
  <c r="B6" i="1"/>
  <c r="D6" i="1"/>
  <c r="F6" i="1"/>
  <c r="I6" i="1"/>
  <c r="J6" i="1"/>
  <c r="AC6" i="1"/>
  <c r="AD6" i="1"/>
  <c r="B7" i="1"/>
  <c r="D7" i="1"/>
  <c r="F7" i="1"/>
  <c r="I7" i="1"/>
  <c r="J7" i="1"/>
  <c r="AC7" i="1"/>
  <c r="AD7" i="1"/>
  <c r="B8" i="1"/>
  <c r="D8" i="1"/>
  <c r="F8" i="1"/>
  <c r="I8" i="1"/>
  <c r="J8" i="1"/>
  <c r="AC8" i="1"/>
  <c r="AD8" i="1"/>
  <c r="B9" i="1"/>
  <c r="D9" i="1"/>
  <c r="F9" i="1"/>
  <c r="I9" i="1"/>
  <c r="J9" i="1"/>
  <c r="AC9" i="1"/>
  <c r="AD9" i="1"/>
  <c r="B10" i="1"/>
  <c r="D10" i="1"/>
  <c r="F10" i="1"/>
  <c r="I10" i="1"/>
  <c r="J10" i="1"/>
  <c r="AC10" i="1"/>
  <c r="AD10" i="1"/>
  <c r="B11" i="1"/>
  <c r="D11" i="1"/>
  <c r="F11" i="1"/>
  <c r="I11" i="1"/>
  <c r="J11" i="1"/>
  <c r="AC11" i="1"/>
  <c r="AD11" i="1"/>
  <c r="B12" i="1"/>
  <c r="D12" i="1"/>
  <c r="F12" i="1"/>
  <c r="I12" i="1"/>
  <c r="J12" i="1"/>
  <c r="AC12" i="1"/>
  <c r="AD12" i="1"/>
  <c r="B13" i="1"/>
  <c r="D13" i="1"/>
  <c r="F13" i="1"/>
  <c r="I13" i="1"/>
  <c r="J13" i="1"/>
  <c r="AC13" i="1"/>
  <c r="AD13" i="1"/>
  <c r="B14" i="1"/>
  <c r="D14" i="1"/>
  <c r="F14" i="1"/>
  <c r="I14" i="1"/>
  <c r="J14" i="1"/>
  <c r="AC14" i="1"/>
  <c r="AD14" i="1"/>
  <c r="B15" i="1"/>
  <c r="D15" i="1"/>
  <c r="F15" i="1"/>
  <c r="I15" i="1"/>
  <c r="J15" i="1"/>
  <c r="AC15" i="1"/>
  <c r="AD15" i="1"/>
  <c r="B16" i="1"/>
  <c r="D16" i="1"/>
  <c r="F16" i="1"/>
  <c r="I16" i="1"/>
  <c r="J16" i="1"/>
  <c r="AC16" i="1"/>
  <c r="AD16" i="1"/>
  <c r="B17" i="1"/>
  <c r="D17" i="1"/>
  <c r="F17" i="1"/>
  <c r="I17" i="1"/>
  <c r="J17" i="1"/>
  <c r="AC17" i="1"/>
  <c r="AD17" i="1"/>
  <c r="B18" i="1"/>
  <c r="D18" i="1"/>
  <c r="F18" i="1"/>
  <c r="I18" i="1"/>
  <c r="J18" i="1"/>
  <c r="AC18" i="1"/>
  <c r="AD18" i="1"/>
  <c r="B19" i="1"/>
  <c r="D19" i="1"/>
  <c r="F19" i="1"/>
  <c r="I19" i="1"/>
  <c r="J19" i="1"/>
  <c r="AC19" i="1"/>
  <c r="AD19" i="1"/>
  <c r="B20" i="1"/>
  <c r="D20" i="1"/>
  <c r="F20" i="1"/>
  <c r="I20" i="1"/>
  <c r="J20" i="1"/>
  <c r="AC20" i="1"/>
  <c r="AD20" i="1"/>
  <c r="B21" i="1"/>
  <c r="D21" i="1"/>
  <c r="F21" i="1"/>
  <c r="I21" i="1"/>
  <c r="J21" i="1"/>
  <c r="AC21" i="1"/>
  <c r="AD21" i="1"/>
  <c r="B22" i="1"/>
  <c r="D22" i="1"/>
  <c r="F22" i="1"/>
  <c r="I22" i="1"/>
  <c r="J22" i="1"/>
  <c r="AC22" i="1"/>
  <c r="AD22" i="1"/>
  <c r="B23" i="1"/>
  <c r="D23" i="1"/>
  <c r="F23" i="1"/>
  <c r="I23" i="1"/>
  <c r="J23" i="1"/>
  <c r="AC23" i="1"/>
  <c r="AD23" i="1"/>
  <c r="B24" i="1"/>
  <c r="D24" i="1"/>
  <c r="F24" i="1"/>
  <c r="I24" i="1"/>
  <c r="J24" i="1"/>
  <c r="AC24" i="1"/>
  <c r="AD24" i="1"/>
  <c r="B25" i="1"/>
  <c r="D25" i="1"/>
  <c r="F25" i="1"/>
  <c r="I25" i="1"/>
  <c r="J25" i="1"/>
  <c r="AC25" i="1"/>
  <c r="AD25" i="1"/>
  <c r="B26" i="1"/>
  <c r="D26" i="1"/>
  <c r="F26" i="1"/>
  <c r="I26" i="1"/>
  <c r="J26" i="1"/>
  <c r="AC26" i="1"/>
  <c r="AD26" i="1"/>
  <c r="B27" i="1"/>
  <c r="D27" i="1"/>
  <c r="F27" i="1"/>
  <c r="I27" i="1"/>
  <c r="J27" i="1"/>
  <c r="AC27" i="1"/>
  <c r="AD27" i="1"/>
  <c r="B28" i="1"/>
  <c r="D28" i="1"/>
  <c r="F28" i="1"/>
  <c r="I28" i="1"/>
  <c r="J28" i="1"/>
  <c r="AC28" i="1"/>
  <c r="AD28" i="1"/>
  <c r="B29" i="1"/>
  <c r="D29" i="1"/>
  <c r="F29" i="1"/>
  <c r="I29" i="1"/>
  <c r="J29" i="1"/>
  <c r="AC29" i="1"/>
  <c r="AD29" i="1"/>
  <c r="B30" i="1"/>
  <c r="D30" i="1"/>
  <c r="F30" i="1"/>
  <c r="I30" i="1"/>
  <c r="J30" i="1"/>
  <c r="AC30" i="1"/>
  <c r="AD30" i="1"/>
  <c r="B31" i="1"/>
  <c r="D31" i="1"/>
  <c r="F31" i="1"/>
  <c r="I31" i="1"/>
  <c r="J31" i="1"/>
  <c r="AC31" i="1"/>
  <c r="AD31" i="1"/>
  <c r="B32" i="1"/>
  <c r="D32" i="1"/>
  <c r="F32" i="1"/>
  <c r="I32" i="1"/>
  <c r="J32" i="1"/>
  <c r="AC32" i="1"/>
  <c r="AD32" i="1"/>
  <c r="B33" i="1"/>
  <c r="D33" i="1"/>
  <c r="F33" i="1"/>
  <c r="I33" i="1"/>
  <c r="J33" i="1"/>
  <c r="AC33" i="1"/>
  <c r="AD33" i="1"/>
  <c r="B34" i="1"/>
  <c r="D34" i="1"/>
  <c r="F34" i="1"/>
  <c r="I34" i="1"/>
  <c r="J34" i="1"/>
  <c r="AC34" i="1"/>
  <c r="AD34" i="1"/>
  <c r="B35" i="1"/>
  <c r="D35" i="1"/>
  <c r="F35" i="1"/>
  <c r="I35" i="1"/>
  <c r="J35" i="1"/>
  <c r="AC35" i="1"/>
  <c r="AD35" i="1"/>
  <c r="B36" i="1"/>
  <c r="D36" i="1"/>
  <c r="F36" i="1"/>
  <c r="I36" i="1"/>
  <c r="J36" i="1"/>
  <c r="AC36" i="1"/>
  <c r="AD36" i="1"/>
  <c r="B37" i="1"/>
  <c r="D37" i="1"/>
  <c r="F37" i="1"/>
  <c r="I37" i="1"/>
  <c r="J37" i="1"/>
  <c r="AC37" i="1"/>
  <c r="AD37" i="1"/>
  <c r="B38" i="1"/>
  <c r="D38" i="1"/>
  <c r="F38" i="1"/>
  <c r="I38" i="1"/>
  <c r="J38" i="1"/>
  <c r="AC38" i="1"/>
  <c r="AD38" i="1"/>
  <c r="B39" i="1"/>
  <c r="D39" i="1"/>
  <c r="F39" i="1"/>
  <c r="I39" i="1"/>
  <c r="J39" i="1"/>
  <c r="AC39" i="1"/>
  <c r="AD39" i="1"/>
  <c r="B40" i="1"/>
  <c r="D40" i="1"/>
  <c r="F40" i="1"/>
  <c r="I40" i="1"/>
  <c r="J40" i="1"/>
  <c r="AC40" i="1"/>
  <c r="AD40" i="1"/>
  <c r="B41" i="1"/>
  <c r="D41" i="1"/>
  <c r="F41" i="1"/>
  <c r="I41" i="1"/>
  <c r="J41" i="1"/>
  <c r="AC41" i="1"/>
  <c r="AD41" i="1"/>
  <c r="B42" i="1"/>
  <c r="D42" i="1"/>
  <c r="F42" i="1"/>
  <c r="I42" i="1"/>
  <c r="J42" i="1"/>
  <c r="AC42" i="1"/>
  <c r="AD42" i="1"/>
  <c r="B43" i="1"/>
  <c r="D43" i="1"/>
  <c r="F43" i="1"/>
  <c r="I43" i="1"/>
  <c r="J43" i="1"/>
  <c r="AC43" i="1"/>
  <c r="AD43" i="1"/>
  <c r="B44" i="1"/>
  <c r="D44" i="1"/>
  <c r="F44" i="1"/>
  <c r="I44" i="1"/>
  <c r="J44" i="1"/>
  <c r="AC44" i="1"/>
  <c r="AD44" i="1"/>
  <c r="B45" i="1"/>
  <c r="D45" i="1"/>
  <c r="F45" i="1"/>
  <c r="I45" i="1"/>
  <c r="J45" i="1"/>
  <c r="AC45" i="1"/>
  <c r="AD45" i="1"/>
  <c r="B46" i="1"/>
  <c r="D46" i="1"/>
  <c r="F46" i="1"/>
  <c r="I46" i="1"/>
  <c r="J46" i="1"/>
  <c r="AC46" i="1"/>
  <c r="AD46" i="1"/>
  <c r="B47" i="1"/>
  <c r="D47" i="1"/>
  <c r="F47" i="1"/>
  <c r="I47" i="1"/>
  <c r="J47" i="1"/>
  <c r="AC47" i="1"/>
  <c r="AD47" i="1"/>
  <c r="B48" i="1"/>
  <c r="D48" i="1"/>
  <c r="F48" i="1"/>
  <c r="I48" i="1"/>
  <c r="J48" i="1"/>
  <c r="AC48" i="1"/>
  <c r="AD48" i="1"/>
  <c r="B49" i="1"/>
  <c r="D49" i="1"/>
  <c r="F49" i="1"/>
  <c r="I49" i="1"/>
  <c r="J49" i="1"/>
  <c r="AC49" i="1"/>
  <c r="AD49" i="1"/>
  <c r="B50" i="1"/>
  <c r="D50" i="1"/>
  <c r="F50" i="1"/>
  <c r="I50" i="1"/>
  <c r="J50" i="1"/>
  <c r="AC50" i="1"/>
  <c r="AD50" i="1"/>
  <c r="B51" i="1"/>
  <c r="D51" i="1"/>
  <c r="F51" i="1"/>
  <c r="I51" i="1"/>
  <c r="J51" i="1"/>
  <c r="AC51" i="1"/>
  <c r="AD51" i="1"/>
  <c r="B52" i="1"/>
  <c r="D52" i="1"/>
  <c r="F52" i="1"/>
  <c r="I52" i="1"/>
  <c r="J52" i="1"/>
  <c r="AC52" i="1"/>
  <c r="AD52" i="1"/>
  <c r="B53" i="1"/>
  <c r="D53" i="1"/>
  <c r="F53" i="1"/>
  <c r="I53" i="1"/>
  <c r="J53" i="1"/>
  <c r="AC53" i="1"/>
  <c r="AD53" i="1"/>
  <c r="B54" i="1"/>
  <c r="D54" i="1"/>
  <c r="F54" i="1"/>
  <c r="I54" i="1"/>
  <c r="J54" i="1"/>
  <c r="AC54" i="1"/>
  <c r="AD54" i="1"/>
  <c r="B55" i="1"/>
  <c r="D55" i="1"/>
  <c r="F55" i="1"/>
  <c r="I55" i="1"/>
  <c r="J55" i="1"/>
  <c r="AC55" i="1"/>
  <c r="AD55" i="1"/>
  <c r="B56" i="1"/>
  <c r="D56" i="1"/>
  <c r="F56" i="1"/>
  <c r="I56" i="1"/>
  <c r="J56" i="1"/>
  <c r="AC56" i="1"/>
  <c r="AD56" i="1"/>
  <c r="B57" i="1"/>
  <c r="D57" i="1"/>
  <c r="F57" i="1"/>
  <c r="I57" i="1"/>
  <c r="J57" i="1"/>
  <c r="AC57" i="1"/>
  <c r="AD57" i="1"/>
  <c r="B58" i="1"/>
  <c r="D58" i="1"/>
  <c r="F58" i="1"/>
  <c r="I58" i="1"/>
  <c r="J58" i="1"/>
  <c r="AC58" i="1"/>
  <c r="AD58" i="1"/>
  <c r="B59" i="1"/>
  <c r="D59" i="1"/>
  <c r="F59" i="1"/>
  <c r="I59" i="1"/>
  <c r="J59" i="1"/>
  <c r="AC59" i="1"/>
  <c r="AD59" i="1"/>
  <c r="B60" i="1"/>
  <c r="D60" i="1"/>
  <c r="F60" i="1"/>
  <c r="I60" i="1"/>
  <c r="J60" i="1"/>
  <c r="AC60" i="1"/>
  <c r="AD60" i="1"/>
  <c r="B61" i="1"/>
  <c r="D61" i="1"/>
  <c r="F61" i="1"/>
  <c r="I61" i="1"/>
  <c r="J61" i="1"/>
  <c r="AC61" i="1"/>
  <c r="AD61" i="1"/>
  <c r="B62" i="1"/>
  <c r="D62" i="1"/>
  <c r="F62" i="1"/>
  <c r="I62" i="1"/>
  <c r="J62" i="1"/>
  <c r="AC62" i="1"/>
  <c r="AD62" i="1"/>
  <c r="B63" i="1"/>
  <c r="D63" i="1"/>
  <c r="F63" i="1"/>
  <c r="I63" i="1"/>
  <c r="J63" i="1"/>
  <c r="AC63" i="1"/>
  <c r="AD63" i="1"/>
  <c r="B64" i="1"/>
  <c r="D64" i="1"/>
  <c r="F64" i="1"/>
  <c r="I64" i="1"/>
  <c r="J64" i="1"/>
  <c r="AC64" i="1"/>
  <c r="AD64" i="1"/>
  <c r="B65" i="1"/>
  <c r="D65" i="1"/>
  <c r="F65" i="1"/>
  <c r="I65" i="1"/>
  <c r="J65" i="1"/>
  <c r="AC65" i="1"/>
  <c r="AD65" i="1"/>
  <c r="B66" i="1"/>
  <c r="D66" i="1"/>
  <c r="F66" i="1"/>
  <c r="I66" i="1"/>
  <c r="J66" i="1"/>
  <c r="AC66" i="1"/>
  <c r="AD66" i="1"/>
  <c r="B67" i="1"/>
  <c r="D67" i="1"/>
  <c r="F67" i="1"/>
  <c r="I67" i="1"/>
  <c r="J67" i="1"/>
  <c r="AC67" i="1"/>
  <c r="AD67" i="1"/>
  <c r="B68" i="1"/>
  <c r="D68" i="1"/>
  <c r="F68" i="1"/>
  <c r="I68" i="1"/>
  <c r="J68" i="1"/>
  <c r="AC68" i="1"/>
  <c r="AD68" i="1"/>
  <c r="B69" i="1"/>
  <c r="D69" i="1"/>
  <c r="F69" i="1"/>
  <c r="I69" i="1"/>
  <c r="J69" i="1"/>
  <c r="AC69" i="1"/>
  <c r="AD69" i="1"/>
  <c r="B70" i="1"/>
  <c r="D70" i="1"/>
  <c r="F70" i="1"/>
  <c r="I70" i="1"/>
  <c r="J70" i="1"/>
  <c r="AC70" i="1"/>
  <c r="AD70" i="1"/>
  <c r="B71" i="1"/>
  <c r="D71" i="1"/>
  <c r="F71" i="1"/>
  <c r="I71" i="1"/>
  <c r="J71" i="1"/>
  <c r="AC71" i="1"/>
  <c r="AD71" i="1"/>
  <c r="B72" i="1"/>
  <c r="D72" i="1"/>
  <c r="F72" i="1"/>
  <c r="I72" i="1"/>
  <c r="J72" i="1"/>
  <c r="AC72" i="1"/>
  <c r="AD72" i="1"/>
  <c r="B73" i="1"/>
  <c r="D73" i="1"/>
  <c r="F73" i="1"/>
  <c r="I73" i="1"/>
  <c r="J73" i="1"/>
  <c r="AC73" i="1"/>
  <c r="AD73" i="1"/>
  <c r="B74" i="1"/>
  <c r="D74" i="1"/>
  <c r="F74" i="1"/>
  <c r="I74" i="1"/>
  <c r="J74" i="1"/>
  <c r="AC74" i="1"/>
  <c r="AD74" i="1"/>
  <c r="B75" i="1"/>
  <c r="D75" i="1"/>
  <c r="F75" i="1"/>
  <c r="I75" i="1"/>
  <c r="J75" i="1"/>
  <c r="AC75" i="1"/>
  <c r="AD75" i="1"/>
  <c r="B76" i="1"/>
  <c r="D76" i="1"/>
  <c r="F76" i="1"/>
  <c r="I76" i="1"/>
  <c r="J76" i="1"/>
  <c r="AC76" i="1"/>
  <c r="AD76" i="1"/>
  <c r="B77" i="1"/>
  <c r="D77" i="1"/>
  <c r="F77" i="1"/>
  <c r="I77" i="1"/>
  <c r="J77" i="1"/>
  <c r="AC77" i="1"/>
  <c r="AD77" i="1"/>
  <c r="B78" i="1"/>
  <c r="D78" i="1"/>
  <c r="F78" i="1"/>
  <c r="I78" i="1"/>
  <c r="J78" i="1"/>
  <c r="AC78" i="1"/>
  <c r="AD78" i="1"/>
  <c r="B79" i="1"/>
  <c r="D79" i="1"/>
  <c r="F79" i="1"/>
  <c r="I79" i="1"/>
  <c r="J79" i="1"/>
  <c r="AC79" i="1"/>
  <c r="AD79" i="1"/>
  <c r="B80" i="1"/>
  <c r="D80" i="1"/>
  <c r="F80" i="1"/>
  <c r="I80" i="1"/>
  <c r="J80" i="1"/>
  <c r="AC80" i="1"/>
  <c r="AD80" i="1"/>
  <c r="B81" i="1"/>
  <c r="D81" i="1"/>
  <c r="F81" i="1"/>
  <c r="I81" i="1"/>
  <c r="J81" i="1"/>
  <c r="AC81" i="1"/>
  <c r="AD81" i="1"/>
  <c r="B82" i="1"/>
  <c r="D82" i="1"/>
  <c r="F82" i="1"/>
  <c r="I82" i="1"/>
  <c r="J82" i="1"/>
  <c r="AC82" i="1"/>
  <c r="AD82" i="1"/>
  <c r="B83" i="1"/>
  <c r="D83" i="1"/>
  <c r="F83" i="1"/>
  <c r="I83" i="1"/>
  <c r="J83" i="1"/>
  <c r="AC83" i="1"/>
  <c r="AD83" i="1"/>
  <c r="B84" i="1"/>
  <c r="D84" i="1"/>
  <c r="F84" i="1"/>
  <c r="I84" i="1"/>
  <c r="J84" i="1"/>
  <c r="AC84" i="1"/>
  <c r="AD84" i="1"/>
  <c r="B85" i="1"/>
  <c r="D85" i="1"/>
  <c r="F85" i="1"/>
  <c r="I85" i="1"/>
  <c r="J85" i="1"/>
  <c r="AC85" i="1"/>
  <c r="AD85" i="1"/>
  <c r="B86" i="1"/>
  <c r="D86" i="1"/>
  <c r="F86" i="1"/>
  <c r="I86" i="1"/>
  <c r="J86" i="1"/>
  <c r="AC86" i="1"/>
  <c r="AD86" i="1"/>
  <c r="B87" i="1"/>
  <c r="D87" i="1"/>
  <c r="F87" i="1"/>
  <c r="I87" i="1"/>
  <c r="J87" i="1"/>
  <c r="AC87" i="1"/>
  <c r="AD87" i="1"/>
  <c r="B88" i="1"/>
  <c r="D88" i="1"/>
  <c r="F88" i="1"/>
  <c r="I88" i="1"/>
  <c r="J88" i="1"/>
  <c r="AC88" i="1"/>
  <c r="AD88" i="1"/>
  <c r="B89" i="1"/>
  <c r="D89" i="1"/>
  <c r="F89" i="1"/>
  <c r="I89" i="1"/>
  <c r="J89" i="1"/>
  <c r="AC89" i="1"/>
  <c r="AD89" i="1"/>
  <c r="B90" i="1"/>
  <c r="D90" i="1"/>
  <c r="F90" i="1"/>
  <c r="I90" i="1"/>
  <c r="J90" i="1"/>
  <c r="AC90" i="1"/>
  <c r="AD90" i="1"/>
  <c r="B91" i="1"/>
  <c r="D91" i="1"/>
  <c r="F91" i="1"/>
  <c r="I91" i="1"/>
  <c r="J91" i="1"/>
  <c r="AC91" i="1"/>
  <c r="AD91" i="1"/>
  <c r="B92" i="1"/>
  <c r="D92" i="1"/>
  <c r="F92" i="1"/>
  <c r="I92" i="1"/>
  <c r="J92" i="1"/>
  <c r="AC92" i="1"/>
  <c r="AD92" i="1"/>
  <c r="B93" i="1"/>
  <c r="D93" i="1"/>
  <c r="F93" i="1"/>
  <c r="I93" i="1"/>
  <c r="J93" i="1"/>
  <c r="AC93" i="1"/>
  <c r="AD93" i="1"/>
  <c r="B94" i="1"/>
  <c r="D94" i="1"/>
  <c r="F94" i="1"/>
  <c r="I94" i="1"/>
  <c r="J94" i="1"/>
  <c r="AC94" i="1"/>
  <c r="AD94" i="1"/>
  <c r="B95" i="1"/>
  <c r="D95" i="1"/>
  <c r="F95" i="1"/>
  <c r="I95" i="1"/>
  <c r="J95" i="1"/>
  <c r="AC95" i="1"/>
  <c r="AD95" i="1"/>
  <c r="B96" i="1"/>
  <c r="D96" i="1"/>
  <c r="F96" i="1"/>
  <c r="I96" i="1"/>
  <c r="J96" i="1"/>
  <c r="AC96" i="1"/>
  <c r="AD96" i="1"/>
  <c r="B97" i="1"/>
  <c r="D97" i="1"/>
  <c r="F97" i="1"/>
  <c r="I97" i="1"/>
  <c r="J97" i="1"/>
  <c r="AC97" i="1"/>
  <c r="AD97" i="1"/>
  <c r="B98" i="1"/>
  <c r="D98" i="1"/>
  <c r="F98" i="1"/>
  <c r="I98" i="1"/>
  <c r="J98" i="1"/>
  <c r="AC98" i="1"/>
  <c r="AD98" i="1"/>
  <c r="B99" i="1"/>
  <c r="D99" i="1"/>
  <c r="F99" i="1"/>
  <c r="I99" i="1"/>
  <c r="J99" i="1"/>
  <c r="AC99" i="1"/>
  <c r="AD99" i="1"/>
  <c r="B100" i="1"/>
  <c r="D100" i="1"/>
  <c r="F100" i="1"/>
  <c r="I100" i="1"/>
  <c r="J100" i="1"/>
  <c r="AC100" i="1"/>
  <c r="AD100" i="1"/>
  <c r="B101" i="1"/>
  <c r="D101" i="1"/>
  <c r="F101" i="1"/>
  <c r="I101" i="1"/>
  <c r="J101" i="1"/>
  <c r="AC101" i="1"/>
  <c r="AD101" i="1"/>
  <c r="B102" i="1"/>
  <c r="D102" i="1"/>
  <c r="F102" i="1"/>
  <c r="I102" i="1"/>
  <c r="J102" i="1"/>
  <c r="AC102" i="1"/>
  <c r="AD102" i="1"/>
  <c r="B103" i="1"/>
  <c r="D103" i="1"/>
  <c r="F103" i="1"/>
  <c r="I103" i="1"/>
  <c r="J103" i="1"/>
  <c r="AC103" i="1"/>
  <c r="AD103" i="1"/>
  <c r="B104" i="1"/>
  <c r="D104" i="1"/>
  <c r="F104" i="1"/>
  <c r="I104" i="1"/>
  <c r="J104" i="1"/>
  <c r="AC104" i="1"/>
  <c r="AD104" i="1"/>
  <c r="B105" i="1"/>
  <c r="D105" i="1"/>
  <c r="F105" i="1"/>
  <c r="I105" i="1"/>
  <c r="J105" i="1"/>
  <c r="AC105" i="1"/>
  <c r="AD105" i="1"/>
  <c r="B106" i="1"/>
  <c r="D106" i="1"/>
  <c r="F106" i="1"/>
  <c r="I106" i="1"/>
  <c r="J106" i="1"/>
  <c r="AC106" i="1"/>
  <c r="AD106" i="1"/>
  <c r="B107" i="1"/>
  <c r="D107" i="1"/>
  <c r="F107" i="1"/>
  <c r="I107" i="1"/>
  <c r="J107" i="1"/>
  <c r="AC107" i="1"/>
  <c r="AD107" i="1"/>
  <c r="B108" i="1"/>
  <c r="D108" i="1"/>
  <c r="F108" i="1"/>
  <c r="I108" i="1"/>
  <c r="J108" i="1"/>
  <c r="AC108" i="1"/>
  <c r="AD108" i="1"/>
  <c r="B109" i="1"/>
  <c r="D109" i="1"/>
  <c r="F109" i="1"/>
  <c r="I109" i="1"/>
  <c r="J109" i="1"/>
  <c r="AC109" i="1"/>
  <c r="AD109" i="1"/>
  <c r="B110" i="1"/>
  <c r="D110" i="1"/>
  <c r="F110" i="1"/>
  <c r="I110" i="1"/>
  <c r="J110" i="1"/>
  <c r="AC110" i="1"/>
  <c r="AD110" i="1"/>
  <c r="B111" i="1"/>
  <c r="D111" i="1"/>
  <c r="F111" i="1"/>
  <c r="I111" i="1"/>
  <c r="J111" i="1"/>
  <c r="AC111" i="1"/>
  <c r="AD111" i="1"/>
  <c r="B112" i="1"/>
  <c r="D112" i="1"/>
  <c r="F112" i="1"/>
  <c r="I112" i="1"/>
  <c r="J112" i="1"/>
  <c r="AC112" i="1"/>
  <c r="AD112" i="1"/>
  <c r="B113" i="1"/>
  <c r="D113" i="1"/>
  <c r="F113" i="1"/>
  <c r="I113" i="1"/>
  <c r="J113" i="1"/>
  <c r="AC113" i="1"/>
  <c r="AD113" i="1"/>
  <c r="B114" i="1"/>
  <c r="D114" i="1"/>
  <c r="F114" i="1"/>
  <c r="I114" i="1"/>
  <c r="J114" i="1"/>
  <c r="AC114" i="1"/>
  <c r="AD114" i="1"/>
  <c r="B115" i="1"/>
  <c r="D115" i="1"/>
  <c r="F115" i="1"/>
  <c r="I115" i="1"/>
  <c r="J115" i="1"/>
  <c r="AC115" i="1"/>
  <c r="AD115" i="1"/>
  <c r="B116" i="1"/>
  <c r="D116" i="1"/>
  <c r="F116" i="1"/>
  <c r="I116" i="1"/>
  <c r="J116" i="1"/>
  <c r="AC116" i="1"/>
  <c r="AD116" i="1"/>
  <c r="B117" i="1"/>
  <c r="D117" i="1"/>
  <c r="F117" i="1"/>
  <c r="I117" i="1"/>
  <c r="J117" i="1"/>
  <c r="AC117" i="1"/>
  <c r="AD117" i="1"/>
  <c r="B118" i="1"/>
  <c r="D118" i="1"/>
  <c r="F118" i="1"/>
  <c r="I118" i="1"/>
  <c r="J118" i="1"/>
  <c r="AC118" i="1"/>
  <c r="AD118" i="1"/>
  <c r="B119" i="1"/>
  <c r="D119" i="1"/>
  <c r="F119" i="1"/>
  <c r="I119" i="1"/>
  <c r="J119" i="1"/>
  <c r="AC119" i="1"/>
  <c r="AD119" i="1"/>
  <c r="B120" i="1"/>
  <c r="D120" i="1"/>
  <c r="F120" i="1"/>
  <c r="I120" i="1"/>
  <c r="J120" i="1"/>
  <c r="AC120" i="1"/>
  <c r="AD120" i="1"/>
  <c r="B121" i="1"/>
  <c r="D121" i="1"/>
  <c r="F121" i="1"/>
  <c r="I121" i="1"/>
  <c r="J121" i="1"/>
  <c r="AC121" i="1"/>
  <c r="AD121" i="1"/>
  <c r="B122" i="1"/>
  <c r="D122" i="1"/>
  <c r="F122" i="1"/>
  <c r="I122" i="1"/>
  <c r="J122" i="1"/>
  <c r="AC122" i="1"/>
  <c r="AD122" i="1"/>
  <c r="B123" i="1"/>
  <c r="D123" i="1"/>
  <c r="F123" i="1"/>
  <c r="I123" i="1"/>
  <c r="J123" i="1"/>
  <c r="AC123" i="1"/>
  <c r="AD123" i="1"/>
  <c r="B124" i="1"/>
  <c r="D124" i="1"/>
  <c r="F124" i="1"/>
  <c r="I124" i="1"/>
  <c r="J124" i="1"/>
  <c r="AC124" i="1"/>
  <c r="AD124" i="1"/>
  <c r="B125" i="1"/>
  <c r="D125" i="1"/>
  <c r="F125" i="1"/>
  <c r="I125" i="1"/>
  <c r="J125" i="1"/>
  <c r="AC125" i="1"/>
  <c r="AD125" i="1"/>
  <c r="B126" i="1"/>
  <c r="D126" i="1"/>
  <c r="F126" i="1"/>
  <c r="I126" i="1"/>
  <c r="J126" i="1"/>
  <c r="AC126" i="1"/>
  <c r="AD126" i="1"/>
  <c r="B127" i="1"/>
  <c r="D127" i="1"/>
  <c r="F127" i="1"/>
  <c r="I127" i="1"/>
  <c r="J127" i="1"/>
  <c r="AC127" i="1"/>
  <c r="AD127" i="1"/>
  <c r="B128" i="1"/>
  <c r="D128" i="1"/>
  <c r="F128" i="1"/>
  <c r="I128" i="1"/>
  <c r="J128" i="1"/>
  <c r="AC128" i="1"/>
  <c r="AD128" i="1"/>
  <c r="B129" i="1"/>
  <c r="D129" i="1"/>
  <c r="F129" i="1"/>
  <c r="I129" i="1"/>
  <c r="J129" i="1"/>
  <c r="AC129" i="1"/>
  <c r="AD129" i="1"/>
  <c r="B130" i="1"/>
  <c r="D130" i="1"/>
  <c r="F130" i="1"/>
  <c r="I130" i="1"/>
  <c r="J130" i="1"/>
  <c r="AC130" i="1"/>
  <c r="AD130" i="1"/>
  <c r="B131" i="1"/>
  <c r="D131" i="1"/>
  <c r="F131" i="1"/>
  <c r="I131" i="1"/>
  <c r="J131" i="1"/>
  <c r="AC131" i="1"/>
  <c r="AD131" i="1"/>
  <c r="B132" i="1"/>
  <c r="D132" i="1"/>
  <c r="F132" i="1"/>
  <c r="I132" i="1"/>
  <c r="J132" i="1"/>
  <c r="AC132" i="1"/>
  <c r="AD132" i="1"/>
  <c r="B133" i="1"/>
  <c r="D133" i="1"/>
  <c r="F133" i="1"/>
  <c r="I133" i="1"/>
  <c r="J133" i="1"/>
  <c r="AC133" i="1"/>
  <c r="AD133" i="1"/>
  <c r="B134" i="1"/>
  <c r="D134" i="1"/>
  <c r="F134" i="1"/>
  <c r="I134" i="1"/>
  <c r="J134" i="1"/>
  <c r="AC134" i="1"/>
  <c r="AD134" i="1"/>
  <c r="B135" i="1"/>
  <c r="D135" i="1"/>
  <c r="F135" i="1"/>
  <c r="I135" i="1"/>
  <c r="J135" i="1"/>
  <c r="AC135" i="1"/>
  <c r="AD135" i="1"/>
  <c r="B136" i="1"/>
  <c r="D136" i="1"/>
  <c r="F136" i="1"/>
  <c r="I136" i="1"/>
  <c r="J136" i="1"/>
  <c r="AC136" i="1"/>
  <c r="AD136" i="1"/>
  <c r="B137" i="1"/>
  <c r="D137" i="1"/>
  <c r="F137" i="1"/>
  <c r="I137" i="1"/>
  <c r="J137" i="1"/>
  <c r="AC137" i="1"/>
  <c r="AD137" i="1"/>
  <c r="B138" i="1"/>
  <c r="D138" i="1"/>
  <c r="F138" i="1"/>
  <c r="I138" i="1"/>
  <c r="J138" i="1"/>
  <c r="AC138" i="1"/>
  <c r="AD138" i="1"/>
  <c r="B139" i="1"/>
  <c r="D139" i="1"/>
  <c r="F139" i="1"/>
  <c r="I139" i="1"/>
  <c r="J139" i="1"/>
  <c r="AC139" i="1"/>
  <c r="AD139" i="1"/>
  <c r="B140" i="1"/>
  <c r="D140" i="1"/>
  <c r="F140" i="1"/>
  <c r="I140" i="1"/>
  <c r="J140" i="1"/>
  <c r="AC140" i="1"/>
  <c r="AD140" i="1"/>
  <c r="B141" i="1"/>
  <c r="D141" i="1"/>
  <c r="F141" i="1"/>
  <c r="I141" i="1"/>
  <c r="J141" i="1"/>
  <c r="AC141" i="1"/>
  <c r="AD141" i="1"/>
  <c r="B142" i="1"/>
  <c r="D142" i="1"/>
  <c r="F142" i="1"/>
  <c r="I142" i="1"/>
  <c r="J142" i="1"/>
  <c r="AC142" i="1"/>
  <c r="AD142" i="1"/>
  <c r="B143" i="1"/>
  <c r="D143" i="1"/>
  <c r="F143" i="1"/>
  <c r="I143" i="1"/>
  <c r="J143" i="1"/>
  <c r="AC143" i="1"/>
  <c r="AD143" i="1"/>
  <c r="B144" i="1"/>
  <c r="D144" i="1"/>
  <c r="F144" i="1"/>
  <c r="I144" i="1"/>
  <c r="J144" i="1"/>
  <c r="AC144" i="1"/>
  <c r="AD144" i="1"/>
  <c r="B145" i="1"/>
  <c r="D145" i="1"/>
  <c r="F145" i="1"/>
  <c r="I145" i="1"/>
  <c r="J145" i="1"/>
  <c r="AC145" i="1"/>
  <c r="AD145" i="1"/>
  <c r="B146" i="1"/>
  <c r="D146" i="1"/>
  <c r="F146" i="1"/>
  <c r="I146" i="1"/>
  <c r="J146" i="1"/>
  <c r="AC146" i="1"/>
  <c r="AD146" i="1"/>
  <c r="B147" i="1"/>
  <c r="D147" i="1"/>
  <c r="F147" i="1"/>
  <c r="I147" i="1"/>
  <c r="J147" i="1"/>
  <c r="AC147" i="1"/>
  <c r="AD147" i="1"/>
  <c r="B148" i="1"/>
  <c r="D148" i="1"/>
  <c r="F148" i="1"/>
  <c r="I148" i="1"/>
  <c r="J148" i="1"/>
  <c r="AC148" i="1"/>
  <c r="AD148" i="1"/>
  <c r="B149" i="1"/>
  <c r="D149" i="1"/>
  <c r="F149" i="1"/>
  <c r="I149" i="1"/>
  <c r="J149" i="1"/>
  <c r="AC149" i="1"/>
  <c r="AD149" i="1"/>
  <c r="B150" i="1"/>
  <c r="D150" i="1"/>
  <c r="F150" i="1"/>
  <c r="I150" i="1"/>
  <c r="J150" i="1"/>
  <c r="AC150" i="1"/>
  <c r="AD150" i="1"/>
  <c r="B151" i="1"/>
  <c r="D151" i="1"/>
  <c r="F151" i="1"/>
  <c r="I151" i="1"/>
  <c r="J151" i="1"/>
  <c r="AC151" i="1"/>
  <c r="AD151" i="1"/>
  <c r="B152" i="1"/>
  <c r="D152" i="1"/>
  <c r="F152" i="1"/>
  <c r="I152" i="1"/>
  <c r="J152" i="1"/>
  <c r="AC152" i="1"/>
  <c r="AD152" i="1"/>
  <c r="B153" i="1"/>
  <c r="D153" i="1"/>
  <c r="F153" i="1"/>
  <c r="I153" i="1"/>
  <c r="J153" i="1"/>
  <c r="AC153" i="1"/>
  <c r="AD153" i="1"/>
  <c r="B154" i="1"/>
  <c r="D154" i="1"/>
  <c r="F154" i="1"/>
  <c r="I154" i="1"/>
  <c r="J154" i="1"/>
  <c r="AC154" i="1"/>
  <c r="AD154" i="1"/>
  <c r="B155" i="1"/>
  <c r="D155" i="1"/>
  <c r="F155" i="1"/>
  <c r="I155" i="1"/>
  <c r="J155" i="1"/>
  <c r="AC155" i="1"/>
  <c r="AD155" i="1"/>
  <c r="B156" i="1"/>
  <c r="D156" i="1"/>
  <c r="F156" i="1"/>
  <c r="I156" i="1"/>
  <c r="J156" i="1"/>
  <c r="AC156" i="1"/>
  <c r="AD156" i="1"/>
  <c r="B157" i="1"/>
  <c r="D157" i="1"/>
  <c r="F157" i="1"/>
  <c r="I157" i="1"/>
  <c r="J157" i="1"/>
  <c r="AC157" i="1"/>
  <c r="AD157" i="1"/>
  <c r="B158" i="1"/>
  <c r="D158" i="1"/>
  <c r="F158" i="1"/>
  <c r="I158" i="1"/>
  <c r="J158" i="1"/>
  <c r="AC158" i="1"/>
  <c r="AD158" i="1"/>
  <c r="B159" i="1"/>
  <c r="D159" i="1"/>
  <c r="F159" i="1"/>
  <c r="I159" i="1"/>
  <c r="J159" i="1"/>
  <c r="AC159" i="1"/>
  <c r="AD159" i="1"/>
  <c r="B160" i="1"/>
  <c r="D160" i="1"/>
  <c r="F160" i="1"/>
  <c r="I160" i="1"/>
  <c r="J160" i="1"/>
  <c r="AC160" i="1"/>
  <c r="AD160" i="1"/>
  <c r="B161" i="1"/>
  <c r="D161" i="1"/>
  <c r="F161" i="1"/>
  <c r="I161" i="1"/>
  <c r="J161" i="1"/>
  <c r="AC161" i="1"/>
  <c r="AD161" i="1"/>
  <c r="B162" i="1"/>
  <c r="D162" i="1"/>
  <c r="F162" i="1"/>
  <c r="I162" i="1"/>
  <c r="J162" i="1"/>
  <c r="AC162" i="1"/>
  <c r="AD162" i="1"/>
  <c r="B163" i="1"/>
  <c r="D163" i="1"/>
  <c r="F163" i="1"/>
  <c r="I163" i="1"/>
  <c r="J163" i="1"/>
  <c r="AC163" i="1"/>
  <c r="AD163" i="1"/>
  <c r="B164" i="1"/>
  <c r="D164" i="1"/>
  <c r="F164" i="1"/>
  <c r="I164" i="1"/>
  <c r="J164" i="1"/>
  <c r="AC164" i="1"/>
  <c r="AD164" i="1"/>
  <c r="B165" i="1"/>
  <c r="D165" i="1"/>
  <c r="F165" i="1"/>
  <c r="I165" i="1"/>
  <c r="J165" i="1"/>
  <c r="AC165" i="1"/>
  <c r="AD165" i="1"/>
  <c r="B166" i="1"/>
  <c r="D166" i="1"/>
  <c r="F166" i="1"/>
  <c r="I166" i="1"/>
  <c r="J166" i="1"/>
  <c r="AC166" i="1"/>
  <c r="AD166" i="1"/>
  <c r="B167" i="1"/>
  <c r="D167" i="1"/>
  <c r="F167" i="1"/>
  <c r="I167" i="1"/>
  <c r="J167" i="1"/>
  <c r="AC167" i="1"/>
  <c r="AD167" i="1"/>
  <c r="B168" i="1"/>
  <c r="D168" i="1"/>
  <c r="F168" i="1"/>
  <c r="I168" i="1"/>
  <c r="J168" i="1"/>
  <c r="AC168" i="1"/>
  <c r="AD168" i="1"/>
  <c r="B169" i="1"/>
  <c r="D169" i="1"/>
  <c r="F169" i="1"/>
  <c r="I169" i="1"/>
  <c r="J169" i="1"/>
  <c r="AC169" i="1"/>
  <c r="AD169" i="1"/>
  <c r="B170" i="1"/>
  <c r="D170" i="1"/>
  <c r="F170" i="1"/>
  <c r="I170" i="1"/>
  <c r="J170" i="1"/>
  <c r="AC170" i="1"/>
  <c r="AD170" i="1"/>
  <c r="B171" i="1"/>
  <c r="D171" i="1"/>
  <c r="F171" i="1"/>
  <c r="I171" i="1"/>
  <c r="J171" i="1"/>
  <c r="AC171" i="1"/>
  <c r="AD171" i="1"/>
  <c r="B172" i="1"/>
  <c r="D172" i="1"/>
  <c r="F172" i="1"/>
  <c r="I172" i="1"/>
  <c r="J172" i="1"/>
  <c r="AC172" i="1"/>
  <c r="AD172" i="1"/>
  <c r="B173" i="1"/>
  <c r="D173" i="1"/>
  <c r="F173" i="1"/>
  <c r="I173" i="1"/>
  <c r="J173" i="1"/>
  <c r="AC173" i="1"/>
  <c r="AD173" i="1"/>
  <c r="B174" i="1"/>
  <c r="D174" i="1"/>
  <c r="F174" i="1"/>
  <c r="I174" i="1"/>
  <c r="J174" i="1"/>
  <c r="AC174" i="1"/>
  <c r="AD174" i="1"/>
  <c r="B175" i="1"/>
  <c r="D175" i="1"/>
  <c r="F175" i="1"/>
  <c r="I175" i="1"/>
  <c r="J175" i="1"/>
  <c r="AC175" i="1"/>
  <c r="AD175" i="1"/>
  <c r="B176" i="1"/>
  <c r="D176" i="1"/>
  <c r="F176" i="1"/>
  <c r="I176" i="1"/>
  <c r="J176" i="1"/>
  <c r="AC176" i="1"/>
  <c r="AD176" i="1"/>
  <c r="B177" i="1"/>
  <c r="D177" i="1"/>
  <c r="F177" i="1"/>
  <c r="I177" i="1"/>
  <c r="J177" i="1"/>
  <c r="AC177" i="1"/>
  <c r="AD177" i="1"/>
  <c r="B178" i="1"/>
  <c r="D178" i="1"/>
  <c r="F178" i="1"/>
  <c r="I178" i="1"/>
  <c r="J178" i="1"/>
  <c r="AC178" i="1"/>
  <c r="AD178" i="1"/>
  <c r="B179" i="1"/>
  <c r="D179" i="1"/>
  <c r="F179" i="1"/>
  <c r="I179" i="1"/>
  <c r="J179" i="1"/>
  <c r="AC179" i="1"/>
  <c r="AD179" i="1"/>
  <c r="B180" i="1"/>
  <c r="D180" i="1"/>
  <c r="F180" i="1"/>
  <c r="I180" i="1"/>
  <c r="J180" i="1"/>
  <c r="AC180" i="1"/>
  <c r="AD180" i="1"/>
  <c r="B181" i="1"/>
  <c r="D181" i="1"/>
  <c r="F181" i="1"/>
  <c r="I181" i="1"/>
  <c r="J181" i="1"/>
  <c r="AC181" i="1"/>
  <c r="AD181" i="1"/>
  <c r="B182" i="1"/>
  <c r="D182" i="1"/>
  <c r="F182" i="1"/>
  <c r="I182" i="1"/>
  <c r="J182" i="1"/>
  <c r="AC182" i="1"/>
  <c r="AD182" i="1"/>
  <c r="B183" i="1"/>
  <c r="D183" i="1"/>
  <c r="F183" i="1"/>
  <c r="I183" i="1"/>
  <c r="J183" i="1"/>
  <c r="AC183" i="1"/>
  <c r="AD183" i="1"/>
  <c r="B184" i="1"/>
  <c r="D184" i="1"/>
  <c r="F184" i="1"/>
  <c r="I184" i="1"/>
  <c r="J184" i="1"/>
  <c r="AC184" i="1"/>
  <c r="AD184" i="1"/>
  <c r="B185" i="1"/>
  <c r="D185" i="1"/>
  <c r="F185" i="1"/>
  <c r="I185" i="1"/>
  <c r="J185" i="1"/>
  <c r="AC185" i="1"/>
  <c r="AD185" i="1"/>
  <c r="B186" i="1"/>
  <c r="D186" i="1"/>
  <c r="F186" i="1"/>
  <c r="I186" i="1"/>
  <c r="J186" i="1"/>
  <c r="AC186" i="1"/>
  <c r="AD186" i="1"/>
  <c r="B187" i="1"/>
  <c r="D187" i="1"/>
  <c r="F187" i="1"/>
  <c r="I187" i="1"/>
  <c r="J187" i="1"/>
  <c r="AC187" i="1"/>
  <c r="AD187" i="1"/>
  <c r="B188" i="1"/>
  <c r="D188" i="1"/>
  <c r="F188" i="1"/>
  <c r="I188" i="1"/>
  <c r="J188" i="1"/>
  <c r="AC188" i="1"/>
  <c r="AD188" i="1"/>
  <c r="B189" i="1"/>
  <c r="D189" i="1"/>
  <c r="F189" i="1"/>
  <c r="I189" i="1"/>
  <c r="J189" i="1"/>
  <c r="AC189" i="1"/>
  <c r="AD189" i="1"/>
  <c r="B190" i="1"/>
  <c r="D190" i="1"/>
  <c r="F190" i="1"/>
  <c r="I190" i="1"/>
  <c r="J190" i="1"/>
  <c r="AC190" i="1"/>
  <c r="AD190" i="1"/>
  <c r="B191" i="1"/>
  <c r="D191" i="1"/>
  <c r="F191" i="1"/>
  <c r="I191" i="1"/>
  <c r="J191" i="1"/>
  <c r="AC191" i="1"/>
  <c r="AD191" i="1"/>
  <c r="B192" i="1"/>
  <c r="D192" i="1"/>
  <c r="F192" i="1"/>
  <c r="I192" i="1"/>
  <c r="J192" i="1"/>
  <c r="AC192" i="1"/>
  <c r="AD192" i="1"/>
  <c r="B193" i="1"/>
  <c r="D193" i="1"/>
  <c r="F193" i="1"/>
  <c r="I193" i="1"/>
  <c r="J193" i="1"/>
  <c r="AC193" i="1"/>
  <c r="AD193" i="1"/>
  <c r="B194" i="1"/>
  <c r="D194" i="1"/>
  <c r="F194" i="1"/>
  <c r="I194" i="1"/>
  <c r="J194" i="1"/>
  <c r="AC194" i="1"/>
  <c r="AD194" i="1"/>
  <c r="B195" i="1"/>
  <c r="D195" i="1"/>
  <c r="F195" i="1"/>
  <c r="I195" i="1"/>
  <c r="J195" i="1"/>
  <c r="AC195" i="1"/>
  <c r="AD195" i="1"/>
  <c r="B196" i="1"/>
  <c r="D196" i="1"/>
  <c r="F196" i="1"/>
  <c r="I196" i="1"/>
  <c r="J196" i="1"/>
  <c r="AC196" i="1"/>
  <c r="AD196" i="1"/>
  <c r="B197" i="1"/>
  <c r="D197" i="1"/>
  <c r="F197" i="1"/>
  <c r="I197" i="1"/>
  <c r="J197" i="1"/>
  <c r="AC197" i="1"/>
  <c r="AD197" i="1"/>
  <c r="B198" i="1"/>
  <c r="D198" i="1"/>
  <c r="F198" i="1"/>
  <c r="I198" i="1"/>
  <c r="J198" i="1"/>
  <c r="AC198" i="1"/>
  <c r="AD198" i="1"/>
  <c r="B199" i="1"/>
  <c r="D199" i="1"/>
  <c r="F199" i="1"/>
  <c r="I199" i="1"/>
  <c r="J199" i="1"/>
  <c r="AC199" i="1"/>
  <c r="AD199" i="1"/>
  <c r="B200" i="1"/>
  <c r="D200" i="1"/>
  <c r="F200" i="1"/>
  <c r="I200" i="1"/>
  <c r="J200" i="1"/>
  <c r="AC200" i="1"/>
  <c r="AD200" i="1"/>
  <c r="B201" i="1"/>
  <c r="D201" i="1"/>
  <c r="F201" i="1"/>
  <c r="I201" i="1"/>
  <c r="J201" i="1"/>
  <c r="AC201" i="1"/>
  <c r="AD201" i="1"/>
  <c r="B202" i="1"/>
  <c r="D202" i="1"/>
  <c r="F202" i="1"/>
  <c r="I202" i="1"/>
  <c r="J202" i="1"/>
  <c r="AC202" i="1"/>
  <c r="AD202" i="1"/>
  <c r="B203" i="1"/>
  <c r="D203" i="1"/>
  <c r="F203" i="1"/>
  <c r="I203" i="1"/>
  <c r="J203" i="1"/>
  <c r="AC203" i="1"/>
  <c r="AD203" i="1"/>
  <c r="B204" i="1"/>
  <c r="D204" i="1"/>
  <c r="F204" i="1"/>
  <c r="I204" i="1"/>
  <c r="J204" i="1"/>
  <c r="AC204" i="1"/>
  <c r="AD204" i="1"/>
  <c r="B205" i="1"/>
  <c r="D205" i="1"/>
  <c r="F205" i="1"/>
  <c r="I205" i="1"/>
  <c r="J205" i="1"/>
  <c r="AC205" i="1"/>
  <c r="AD205" i="1"/>
  <c r="B206" i="1"/>
  <c r="D206" i="1"/>
  <c r="F206" i="1"/>
  <c r="I206" i="1"/>
  <c r="J206" i="1"/>
  <c r="AC206" i="1"/>
  <c r="AD206" i="1"/>
  <c r="B207" i="1"/>
  <c r="D207" i="1"/>
  <c r="F207" i="1"/>
  <c r="I207" i="1"/>
  <c r="J207" i="1"/>
  <c r="AC207" i="1"/>
  <c r="AD207" i="1"/>
  <c r="B208" i="1"/>
  <c r="D208" i="1"/>
  <c r="F208" i="1"/>
  <c r="I208" i="1"/>
  <c r="J208" i="1"/>
  <c r="AC208" i="1"/>
  <c r="AD208" i="1"/>
  <c r="B209" i="1"/>
  <c r="D209" i="1"/>
  <c r="F209" i="1"/>
  <c r="I209" i="1"/>
  <c r="J209" i="1"/>
  <c r="AC209" i="1"/>
  <c r="AD209" i="1"/>
  <c r="B210" i="1"/>
  <c r="D210" i="1"/>
  <c r="F210" i="1"/>
  <c r="I210" i="1"/>
  <c r="J210" i="1"/>
  <c r="AC210" i="1"/>
  <c r="AD210" i="1"/>
  <c r="B211" i="1"/>
  <c r="D211" i="1"/>
  <c r="F211" i="1"/>
  <c r="I211" i="1"/>
  <c r="J211" i="1"/>
  <c r="AC211" i="1"/>
  <c r="AD211" i="1"/>
  <c r="B212" i="1"/>
  <c r="D212" i="1"/>
  <c r="F212" i="1"/>
  <c r="I212" i="1"/>
  <c r="J212" i="1"/>
  <c r="AC212" i="1"/>
  <c r="AD212" i="1"/>
  <c r="B213" i="1"/>
  <c r="D213" i="1"/>
  <c r="F213" i="1"/>
  <c r="I213" i="1"/>
  <c r="J213" i="1"/>
  <c r="AC213" i="1"/>
  <c r="AD213" i="1"/>
  <c r="B214" i="1"/>
  <c r="D214" i="1"/>
  <c r="F214" i="1"/>
  <c r="I214" i="1"/>
  <c r="J214" i="1"/>
  <c r="AC214" i="1"/>
  <c r="AD214" i="1"/>
  <c r="B215" i="1"/>
  <c r="D215" i="1"/>
  <c r="F215" i="1"/>
  <c r="I215" i="1"/>
  <c r="J215" i="1"/>
  <c r="AC215" i="1"/>
  <c r="AD215" i="1"/>
  <c r="B216" i="1"/>
  <c r="D216" i="1"/>
  <c r="F216" i="1"/>
  <c r="I216" i="1"/>
  <c r="J216" i="1"/>
  <c r="AC216" i="1"/>
  <c r="AD216" i="1"/>
  <c r="B217" i="1"/>
  <c r="D217" i="1"/>
  <c r="F217" i="1"/>
  <c r="I217" i="1"/>
  <c r="J217" i="1"/>
  <c r="AC217" i="1"/>
  <c r="AD217" i="1"/>
  <c r="B218" i="1"/>
  <c r="D218" i="1"/>
  <c r="F218" i="1"/>
  <c r="I218" i="1"/>
  <c r="J218" i="1"/>
  <c r="AC218" i="1"/>
  <c r="AD218" i="1"/>
  <c r="B219" i="1"/>
  <c r="D219" i="1"/>
  <c r="F219" i="1"/>
  <c r="I219" i="1"/>
  <c r="J219" i="1"/>
  <c r="AC219" i="1"/>
  <c r="AD219" i="1"/>
  <c r="B220" i="1"/>
  <c r="D220" i="1"/>
  <c r="F220" i="1"/>
  <c r="I220" i="1"/>
  <c r="J220" i="1"/>
  <c r="AC220" i="1"/>
  <c r="AD220" i="1"/>
  <c r="B221" i="1"/>
  <c r="D221" i="1"/>
  <c r="F221" i="1"/>
  <c r="I221" i="1"/>
  <c r="J221" i="1"/>
  <c r="AC221" i="1"/>
  <c r="AD221" i="1"/>
  <c r="B222" i="1"/>
  <c r="D222" i="1"/>
  <c r="F222" i="1"/>
  <c r="I222" i="1"/>
  <c r="J222" i="1"/>
  <c r="AC222" i="1"/>
  <c r="AD222" i="1"/>
  <c r="B223" i="1"/>
  <c r="D223" i="1"/>
  <c r="F223" i="1"/>
  <c r="I223" i="1"/>
  <c r="J223" i="1"/>
  <c r="AC223" i="1"/>
  <c r="AD223" i="1"/>
  <c r="B224" i="1"/>
  <c r="D224" i="1"/>
  <c r="F224" i="1"/>
  <c r="I224" i="1"/>
  <c r="J224" i="1"/>
  <c r="AC224" i="1"/>
  <c r="AD224" i="1"/>
  <c r="B225" i="1"/>
  <c r="D225" i="1"/>
  <c r="F225" i="1"/>
  <c r="I225" i="1"/>
  <c r="J225" i="1"/>
  <c r="AC225" i="1"/>
  <c r="AD225" i="1"/>
  <c r="B226" i="1"/>
  <c r="D226" i="1"/>
  <c r="F226" i="1"/>
  <c r="I226" i="1"/>
  <c r="J226" i="1"/>
  <c r="AC226" i="1"/>
  <c r="AD226" i="1"/>
  <c r="B227" i="1"/>
  <c r="D227" i="1"/>
  <c r="F227" i="1"/>
  <c r="I227" i="1"/>
  <c r="J227" i="1"/>
  <c r="AC227" i="1"/>
  <c r="AD227" i="1"/>
  <c r="B228" i="1"/>
  <c r="D228" i="1"/>
  <c r="F228" i="1"/>
  <c r="I228" i="1"/>
  <c r="J228" i="1"/>
  <c r="AC228" i="1"/>
  <c r="AD228" i="1"/>
  <c r="B229" i="1"/>
  <c r="D229" i="1"/>
  <c r="F229" i="1"/>
  <c r="I229" i="1"/>
  <c r="J229" i="1"/>
  <c r="AC229" i="1"/>
  <c r="AD229" i="1"/>
  <c r="B230" i="1"/>
  <c r="D230" i="1"/>
  <c r="F230" i="1"/>
  <c r="I230" i="1"/>
  <c r="J230" i="1"/>
  <c r="AC230" i="1"/>
  <c r="AD230" i="1"/>
  <c r="B231" i="1"/>
  <c r="D231" i="1"/>
  <c r="F231" i="1"/>
  <c r="I231" i="1"/>
  <c r="J231" i="1"/>
  <c r="AC231" i="1"/>
  <c r="AD231" i="1"/>
  <c r="B232" i="1"/>
  <c r="D232" i="1"/>
  <c r="F232" i="1"/>
  <c r="I232" i="1"/>
  <c r="J232" i="1"/>
  <c r="AC232" i="1"/>
  <c r="AD232" i="1"/>
  <c r="B233" i="1"/>
  <c r="D233" i="1"/>
  <c r="F233" i="1"/>
  <c r="I233" i="1"/>
  <c r="J233" i="1"/>
  <c r="AC233" i="1"/>
  <c r="AD233" i="1"/>
  <c r="B234" i="1"/>
  <c r="D234" i="1"/>
  <c r="F234" i="1"/>
  <c r="I234" i="1"/>
  <c r="J234" i="1"/>
  <c r="AC234" i="1"/>
  <c r="AD234" i="1"/>
  <c r="B235" i="1"/>
  <c r="D235" i="1"/>
  <c r="F235" i="1"/>
  <c r="I235" i="1"/>
  <c r="J235" i="1"/>
  <c r="AC235" i="1"/>
  <c r="AD235" i="1"/>
  <c r="B236" i="1"/>
  <c r="D236" i="1"/>
  <c r="F236" i="1"/>
  <c r="I236" i="1"/>
  <c r="J236" i="1"/>
  <c r="AC236" i="1"/>
  <c r="AD236" i="1"/>
  <c r="B237" i="1"/>
  <c r="D237" i="1"/>
  <c r="F237" i="1"/>
  <c r="I237" i="1"/>
  <c r="J237" i="1"/>
  <c r="AC237" i="1"/>
  <c r="AD237" i="1"/>
  <c r="B238" i="1"/>
  <c r="D238" i="1"/>
  <c r="F238" i="1"/>
  <c r="I238" i="1"/>
  <c r="J238" i="1"/>
  <c r="AC238" i="1"/>
  <c r="AD238" i="1"/>
  <c r="B239" i="1"/>
  <c r="D239" i="1"/>
  <c r="F239" i="1"/>
  <c r="I239" i="1"/>
  <c r="J239" i="1"/>
  <c r="AC239" i="1"/>
  <c r="AD239" i="1"/>
  <c r="B240" i="1"/>
  <c r="D240" i="1"/>
  <c r="F240" i="1"/>
  <c r="I240" i="1"/>
  <c r="J240" i="1"/>
  <c r="AC240" i="1"/>
  <c r="AD240" i="1"/>
  <c r="B241" i="1"/>
  <c r="D241" i="1"/>
  <c r="F241" i="1"/>
  <c r="I241" i="1"/>
  <c r="J241" i="1"/>
  <c r="AC241" i="1"/>
  <c r="AD241" i="1"/>
  <c r="B242" i="1"/>
  <c r="D242" i="1"/>
  <c r="F242" i="1"/>
  <c r="I242" i="1"/>
  <c r="J242" i="1"/>
  <c r="AC242" i="1"/>
  <c r="AD242" i="1"/>
  <c r="B243" i="1"/>
  <c r="D243" i="1"/>
  <c r="F243" i="1"/>
  <c r="I243" i="1"/>
  <c r="J243" i="1"/>
  <c r="AC243" i="1"/>
  <c r="AD243" i="1"/>
  <c r="B244" i="1"/>
  <c r="D244" i="1"/>
  <c r="F244" i="1"/>
  <c r="I244" i="1"/>
  <c r="J244" i="1"/>
  <c r="AC244" i="1"/>
  <c r="AD244" i="1"/>
  <c r="B245" i="1"/>
  <c r="D245" i="1"/>
  <c r="F245" i="1"/>
  <c r="I245" i="1"/>
  <c r="J245" i="1"/>
  <c r="AC245" i="1"/>
  <c r="AD245" i="1"/>
  <c r="B246" i="1"/>
  <c r="D246" i="1"/>
  <c r="F246" i="1"/>
  <c r="I246" i="1"/>
  <c r="J246" i="1"/>
  <c r="AC246" i="1"/>
  <c r="AD246" i="1"/>
  <c r="B247" i="1"/>
  <c r="D247" i="1"/>
  <c r="F247" i="1"/>
  <c r="I247" i="1"/>
  <c r="J247" i="1"/>
  <c r="AC247" i="1"/>
  <c r="AD247" i="1"/>
  <c r="B248" i="1"/>
  <c r="D248" i="1"/>
  <c r="F248" i="1"/>
  <c r="I248" i="1"/>
  <c r="J248" i="1"/>
  <c r="AC248" i="1"/>
  <c r="AD248" i="1"/>
  <c r="B249" i="1"/>
  <c r="D249" i="1"/>
  <c r="F249" i="1"/>
  <c r="I249" i="1"/>
  <c r="J249" i="1"/>
  <c r="AC249" i="1"/>
  <c r="AD249" i="1"/>
  <c r="B250" i="1"/>
  <c r="D250" i="1"/>
  <c r="F250" i="1"/>
  <c r="I250" i="1"/>
  <c r="J250" i="1"/>
  <c r="AC250" i="1"/>
  <c r="AD250" i="1"/>
  <c r="B251" i="1"/>
  <c r="D251" i="1"/>
  <c r="F251" i="1"/>
  <c r="I251" i="1"/>
  <c r="J251" i="1"/>
  <c r="AC251" i="1"/>
  <c r="AD251" i="1"/>
  <c r="B252" i="1"/>
  <c r="D252" i="1"/>
  <c r="F252" i="1"/>
  <c r="I252" i="1"/>
  <c r="J252" i="1"/>
  <c r="AC252" i="1"/>
  <c r="AD252" i="1"/>
  <c r="B253" i="1"/>
  <c r="D253" i="1"/>
  <c r="F253" i="1"/>
  <c r="I253" i="1"/>
  <c r="J253" i="1"/>
  <c r="AC253" i="1"/>
  <c r="AD253" i="1"/>
  <c r="B254" i="1"/>
  <c r="D254" i="1"/>
  <c r="F254" i="1"/>
  <c r="I254" i="1"/>
  <c r="J254" i="1"/>
  <c r="AC254" i="1"/>
  <c r="AD254" i="1"/>
  <c r="B255" i="1"/>
  <c r="D255" i="1"/>
  <c r="F255" i="1"/>
  <c r="I255" i="1"/>
  <c r="J255" i="1"/>
  <c r="AC255" i="1"/>
  <c r="AD255" i="1"/>
  <c r="B256" i="1"/>
  <c r="D256" i="1"/>
  <c r="F256" i="1"/>
  <c r="I256" i="1"/>
  <c r="J256" i="1"/>
  <c r="AC256" i="1"/>
  <c r="AD256" i="1"/>
  <c r="B257" i="1"/>
  <c r="D257" i="1"/>
  <c r="F257" i="1"/>
  <c r="I257" i="1"/>
  <c r="J257" i="1"/>
  <c r="AC257" i="1"/>
  <c r="AD257" i="1"/>
  <c r="B258" i="1"/>
  <c r="D258" i="1"/>
  <c r="F258" i="1"/>
  <c r="I258" i="1"/>
  <c r="J258" i="1"/>
  <c r="AC258" i="1"/>
  <c r="AD258" i="1"/>
  <c r="B259" i="1"/>
  <c r="D259" i="1"/>
  <c r="F259" i="1"/>
  <c r="I259" i="1"/>
  <c r="J259" i="1"/>
  <c r="AC259" i="1"/>
  <c r="AD259" i="1"/>
  <c r="B260" i="1"/>
  <c r="D260" i="1"/>
  <c r="F260" i="1"/>
  <c r="I260" i="1"/>
  <c r="J260" i="1"/>
  <c r="AC260" i="1"/>
  <c r="AD260" i="1"/>
  <c r="B261" i="1"/>
  <c r="D261" i="1"/>
  <c r="F261" i="1"/>
  <c r="I261" i="1"/>
  <c r="J261" i="1"/>
  <c r="AC261" i="1"/>
  <c r="AD261" i="1"/>
  <c r="B262" i="1"/>
  <c r="D262" i="1"/>
  <c r="F262" i="1"/>
  <c r="I262" i="1"/>
  <c r="J262" i="1"/>
  <c r="AC262" i="1"/>
  <c r="AD262" i="1"/>
  <c r="B263" i="1"/>
  <c r="D263" i="1"/>
  <c r="F263" i="1"/>
  <c r="I263" i="1"/>
  <c r="J263" i="1"/>
  <c r="AC263" i="1"/>
  <c r="AD263" i="1"/>
  <c r="B264" i="1"/>
  <c r="D264" i="1"/>
  <c r="F264" i="1"/>
  <c r="I264" i="1"/>
  <c r="J264" i="1"/>
  <c r="AC264" i="1"/>
  <c r="AD264" i="1"/>
  <c r="B265" i="1"/>
  <c r="D265" i="1"/>
  <c r="F265" i="1"/>
  <c r="I265" i="1"/>
  <c r="J265" i="1"/>
  <c r="AC265" i="1"/>
  <c r="AD265" i="1"/>
  <c r="B266" i="1"/>
  <c r="D266" i="1"/>
  <c r="F266" i="1"/>
  <c r="I266" i="1"/>
  <c r="J266" i="1"/>
  <c r="AC266" i="1"/>
  <c r="AD266" i="1"/>
  <c r="B267" i="1"/>
  <c r="D267" i="1"/>
  <c r="F267" i="1"/>
  <c r="I267" i="1"/>
  <c r="J267" i="1"/>
  <c r="AC267" i="1"/>
  <c r="AD267" i="1"/>
  <c r="B268" i="1"/>
  <c r="D268" i="1"/>
  <c r="F268" i="1"/>
  <c r="I268" i="1"/>
  <c r="J268" i="1"/>
  <c r="AC268" i="1"/>
  <c r="AD268" i="1"/>
  <c r="B269" i="1"/>
  <c r="D269" i="1"/>
  <c r="F269" i="1"/>
  <c r="I269" i="1"/>
  <c r="J269" i="1"/>
  <c r="AC269" i="1"/>
  <c r="AD269" i="1"/>
  <c r="B270" i="1"/>
  <c r="D270" i="1"/>
  <c r="F270" i="1"/>
  <c r="I270" i="1"/>
  <c r="J270" i="1"/>
  <c r="AC270" i="1"/>
  <c r="AD270" i="1"/>
  <c r="B271" i="1"/>
  <c r="D271" i="1"/>
  <c r="F271" i="1"/>
  <c r="I271" i="1"/>
  <c r="J271" i="1"/>
  <c r="AC271" i="1"/>
  <c r="AD271" i="1"/>
  <c r="B272" i="1"/>
  <c r="D272" i="1"/>
  <c r="F272" i="1"/>
  <c r="I272" i="1"/>
  <c r="J272" i="1"/>
  <c r="AC272" i="1"/>
  <c r="AD272" i="1"/>
  <c r="B273" i="1"/>
  <c r="D273" i="1"/>
  <c r="F273" i="1"/>
  <c r="I273" i="1"/>
  <c r="J273" i="1"/>
  <c r="AC273" i="1"/>
  <c r="AD273" i="1"/>
  <c r="B274" i="1"/>
  <c r="D274" i="1"/>
  <c r="F274" i="1"/>
  <c r="I274" i="1"/>
  <c r="J274" i="1"/>
  <c r="AC274" i="1"/>
  <c r="AD274" i="1"/>
  <c r="B275" i="1"/>
  <c r="D275" i="1"/>
  <c r="F275" i="1"/>
  <c r="I275" i="1"/>
  <c r="J275" i="1"/>
  <c r="AC275" i="1"/>
  <c r="AD275" i="1"/>
  <c r="B276" i="1"/>
  <c r="D276" i="1"/>
  <c r="F276" i="1"/>
  <c r="I276" i="1"/>
  <c r="J276" i="1"/>
  <c r="AC276" i="1"/>
  <c r="AD276" i="1"/>
  <c r="B277" i="1"/>
  <c r="D277" i="1"/>
  <c r="F277" i="1"/>
  <c r="I277" i="1"/>
  <c r="J277" i="1"/>
  <c r="AC277" i="1"/>
  <c r="AD277" i="1"/>
  <c r="B278" i="1"/>
  <c r="D278" i="1"/>
  <c r="F278" i="1"/>
  <c r="I278" i="1"/>
  <c r="J278" i="1"/>
  <c r="AC278" i="1"/>
  <c r="AD278" i="1"/>
  <c r="B279" i="1"/>
  <c r="D279" i="1"/>
  <c r="F279" i="1"/>
  <c r="I279" i="1"/>
  <c r="J279" i="1"/>
  <c r="AC279" i="1"/>
  <c r="AD279" i="1"/>
  <c r="B280" i="1"/>
  <c r="D280" i="1"/>
  <c r="F280" i="1"/>
  <c r="I280" i="1"/>
  <c r="J280" i="1"/>
  <c r="AC280" i="1"/>
  <c r="AD280" i="1"/>
  <c r="B281" i="1"/>
  <c r="D281" i="1"/>
  <c r="F281" i="1"/>
  <c r="I281" i="1"/>
  <c r="J281" i="1"/>
  <c r="AC281" i="1"/>
  <c r="AD281" i="1"/>
  <c r="B282" i="1"/>
  <c r="D282" i="1"/>
  <c r="F282" i="1"/>
  <c r="I282" i="1"/>
  <c r="J282" i="1"/>
  <c r="AC282" i="1"/>
  <c r="AD282" i="1"/>
  <c r="B283" i="1"/>
  <c r="D283" i="1"/>
  <c r="F283" i="1"/>
  <c r="I283" i="1"/>
  <c r="J283" i="1"/>
  <c r="AC283" i="1"/>
  <c r="AD283" i="1"/>
  <c r="B284" i="1"/>
  <c r="D284" i="1"/>
  <c r="F284" i="1"/>
  <c r="I284" i="1"/>
  <c r="J284" i="1"/>
  <c r="AC284" i="1"/>
  <c r="AD284" i="1"/>
  <c r="B285" i="1"/>
  <c r="D285" i="1"/>
  <c r="F285" i="1"/>
  <c r="I285" i="1"/>
  <c r="J285" i="1"/>
  <c r="AC285" i="1"/>
  <c r="AD285" i="1"/>
  <c r="B286" i="1"/>
  <c r="D286" i="1"/>
  <c r="F286" i="1"/>
  <c r="I286" i="1"/>
  <c r="J286" i="1"/>
  <c r="AC286" i="1"/>
  <c r="AD286" i="1"/>
  <c r="B287" i="1"/>
  <c r="D287" i="1"/>
  <c r="F287" i="1"/>
  <c r="I287" i="1"/>
  <c r="J287" i="1"/>
  <c r="AC287" i="1"/>
  <c r="AD287" i="1"/>
  <c r="B288" i="1"/>
  <c r="D288" i="1"/>
  <c r="F288" i="1"/>
  <c r="I288" i="1"/>
  <c r="J288" i="1"/>
  <c r="AC288" i="1"/>
  <c r="AD288" i="1"/>
  <c r="B289" i="1"/>
  <c r="D289" i="1"/>
  <c r="F289" i="1"/>
  <c r="I289" i="1"/>
  <c r="J289" i="1"/>
  <c r="AC289" i="1"/>
  <c r="AD289" i="1"/>
  <c r="B290" i="1"/>
  <c r="D290" i="1"/>
  <c r="F290" i="1"/>
  <c r="I290" i="1"/>
  <c r="J290" i="1"/>
  <c r="AC290" i="1"/>
  <c r="AD290" i="1"/>
  <c r="B291" i="1"/>
  <c r="D291" i="1"/>
  <c r="F291" i="1"/>
  <c r="I291" i="1"/>
  <c r="J291" i="1"/>
  <c r="AC291" i="1"/>
  <c r="AD291" i="1"/>
  <c r="B292" i="1"/>
  <c r="D292" i="1"/>
  <c r="F292" i="1"/>
  <c r="I292" i="1"/>
  <c r="J292" i="1"/>
  <c r="AC292" i="1"/>
  <c r="AD292" i="1"/>
  <c r="B293" i="1"/>
  <c r="D293" i="1"/>
  <c r="F293" i="1"/>
  <c r="I293" i="1"/>
  <c r="J293" i="1"/>
  <c r="AC293" i="1"/>
  <c r="AD293" i="1"/>
  <c r="B294" i="1"/>
  <c r="D294" i="1"/>
  <c r="F294" i="1"/>
  <c r="I294" i="1"/>
  <c r="J294" i="1"/>
  <c r="AC294" i="1"/>
  <c r="AD294" i="1"/>
  <c r="B295" i="1"/>
  <c r="D295" i="1"/>
  <c r="F295" i="1"/>
  <c r="I295" i="1"/>
  <c r="J295" i="1"/>
  <c r="AC295" i="1"/>
  <c r="AD295" i="1"/>
  <c r="B296" i="1"/>
  <c r="D296" i="1"/>
  <c r="F296" i="1"/>
  <c r="I296" i="1"/>
  <c r="J296" i="1"/>
  <c r="AC296" i="1"/>
  <c r="AD296" i="1"/>
  <c r="B297" i="1"/>
  <c r="D297" i="1"/>
  <c r="F297" i="1"/>
  <c r="I297" i="1"/>
  <c r="J297" i="1"/>
  <c r="AC297" i="1"/>
  <c r="AD297" i="1"/>
  <c r="B298" i="1"/>
  <c r="D298" i="1"/>
  <c r="F298" i="1"/>
  <c r="I298" i="1"/>
  <c r="J298" i="1"/>
  <c r="AC298" i="1"/>
  <c r="AD298" i="1"/>
  <c r="B299" i="1"/>
  <c r="D299" i="1"/>
  <c r="F299" i="1"/>
  <c r="I299" i="1"/>
  <c r="J299" i="1"/>
  <c r="AC299" i="1"/>
  <c r="AD299" i="1"/>
  <c r="B300" i="1"/>
  <c r="D300" i="1"/>
  <c r="F300" i="1"/>
  <c r="I300" i="1"/>
  <c r="J300" i="1"/>
  <c r="AC300" i="1"/>
  <c r="AD300" i="1"/>
  <c r="B301" i="1"/>
  <c r="D301" i="1"/>
  <c r="F301" i="1"/>
  <c r="I301" i="1"/>
  <c r="J301" i="1"/>
  <c r="AC301" i="1"/>
  <c r="AD301" i="1"/>
  <c r="B302" i="1"/>
  <c r="D302" i="1"/>
  <c r="F302" i="1"/>
  <c r="I302" i="1"/>
  <c r="J302" i="1"/>
  <c r="AC302" i="1"/>
  <c r="AD302" i="1"/>
  <c r="B303" i="1"/>
  <c r="D303" i="1"/>
  <c r="F303" i="1"/>
  <c r="I303" i="1"/>
  <c r="J303" i="1"/>
  <c r="AC303" i="1"/>
  <c r="AD303" i="1"/>
  <c r="B304" i="1"/>
  <c r="D304" i="1"/>
  <c r="F304" i="1"/>
  <c r="I304" i="1"/>
  <c r="J304" i="1"/>
  <c r="AC304" i="1"/>
  <c r="AD304" i="1"/>
  <c r="B305" i="1"/>
  <c r="D305" i="1"/>
  <c r="F305" i="1"/>
  <c r="I305" i="1"/>
  <c r="J305" i="1"/>
  <c r="AC305" i="1"/>
  <c r="AD305" i="1"/>
  <c r="B306" i="1"/>
  <c r="D306" i="1"/>
  <c r="F306" i="1"/>
  <c r="I306" i="1"/>
  <c r="J306" i="1"/>
  <c r="AC306" i="1"/>
  <c r="AD306" i="1"/>
  <c r="B307" i="1"/>
  <c r="D307" i="1"/>
  <c r="F307" i="1"/>
  <c r="I307" i="1"/>
  <c r="J307" i="1"/>
  <c r="AC307" i="1"/>
  <c r="AD307" i="1"/>
  <c r="B308" i="1"/>
  <c r="D308" i="1"/>
  <c r="F308" i="1"/>
  <c r="I308" i="1"/>
  <c r="J308" i="1"/>
  <c r="AC308" i="1"/>
  <c r="AD308" i="1"/>
  <c r="B309" i="1"/>
  <c r="D309" i="1"/>
  <c r="F309" i="1"/>
  <c r="I309" i="1"/>
  <c r="J309" i="1"/>
  <c r="AC309" i="1"/>
  <c r="AD309" i="1"/>
  <c r="B310" i="1"/>
  <c r="D310" i="1"/>
  <c r="F310" i="1"/>
  <c r="I310" i="1"/>
  <c r="J310" i="1"/>
  <c r="AC310" i="1"/>
  <c r="AD310" i="1"/>
  <c r="B311" i="1"/>
  <c r="D311" i="1"/>
  <c r="F311" i="1"/>
  <c r="I311" i="1"/>
  <c r="J311" i="1"/>
  <c r="AC311" i="1"/>
  <c r="AD311" i="1"/>
  <c r="B312" i="1"/>
  <c r="D312" i="1"/>
  <c r="F312" i="1"/>
  <c r="I312" i="1"/>
  <c r="J312" i="1"/>
  <c r="AC312" i="1"/>
  <c r="AD312" i="1"/>
  <c r="B313" i="1"/>
  <c r="D313" i="1"/>
  <c r="F313" i="1"/>
  <c r="I313" i="1"/>
  <c r="J313" i="1"/>
  <c r="AC313" i="1"/>
  <c r="AD313" i="1"/>
  <c r="B314" i="1"/>
  <c r="D314" i="1"/>
  <c r="F314" i="1"/>
  <c r="I314" i="1"/>
  <c r="J314" i="1"/>
  <c r="AC314" i="1"/>
  <c r="AD314" i="1"/>
  <c r="B315" i="1"/>
  <c r="D315" i="1"/>
  <c r="F315" i="1"/>
  <c r="I315" i="1"/>
  <c r="J315" i="1"/>
  <c r="AC315" i="1"/>
  <c r="AD315" i="1"/>
  <c r="B316" i="1"/>
  <c r="D316" i="1"/>
  <c r="F316" i="1"/>
  <c r="I316" i="1"/>
  <c r="J316" i="1"/>
  <c r="AC316" i="1"/>
  <c r="AD316" i="1"/>
  <c r="B317" i="1"/>
  <c r="D317" i="1"/>
  <c r="F317" i="1"/>
  <c r="I317" i="1"/>
  <c r="J317" i="1"/>
  <c r="AC317" i="1"/>
  <c r="AD317" i="1"/>
  <c r="B318" i="1"/>
  <c r="D318" i="1"/>
  <c r="F318" i="1"/>
  <c r="I318" i="1"/>
  <c r="J318" i="1"/>
  <c r="AC318" i="1"/>
  <c r="AD318" i="1"/>
  <c r="B319" i="1"/>
  <c r="D319" i="1"/>
  <c r="F319" i="1"/>
  <c r="I319" i="1"/>
  <c r="J319" i="1"/>
  <c r="AC319" i="1"/>
  <c r="AD319" i="1"/>
  <c r="B320" i="1"/>
  <c r="D320" i="1"/>
  <c r="F320" i="1"/>
  <c r="I320" i="1"/>
  <c r="J320" i="1"/>
  <c r="AC320" i="1"/>
  <c r="AD320" i="1"/>
  <c r="B321" i="1"/>
  <c r="D321" i="1"/>
  <c r="F321" i="1"/>
  <c r="I321" i="1"/>
  <c r="J321" i="1"/>
  <c r="AC321" i="1"/>
  <c r="AD321" i="1"/>
  <c r="B322" i="1"/>
  <c r="D322" i="1"/>
  <c r="F322" i="1"/>
  <c r="I322" i="1"/>
  <c r="J322" i="1"/>
  <c r="AC322" i="1"/>
  <c r="AD322" i="1"/>
  <c r="B323" i="1"/>
  <c r="D323" i="1"/>
  <c r="F323" i="1"/>
  <c r="I323" i="1"/>
  <c r="J323" i="1"/>
  <c r="AC323" i="1"/>
  <c r="AD323" i="1"/>
  <c r="B324" i="1"/>
  <c r="D324" i="1"/>
  <c r="F324" i="1"/>
  <c r="I324" i="1"/>
  <c r="J324" i="1"/>
  <c r="AC324" i="1"/>
  <c r="AD324" i="1"/>
  <c r="B325" i="1"/>
  <c r="D325" i="1"/>
  <c r="F325" i="1"/>
  <c r="I325" i="1"/>
  <c r="J325" i="1"/>
  <c r="AC325" i="1"/>
  <c r="AD325" i="1"/>
  <c r="B326" i="1"/>
  <c r="D326" i="1"/>
  <c r="F326" i="1"/>
  <c r="I326" i="1"/>
  <c r="J326" i="1"/>
  <c r="AC326" i="1"/>
  <c r="AD326" i="1"/>
  <c r="B327" i="1"/>
  <c r="D327" i="1"/>
  <c r="F327" i="1"/>
  <c r="I327" i="1"/>
  <c r="J327" i="1"/>
  <c r="AC327" i="1"/>
  <c r="AD327" i="1"/>
  <c r="B328" i="1"/>
  <c r="D328" i="1"/>
  <c r="F328" i="1"/>
  <c r="I328" i="1"/>
  <c r="J328" i="1"/>
  <c r="AC328" i="1"/>
  <c r="AD328" i="1"/>
  <c r="B329" i="1"/>
  <c r="D329" i="1"/>
  <c r="F329" i="1"/>
  <c r="I329" i="1"/>
  <c r="J329" i="1"/>
  <c r="AC329" i="1"/>
  <c r="AD329" i="1"/>
  <c r="B330" i="1"/>
  <c r="D330" i="1"/>
  <c r="F330" i="1"/>
  <c r="I330" i="1"/>
  <c r="J330" i="1"/>
  <c r="AC330" i="1"/>
  <c r="AD330" i="1"/>
  <c r="B331" i="1"/>
  <c r="D331" i="1"/>
  <c r="F331" i="1"/>
  <c r="I331" i="1"/>
  <c r="J331" i="1"/>
  <c r="AC331" i="1"/>
  <c r="AD331" i="1"/>
  <c r="B332" i="1"/>
  <c r="D332" i="1"/>
  <c r="F332" i="1"/>
  <c r="I332" i="1"/>
  <c r="J332" i="1"/>
  <c r="AC332" i="1"/>
  <c r="AD332" i="1"/>
  <c r="B333" i="1"/>
  <c r="D333" i="1"/>
  <c r="F333" i="1"/>
  <c r="I333" i="1"/>
  <c r="J333" i="1"/>
  <c r="AC333" i="1"/>
  <c r="AD333" i="1"/>
  <c r="B334" i="1"/>
  <c r="D334" i="1"/>
  <c r="F334" i="1"/>
  <c r="I334" i="1"/>
  <c r="J334" i="1"/>
  <c r="AC334" i="1"/>
  <c r="AD334" i="1"/>
  <c r="B335" i="1"/>
  <c r="D335" i="1"/>
  <c r="F335" i="1"/>
  <c r="I335" i="1"/>
  <c r="J335" i="1"/>
  <c r="AC335" i="1"/>
  <c r="AD335" i="1"/>
  <c r="B336" i="1"/>
  <c r="D336" i="1"/>
  <c r="F336" i="1"/>
  <c r="I336" i="1"/>
  <c r="J336" i="1"/>
  <c r="AC336" i="1"/>
  <c r="AD336" i="1"/>
  <c r="B337" i="1"/>
  <c r="D337" i="1"/>
  <c r="F337" i="1"/>
  <c r="I337" i="1"/>
  <c r="J337" i="1"/>
  <c r="AC337" i="1"/>
  <c r="AD337" i="1"/>
  <c r="B338" i="1"/>
  <c r="D338" i="1"/>
  <c r="F338" i="1"/>
  <c r="I338" i="1"/>
  <c r="J338" i="1"/>
  <c r="AC338" i="1"/>
  <c r="AD338" i="1"/>
  <c r="B339" i="1"/>
  <c r="D339" i="1"/>
  <c r="F339" i="1"/>
  <c r="I339" i="1"/>
  <c r="J339" i="1"/>
  <c r="AC339" i="1"/>
  <c r="AD339" i="1"/>
  <c r="B340" i="1"/>
  <c r="D340" i="1"/>
  <c r="F340" i="1"/>
  <c r="I340" i="1"/>
  <c r="J340" i="1"/>
  <c r="AC340" i="1"/>
  <c r="AD340" i="1"/>
  <c r="B341" i="1"/>
  <c r="D341" i="1"/>
  <c r="F341" i="1"/>
  <c r="I341" i="1"/>
  <c r="J341" i="1"/>
  <c r="AC341" i="1"/>
  <c r="AD341" i="1"/>
  <c r="B342" i="1"/>
  <c r="D342" i="1"/>
  <c r="F342" i="1"/>
  <c r="I342" i="1"/>
  <c r="J342" i="1"/>
  <c r="AC342" i="1"/>
  <c r="AD342" i="1"/>
  <c r="B343" i="1"/>
  <c r="D343" i="1"/>
  <c r="F343" i="1"/>
  <c r="I343" i="1"/>
  <c r="J343" i="1"/>
  <c r="AC343" i="1"/>
  <c r="AD343" i="1"/>
  <c r="B344" i="1"/>
  <c r="D344" i="1"/>
  <c r="F344" i="1"/>
  <c r="I344" i="1"/>
  <c r="J344" i="1"/>
  <c r="AC344" i="1"/>
  <c r="AD344" i="1"/>
  <c r="B345" i="1"/>
  <c r="D345" i="1"/>
  <c r="F345" i="1"/>
  <c r="I345" i="1"/>
  <c r="J345" i="1"/>
  <c r="AC345" i="1"/>
  <c r="AD345" i="1"/>
  <c r="B346" i="1"/>
  <c r="D346" i="1"/>
  <c r="F346" i="1"/>
  <c r="I346" i="1"/>
  <c r="J346" i="1"/>
  <c r="AC346" i="1"/>
  <c r="AD346" i="1"/>
  <c r="B347" i="1"/>
  <c r="D347" i="1"/>
  <c r="F347" i="1"/>
  <c r="I347" i="1"/>
  <c r="J347" i="1"/>
  <c r="AC347" i="1"/>
  <c r="AD347" i="1"/>
  <c r="B348" i="1"/>
  <c r="D348" i="1"/>
  <c r="F348" i="1"/>
  <c r="I348" i="1"/>
  <c r="J348" i="1"/>
  <c r="AC348" i="1"/>
  <c r="AD348" i="1"/>
  <c r="B349" i="1"/>
  <c r="D349" i="1"/>
  <c r="F349" i="1"/>
  <c r="I349" i="1"/>
  <c r="J349" i="1"/>
  <c r="AC349" i="1"/>
  <c r="AD349" i="1"/>
  <c r="B350" i="1"/>
  <c r="D350" i="1"/>
  <c r="F350" i="1"/>
  <c r="I350" i="1"/>
  <c r="J350" i="1"/>
  <c r="AC350" i="1"/>
  <c r="AD350" i="1"/>
  <c r="B351" i="1"/>
  <c r="D351" i="1"/>
  <c r="F351" i="1"/>
  <c r="I351" i="1"/>
  <c r="J351" i="1"/>
  <c r="AC351" i="1"/>
  <c r="AD351" i="1"/>
  <c r="B352" i="1"/>
  <c r="D352" i="1"/>
  <c r="F352" i="1"/>
  <c r="I352" i="1"/>
  <c r="J352" i="1"/>
  <c r="AC352" i="1"/>
  <c r="AD352" i="1"/>
  <c r="B353" i="1"/>
  <c r="D353" i="1"/>
  <c r="F353" i="1"/>
  <c r="I353" i="1"/>
  <c r="J353" i="1"/>
  <c r="AC353" i="1"/>
  <c r="AD353" i="1"/>
  <c r="B354" i="1"/>
  <c r="D354" i="1"/>
  <c r="F354" i="1"/>
  <c r="I354" i="1"/>
  <c r="J354" i="1"/>
  <c r="AC354" i="1"/>
  <c r="AD354" i="1"/>
  <c r="B355" i="1"/>
  <c r="D355" i="1"/>
  <c r="F355" i="1"/>
  <c r="I355" i="1"/>
  <c r="J355" i="1"/>
  <c r="AC355" i="1"/>
  <c r="AD355" i="1"/>
  <c r="B356" i="1"/>
  <c r="D356" i="1"/>
  <c r="F356" i="1"/>
  <c r="I356" i="1"/>
  <c r="J356" i="1"/>
  <c r="AC356" i="1"/>
  <c r="AD356" i="1"/>
  <c r="B357" i="1"/>
  <c r="D357" i="1"/>
  <c r="F357" i="1"/>
  <c r="I357" i="1"/>
  <c r="J357" i="1"/>
  <c r="AC357" i="1"/>
  <c r="AD357" i="1"/>
  <c r="B358" i="1"/>
  <c r="D358" i="1"/>
  <c r="F358" i="1"/>
  <c r="I358" i="1"/>
  <c r="J358" i="1"/>
  <c r="AC358" i="1"/>
  <c r="AD358" i="1"/>
  <c r="B359" i="1"/>
  <c r="D359" i="1"/>
  <c r="F359" i="1"/>
  <c r="I359" i="1"/>
  <c r="J359" i="1"/>
  <c r="AC359" i="1"/>
  <c r="AD359" i="1"/>
  <c r="B360" i="1"/>
  <c r="D360" i="1"/>
  <c r="F360" i="1"/>
  <c r="I360" i="1"/>
  <c r="J360" i="1"/>
  <c r="AC360" i="1"/>
  <c r="AD360" i="1"/>
  <c r="B361" i="1"/>
  <c r="D361" i="1"/>
  <c r="F361" i="1"/>
  <c r="I361" i="1"/>
  <c r="J361" i="1"/>
  <c r="AC361" i="1"/>
  <c r="AD361" i="1"/>
  <c r="B362" i="1"/>
  <c r="D362" i="1"/>
  <c r="F362" i="1"/>
  <c r="I362" i="1"/>
  <c r="J362" i="1"/>
  <c r="AC362" i="1"/>
  <c r="AD362" i="1"/>
  <c r="B363" i="1"/>
  <c r="D363" i="1"/>
  <c r="F363" i="1"/>
  <c r="I363" i="1"/>
  <c r="J363" i="1"/>
  <c r="AC363" i="1"/>
  <c r="AD363" i="1"/>
  <c r="B364" i="1"/>
  <c r="D364" i="1"/>
  <c r="F364" i="1"/>
  <c r="I364" i="1"/>
  <c r="J364" i="1"/>
  <c r="AC364" i="1"/>
  <c r="AD364" i="1"/>
  <c r="B365" i="1"/>
  <c r="D365" i="1"/>
  <c r="F365" i="1"/>
  <c r="I365" i="1"/>
  <c r="J365" i="1"/>
  <c r="AC365" i="1"/>
  <c r="AD365" i="1"/>
  <c r="B366" i="1"/>
  <c r="D366" i="1"/>
  <c r="F366" i="1"/>
  <c r="I366" i="1"/>
  <c r="J366" i="1"/>
  <c r="AC366" i="1"/>
  <c r="AD366" i="1"/>
  <c r="B367" i="1"/>
  <c r="D367" i="1"/>
  <c r="F367" i="1"/>
  <c r="I367" i="1"/>
  <c r="J367" i="1"/>
  <c r="AC367" i="1"/>
  <c r="AD367" i="1"/>
  <c r="B368" i="1"/>
  <c r="D368" i="1"/>
  <c r="F368" i="1"/>
  <c r="I368" i="1"/>
  <c r="J368" i="1"/>
  <c r="AC368" i="1"/>
  <c r="AD368" i="1"/>
  <c r="B369" i="1"/>
  <c r="D369" i="1"/>
  <c r="F369" i="1"/>
  <c r="I369" i="1"/>
  <c r="J369" i="1"/>
  <c r="AC369" i="1"/>
  <c r="AD369" i="1"/>
  <c r="B370" i="1"/>
  <c r="D370" i="1"/>
  <c r="F370" i="1"/>
  <c r="I370" i="1"/>
  <c r="J370" i="1"/>
  <c r="AC370" i="1"/>
  <c r="AD370" i="1"/>
  <c r="B371" i="1"/>
  <c r="D371" i="1"/>
  <c r="F371" i="1"/>
  <c r="I371" i="1"/>
  <c r="J371" i="1"/>
  <c r="AC371" i="1"/>
  <c r="AD371" i="1"/>
  <c r="B372" i="1"/>
  <c r="D372" i="1"/>
  <c r="F372" i="1"/>
  <c r="I372" i="1"/>
  <c r="J372" i="1"/>
  <c r="AC372" i="1"/>
  <c r="AD372" i="1"/>
  <c r="B373" i="1"/>
  <c r="D373" i="1"/>
  <c r="F373" i="1"/>
  <c r="I373" i="1"/>
  <c r="J373" i="1"/>
  <c r="AC373" i="1"/>
  <c r="AD373" i="1"/>
  <c r="B374" i="1"/>
  <c r="D374" i="1"/>
  <c r="F374" i="1"/>
  <c r="I374" i="1"/>
  <c r="J374" i="1"/>
  <c r="AC374" i="1"/>
  <c r="AD374" i="1"/>
  <c r="B375" i="1"/>
  <c r="D375" i="1"/>
  <c r="F375" i="1"/>
  <c r="I375" i="1"/>
  <c r="J375" i="1"/>
  <c r="AC375" i="1"/>
  <c r="AD375" i="1"/>
  <c r="B376" i="1"/>
  <c r="D376" i="1"/>
  <c r="F376" i="1"/>
  <c r="I376" i="1"/>
  <c r="J376" i="1"/>
  <c r="AC376" i="1"/>
  <c r="AD376" i="1"/>
  <c r="B377" i="1"/>
  <c r="D377" i="1"/>
  <c r="F377" i="1"/>
  <c r="I377" i="1"/>
  <c r="J377" i="1"/>
  <c r="AC377" i="1"/>
  <c r="AD377" i="1"/>
  <c r="B378" i="1"/>
  <c r="D378" i="1"/>
  <c r="F378" i="1"/>
  <c r="I378" i="1"/>
  <c r="J378" i="1"/>
  <c r="AC378" i="1"/>
  <c r="AD378" i="1"/>
  <c r="B379" i="1"/>
  <c r="D379" i="1"/>
  <c r="F379" i="1"/>
  <c r="I379" i="1"/>
  <c r="J379" i="1"/>
  <c r="AC379" i="1"/>
  <c r="AD379" i="1"/>
  <c r="B380" i="1"/>
  <c r="D380" i="1"/>
  <c r="F380" i="1"/>
  <c r="I380" i="1"/>
  <c r="J380" i="1"/>
  <c r="AC380" i="1"/>
  <c r="AD380" i="1"/>
  <c r="B381" i="1"/>
  <c r="D381" i="1"/>
  <c r="F381" i="1"/>
  <c r="I381" i="1"/>
  <c r="J381" i="1"/>
  <c r="AC381" i="1"/>
  <c r="AD381" i="1"/>
  <c r="B382" i="1"/>
  <c r="D382" i="1"/>
  <c r="F382" i="1"/>
  <c r="I382" i="1"/>
  <c r="J382" i="1"/>
  <c r="AC382" i="1"/>
  <c r="AD382" i="1"/>
  <c r="B383" i="1"/>
  <c r="D383" i="1"/>
  <c r="F383" i="1"/>
  <c r="I383" i="1"/>
  <c r="J383" i="1"/>
  <c r="AC383" i="1"/>
  <c r="AD383" i="1"/>
  <c r="B384" i="1"/>
  <c r="D384" i="1"/>
  <c r="F384" i="1"/>
  <c r="I384" i="1"/>
  <c r="J384" i="1"/>
  <c r="AC384" i="1"/>
  <c r="AD384" i="1"/>
  <c r="B385" i="1"/>
  <c r="D385" i="1"/>
  <c r="F385" i="1"/>
  <c r="I385" i="1"/>
  <c r="J385" i="1"/>
  <c r="AC385" i="1"/>
  <c r="AD385" i="1"/>
  <c r="B386" i="1"/>
  <c r="D386" i="1"/>
  <c r="F386" i="1"/>
  <c r="I386" i="1"/>
  <c r="J386" i="1"/>
  <c r="AC386" i="1"/>
  <c r="AD386" i="1"/>
  <c r="B387" i="1"/>
  <c r="D387" i="1"/>
  <c r="F387" i="1"/>
  <c r="I387" i="1"/>
  <c r="J387" i="1"/>
  <c r="AC387" i="1"/>
  <c r="AD387" i="1"/>
  <c r="B388" i="1"/>
  <c r="D388" i="1"/>
  <c r="F388" i="1"/>
  <c r="I388" i="1"/>
  <c r="J388" i="1"/>
  <c r="AC388" i="1"/>
  <c r="AD388" i="1"/>
  <c r="B389" i="1"/>
  <c r="D389" i="1"/>
  <c r="F389" i="1"/>
  <c r="I389" i="1"/>
  <c r="J389" i="1"/>
  <c r="AC389" i="1"/>
  <c r="AD389" i="1"/>
  <c r="B390" i="1"/>
  <c r="D390" i="1"/>
  <c r="F390" i="1"/>
  <c r="I390" i="1"/>
  <c r="J390" i="1"/>
  <c r="AC390" i="1"/>
  <c r="AD390" i="1"/>
  <c r="B391" i="1"/>
  <c r="D391" i="1"/>
  <c r="F391" i="1"/>
  <c r="I391" i="1"/>
  <c r="J391" i="1"/>
  <c r="AC391" i="1"/>
  <c r="AD391" i="1"/>
  <c r="B392" i="1"/>
  <c r="D392" i="1"/>
  <c r="F392" i="1"/>
  <c r="I392" i="1"/>
  <c r="J392" i="1"/>
  <c r="AC392" i="1"/>
  <c r="AD392" i="1"/>
  <c r="B393" i="1"/>
  <c r="D393" i="1"/>
  <c r="F393" i="1"/>
  <c r="I393" i="1"/>
  <c r="J393" i="1"/>
  <c r="AC393" i="1"/>
  <c r="AD393" i="1"/>
  <c r="B394" i="1"/>
  <c r="D394" i="1"/>
  <c r="F394" i="1"/>
  <c r="I394" i="1"/>
  <c r="J394" i="1"/>
  <c r="AC394" i="1"/>
  <c r="AD394" i="1"/>
  <c r="B395" i="1"/>
  <c r="D395" i="1"/>
  <c r="F395" i="1"/>
  <c r="I395" i="1"/>
  <c r="J395" i="1"/>
  <c r="AC395" i="1"/>
  <c r="AD395" i="1"/>
  <c r="B396" i="1"/>
  <c r="D396" i="1"/>
  <c r="F396" i="1"/>
  <c r="I396" i="1"/>
  <c r="J396" i="1"/>
  <c r="AC396" i="1"/>
  <c r="AD396" i="1"/>
  <c r="B397" i="1"/>
  <c r="D397" i="1"/>
  <c r="F397" i="1"/>
  <c r="I397" i="1"/>
  <c r="J397" i="1"/>
  <c r="AC397" i="1"/>
  <c r="AD397" i="1"/>
  <c r="B398" i="1"/>
  <c r="D398" i="1"/>
  <c r="F398" i="1"/>
  <c r="I398" i="1"/>
  <c r="J398" i="1"/>
  <c r="AC398" i="1"/>
  <c r="AD398" i="1"/>
  <c r="B399" i="1"/>
  <c r="D399" i="1"/>
  <c r="F399" i="1"/>
  <c r="I399" i="1"/>
  <c r="J399" i="1"/>
  <c r="AC399" i="1"/>
  <c r="AD399" i="1"/>
  <c r="B400" i="1"/>
  <c r="D400" i="1"/>
  <c r="F400" i="1"/>
  <c r="I400" i="1"/>
  <c r="J400" i="1"/>
  <c r="AC400" i="1"/>
  <c r="AD400" i="1"/>
  <c r="B401" i="1"/>
  <c r="D401" i="1"/>
  <c r="F401" i="1"/>
  <c r="I401" i="1"/>
  <c r="J401" i="1"/>
  <c r="AC401" i="1"/>
  <c r="AD401" i="1"/>
  <c r="B402" i="1"/>
  <c r="D402" i="1"/>
  <c r="F402" i="1"/>
  <c r="I402" i="1"/>
  <c r="J402" i="1"/>
  <c r="AC402" i="1"/>
  <c r="AD402" i="1"/>
  <c r="B403" i="1"/>
  <c r="D403" i="1"/>
  <c r="F403" i="1"/>
  <c r="I403" i="1"/>
  <c r="J403" i="1"/>
  <c r="AC403" i="1"/>
  <c r="AD403" i="1"/>
  <c r="B404" i="1"/>
  <c r="D404" i="1"/>
  <c r="F404" i="1"/>
  <c r="I404" i="1"/>
  <c r="J404" i="1"/>
  <c r="AC404" i="1"/>
  <c r="AD404" i="1"/>
  <c r="B405" i="1"/>
  <c r="D405" i="1"/>
  <c r="F405" i="1"/>
  <c r="I405" i="1"/>
  <c r="J405" i="1"/>
  <c r="AC405" i="1"/>
  <c r="AD405" i="1"/>
  <c r="B406" i="1"/>
  <c r="D406" i="1"/>
  <c r="F406" i="1"/>
  <c r="I406" i="1"/>
  <c r="J406" i="1"/>
  <c r="AC406" i="1"/>
  <c r="AD406" i="1"/>
  <c r="B407" i="1"/>
  <c r="D407" i="1"/>
  <c r="F407" i="1"/>
  <c r="I407" i="1"/>
  <c r="J407" i="1"/>
  <c r="AC407" i="1"/>
  <c r="AD407" i="1"/>
  <c r="B408" i="1"/>
  <c r="D408" i="1"/>
  <c r="F408" i="1"/>
  <c r="I408" i="1"/>
  <c r="J408" i="1"/>
  <c r="AC408" i="1"/>
  <c r="AD408" i="1"/>
  <c r="B409" i="1"/>
  <c r="D409" i="1"/>
  <c r="F409" i="1"/>
  <c r="I409" i="1"/>
  <c r="J409" i="1"/>
  <c r="AC409" i="1"/>
  <c r="AD409" i="1"/>
  <c r="B410" i="1"/>
  <c r="D410" i="1"/>
  <c r="F410" i="1"/>
  <c r="I410" i="1"/>
  <c r="J410" i="1"/>
  <c r="AC410" i="1"/>
  <c r="AD410" i="1"/>
  <c r="B411" i="1"/>
  <c r="D411" i="1"/>
  <c r="F411" i="1"/>
  <c r="I411" i="1"/>
  <c r="J411" i="1"/>
  <c r="AC411" i="1"/>
  <c r="AD411" i="1"/>
  <c r="B412" i="1"/>
  <c r="D412" i="1"/>
  <c r="F412" i="1"/>
  <c r="I412" i="1"/>
  <c r="J412" i="1"/>
  <c r="AC412" i="1"/>
  <c r="AD412" i="1"/>
  <c r="B413" i="1"/>
  <c r="D413" i="1"/>
  <c r="F413" i="1"/>
  <c r="I413" i="1"/>
  <c r="J413" i="1"/>
  <c r="AC413" i="1"/>
  <c r="AD413" i="1"/>
  <c r="B414" i="1"/>
  <c r="D414" i="1"/>
  <c r="F414" i="1"/>
  <c r="I414" i="1"/>
  <c r="J414" i="1"/>
  <c r="AC414" i="1"/>
  <c r="AD414" i="1"/>
  <c r="B415" i="1"/>
  <c r="D415" i="1"/>
  <c r="F415" i="1"/>
  <c r="I415" i="1"/>
  <c r="J415" i="1"/>
  <c r="AC415" i="1"/>
  <c r="AD415" i="1"/>
  <c r="B416" i="1"/>
  <c r="D416" i="1"/>
  <c r="F416" i="1"/>
  <c r="I416" i="1"/>
  <c r="J416" i="1"/>
  <c r="AC416" i="1"/>
  <c r="AD416" i="1"/>
  <c r="B417" i="1"/>
  <c r="D417" i="1"/>
  <c r="F417" i="1"/>
  <c r="I417" i="1"/>
  <c r="J417" i="1"/>
  <c r="AC417" i="1"/>
  <c r="AD417" i="1"/>
  <c r="B418" i="1"/>
  <c r="D418" i="1"/>
  <c r="F418" i="1"/>
  <c r="I418" i="1"/>
  <c r="J418" i="1"/>
  <c r="AC418" i="1"/>
  <c r="AD418" i="1"/>
  <c r="B419" i="1"/>
  <c r="D419" i="1"/>
  <c r="F419" i="1"/>
  <c r="I419" i="1"/>
  <c r="J419" i="1"/>
  <c r="AC419" i="1"/>
  <c r="AD419" i="1"/>
  <c r="B420" i="1"/>
  <c r="D420" i="1"/>
  <c r="F420" i="1"/>
  <c r="I420" i="1"/>
  <c r="J420" i="1"/>
  <c r="AC420" i="1"/>
  <c r="AD420" i="1"/>
  <c r="B421" i="1"/>
  <c r="D421" i="1"/>
  <c r="F421" i="1"/>
  <c r="I421" i="1"/>
  <c r="J421" i="1"/>
  <c r="AC421" i="1"/>
  <c r="AD421" i="1"/>
  <c r="B422" i="1"/>
  <c r="D422" i="1"/>
  <c r="F422" i="1"/>
  <c r="I422" i="1"/>
  <c r="J422" i="1"/>
  <c r="AC422" i="1"/>
  <c r="AD422" i="1"/>
  <c r="B423" i="1"/>
  <c r="D423" i="1"/>
  <c r="F423" i="1"/>
  <c r="I423" i="1"/>
  <c r="J423" i="1"/>
  <c r="AC423" i="1"/>
  <c r="AD423" i="1"/>
  <c r="B424" i="1"/>
  <c r="D424" i="1"/>
  <c r="F424" i="1"/>
  <c r="I424" i="1"/>
  <c r="J424" i="1"/>
  <c r="AC424" i="1"/>
  <c r="AD424" i="1"/>
  <c r="B425" i="1"/>
  <c r="D425" i="1"/>
  <c r="F425" i="1"/>
  <c r="I425" i="1"/>
  <c r="J425" i="1"/>
  <c r="AC425" i="1"/>
  <c r="AD425" i="1"/>
  <c r="B426" i="1"/>
  <c r="D426" i="1"/>
  <c r="F426" i="1"/>
  <c r="I426" i="1"/>
  <c r="J426" i="1"/>
  <c r="AC426" i="1"/>
  <c r="AD426" i="1"/>
  <c r="B427" i="1"/>
  <c r="D427" i="1"/>
  <c r="F427" i="1"/>
  <c r="I427" i="1"/>
  <c r="J427" i="1"/>
  <c r="AC427" i="1"/>
  <c r="AD427" i="1"/>
  <c r="B428" i="1"/>
  <c r="D428" i="1"/>
  <c r="F428" i="1"/>
  <c r="I428" i="1"/>
  <c r="J428" i="1"/>
  <c r="AC428" i="1"/>
  <c r="AD428" i="1"/>
  <c r="B429" i="1"/>
  <c r="D429" i="1"/>
  <c r="F429" i="1"/>
  <c r="I429" i="1"/>
  <c r="J429" i="1"/>
  <c r="AC429" i="1"/>
  <c r="AD429" i="1"/>
  <c r="B430" i="1"/>
  <c r="D430" i="1"/>
  <c r="F430" i="1"/>
  <c r="I430" i="1"/>
  <c r="J430" i="1"/>
  <c r="AC430" i="1"/>
  <c r="AD430" i="1"/>
  <c r="B431" i="1"/>
  <c r="D431" i="1"/>
  <c r="F431" i="1"/>
  <c r="I431" i="1"/>
  <c r="J431" i="1"/>
  <c r="AC431" i="1"/>
  <c r="AD431" i="1"/>
  <c r="B432" i="1"/>
  <c r="D432" i="1"/>
  <c r="F432" i="1"/>
  <c r="I432" i="1"/>
  <c r="J432" i="1"/>
  <c r="AC432" i="1"/>
  <c r="AD432" i="1"/>
  <c r="B433" i="1"/>
  <c r="D433" i="1"/>
  <c r="F433" i="1"/>
  <c r="I433" i="1"/>
  <c r="J433" i="1"/>
  <c r="AC433" i="1"/>
  <c r="AD433" i="1"/>
  <c r="B434" i="1"/>
  <c r="D434" i="1"/>
  <c r="F434" i="1"/>
  <c r="I434" i="1"/>
  <c r="J434" i="1"/>
  <c r="AC434" i="1"/>
  <c r="AD434" i="1"/>
  <c r="B435" i="1"/>
  <c r="D435" i="1"/>
  <c r="F435" i="1"/>
  <c r="I435" i="1"/>
  <c r="J435" i="1"/>
  <c r="AC435" i="1"/>
  <c r="AD435" i="1"/>
  <c r="B436" i="1"/>
  <c r="D436" i="1"/>
  <c r="F436" i="1"/>
  <c r="I436" i="1"/>
  <c r="J436" i="1"/>
  <c r="AC436" i="1"/>
  <c r="AD436" i="1"/>
  <c r="B437" i="1"/>
  <c r="D437" i="1"/>
  <c r="F437" i="1"/>
  <c r="I437" i="1"/>
  <c r="J437" i="1"/>
  <c r="AC437" i="1"/>
  <c r="AD437" i="1"/>
  <c r="B438" i="1"/>
  <c r="D438" i="1"/>
  <c r="F438" i="1"/>
  <c r="I438" i="1"/>
  <c r="J438" i="1"/>
  <c r="AC438" i="1"/>
  <c r="AD438" i="1"/>
  <c r="B439" i="1"/>
  <c r="D439" i="1"/>
  <c r="F439" i="1"/>
  <c r="I439" i="1"/>
  <c r="J439" i="1"/>
  <c r="AC439" i="1"/>
  <c r="AD439" i="1"/>
  <c r="B440" i="1"/>
  <c r="D440" i="1"/>
  <c r="F440" i="1"/>
  <c r="I440" i="1"/>
  <c r="J440" i="1"/>
  <c r="AC440" i="1"/>
  <c r="AD440" i="1"/>
  <c r="B441" i="1"/>
  <c r="D441" i="1"/>
  <c r="F441" i="1"/>
  <c r="I441" i="1"/>
  <c r="J441" i="1"/>
  <c r="AC441" i="1"/>
  <c r="AD441" i="1"/>
  <c r="B442" i="1"/>
  <c r="D442" i="1"/>
  <c r="F442" i="1"/>
  <c r="I442" i="1"/>
  <c r="J442" i="1"/>
  <c r="AC442" i="1"/>
  <c r="AD442" i="1"/>
  <c r="B443" i="1"/>
  <c r="D443" i="1"/>
  <c r="F443" i="1"/>
  <c r="I443" i="1"/>
  <c r="J443" i="1"/>
  <c r="AC443" i="1"/>
  <c r="AD443" i="1"/>
  <c r="B444" i="1"/>
  <c r="D444" i="1"/>
  <c r="F444" i="1"/>
  <c r="I444" i="1"/>
  <c r="J444" i="1"/>
  <c r="AC444" i="1"/>
  <c r="AD444" i="1"/>
  <c r="B445" i="1"/>
  <c r="D445" i="1"/>
  <c r="F445" i="1"/>
  <c r="I445" i="1"/>
  <c r="J445" i="1"/>
  <c r="AC445" i="1"/>
  <c r="AD445" i="1"/>
  <c r="B446" i="1"/>
  <c r="D446" i="1"/>
  <c r="F446" i="1"/>
  <c r="I446" i="1"/>
  <c r="J446" i="1"/>
  <c r="AC446" i="1"/>
  <c r="AD446" i="1"/>
  <c r="B447" i="1"/>
  <c r="D447" i="1"/>
  <c r="F447" i="1"/>
  <c r="I447" i="1"/>
  <c r="J447" i="1"/>
  <c r="AC447" i="1"/>
  <c r="AD447" i="1"/>
  <c r="B448" i="1"/>
  <c r="D448" i="1"/>
  <c r="F448" i="1"/>
  <c r="I448" i="1"/>
  <c r="J448" i="1"/>
  <c r="AC448" i="1"/>
  <c r="AD448" i="1"/>
  <c r="B449" i="1"/>
  <c r="D449" i="1"/>
  <c r="F449" i="1"/>
  <c r="I449" i="1"/>
  <c r="J449" i="1"/>
  <c r="AC449" i="1"/>
  <c r="AD449" i="1"/>
  <c r="B450" i="1"/>
  <c r="D450" i="1"/>
  <c r="F450" i="1"/>
  <c r="I450" i="1"/>
  <c r="J450" i="1"/>
  <c r="AC450" i="1"/>
  <c r="AD450" i="1"/>
  <c r="B451" i="1"/>
  <c r="D451" i="1"/>
  <c r="F451" i="1"/>
  <c r="I451" i="1"/>
  <c r="J451" i="1"/>
  <c r="AC451" i="1"/>
  <c r="AD451" i="1"/>
  <c r="B452" i="1"/>
  <c r="F452" i="1"/>
  <c r="I452" i="1"/>
  <c r="J452" i="1"/>
  <c r="AC452" i="1"/>
  <c r="AD452" i="1"/>
  <c r="B453" i="1"/>
  <c r="F453" i="1"/>
  <c r="I453" i="1"/>
  <c r="J453" i="1"/>
  <c r="AC453" i="1"/>
  <c r="AD453" i="1"/>
  <c r="B454" i="1"/>
  <c r="F454" i="1"/>
  <c r="I454" i="1"/>
  <c r="J454" i="1"/>
  <c r="AC454" i="1"/>
  <c r="AD454" i="1"/>
  <c r="B455" i="1"/>
  <c r="F455" i="1"/>
  <c r="I455" i="1"/>
  <c r="J455" i="1"/>
  <c r="AC455" i="1"/>
  <c r="AD455" i="1"/>
  <c r="B456" i="1"/>
  <c r="F456" i="1"/>
  <c r="I456" i="1"/>
  <c r="J456" i="1"/>
  <c r="AC456" i="1"/>
  <c r="AD456" i="1"/>
  <c r="B457" i="1"/>
  <c r="F457" i="1"/>
  <c r="I457" i="1"/>
  <c r="J457" i="1"/>
  <c r="AC457" i="1"/>
  <c r="AD457" i="1"/>
  <c r="B458" i="1"/>
  <c r="F458" i="1"/>
  <c r="I458" i="1"/>
  <c r="J458" i="1"/>
  <c r="AC458" i="1"/>
  <c r="AD458" i="1"/>
  <c r="B459" i="1"/>
  <c r="F459" i="1"/>
  <c r="I459" i="1"/>
  <c r="J459" i="1"/>
  <c r="AC459" i="1"/>
  <c r="AD459" i="1"/>
  <c r="B460" i="1"/>
  <c r="F460" i="1"/>
  <c r="I460" i="1"/>
  <c r="J460" i="1"/>
  <c r="AC460" i="1"/>
  <c r="AD460" i="1"/>
  <c r="B461" i="1"/>
  <c r="F461" i="1"/>
  <c r="I461" i="1"/>
  <c r="J461" i="1"/>
  <c r="AC461" i="1"/>
  <c r="AD461" i="1"/>
  <c r="B462" i="1"/>
  <c r="F462" i="1"/>
  <c r="I462" i="1"/>
  <c r="J462" i="1"/>
  <c r="AC462" i="1"/>
  <c r="AD462" i="1"/>
  <c r="B463" i="1"/>
  <c r="F463" i="1"/>
  <c r="I463" i="1"/>
  <c r="J463" i="1"/>
  <c r="AC463" i="1"/>
  <c r="AD463" i="1"/>
  <c r="B464" i="1"/>
  <c r="F464" i="1"/>
  <c r="I464" i="1"/>
  <c r="J464" i="1"/>
  <c r="AC464" i="1"/>
  <c r="AD464" i="1"/>
  <c r="B465" i="1"/>
  <c r="F465" i="1"/>
  <c r="I465" i="1"/>
  <c r="J465" i="1"/>
  <c r="AC465" i="1"/>
  <c r="AD465" i="1"/>
  <c r="B466" i="1"/>
  <c r="F466" i="1"/>
  <c r="I466" i="1"/>
  <c r="J466" i="1"/>
  <c r="AC466" i="1"/>
  <c r="AD466" i="1"/>
  <c r="B467" i="1"/>
  <c r="F467" i="1"/>
  <c r="I467" i="1"/>
  <c r="J467" i="1"/>
  <c r="AC467" i="1"/>
  <c r="AD467" i="1"/>
  <c r="B468" i="1"/>
  <c r="F468" i="1"/>
  <c r="I468" i="1"/>
  <c r="J468" i="1"/>
  <c r="AC468" i="1"/>
  <c r="AD468" i="1"/>
  <c r="B469" i="1"/>
  <c r="F469" i="1"/>
  <c r="I469" i="1"/>
  <c r="J469" i="1"/>
  <c r="AC469" i="1"/>
  <c r="AD469" i="1"/>
  <c r="B470" i="1"/>
  <c r="F470" i="1"/>
  <c r="I470" i="1"/>
  <c r="J470" i="1"/>
  <c r="AC470" i="1"/>
  <c r="AD470" i="1"/>
  <c r="B471" i="1"/>
  <c r="F471" i="1"/>
  <c r="I471" i="1"/>
  <c r="J471" i="1"/>
  <c r="AC471" i="1"/>
  <c r="AD471" i="1"/>
  <c r="B472" i="1"/>
  <c r="F472" i="1"/>
  <c r="I472" i="1"/>
  <c r="J472" i="1"/>
  <c r="AC472" i="1"/>
  <c r="AD472" i="1"/>
  <c r="B473" i="1"/>
  <c r="F473" i="1"/>
  <c r="I473" i="1"/>
  <c r="J473" i="1"/>
  <c r="AC473" i="1"/>
  <c r="AD473" i="1"/>
  <c r="B474" i="1"/>
  <c r="F474" i="1"/>
  <c r="I474" i="1"/>
  <c r="J474" i="1"/>
  <c r="AC474" i="1"/>
  <c r="AD474" i="1"/>
  <c r="B475" i="1"/>
  <c r="F475" i="1"/>
  <c r="I475" i="1"/>
  <c r="J475" i="1"/>
  <c r="AC475" i="1"/>
  <c r="AD475" i="1"/>
  <c r="B476" i="1"/>
  <c r="F476" i="1"/>
  <c r="I476" i="1"/>
  <c r="J476" i="1"/>
  <c r="AC476" i="1"/>
  <c r="AD476" i="1"/>
  <c r="B477" i="1"/>
  <c r="F477" i="1"/>
  <c r="I477" i="1"/>
  <c r="J477" i="1"/>
  <c r="AC477" i="1"/>
  <c r="AD477" i="1"/>
  <c r="B478" i="1"/>
  <c r="F478" i="1"/>
  <c r="I478" i="1"/>
  <c r="J478" i="1"/>
  <c r="AC478" i="1"/>
  <c r="AD478" i="1"/>
  <c r="B479" i="1"/>
  <c r="F479" i="1"/>
  <c r="I479" i="1"/>
  <c r="J479" i="1"/>
  <c r="AC479" i="1"/>
  <c r="AD479" i="1"/>
  <c r="B480" i="1"/>
  <c r="F480" i="1"/>
  <c r="I480" i="1"/>
  <c r="J480" i="1"/>
  <c r="AC480" i="1"/>
  <c r="AD480" i="1"/>
  <c r="B481" i="1"/>
  <c r="F481" i="1"/>
  <c r="I481" i="1"/>
  <c r="J481" i="1"/>
  <c r="AC481" i="1"/>
  <c r="AD481" i="1"/>
  <c r="B482" i="1"/>
  <c r="F482" i="1"/>
  <c r="I482" i="1"/>
  <c r="J482" i="1"/>
  <c r="AC482" i="1"/>
  <c r="AD482" i="1"/>
  <c r="B483" i="1"/>
  <c r="F483" i="1"/>
  <c r="I483" i="1"/>
  <c r="J483" i="1"/>
  <c r="AC483" i="1"/>
  <c r="AD483" i="1"/>
  <c r="B484" i="1"/>
  <c r="F484" i="1"/>
  <c r="I484" i="1"/>
  <c r="J484" i="1"/>
  <c r="AC484" i="1"/>
  <c r="AD484" i="1"/>
  <c r="B485" i="1"/>
  <c r="F485" i="1"/>
  <c r="I485" i="1"/>
  <c r="J485" i="1"/>
  <c r="AC485" i="1"/>
  <c r="AD485" i="1"/>
  <c r="B486" i="1"/>
  <c r="F486" i="1"/>
  <c r="I486" i="1"/>
  <c r="J486" i="1"/>
  <c r="AC486" i="1"/>
  <c r="AD486" i="1"/>
  <c r="B487" i="1"/>
  <c r="F487" i="1"/>
  <c r="I487" i="1"/>
  <c r="J487" i="1"/>
  <c r="AC487" i="1"/>
  <c r="AD487" i="1"/>
  <c r="B488" i="1"/>
  <c r="F488" i="1"/>
  <c r="I488" i="1"/>
  <c r="J488" i="1"/>
  <c r="AC488" i="1"/>
  <c r="AD488" i="1"/>
  <c r="B489" i="1"/>
  <c r="F489" i="1"/>
  <c r="I489" i="1"/>
  <c r="J489" i="1"/>
  <c r="AC489" i="1"/>
  <c r="AD489" i="1"/>
  <c r="B490" i="1"/>
  <c r="F490" i="1"/>
  <c r="I490" i="1"/>
  <c r="J490" i="1"/>
  <c r="AC490" i="1"/>
  <c r="AD490" i="1"/>
  <c r="B491" i="1"/>
  <c r="F491" i="1"/>
  <c r="I491" i="1"/>
  <c r="J491" i="1"/>
  <c r="AC491" i="1"/>
  <c r="AD491" i="1"/>
  <c r="B492" i="1"/>
  <c r="F492" i="1"/>
  <c r="I492" i="1"/>
  <c r="J492" i="1"/>
  <c r="AC492" i="1"/>
  <c r="AD492" i="1"/>
  <c r="B493" i="1"/>
  <c r="F493" i="1"/>
  <c r="I493" i="1"/>
  <c r="J493" i="1"/>
  <c r="AC493" i="1"/>
  <c r="AD493" i="1"/>
  <c r="B494" i="1"/>
  <c r="F494" i="1"/>
  <c r="I494" i="1"/>
  <c r="J494" i="1"/>
  <c r="AC494" i="1"/>
  <c r="AD494" i="1"/>
  <c r="B495" i="1"/>
  <c r="F495" i="1"/>
  <c r="I495" i="1"/>
  <c r="J495" i="1"/>
  <c r="AC495" i="1"/>
  <c r="AD495" i="1"/>
  <c r="B496" i="1"/>
  <c r="F496" i="1"/>
  <c r="I496" i="1"/>
  <c r="J496" i="1"/>
  <c r="AC496" i="1"/>
  <c r="AD496" i="1"/>
  <c r="B497" i="1"/>
  <c r="F497" i="1"/>
  <c r="I497" i="1"/>
  <c r="J497" i="1"/>
  <c r="AC497" i="1"/>
  <c r="AD497" i="1"/>
  <c r="B498" i="1"/>
  <c r="F498" i="1"/>
  <c r="I498" i="1"/>
  <c r="J498" i="1"/>
  <c r="AC498" i="1"/>
  <c r="AD498" i="1"/>
  <c r="B499" i="1"/>
  <c r="F499" i="1"/>
  <c r="I499" i="1"/>
  <c r="J499" i="1"/>
  <c r="AC499" i="1"/>
  <c r="AD499" i="1"/>
  <c r="B500" i="1"/>
  <c r="F500" i="1"/>
  <c r="I500" i="1"/>
  <c r="J500" i="1"/>
  <c r="AC500" i="1"/>
  <c r="AD500" i="1"/>
  <c r="B501" i="1"/>
  <c r="F501" i="1"/>
  <c r="I501" i="1"/>
  <c r="J501" i="1"/>
  <c r="AC501" i="1"/>
  <c r="AD501" i="1"/>
  <c r="B502" i="1"/>
  <c r="F502" i="1"/>
  <c r="I502" i="1"/>
  <c r="J502" i="1"/>
  <c r="AC502" i="1"/>
  <c r="AD502" i="1"/>
  <c r="B503" i="1"/>
  <c r="F503" i="1"/>
  <c r="I503" i="1"/>
  <c r="J503" i="1"/>
  <c r="AC503" i="1"/>
  <c r="AD503" i="1"/>
  <c r="B504" i="1"/>
  <c r="F504" i="1"/>
  <c r="I504" i="1"/>
  <c r="J504" i="1"/>
  <c r="AC504" i="1"/>
  <c r="AD504" i="1"/>
  <c r="B505" i="1"/>
  <c r="F505" i="1"/>
  <c r="I505" i="1"/>
  <c r="J505" i="1"/>
  <c r="AC505" i="1"/>
  <c r="AD505" i="1"/>
  <c r="B506" i="1"/>
  <c r="F506" i="1"/>
  <c r="I506" i="1"/>
  <c r="J506" i="1"/>
  <c r="AC506" i="1"/>
  <c r="AD506" i="1"/>
  <c r="B507" i="1"/>
  <c r="F507" i="1"/>
  <c r="I507" i="1"/>
  <c r="J507" i="1"/>
  <c r="AC507" i="1"/>
  <c r="AD507" i="1"/>
  <c r="B508" i="1"/>
  <c r="F508" i="1"/>
  <c r="I508" i="1"/>
  <c r="J508" i="1"/>
  <c r="AC508" i="1"/>
  <c r="AD508" i="1"/>
  <c r="B509" i="1"/>
  <c r="F509" i="1"/>
  <c r="I509" i="1"/>
  <c r="J509" i="1"/>
  <c r="AC509" i="1"/>
  <c r="AD509" i="1"/>
  <c r="B510" i="1"/>
  <c r="F510" i="1"/>
  <c r="I510" i="1"/>
  <c r="J510" i="1"/>
  <c r="AC510" i="1"/>
  <c r="AD510" i="1"/>
  <c r="B511" i="1"/>
  <c r="F511" i="1"/>
  <c r="I511" i="1"/>
  <c r="J511" i="1"/>
  <c r="AC511" i="1"/>
  <c r="AD511" i="1"/>
  <c r="B512" i="1"/>
  <c r="F512" i="1"/>
  <c r="I512" i="1"/>
  <c r="J512" i="1"/>
  <c r="AC512" i="1"/>
  <c r="AD512" i="1"/>
  <c r="B513" i="1"/>
  <c r="F513" i="1"/>
  <c r="I513" i="1"/>
  <c r="J513" i="1"/>
  <c r="AC513" i="1"/>
  <c r="AD513" i="1"/>
  <c r="B514" i="1"/>
  <c r="F514" i="1"/>
  <c r="AC514" i="1"/>
  <c r="AD514" i="1"/>
  <c r="B515" i="1"/>
  <c r="F515" i="1"/>
  <c r="AC515" i="1"/>
  <c r="AD515" i="1"/>
  <c r="B516" i="1"/>
  <c r="F516" i="1"/>
  <c r="AC516" i="1"/>
  <c r="AD516" i="1"/>
  <c r="B517" i="1"/>
  <c r="F517" i="1"/>
  <c r="AC517" i="1"/>
  <c r="AD517" i="1"/>
  <c r="B518" i="1"/>
  <c r="F518" i="1"/>
  <c r="AC518" i="1"/>
  <c r="AD518" i="1"/>
  <c r="B519" i="1"/>
  <c r="F519" i="1"/>
  <c r="AC519" i="1"/>
  <c r="AD519" i="1"/>
  <c r="B520" i="1"/>
  <c r="F520" i="1"/>
  <c r="AC520" i="1"/>
  <c r="AD520" i="1"/>
  <c r="B521" i="1"/>
  <c r="F521" i="1"/>
  <c r="AC521" i="1"/>
  <c r="AD521" i="1"/>
  <c r="B522" i="1"/>
  <c r="F522" i="1"/>
  <c r="AC522" i="1"/>
  <c r="AD522" i="1"/>
  <c r="B523" i="1"/>
  <c r="F523" i="1"/>
  <c r="AC523" i="1"/>
  <c r="AD523" i="1"/>
  <c r="B524" i="1"/>
  <c r="F524" i="1"/>
  <c r="AC524" i="1"/>
  <c r="AD524" i="1"/>
  <c r="B525" i="1"/>
  <c r="F525" i="1"/>
  <c r="B526" i="1"/>
  <c r="B527" i="1"/>
  <c r="B528" i="1"/>
</calcChain>
</file>

<file path=xl/sharedStrings.xml><?xml version="1.0" encoding="utf-8"?>
<sst xmlns="http://schemas.openxmlformats.org/spreadsheetml/2006/main" count="4633" uniqueCount="553">
  <si>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</si>
  <si>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</si>
  <si>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</si>
  <si>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</si>
  <si>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</si>
  <si>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</si>
  <si>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</si>
  <si>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</si>
  <si>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</si>
  <si>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</si>
  <si>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</si>
  <si>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</si>
  <si>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</si>
  <si>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</si>
  <si>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</si>
  <si>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</si>
  <si>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</si>
  <si>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</si>
  <si>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</si>
  <si>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</si>
  <si>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</si>
  <si>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</si>
  <si>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</si>
  <si>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</si>
  <si>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</si>
  <si>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</si>
  <si>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</si>
  <si>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</si>
  <si>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TOTAL FY124</t>
  </si>
  <si>
    <t>TOTAL FY125</t>
  </si>
  <si>
    <t>TOTAL FY126</t>
  </si>
  <si>
    <t>TOTAL FY127</t>
  </si>
  <si>
    <t>Priority Category</t>
  </si>
  <si>
    <t>BUDGET NO.</t>
  </si>
  <si>
    <t>COA AX</t>
  </si>
  <si>
    <t>Name COA AX</t>
  </si>
  <si>
    <t>Group Cost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</si>
  <si>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</si>
  <si>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</si>
  <si>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</si>
  <si>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</si>
  <si>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t>BNGK</t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</si>
  <si>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</si>
  <si>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</si>
  <si>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</si>
  <si>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Priority Code</t>
  </si>
  <si>
    <t>Priority Name</t>
  </si>
  <si>
    <t>Salary for Commissioner</t>
  </si>
  <si>
    <t>SGA</t>
  </si>
  <si>
    <t>SGA-7511101</t>
  </si>
  <si>
    <t>A502</t>
  </si>
  <si>
    <t>Top Management</t>
  </si>
  <si>
    <t>B1000</t>
  </si>
  <si>
    <t>ADM</t>
  </si>
  <si>
    <t>NGK BUSI INDONESIA</t>
  </si>
  <si>
    <t>A</t>
  </si>
  <si>
    <t>Must</t>
  </si>
  <si>
    <t>If this is not done, the company or our team cannot continue its business.</t>
  </si>
  <si>
    <t>Salary for Director</t>
  </si>
  <si>
    <t>SGA-7511102</t>
  </si>
  <si>
    <t>Salary for Director &amp; Expat</t>
  </si>
  <si>
    <t>Commissioner</t>
  </si>
  <si>
    <t>B1001</t>
  </si>
  <si>
    <t>B</t>
  </si>
  <si>
    <t>Want to</t>
  </si>
  <si>
    <t>We want to do it as a team this term. we need it.</t>
  </si>
  <si>
    <t>Staff Labor - Baslc Salary</t>
  </si>
  <si>
    <t>SGA-7511103</t>
  </si>
  <si>
    <t>A501</t>
  </si>
  <si>
    <t>Basic Salary of permanent employee</t>
  </si>
  <si>
    <t>Admin &amp; HR</t>
  </si>
  <si>
    <t>B2200</t>
  </si>
  <si>
    <t>C</t>
  </si>
  <si>
    <t>Challenge</t>
  </si>
  <si>
    <t>We want to do it for this term or the future. But it doesn't matter if it's not this term.</t>
  </si>
  <si>
    <t>Staff Labor - Allowance</t>
  </si>
  <si>
    <t>SGA-7511111</t>
  </si>
  <si>
    <t>Employee allowance</t>
  </si>
  <si>
    <t>General Affair</t>
  </si>
  <si>
    <t>B2210</t>
  </si>
  <si>
    <t>Staff Labor - Tax allowance (art.21)</t>
  </si>
  <si>
    <t>SGA-7511112</t>
  </si>
  <si>
    <t>Empployee Tax allowance</t>
  </si>
  <si>
    <t>Human Resource</t>
  </si>
  <si>
    <t>B2220</t>
  </si>
  <si>
    <t>BEX</t>
  </si>
  <si>
    <t>Staff Labor - BPJS JK &amp; JKK (1.19%)</t>
  </si>
  <si>
    <t>SGA-7511121</t>
  </si>
  <si>
    <t>BPJS JK &amp; JKK (death warrant, Accident Insurance)</t>
  </si>
  <si>
    <t>Health, Safety &amp; Environment</t>
  </si>
  <si>
    <t>B2230</t>
  </si>
  <si>
    <t>BEL</t>
  </si>
  <si>
    <t>Staff Labor - BPJS Kesehatan (4%)</t>
  </si>
  <si>
    <t>SGA-7511122</t>
  </si>
  <si>
    <t>BPJS health insurance</t>
  </si>
  <si>
    <t>Accounting &amp; Finance</t>
  </si>
  <si>
    <t>B2300</t>
  </si>
  <si>
    <t>Staff Overtime</t>
  </si>
  <si>
    <t>SGA-7511201</t>
  </si>
  <si>
    <t>A503</t>
  </si>
  <si>
    <t>Overtime permanent employee</t>
  </si>
  <si>
    <t>Information Technology</t>
  </si>
  <si>
    <t>B2400</t>
  </si>
  <si>
    <t>Staff Welfare - BPJS Dana pensiun (2%)</t>
  </si>
  <si>
    <t>SGA-7512111</t>
  </si>
  <si>
    <t>A504</t>
  </si>
  <si>
    <t>BPJS pension fund</t>
  </si>
  <si>
    <t>Sales &amp; MKTG Dept.- Automotive</t>
  </si>
  <si>
    <t>B3100</t>
  </si>
  <si>
    <t>Staff Welfare - BPJS JHT (3.7%)</t>
  </si>
  <si>
    <t>SGA-7512112</t>
  </si>
  <si>
    <t>BPJS Pension plan</t>
  </si>
  <si>
    <t>Marketing</t>
  </si>
  <si>
    <t>B3160</t>
  </si>
  <si>
    <t>Staff Bonus / TAT</t>
  </si>
  <si>
    <t>SGA-7514101</t>
  </si>
  <si>
    <t>Year-end allowance &amp; Alpha</t>
  </si>
  <si>
    <t>Sales - OEM</t>
  </si>
  <si>
    <t>B3110</t>
  </si>
  <si>
    <t>Staff Ramadhan / THR</t>
  </si>
  <si>
    <t>SGA-7514102</t>
  </si>
  <si>
    <t>Lebaran bonus</t>
  </si>
  <si>
    <t>Sales - OES</t>
  </si>
  <si>
    <t>B3120</t>
  </si>
  <si>
    <t>Staff Welfare - Outpatient (Medical)</t>
  </si>
  <si>
    <t>SGA-7515401</t>
  </si>
  <si>
    <t>outpatient treatment costs</t>
  </si>
  <si>
    <t>Sales - IAM</t>
  </si>
  <si>
    <t>B3130</t>
  </si>
  <si>
    <t>Staff Welfare - Hospitalization</t>
  </si>
  <si>
    <t>SGA-7515402</t>
  </si>
  <si>
    <t>hospitalization costs</t>
  </si>
  <si>
    <t>SP PD- CF</t>
  </si>
  <si>
    <t>B4101</t>
  </si>
  <si>
    <t>MFG</t>
  </si>
  <si>
    <t>DIR</t>
  </si>
  <si>
    <t>Staff Welfare - Glasses</t>
  </si>
  <si>
    <t>SGA-7515403</t>
  </si>
  <si>
    <t>glasses costs</t>
  </si>
  <si>
    <t>SP PD- CM</t>
  </si>
  <si>
    <t>B4102</t>
  </si>
  <si>
    <t>Staff Welfare - Dental</t>
  </si>
  <si>
    <t>SGA-7515404</t>
  </si>
  <si>
    <t>dental costs</t>
  </si>
  <si>
    <t>SP PD- WT</t>
  </si>
  <si>
    <t>B4103</t>
  </si>
  <si>
    <t>Staff Welfare - Medical Check Up</t>
  </si>
  <si>
    <t>SGA-7515405</t>
  </si>
  <si>
    <t>Medical Check Up cost</t>
  </si>
  <si>
    <t>SP PD- Plating</t>
  </si>
  <si>
    <t>B4105</t>
  </si>
  <si>
    <t>Staff Welfare - Uniform</t>
  </si>
  <si>
    <t>SGA-7515406</t>
  </si>
  <si>
    <t>uniform costs</t>
  </si>
  <si>
    <t>SP PD- MS Insp.</t>
  </si>
  <si>
    <t>B4109</t>
  </si>
  <si>
    <t>Staff Welfare - Safety Shoes</t>
  </si>
  <si>
    <t>SGA-7515407</t>
  </si>
  <si>
    <t>SP PD- Insulator Sealing</t>
  </si>
  <si>
    <t>Staff Welfare - Family Gathering / Anniversary</t>
  </si>
  <si>
    <t>SGA-7515408</t>
  </si>
  <si>
    <t>Family Gathering / Anniversary</t>
  </si>
  <si>
    <t>SP PD- Assy</t>
  </si>
  <si>
    <t>B4110</t>
  </si>
  <si>
    <t>Staff Welfare - Meals of canteen &amp; other meals</t>
  </si>
  <si>
    <t>SGA-7515409</t>
  </si>
  <si>
    <t>Meals of canteen &amp; other meals cost</t>
  </si>
  <si>
    <t>SP-PD-Assy-Auto Assembly</t>
  </si>
  <si>
    <t>B4115</t>
  </si>
  <si>
    <t>Staff Welfare - Kaizen &amp; QCC reward</t>
  </si>
  <si>
    <t>SGA-7515410</t>
  </si>
  <si>
    <t>an expense, arising from Kaizen and QCC acitivity</t>
  </si>
  <si>
    <t>SP PD- Bending</t>
  </si>
  <si>
    <t>B4114</t>
  </si>
  <si>
    <t>Staff Welfare - Welfare Others</t>
  </si>
  <si>
    <t>SGA-7515499</t>
  </si>
  <si>
    <t>an other welfare expense, arising besides the above welfare expense</t>
  </si>
  <si>
    <t>SP PD- Final Inspection</t>
  </si>
  <si>
    <t>B4120</t>
  </si>
  <si>
    <t>Retirement Allowance</t>
  </si>
  <si>
    <t>SGA-7516102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</si>
  <si>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</si>
  <si>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</si>
  <si>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SP PD- QC - OEM</t>
  </si>
  <si>
    <t>B4121</t>
  </si>
  <si>
    <t>House Rent Allowance</t>
  </si>
  <si>
    <t>SGA-7519101</t>
  </si>
  <si>
    <t>House Rent Allowance for expat</t>
  </si>
  <si>
    <t>PC PD- Injection</t>
  </si>
  <si>
    <t>B4410</t>
  </si>
  <si>
    <t>Casual Staff Labor - Basic Salary</t>
  </si>
  <si>
    <t>SGA-7521101</t>
  </si>
  <si>
    <t>All benefit for temporary worker</t>
  </si>
  <si>
    <t>PC PD- Assy</t>
  </si>
  <si>
    <t>B4430</t>
  </si>
  <si>
    <t>Casual Staff Labor - Overtime</t>
  </si>
  <si>
    <t>SGA-7521102</t>
  </si>
  <si>
    <t>Overtime temporary worker</t>
  </si>
  <si>
    <t>PC PD- QC</t>
  </si>
  <si>
    <t>B4440</t>
  </si>
  <si>
    <t>Personnel expense transferred</t>
  </si>
  <si>
    <t>SGA-7571101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</si>
  <si>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</si>
  <si>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</si>
  <si>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Plant Operation (Indirect Mfg)</t>
  </si>
  <si>
    <t>B5000</t>
  </si>
  <si>
    <t>IND</t>
  </si>
  <si>
    <t>Depreciation-Building</t>
  </si>
  <si>
    <t>SGA-7611100</t>
  </si>
  <si>
    <t>A601</t>
  </si>
  <si>
    <t>the amount of depreciation of tangible assets for building</t>
  </si>
  <si>
    <t>Production Office</t>
  </si>
  <si>
    <t>B5100</t>
  </si>
  <si>
    <t>Depreciation-Machiney &amp; equipment</t>
  </si>
  <si>
    <t>SGA-7611300</t>
  </si>
  <si>
    <t>the amount of depreciation of tangible assets for machinery &amp; factory equipment</t>
  </si>
  <si>
    <t>Production Office (SP)</t>
  </si>
  <si>
    <t>B5101</t>
  </si>
  <si>
    <t>Depreciation-Lease Machinery &amp; equipment</t>
  </si>
  <si>
    <t>SGA-7611400</t>
  </si>
  <si>
    <t>the amount of depreciation of tangible assets for machinery &amp; factory equipment (Leases)</t>
  </si>
  <si>
    <t>Production Office (PC)</t>
  </si>
  <si>
    <t>B5104</t>
  </si>
  <si>
    <t>Depreciation-Vehicles</t>
  </si>
  <si>
    <t>SGA-7611500</t>
  </si>
  <si>
    <t>the amount of depreciation of tangible assets for vehicles</t>
  </si>
  <si>
    <t>Quality Assurance</t>
  </si>
  <si>
    <t>B5800</t>
  </si>
  <si>
    <t>Depreciation-Tools, furniture &amp; office equipment</t>
  </si>
  <si>
    <t>SGA-7611600</t>
  </si>
  <si>
    <t>the amount of depreciation of tangible assets for office tools, furniture &amp; office equipment</t>
  </si>
  <si>
    <t>Quality Control</t>
  </si>
  <si>
    <t>B5900</t>
  </si>
  <si>
    <t>Depreciation-Software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</si>
  <si>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</si>
  <si>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</si>
  <si>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Maintenance</t>
  </si>
  <si>
    <t>B5500</t>
  </si>
  <si>
    <t>Depreciation - Right of use Assets</t>
  </si>
  <si>
    <t>SGA-7611800</t>
  </si>
  <si>
    <t>the amount of depreciation of right of use assets</t>
  </si>
  <si>
    <t>Production Engineering</t>
  </si>
  <si>
    <t>B5600</t>
  </si>
  <si>
    <t>Rental car</t>
  </si>
  <si>
    <t>SGA-7621101</t>
  </si>
  <si>
    <t>A801</t>
  </si>
  <si>
    <t>The expenses of car rent</t>
  </si>
  <si>
    <t>Supply Procurement</t>
  </si>
  <si>
    <t>B5130</t>
  </si>
  <si>
    <t>Other Rental Fee</t>
  </si>
  <si>
    <t>SGA-7621199</t>
  </si>
  <si>
    <t>A701</t>
  </si>
  <si>
    <t>The expenses of rent beside car rent, such as copy machine, dispenser, etc.</t>
  </si>
  <si>
    <t>Inventory Control</t>
  </si>
  <si>
    <t>B5200</t>
  </si>
  <si>
    <t>Electricity Charge</t>
  </si>
  <si>
    <t>SGA-7631101</t>
  </si>
  <si>
    <t>A1003</t>
  </si>
  <si>
    <t xml:space="preserve">Electricity consumption </t>
  </si>
  <si>
    <t>SCM - FG WH</t>
  </si>
  <si>
    <t>B3150</t>
  </si>
  <si>
    <t>Water Supply Charge</t>
  </si>
  <si>
    <t>SGA-7631102</t>
  </si>
  <si>
    <t>A1004</t>
  </si>
  <si>
    <t xml:space="preserve">Water consumption </t>
  </si>
  <si>
    <t>WH Dept.- KD &amp; RM</t>
  </si>
  <si>
    <t>B5710</t>
  </si>
  <si>
    <t>Repair Building</t>
  </si>
  <si>
    <t>SGA-7641101</t>
  </si>
  <si>
    <t>A1002</t>
  </si>
  <si>
    <t>expenses for repair and maintenance asset building</t>
  </si>
  <si>
    <t>Continuous Improvement</t>
  </si>
  <si>
    <t>B5007</t>
  </si>
  <si>
    <t>Repair of Equipment</t>
  </si>
  <si>
    <t>SGA-7641102</t>
  </si>
  <si>
    <t>expenses for repair and maintenance tangible assets, intangible assets and other assets beside building</t>
  </si>
  <si>
    <t>All</t>
  </si>
  <si>
    <t>B0000</t>
  </si>
  <si>
    <t>Factory Supply Expense</t>
  </si>
  <si>
    <t>SGA-7641103</t>
  </si>
  <si>
    <t>A1099</t>
  </si>
  <si>
    <t xml:space="preserve">All cost that arrising to support factory acitivity </t>
  </si>
  <si>
    <t>Calibration Cost</t>
  </si>
  <si>
    <t>SGA-7641104</t>
  </si>
  <si>
    <t>Cost of calibration for tools and equipment of factory and others</t>
  </si>
  <si>
    <t>Transportation Fee for employee</t>
  </si>
  <si>
    <t>SGA-7651101</t>
  </si>
  <si>
    <t>Gasoline of company cars &amp; expense for Local transportation</t>
  </si>
  <si>
    <t>Travel Expense-Domestic</t>
  </si>
  <si>
    <t>SGA-7651102</t>
  </si>
  <si>
    <t>expenses for business trip, including allowance for business trip to an employee only for domestic travel</t>
  </si>
  <si>
    <t>Travel Expense-Oversea</t>
  </si>
  <si>
    <t>SGA-7651103</t>
  </si>
  <si>
    <t>expenses for business trip, including allowance for business trip to an employee only for overseas travel</t>
  </si>
  <si>
    <t>Entertainment</t>
  </si>
  <si>
    <t>SGA-7661101</t>
  </si>
  <si>
    <t>A1001</t>
  </si>
  <si>
    <t>the amount of expenses for the act of entertaining the business partner</t>
  </si>
  <si>
    <t>Amortization of Land &amp; Building tax (PBB)</t>
  </si>
  <si>
    <t>SGA-7671102</t>
  </si>
  <si>
    <t>the amount of depreciation of intangible of Land &amp; Building Tax (PBB)</t>
  </si>
  <si>
    <t>License fee</t>
  </si>
  <si>
    <t>SGA-7671103</t>
  </si>
  <si>
    <t>The expense related with the documentation process, such as : KIR, Car lisence, company lisence, etc.</t>
  </si>
  <si>
    <t>Insurance Premium</t>
  </si>
  <si>
    <t>SGA-7681101</t>
  </si>
  <si>
    <t>expenses for risk management with no premium at the end of the term, such as fire insurance for plants and inventories</t>
  </si>
  <si>
    <t>Office supply &amp; Stationary Expense</t>
  </si>
  <si>
    <t>SGA-7691000</t>
  </si>
  <si>
    <t>the amount of supplies for office, such as stationery. Small office equipment included</t>
  </si>
  <si>
    <t>Communication expenses</t>
  </si>
  <si>
    <t>SGA-7711101</t>
  </si>
  <si>
    <t>expenses for communication with a people in remote place, such as expense for telephone and postage</t>
  </si>
  <si>
    <t>IT Expense</t>
  </si>
  <si>
    <t>SGA-7711102</t>
  </si>
  <si>
    <t>A1005</t>
  </si>
  <si>
    <t>the amount of supplies for IT tools</t>
  </si>
  <si>
    <t>Stamp/Post Fee</t>
  </si>
  <si>
    <t>SGA-7711103</t>
  </si>
  <si>
    <t>The expenses related with stamp duty</t>
  </si>
  <si>
    <t>Audit Fee</t>
  </si>
  <si>
    <t>SGA-7721101</t>
  </si>
  <si>
    <t>a fee for external auditor of accounting assessment</t>
  </si>
  <si>
    <t>Consultancy/Professional Fee</t>
  </si>
  <si>
    <t>SGA-7729101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</si>
  <si>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</si>
  <si>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</si>
  <si>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</si>
  <si>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SGA-7729103</t>
  </si>
  <si>
    <t>A1007</t>
  </si>
  <si>
    <t>All fees that paid to NGK group</t>
  </si>
  <si>
    <t>Ticket &amp; accomodation of trainer (from NGK Group)</t>
  </si>
  <si>
    <t>SGA-7729105</t>
  </si>
  <si>
    <t>The expenses related with the person who come from NGK Group that will provide training to NGK Busi</t>
  </si>
  <si>
    <t>Miscellaneous Expense</t>
  </si>
  <si>
    <t>SGA-7781101</t>
  </si>
  <si>
    <t>others operational expense</t>
  </si>
  <si>
    <t>Publishing Expense</t>
  </si>
  <si>
    <t>SGA-7781103</t>
  </si>
  <si>
    <t>News paper, magazine, and other publishing cost</t>
  </si>
  <si>
    <t>Cleaning Expense</t>
  </si>
  <si>
    <t>SGA-7781104</t>
  </si>
  <si>
    <t>The expenses related with the tools or other for cleaning activity</t>
  </si>
  <si>
    <t>Security Guard</t>
  </si>
  <si>
    <t>SGA-7781105</t>
  </si>
  <si>
    <t>Fee for security from outsourcing company</t>
  </si>
  <si>
    <t>Service Fee (Canteen Meal &amp; other service for staff)</t>
  </si>
  <si>
    <t>SGA-7781106</t>
  </si>
  <si>
    <t>Expense for canteen</t>
  </si>
  <si>
    <t>Training Expense</t>
  </si>
  <si>
    <t>SGA-7781107</t>
  </si>
  <si>
    <t>A1006</t>
  </si>
  <si>
    <t>Training cost</t>
  </si>
  <si>
    <t>Recruitment Fee</t>
  </si>
  <si>
    <t>SGA-7781111</t>
  </si>
  <si>
    <t>Cost for recruitment process</t>
  </si>
  <si>
    <t>Expatriate expenses exclude labor cost</t>
  </si>
  <si>
    <t>SGA-7781112</t>
  </si>
  <si>
    <t>Incidental costs related to expatriete</t>
  </si>
  <si>
    <t>Expatriate fee Tax (BADORA)</t>
  </si>
  <si>
    <t>SGA-7781113</t>
  </si>
  <si>
    <t>Tax income from expatriete</t>
  </si>
  <si>
    <t>Freights and Export expense</t>
  </si>
  <si>
    <t>SGA-7411101</t>
  </si>
  <si>
    <t>A201</t>
  </si>
  <si>
    <t>an expense, arising from export transaction such as; insurance, pallet, freight cost</t>
  </si>
  <si>
    <t>Transportation for Goods</t>
  </si>
  <si>
    <t>SGA-7411103</t>
  </si>
  <si>
    <t>A202</t>
  </si>
  <si>
    <t>Transportion expense of local goods sales</t>
  </si>
  <si>
    <t>Packing for Sale</t>
  </si>
  <si>
    <t>SGA-7411104</t>
  </si>
  <si>
    <t>A203</t>
  </si>
  <si>
    <t>Packing expense for local good sales</t>
  </si>
  <si>
    <t>Advertising expenses</t>
  </si>
  <si>
    <t>SGA-7431101</t>
  </si>
  <si>
    <t>A401</t>
  </si>
  <si>
    <t>an expense for advertise or publication of goods</t>
  </si>
  <si>
    <t>Sale Promotion-Coupon</t>
  </si>
  <si>
    <t>SGA-7451101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</si>
  <si>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</si>
  <si>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</si>
  <si>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</si>
  <si>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</si>
  <si>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</si>
  <si>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</si>
  <si>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</si>
  <si>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</si>
  <si>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</si>
  <si>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</si>
  <si>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Sample expense</t>
  </si>
  <si>
    <t>SGA-7461101</t>
  </si>
  <si>
    <t>A499</t>
  </si>
  <si>
    <t>Sales - Insurance of Delivery or Shipment</t>
  </si>
  <si>
    <t>SGA-7411105</t>
  </si>
  <si>
    <r>
      <rPr>
        <sz val="10"/>
        <color rgb="FF0033CC"/>
        <rFont val="Tahoma"/>
        <family val="2"/>
      </rPr>
      <t>A299</t>
    </r>
    <phoneticPr fontId="0"/>
  </si>
  <si>
    <t>Sales - Insurance of AR (Credit Insurance)</t>
  </si>
  <si>
    <t>SGA-7471201</t>
  </si>
  <si>
    <r>
      <rPr>
        <sz val="10"/>
        <color rgb="FF0033CC"/>
        <rFont val="Tahoma"/>
        <family val="2"/>
      </rPr>
      <t>A299</t>
    </r>
    <phoneticPr fontId="0"/>
  </si>
  <si>
    <t>Sales - Royalty to NGK Group</t>
  </si>
  <si>
    <t>SGA-7751101</t>
  </si>
  <si>
    <t>Sales - Royalty to Independence Party</t>
  </si>
  <si>
    <t>SGA-7751102</t>
  </si>
  <si>
    <t>Import Duty-purchased FG from NGK group</t>
  </si>
  <si>
    <t>MFG-7111211</t>
  </si>
  <si>
    <t>Import Duty-purchased FG from outside supplier</t>
  </si>
  <si>
    <t>MFG-7111212</t>
  </si>
  <si>
    <t>Import Duty-purchased KD&amp;RM from NGK Japan</t>
  </si>
  <si>
    <t>MFG-7111221</t>
  </si>
  <si>
    <t>Import Duty-purchased KD&amp;RM from NGK Group(Not fromJP)</t>
  </si>
  <si>
    <t>MFG-7111222</t>
  </si>
  <si>
    <t>Import Duty-purchased Comp Parts&amp;RM from outside supplier</t>
  </si>
  <si>
    <t>MFG-7111223</t>
  </si>
  <si>
    <t>Import Expense-purchased FG from NGK group</t>
  </si>
  <si>
    <t>MFG-7111311</t>
  </si>
  <si>
    <t>Import Expense-purchased FG from outside supplier</t>
  </si>
  <si>
    <t>MFG-7111312</t>
  </si>
  <si>
    <t>Import Expense-purchased KD&amp;RM from NGK Japan</t>
  </si>
  <si>
    <t>MFG-7111321</t>
  </si>
  <si>
    <t>Import Expense-purchased KD&amp;RM from NGK Group(Not fromJP)</t>
  </si>
  <si>
    <t>MFG-7111322</t>
  </si>
  <si>
    <t>Import Expense-purchased Comp Parts&amp;RM from outside supplier</t>
  </si>
  <si>
    <t>MFG-7111323</t>
  </si>
  <si>
    <t>Expense-purchased Packaging material from outside supplier</t>
  </si>
  <si>
    <t>MFG-7111411</t>
  </si>
  <si>
    <t>Subcontracting Cost</t>
  </si>
  <si>
    <t>MFG-7151101</t>
  </si>
  <si>
    <t>Indirect material costs</t>
  </si>
  <si>
    <t>MFG-7200000</t>
  </si>
  <si>
    <t>Cost of Factory Supply</t>
  </si>
  <si>
    <t>MFG-7211101</t>
  </si>
  <si>
    <t>Cost of Chemical</t>
  </si>
  <si>
    <t>MFG-7211102</t>
  </si>
  <si>
    <t>The expenses of Chemicals consumption</t>
  </si>
  <si>
    <t>Cost of Packaging</t>
  </si>
  <si>
    <t>MFG-7211103</t>
  </si>
  <si>
    <t>Cost of Oil</t>
  </si>
  <si>
    <t>MFG-7211104</t>
  </si>
  <si>
    <t>Cost of Tooling</t>
  </si>
  <si>
    <t>MFG-7221101</t>
  </si>
  <si>
    <t>The expenses of Tooling consumption</t>
  </si>
  <si>
    <t>Cost of Machinery parts</t>
  </si>
  <si>
    <t>MFG-7221102</t>
  </si>
  <si>
    <t>The expenses of Spare Parts consumption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</si>
  <si>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</si>
  <si>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</si>
  <si>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</si>
  <si>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</si>
  <si>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</si>
  <si>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</si>
  <si>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</si>
  <si>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</si>
  <si>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</si>
  <si>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</si>
  <si>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</si>
  <si>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</si>
  <si>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</si>
  <si>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</si>
  <si>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</si>
  <si>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</si>
  <si>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</si>
  <si>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</si>
  <si>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</si>
  <si>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</si>
  <si>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</si>
  <si>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</si>
  <si>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</si>
  <si>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</si>
  <si>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</si>
  <si>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</si>
  <si>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</si>
  <si>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</si>
  <si>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</si>
  <si>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</si>
  <si>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</si>
  <si>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</si>
  <si>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</si>
  <si>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</si>
  <si>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</si>
  <si>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</si>
  <si>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</si>
  <si>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</si>
  <si>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</si>
  <si>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</si>
  <si>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</si>
  <si>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</si>
  <si>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</si>
  <si>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</si>
  <si>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</si>
  <si>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</si>
  <si>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</si>
  <si>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</si>
  <si>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</si>
  <si>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</si>
  <si>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</si>
  <si>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</si>
  <si>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</si>
  <si>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</si>
  <si>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</si>
  <si>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</si>
  <si>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</si>
  <si>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</si>
  <si>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</si>
  <si>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</si>
  <si>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</si>
  <si>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</si>
  <si>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</si>
  <si>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</si>
  <si>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</si>
  <si>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</si>
  <si>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</si>
  <si>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</si>
  <si>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Others - Miscellaneous Waste</t>
  </si>
  <si>
    <t>OTH</t>
  </si>
  <si>
    <t>OTH-8291101</t>
  </si>
  <si>
    <t>Others - Miscellaneous Tax</t>
  </si>
  <si>
    <t>OTH-8291102</t>
  </si>
  <si>
    <t>Others - Sport Activity</t>
  </si>
  <si>
    <t>OTH-8291201</t>
  </si>
  <si>
    <t>Others - Retribution / Garbage Cost</t>
  </si>
  <si>
    <t>OTH-8291202</t>
  </si>
  <si>
    <t>Others - Miscellaneous Non Operational Expense</t>
  </si>
  <si>
    <t>OTH-8291203</t>
  </si>
  <si>
    <t>Other Income</t>
  </si>
  <si>
    <t>OTH-8191101</t>
  </si>
  <si>
    <t>Sales &amp; MKTG Dept.- DID Chain</t>
  </si>
  <si>
    <t>B3172</t>
  </si>
  <si>
    <t>B4130</t>
  </si>
  <si>
    <t>Password protect sheet = budget</t>
  </si>
  <si>
    <t>Interest expenses - Lease</t>
  </si>
  <si>
    <t>OTH-8413101</t>
  </si>
  <si>
    <t>Staff Labor - Basic Salary</t>
  </si>
  <si>
    <t>Basic Salary</t>
  </si>
  <si>
    <t>ATM Allowance</t>
  </si>
  <si>
    <t>Daily Transportation Allowance</t>
  </si>
  <si>
    <t>Job Allowance</t>
  </si>
  <si>
    <t>Meals Allowance</t>
  </si>
  <si>
    <t>Medical Allowance</t>
  </si>
  <si>
    <t>Transportation (fixed) Allowance</t>
  </si>
  <si>
    <t>Skill Allowance</t>
  </si>
  <si>
    <t>Shift Allowance</t>
  </si>
  <si>
    <t>TAX Allowance</t>
  </si>
  <si>
    <t>BPJS JK &amp; JKK</t>
  </si>
  <si>
    <t>BPJS Kesehatan</t>
  </si>
  <si>
    <t>PL Welfare - BPJS Dana pensiun</t>
  </si>
  <si>
    <t>PL Welfare - BPJS JHT</t>
  </si>
  <si>
    <t>Bonus / TAT</t>
  </si>
  <si>
    <t>Ramadhan / THR</t>
  </si>
  <si>
    <t>Casual Labor - Allowance</t>
  </si>
  <si>
    <t>Casual Labor - Basic Salary</t>
  </si>
  <si>
    <t>Casual Labor - Compensation</t>
  </si>
  <si>
    <t>Casual Labor - TAX Allowance</t>
  </si>
  <si>
    <t>Casual Worker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</si>
</sst>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0" fontId="10" fillId="0" borderId="0">
      <alignment vertical="center"/>
    </xf>
    <xf numFmtId="0" fontId="18" fillId="11" borderId="0"/>
    <xf numFmtId="43" fontId="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4" fillId="0" borderId="0"/>
    <xf numFmtId="0" fontId="1" fillId="0" borderId="0"/>
  </cellStyleXfs>
  <cellXfs count="55">
    <xf numFmtId="0" fontId="0" fillId="0" borderId="0" xfId="0"/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6" fillId="0" borderId="0" xfId="7" applyFont="1">
      <alignment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7" fillId="0" borderId="0" xfId="7" applyFont="1">
      <alignment vertical="center"/>
    </xf>
    <xf numFmtId="0" fontId="19" fillId="0" borderId="1" xfId="8" applyFont="1" applyFill="1" applyBorder="1" applyAlignment="1">
      <alignment vertical="center"/>
    </xf>
    <xf numFmtId="0" fontId="19" fillId="0" borderId="1" xfId="8" applyFont="1" applyFill="1" applyBorder="1" applyAlignment="1">
      <alignment horizontal="center" vertical="center"/>
    </xf>
    <xf numFmtId="0" fontId="20" fillId="0" borderId="1" xfId="7" applyFont="1" applyBorder="1">
      <alignment vertical="center"/>
    </xf>
    <xf numFmtId="0" fontId="16" fillId="0" borderId="1" xfId="7" applyFont="1" applyBorder="1">
      <alignment vertic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2" fillId="0" borderId="0" xfId="7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0" fillId="9" borderId="0" xfId="0" applyFill="1"/>
    <xf numFmtId="0" fontId="20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vertical="center"/>
      <protection locked="0"/>
    </xf>
    <xf numFmtId="0" fontId="0" fillId="0" borderId="0" xfId="0" applyProtection="1">
      <protection locked="0"/>
    </xf>
    <xf numFmtId="164" fontId="3" fillId="3" borderId="0" xfId="0" applyNumberFormat="1" applyFont="1" applyFill="1" applyAlignment="1" applyProtection="1">
      <alignment horizontal="center" vertical="center" wrapText="1"/>
      <protection locked="0"/>
    </xf>
    <xf numFmtId="164" fontId="3" fillId="4" borderId="0" xfId="0" applyNumberFormat="1" applyFont="1" applyFill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164" fontId="4" fillId="5" borderId="0" xfId="0" applyNumberFormat="1" applyFont="1" applyFill="1" applyAlignment="1" applyProtection="1">
      <alignment horizontal="center" vertical="center" wrapText="1"/>
      <protection locked="0"/>
    </xf>
    <xf numFmtId="0" fontId="3" fillId="6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19" fillId="8" borderId="1" xfId="0" applyFont="1" applyFill="1" applyBorder="1" applyAlignment="1">
      <alignment horizontal="center" vertical="top"/>
    </xf>
  </cellXfs>
  <cellStyles count="16">
    <cellStyle name="Comma 2" xfId="13" xr:uid="{E10D9FDB-20DE-48B4-8EC0-7BC04BCD7841}"/>
    <cellStyle name="Comma 2 2" xfId="11" xr:uid="{64725D1B-13C6-4AB0-9665-94C443150534}"/>
    <cellStyle name="Comma 3 2" xfId="3" xr:uid="{3560898D-4EE0-46D7-AA5F-D1E76649A006}"/>
    <cellStyle name="Comma 3 2 2" xfId="9" xr:uid="{DE1BA802-0771-4788-A6F4-9D30182DE490}"/>
    <cellStyle name="Comma 3 2 2 2" xfId="12" xr:uid="{3B59815C-0AF9-41A1-89EF-8D8B7F852D3C}"/>
    <cellStyle name="Normal" xfId="0" builtinId="0"/>
    <cellStyle name="Normal 11" xfId="6" xr:uid="{A9335861-4218-43F3-8E90-052A954401F7}"/>
    <cellStyle name="Normal 2" xfId="10" xr:uid="{4AE43548-A181-4128-AC71-89C704B9537B}"/>
    <cellStyle name="Normal 2 2" xfId="7" xr:uid="{209D6541-1D5D-41FF-9914-84311ABD526A}"/>
    <cellStyle name="Normal 2 2 2" xfId="14" xr:uid="{7EBF89D6-0537-4D1B-8D8F-F8073378D933}"/>
    <cellStyle name="Normal 20" xfId="1" xr:uid="{6B30181A-BEA1-49EA-A1CB-1DD8AA01EFBC}"/>
    <cellStyle name="Normal 3 3" xfId="2" xr:uid="{4944E16E-F5AE-46FA-96DA-4C1624514817}"/>
    <cellStyle name="Normal 3 3 2 2 2" xfId="15" xr:uid="{C49BFD88-103C-46E4-96FB-450ACECFA558}"/>
    <cellStyle name="Normal 3 3 2 2 4" xfId="4" xr:uid="{0283F1D2-E2AF-46B2-8BD0-66F066BBC833}"/>
    <cellStyle name="Percent 2" xfId="5" xr:uid="{9F9E1FFC-3908-42F0-BE49-02B86C648D42}"/>
    <cellStyle name="標準 2 2" xfId="8" xr:uid="{AC0D5CAA-1594-412F-B86B-57C06222F44F}"/>
  </cellStyles>
  <dxfs count="4"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PKWT"/>
      <sheetName val="Master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1402"/>
  <sheetViews>
    <sheetView tabSelected="1" topLeftCell="Q577" zoomScale="70" zoomScaleNormal="70" workbookViewId="0">
      <selection activeCell="AG611" sqref="AG611"/>
    </sheetView>
  </sheetViews>
  <sheetFormatPr defaultColWidth="11.28515625" defaultRowHeight="15" customHeight="1"/>
  <cols>
    <col min="1" max="1" width="19.140625" style="46" customWidth="1"/>
    <col min="2" max="2" width="10" style="3" customWidth="1"/>
    <col min="3" max="3" width="21.28515625" style="46" customWidth="1"/>
    <col min="4" max="4" width="9.28515625" style="4" customWidth="1"/>
    <col min="5" max="5" width="30.28515625" style="46" bestFit="1" customWidth="1"/>
    <col min="6" max="6" width="10.42578125" style="4" customWidth="1"/>
    <col min="7" max="7" width="31" style="46" customWidth="1"/>
    <col min="8" max="8" width="37.7109375" style="46" customWidth="1"/>
    <col min="9" max="9" width="7.7109375" style="3" bestFit="1" customWidth="1"/>
    <col min="10" max="10" width="7.28515625" style="25" bestFit="1" customWidth="1"/>
    <col min="11" max="16" width="14.7109375" style="50" customWidth="1"/>
    <col min="17" max="17" width="17.7109375" style="50" customWidth="1"/>
    <col min="18" max="28" width="14.7109375" style="50" customWidth="1"/>
    <col min="29" max="29" width="14.7109375" style="26" customWidth="1"/>
    <col min="30" max="30" width="19" style="26" customWidth="1"/>
    <col min="31" max="31" width="15.7109375" style="50" customWidth="1"/>
    <col min="32" max="32" width="18.140625" style="50" customWidth="1"/>
    <col min="33" max="33" width="14.28515625" style="53" bestFit="1" customWidth="1"/>
    <col min="34" max="34" width="22.42578125" style="23" customWidth="1"/>
    <col min="35" max="35" width="11.28515625" style="2" customWidth="1"/>
    <col min="36" max="16384" width="11.28515625" style="2"/>
  </cols>
  <sheetData>
    <row r="1" spans="1:35" s="1" customFormat="1" ht="57.75" customHeight="1">
      <c r="A1" s="45" t="s">
        <v>0</v>
      </c>
      <c r="B1" s="27" t="s">
        <v>1</v>
      </c>
      <c r="C1" s="45" t="s">
        <v>2</v>
      </c>
      <c r="D1" s="28" t="s">
        <v>3</v>
      </c>
      <c r="E1" s="45" t="s">
        <v>4</v>
      </c>
      <c r="F1" s="28" t="s">
        <v>5</v>
      </c>
      <c r="G1" s="45" t="s">
        <v>6</v>
      </c>
      <c r="H1" s="45" t="s">
        <v>7</v>
      </c>
      <c r="I1" s="27" t="s">
        <v>8</v>
      </c>
      <c r="J1" s="29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49" t="s">
        <v>23</v>
      </c>
      <c r="Y1" s="49" t="s">
        <v>24</v>
      </c>
      <c r="Z1" s="49" t="s">
        <v>25</v>
      </c>
      <c r="AA1" s="49" t="s">
        <v>26</v>
      </c>
      <c r="AB1" s="49" t="s">
        <v>27</v>
      </c>
      <c r="AC1" s="30" t="s">
        <v>28</v>
      </c>
      <c r="AD1" s="30" t="s">
        <v>29</v>
      </c>
      <c r="AE1" s="51" t="s">
        <v>30</v>
      </c>
      <c r="AF1" s="51" t="s">
        <v>31</v>
      </c>
      <c r="AG1" s="52" t="s">
        <v>32</v>
      </c>
      <c r="AH1" s="31" t="s">
        <v>33</v>
      </c>
      <c r="AI1" s="24"/>
    </row>
    <row r="2" spans="1:35" ht="15" customHeight="1">
      <c r="A2" s="46" t="s">
        <v>91</v>
      </c>
      <c r="B2" s="3" t="str">
        <f>_xlfn.IFNA(VLOOKUP(C2,Master!$J:$K,2,0),"")</f>
        <v>B2220</v>
      </c>
      <c r="C2" s="46" t="s">
        <v>83</v>
      </c>
      <c r="D2" s="4" t="str">
        <f>_xlfn.IFNA(VLOOKUP(E2,Master!$J:$K,2,0),"")</f>
        <v>B2210</v>
      </c>
      <c r="E2" s="46" t="s">
        <v>78</v>
      </c>
      <c r="F2" s="4">
        <f>_xlfn.IFNA(VLOOKUP(G2,Master!B:C,2,0),"")</f>
        <v>7511103</v>
      </c>
      <c r="G2" s="46" t="s">
        <v>531</v>
      </c>
      <c r="H2" s="46" t="s">
        <v>532</v>
      </c>
      <c r="I2" s="3" t="str">
        <f>_xlfn.IFNA(VLOOKUP(E2,Master!$J:$M,4,0),"")</f>
        <v>ADM</v>
      </c>
      <c r="J2" s="3" t="str">
        <f>_xlfn.IFNA(VLOOKUP($E2,Master!$J:$M,3,0),"")</f>
        <v>SGA</v>
      </c>
      <c r="M2" s="50">
        <v>142400300</v>
      </c>
      <c r="N2" s="50">
        <v>152369000</v>
      </c>
      <c r="O2" s="50">
        <v>152369000</v>
      </c>
      <c r="P2" s="50">
        <v>152369000</v>
      </c>
      <c r="Q2" s="50">
        <v>154027000</v>
      </c>
      <c r="R2" s="50">
        <v>145699100</v>
      </c>
      <c r="S2" s="50">
        <v>145699100</v>
      </c>
      <c r="T2" s="50">
        <v>137465400</v>
      </c>
      <c r="U2" s="50">
        <v>137465400</v>
      </c>
      <c r="V2" s="50">
        <v>137465400</v>
      </c>
      <c r="W2" s="50">
        <v>138323700</v>
      </c>
      <c r="X2" s="50">
        <v>138323700</v>
      </c>
      <c r="Y2" s="50">
        <v>129563600</v>
      </c>
      <c r="Z2" s="50">
        <v>138633100</v>
      </c>
      <c r="AA2" s="50">
        <v>138633100</v>
      </c>
      <c r="AB2" s="50">
        <v>138633100</v>
      </c>
      <c r="AC2" s="26">
        <f t="shared" ref="AC2:AC65" si="0">SUM(K2:P2)</f>
        <v>599507300</v>
      </c>
      <c r="AD2" s="26">
        <f t="shared" ref="AD2:AD65" si="1">SUM(Q2:AB2)</f>
        <v>1679931700</v>
      </c>
      <c r="AE2" s="50">
        <v>1832502900</v>
      </c>
      <c r="AF2" s="50">
        <v>1652242900</v>
      </c>
      <c r="AG2" s="53" t="s">
        <v>55</v>
      </c>
    </row>
    <row r="3" spans="1:35" customFormat="1" ht="15" customHeight="1">
      <c r="A3" s="47" t="s">
        <v>91</v>
      </c>
      <c r="B3" s="3" t="str">
        <f>_xlfn.IFNA(VLOOKUP(C3,Master!$J:$K,2,0),"")</f>
        <v>B2220</v>
      </c>
      <c r="C3" s="47" t="s">
        <v>83</v>
      </c>
      <c r="D3" s="4" t="str">
        <f>_xlfn.IFNA(VLOOKUP(E3,Master!$J:$K,2,0),"")</f>
        <v>B2220</v>
      </c>
      <c r="E3" s="47" t="s">
        <v>83</v>
      </c>
      <c r="F3" s="4">
        <f>_xlfn.IFNA(VLOOKUP(G3,Master!B:C,2,0),"")</f>
        <v>7511103</v>
      </c>
      <c r="G3" s="47" t="s">
        <v>531</v>
      </c>
      <c r="H3" s="47" t="s">
        <v>532</v>
      </c>
      <c r="I3" s="3" t="str">
        <f>_xlfn.IFNA(VLOOKUP(E3,Master!$J:$M,4,0),"")</f>
        <v>ADM</v>
      </c>
      <c r="J3" s="3" t="str">
        <f>_xlfn.IFNA(VLOOKUP($E3,Master!$J:$M,3,0),"")</f>
        <v>SGA</v>
      </c>
      <c r="K3" s="47"/>
      <c r="L3" s="47"/>
      <c r="M3" s="47">
        <v>57236200</v>
      </c>
      <c r="N3" s="47">
        <v>61242900</v>
      </c>
      <c r="O3" s="47">
        <v>82642900</v>
      </c>
      <c r="P3" s="47">
        <v>82642900</v>
      </c>
      <c r="Q3" s="47">
        <v>89490900</v>
      </c>
      <c r="R3" s="47">
        <v>89490900</v>
      </c>
      <c r="S3" s="47">
        <v>89490900</v>
      </c>
      <c r="T3" s="47">
        <v>89490900</v>
      </c>
      <c r="U3" s="47">
        <v>89490900</v>
      </c>
      <c r="V3" s="47">
        <v>89490900</v>
      </c>
      <c r="W3" s="47">
        <v>90281500</v>
      </c>
      <c r="X3" s="47">
        <v>90281500</v>
      </c>
      <c r="Y3" s="47">
        <v>90281500</v>
      </c>
      <c r="Z3" s="47">
        <v>96601300</v>
      </c>
      <c r="AA3" s="47">
        <v>96601300</v>
      </c>
      <c r="AB3" s="47">
        <v>96601300</v>
      </c>
      <c r="AC3" s="26">
        <f t="shared" si="0"/>
        <v>283764900</v>
      </c>
      <c r="AD3" s="26">
        <f t="shared" si="1"/>
        <v>1097593800</v>
      </c>
      <c r="AE3" s="47">
        <v>1179501900</v>
      </c>
      <c r="AF3" s="47">
        <v>1262067300</v>
      </c>
      <c r="AG3" s="47" t="s">
        <v>55</v>
      </c>
    </row>
    <row r="4" spans="1:35" ht="15" customHeight="1">
      <c r="A4" s="46" t="s">
        <v>91</v>
      </c>
      <c r="B4" s="3" t="str">
        <f>_xlfn.IFNA(VLOOKUP(C4,Master!$J:$K,2,0),"")</f>
        <v>B2220</v>
      </c>
      <c r="C4" s="46" t="s">
        <v>83</v>
      </c>
      <c r="D4" s="4" t="str">
        <f>_xlfn.IFNA(VLOOKUP(E4,Master!$J:$K,2,0),"")</f>
        <v>B2230</v>
      </c>
      <c r="E4" s="46" t="s">
        <v>89</v>
      </c>
      <c r="F4" s="4">
        <f>_xlfn.IFNA(VLOOKUP(G4,Master!B:C,2,0),"")</f>
        <v>7511103</v>
      </c>
      <c r="G4" s="46" t="s">
        <v>531</v>
      </c>
      <c r="H4" s="46" t="s">
        <v>532</v>
      </c>
      <c r="I4" s="3" t="str">
        <f>_xlfn.IFNA(VLOOKUP(E4,Master!$J:$M,4,0),"")</f>
        <v>ADM</v>
      </c>
      <c r="J4" s="3" t="str">
        <f>_xlfn.IFNA(VLOOKUP($E4,Master!$J:$M,3,0),"")</f>
        <v>SGA</v>
      </c>
      <c r="M4" s="50">
        <v>44992000</v>
      </c>
      <c r="N4" s="50">
        <v>48141600</v>
      </c>
      <c r="O4" s="50">
        <v>48141600</v>
      </c>
      <c r="P4" s="50">
        <v>48141600</v>
      </c>
      <c r="Q4" s="50">
        <v>48141600</v>
      </c>
      <c r="R4" s="50">
        <v>48141600</v>
      </c>
      <c r="S4" s="50">
        <v>48141600</v>
      </c>
      <c r="T4" s="50">
        <v>48141600</v>
      </c>
      <c r="U4" s="50">
        <v>48141600</v>
      </c>
      <c r="V4" s="50">
        <v>48141600</v>
      </c>
      <c r="W4" s="50">
        <v>48141600</v>
      </c>
      <c r="X4" s="50">
        <v>48141600</v>
      </c>
      <c r="Y4" s="50">
        <v>48141600</v>
      </c>
      <c r="Z4" s="50">
        <v>51511500</v>
      </c>
      <c r="AA4" s="50">
        <v>51511500</v>
      </c>
      <c r="AB4" s="50">
        <v>51511500</v>
      </c>
      <c r="AC4" s="26">
        <f t="shared" si="0"/>
        <v>189416800</v>
      </c>
      <c r="AD4" s="26">
        <f t="shared" si="1"/>
        <v>587808900</v>
      </c>
      <c r="AE4" s="50">
        <v>628955400</v>
      </c>
      <c r="AF4" s="50">
        <v>685208100</v>
      </c>
      <c r="AG4" s="53" t="s">
        <v>55</v>
      </c>
    </row>
    <row r="5" spans="1:35" ht="15" customHeight="1">
      <c r="A5" s="46" t="s">
        <v>91</v>
      </c>
      <c r="B5" s="3" t="str">
        <f>_xlfn.IFNA(VLOOKUP(C5,Master!$J:$K,2,0),"")</f>
        <v>B2220</v>
      </c>
      <c r="C5" s="46" t="s">
        <v>83</v>
      </c>
      <c r="D5" s="4" t="str">
        <f>_xlfn.IFNA(VLOOKUP(E5,Master!$J:$K,2,0),"")</f>
        <v>B2300</v>
      </c>
      <c r="E5" s="46" t="s">
        <v>95</v>
      </c>
      <c r="F5" s="4">
        <f>_xlfn.IFNA(VLOOKUP(G5,Master!B:C,2,0),"")</f>
        <v>7511103</v>
      </c>
      <c r="G5" s="46" t="s">
        <v>531</v>
      </c>
      <c r="H5" s="46" t="s">
        <v>532</v>
      </c>
      <c r="I5" s="3" t="str">
        <f>_xlfn.IFNA(VLOOKUP(E5,Master!$J:$M,4,0),"")</f>
        <v>ADM</v>
      </c>
      <c r="J5" s="3" t="str">
        <f>_xlfn.IFNA(VLOOKUP($E5,Master!$J:$M,3,0),"")</f>
        <v>SGA</v>
      </c>
      <c r="M5" s="50">
        <v>111751000</v>
      </c>
      <c r="N5" s="50">
        <v>119573700</v>
      </c>
      <c r="O5" s="50">
        <v>119573700</v>
      </c>
      <c r="P5" s="50">
        <v>119573700</v>
      </c>
      <c r="Q5" s="50">
        <v>119573700</v>
      </c>
      <c r="R5" s="50">
        <v>119573700</v>
      </c>
      <c r="S5" s="50">
        <v>119573700</v>
      </c>
      <c r="T5" s="50">
        <v>119573700</v>
      </c>
      <c r="U5" s="50">
        <v>119573700</v>
      </c>
      <c r="V5" s="50">
        <v>119573700</v>
      </c>
      <c r="W5" s="50">
        <v>119573700</v>
      </c>
      <c r="X5" s="50">
        <v>119573700</v>
      </c>
      <c r="Y5" s="50">
        <v>119573700</v>
      </c>
      <c r="Z5" s="50">
        <v>127944100</v>
      </c>
      <c r="AA5" s="50">
        <v>127944100</v>
      </c>
      <c r="AB5" s="50">
        <v>127944100</v>
      </c>
      <c r="AC5" s="26">
        <f t="shared" si="0"/>
        <v>470472100</v>
      </c>
      <c r="AD5" s="26">
        <f t="shared" si="1"/>
        <v>1459995600</v>
      </c>
      <c r="AE5" s="50">
        <v>1651664700</v>
      </c>
      <c r="AF5" s="50">
        <v>1767280800</v>
      </c>
      <c r="AG5" s="53" t="s">
        <v>55</v>
      </c>
    </row>
    <row r="6" spans="1:35" ht="15" customHeight="1">
      <c r="A6" s="46" t="s">
        <v>91</v>
      </c>
      <c r="B6" s="3" t="str">
        <f>_xlfn.IFNA(VLOOKUP(C6,Master!$J:$K,2,0),"")</f>
        <v>B2220</v>
      </c>
      <c r="C6" s="46" t="s">
        <v>83</v>
      </c>
      <c r="D6" s="4" t="str">
        <f>_xlfn.IFNA(VLOOKUP(E6,Master!$J:$K,2,0),"")</f>
        <v>B2400</v>
      </c>
      <c r="E6" s="46" t="s">
        <v>101</v>
      </c>
      <c r="F6" s="4">
        <f>_xlfn.IFNA(VLOOKUP(G6,Master!B:C,2,0),"")</f>
        <v>7511103</v>
      </c>
      <c r="G6" s="46" t="s">
        <v>531</v>
      </c>
      <c r="H6" s="46" t="s">
        <v>532</v>
      </c>
      <c r="I6" s="3" t="str">
        <f>_xlfn.IFNA(VLOOKUP(E6,Master!$J:$M,4,0),"")</f>
        <v>ADM</v>
      </c>
      <c r="J6" s="3" t="str">
        <f>_xlfn.IFNA(VLOOKUP($E6,Master!$J:$M,3,0),"")</f>
        <v>SGA</v>
      </c>
      <c r="M6" s="50">
        <v>48100000</v>
      </c>
      <c r="N6" s="50">
        <v>51467100</v>
      </c>
      <c r="O6" s="50">
        <v>51467100</v>
      </c>
      <c r="P6" s="50">
        <v>51467100</v>
      </c>
      <c r="Q6" s="50">
        <v>51467100</v>
      </c>
      <c r="R6" s="50">
        <v>51467100</v>
      </c>
      <c r="S6" s="50">
        <v>51467100</v>
      </c>
      <c r="T6" s="50">
        <v>51467100</v>
      </c>
      <c r="U6" s="50">
        <v>51467100</v>
      </c>
      <c r="V6" s="50">
        <v>51467100</v>
      </c>
      <c r="W6" s="50">
        <v>51467100</v>
      </c>
      <c r="X6" s="50">
        <v>51467100</v>
      </c>
      <c r="Y6" s="50">
        <v>51467100</v>
      </c>
      <c r="Z6" s="50">
        <v>55070000</v>
      </c>
      <c r="AA6" s="50">
        <v>55070000</v>
      </c>
      <c r="AB6" s="50">
        <v>55070000</v>
      </c>
      <c r="AC6" s="26">
        <f t="shared" si="0"/>
        <v>202501300</v>
      </c>
      <c r="AD6" s="26">
        <f t="shared" si="1"/>
        <v>628413900</v>
      </c>
      <c r="AE6" s="50">
        <v>672404400</v>
      </c>
      <c r="AF6" s="50">
        <v>719471400</v>
      </c>
      <c r="AG6" s="53" t="s">
        <v>55</v>
      </c>
    </row>
    <row r="7" spans="1:35" ht="15" customHeight="1">
      <c r="A7" s="46" t="s">
        <v>91</v>
      </c>
      <c r="B7" s="3" t="str">
        <f>_xlfn.IFNA(VLOOKUP(C7,Master!$J:$K,2,0),"")</f>
        <v>B2220</v>
      </c>
      <c r="C7" s="46" t="s">
        <v>83</v>
      </c>
      <c r="D7" s="4" t="str">
        <f>_xlfn.IFNA(VLOOKUP(E7,Master!$J:$K,2,0),"")</f>
        <v>B3110</v>
      </c>
      <c r="E7" s="46" t="s">
        <v>117</v>
      </c>
      <c r="F7" s="4">
        <f>_xlfn.IFNA(VLOOKUP(G7,Master!B:C,2,0),"")</f>
        <v>7511103</v>
      </c>
      <c r="G7" s="46" t="s">
        <v>531</v>
      </c>
      <c r="H7" s="46" t="s">
        <v>532</v>
      </c>
      <c r="I7" s="3" t="str">
        <f>_xlfn.IFNA(VLOOKUP(E7,Master!$J:$M,4,0),"")</f>
        <v>ADM</v>
      </c>
      <c r="J7" s="3" t="str">
        <f>_xlfn.IFNA(VLOOKUP($E7,Master!$J:$M,3,0),"")</f>
        <v>SGA</v>
      </c>
      <c r="M7" s="50">
        <v>72104100</v>
      </c>
      <c r="N7" s="50">
        <v>77151600</v>
      </c>
      <c r="O7" s="50">
        <v>77151600</v>
      </c>
      <c r="P7" s="50">
        <v>77151600</v>
      </c>
      <c r="Q7" s="50">
        <v>77968800</v>
      </c>
      <c r="R7" s="50">
        <v>77968800</v>
      </c>
      <c r="S7" s="50">
        <v>77968800</v>
      </c>
      <c r="T7" s="50">
        <v>77968800</v>
      </c>
      <c r="U7" s="50">
        <v>77968800</v>
      </c>
      <c r="V7" s="50">
        <v>77968800</v>
      </c>
      <c r="W7" s="50">
        <v>77968800</v>
      </c>
      <c r="X7" s="50">
        <v>77968800</v>
      </c>
      <c r="Y7" s="50">
        <v>77968800</v>
      </c>
      <c r="Z7" s="50">
        <v>83426800</v>
      </c>
      <c r="AA7" s="50">
        <v>83426800</v>
      </c>
      <c r="AB7" s="50">
        <v>83426800</v>
      </c>
      <c r="AC7" s="26">
        <f t="shared" si="0"/>
        <v>303558900</v>
      </c>
      <c r="AD7" s="26">
        <f t="shared" si="1"/>
        <v>951999600</v>
      </c>
      <c r="AE7" s="50">
        <v>1018641000</v>
      </c>
      <c r="AF7" s="50">
        <v>1089944700</v>
      </c>
      <c r="AG7" s="53" t="s">
        <v>55</v>
      </c>
    </row>
    <row r="8" spans="1:35" ht="15" customHeight="1">
      <c r="A8" s="46" t="s">
        <v>91</v>
      </c>
      <c r="B8" s="3" t="str">
        <f>_xlfn.IFNA(VLOOKUP(C8,Master!$J:$K,2,0),"")</f>
        <v>B2220</v>
      </c>
      <c r="C8" s="46" t="s">
        <v>83</v>
      </c>
      <c r="D8" s="4" t="str">
        <f>_xlfn.IFNA(VLOOKUP(E8,Master!$J:$K,2,0),"")</f>
        <v>B3120</v>
      </c>
      <c r="E8" s="46" t="s">
        <v>122</v>
      </c>
      <c r="F8" s="4">
        <f>_xlfn.IFNA(VLOOKUP(G8,Master!B:C,2,0),"")</f>
        <v>7511103</v>
      </c>
      <c r="G8" s="46" t="s">
        <v>531</v>
      </c>
      <c r="H8" s="46" t="s">
        <v>532</v>
      </c>
      <c r="I8" s="3" t="str">
        <f>_xlfn.IFNA(VLOOKUP(E8,Master!$J:$M,4,0),"")</f>
        <v>ADM</v>
      </c>
      <c r="J8" s="3" t="str">
        <f>_xlfn.IFNA(VLOOKUP($E8,Master!$J:$M,3,0),"")</f>
        <v>SGA</v>
      </c>
      <c r="M8" s="50">
        <v>10789000</v>
      </c>
      <c r="N8" s="50">
        <v>11544300</v>
      </c>
      <c r="O8" s="50">
        <v>11544300</v>
      </c>
      <c r="P8" s="50">
        <v>11544300</v>
      </c>
      <c r="Q8" s="50">
        <v>11544300</v>
      </c>
      <c r="R8" s="50">
        <v>11544300</v>
      </c>
      <c r="S8" s="50">
        <v>11544300</v>
      </c>
      <c r="T8" s="50">
        <v>11544300</v>
      </c>
      <c r="U8" s="50">
        <v>11544300</v>
      </c>
      <c r="V8" s="50">
        <v>11544300</v>
      </c>
      <c r="W8" s="50">
        <v>11544300</v>
      </c>
      <c r="X8" s="50">
        <v>11544300</v>
      </c>
      <c r="Y8" s="50">
        <v>11544300</v>
      </c>
      <c r="Z8" s="50">
        <v>12352400</v>
      </c>
      <c r="AA8" s="50">
        <v>12352400</v>
      </c>
      <c r="AB8" s="50">
        <v>12352400</v>
      </c>
      <c r="AC8" s="26">
        <f t="shared" si="0"/>
        <v>45421900</v>
      </c>
      <c r="AD8" s="26">
        <f t="shared" si="1"/>
        <v>140955900</v>
      </c>
      <c r="AE8" s="50">
        <v>150822600</v>
      </c>
      <c r="AF8" s="50">
        <v>161379600</v>
      </c>
      <c r="AG8" s="53" t="s">
        <v>55</v>
      </c>
    </row>
    <row r="9" spans="1:35" ht="15" customHeight="1">
      <c r="A9" s="46" t="s">
        <v>91</v>
      </c>
      <c r="B9" s="3" t="str">
        <f>_xlfn.IFNA(VLOOKUP(C9,Master!$J:$K,2,0),"")</f>
        <v>B2220</v>
      </c>
      <c r="C9" s="46" t="s">
        <v>83</v>
      </c>
      <c r="D9" s="4" t="str">
        <f>_xlfn.IFNA(VLOOKUP(E9,Master!$J:$K,2,0),"")</f>
        <v>B3130</v>
      </c>
      <c r="E9" s="46" t="s">
        <v>127</v>
      </c>
      <c r="F9" s="4">
        <f>_xlfn.IFNA(VLOOKUP(G9,Master!B:C,2,0),"")</f>
        <v>7511103</v>
      </c>
      <c r="G9" s="46" t="s">
        <v>531</v>
      </c>
      <c r="H9" s="46" t="s">
        <v>532</v>
      </c>
      <c r="I9" s="3" t="str">
        <f>_xlfn.IFNA(VLOOKUP(E9,Master!$J:$M,4,0),"")</f>
        <v>ADM</v>
      </c>
      <c r="J9" s="3" t="str">
        <f>_xlfn.IFNA(VLOOKUP($E9,Master!$J:$M,3,0),"")</f>
        <v>SGA</v>
      </c>
      <c r="M9" s="50">
        <v>137330000</v>
      </c>
      <c r="N9" s="50">
        <v>146943600</v>
      </c>
      <c r="O9" s="50">
        <v>160639600</v>
      </c>
      <c r="P9" s="50">
        <v>160639600</v>
      </c>
      <c r="Q9" s="50">
        <v>175187900</v>
      </c>
      <c r="R9" s="50">
        <v>175187900</v>
      </c>
      <c r="S9" s="50">
        <v>175187900</v>
      </c>
      <c r="T9" s="50">
        <v>175187900</v>
      </c>
      <c r="U9" s="50">
        <v>175187900</v>
      </c>
      <c r="V9" s="50">
        <v>175187900</v>
      </c>
      <c r="W9" s="50">
        <v>175187900</v>
      </c>
      <c r="X9" s="50">
        <v>175187900</v>
      </c>
      <c r="Y9" s="50">
        <v>175187900</v>
      </c>
      <c r="Z9" s="50">
        <v>187451300</v>
      </c>
      <c r="AA9" s="50">
        <v>187451300</v>
      </c>
      <c r="AB9" s="50">
        <v>187451300</v>
      </c>
      <c r="AC9" s="26">
        <f t="shared" si="0"/>
        <v>605552800</v>
      </c>
      <c r="AD9" s="26">
        <f t="shared" si="1"/>
        <v>2139045000</v>
      </c>
      <c r="AE9" s="50">
        <v>2288779500</v>
      </c>
      <c r="AF9" s="50">
        <v>2448990900</v>
      </c>
      <c r="AG9" s="53" t="s">
        <v>55</v>
      </c>
    </row>
    <row r="10" spans="1:35" ht="15" customHeight="1">
      <c r="A10" s="46" t="s">
        <v>91</v>
      </c>
      <c r="B10" s="3" t="str">
        <f>_xlfn.IFNA(VLOOKUP(C10,Master!$J:$K,2,0),"")</f>
        <v>B2220</v>
      </c>
      <c r="C10" s="46" t="s">
        <v>83</v>
      </c>
      <c r="D10" s="4" t="str">
        <f>_xlfn.IFNA(VLOOKUP(E10,Master!$J:$K,2,0),"")</f>
        <v>B3150</v>
      </c>
      <c r="E10" s="46" t="s">
        <v>259</v>
      </c>
      <c r="F10" s="4">
        <f>_xlfn.IFNA(VLOOKUP(G10,Master!B:C,2,0),"")</f>
        <v>7511103</v>
      </c>
      <c r="G10" s="46" t="s">
        <v>531</v>
      </c>
      <c r="H10" s="46" t="s">
        <v>532</v>
      </c>
      <c r="I10" s="3" t="str">
        <f>_xlfn.IFNA(VLOOKUP(E10,Master!$J:$M,4,0),"")</f>
        <v>ADM</v>
      </c>
      <c r="J10" s="3" t="str">
        <f>_xlfn.IFNA(VLOOKUP($E10,Master!$J:$M,3,0),"")</f>
        <v>SGA</v>
      </c>
      <c r="M10" s="50">
        <v>118432000</v>
      </c>
      <c r="N10" s="50">
        <v>115895200</v>
      </c>
      <c r="O10" s="50">
        <v>115895200</v>
      </c>
      <c r="P10" s="50">
        <v>115895200</v>
      </c>
      <c r="Q10" s="50">
        <v>117330200</v>
      </c>
      <c r="R10" s="50">
        <v>117330200</v>
      </c>
      <c r="S10" s="50">
        <v>117330200</v>
      </c>
      <c r="T10" s="50">
        <v>117330200</v>
      </c>
      <c r="U10" s="50">
        <v>117330200</v>
      </c>
      <c r="V10" s="50">
        <v>117330200</v>
      </c>
      <c r="W10" s="50">
        <v>118003300</v>
      </c>
      <c r="X10" s="50">
        <v>118003300</v>
      </c>
      <c r="Y10" s="50">
        <v>118003300</v>
      </c>
      <c r="Z10" s="50">
        <v>126263700</v>
      </c>
      <c r="AA10" s="50">
        <v>126263700</v>
      </c>
      <c r="AB10" s="50">
        <v>126263700</v>
      </c>
      <c r="AC10" s="26">
        <f t="shared" si="0"/>
        <v>466117600</v>
      </c>
      <c r="AD10" s="26">
        <f t="shared" si="1"/>
        <v>1436782200</v>
      </c>
      <c r="AE10" s="50">
        <v>1546165500</v>
      </c>
      <c r="AF10" s="50">
        <v>1659033900</v>
      </c>
      <c r="AG10" s="53" t="s">
        <v>55</v>
      </c>
    </row>
    <row r="11" spans="1:35" ht="15" customHeight="1">
      <c r="A11" s="46" t="s">
        <v>91</v>
      </c>
      <c r="B11" s="3" t="str">
        <f>_xlfn.IFNA(VLOOKUP(C11,Master!$J:$K,2,0),"")</f>
        <v>B2220</v>
      </c>
      <c r="C11" s="46" t="s">
        <v>83</v>
      </c>
      <c r="D11" s="4" t="str">
        <f>_xlfn.IFNA(VLOOKUP(E11,Master!$J:$K,2,0),"")</f>
        <v>B3160</v>
      </c>
      <c r="E11" s="46" t="s">
        <v>112</v>
      </c>
      <c r="F11" s="4">
        <f>_xlfn.IFNA(VLOOKUP(G11,Master!B:C,2,0),"")</f>
        <v>7511103</v>
      </c>
      <c r="G11" s="46" t="s">
        <v>531</v>
      </c>
      <c r="H11" s="46" t="s">
        <v>532</v>
      </c>
      <c r="I11" s="3" t="str">
        <f>_xlfn.IFNA(VLOOKUP(E11,Master!$J:$M,4,0),"")</f>
        <v>ADM</v>
      </c>
      <c r="J11" s="3" t="str">
        <f>_xlfn.IFNA(VLOOKUP($E11,Master!$J:$M,3,0),"")</f>
        <v>SGA</v>
      </c>
      <c r="M11" s="50">
        <v>71196000</v>
      </c>
      <c r="N11" s="50">
        <v>76179800</v>
      </c>
      <c r="O11" s="50">
        <v>76179800</v>
      </c>
      <c r="P11" s="50">
        <v>76179800</v>
      </c>
      <c r="Q11" s="50">
        <v>76179800</v>
      </c>
      <c r="R11" s="50">
        <v>76179800</v>
      </c>
      <c r="S11" s="50">
        <v>76179800</v>
      </c>
      <c r="T11" s="50">
        <v>76179800</v>
      </c>
      <c r="U11" s="50">
        <v>76179800</v>
      </c>
      <c r="V11" s="50">
        <v>76179800</v>
      </c>
      <c r="W11" s="50">
        <v>76179800</v>
      </c>
      <c r="X11" s="50">
        <v>76179800</v>
      </c>
      <c r="Y11" s="50">
        <v>76179800</v>
      </c>
      <c r="Z11" s="50">
        <v>81512500</v>
      </c>
      <c r="AA11" s="50">
        <v>81512500</v>
      </c>
      <c r="AB11" s="50">
        <v>81512500</v>
      </c>
      <c r="AC11" s="26">
        <f t="shared" si="0"/>
        <v>299735400</v>
      </c>
      <c r="AD11" s="26">
        <f t="shared" si="1"/>
        <v>930155700</v>
      </c>
      <c r="AE11" s="50">
        <v>995268000</v>
      </c>
      <c r="AF11" s="50">
        <v>1064937600</v>
      </c>
      <c r="AG11" s="53" t="s">
        <v>55</v>
      </c>
    </row>
    <row r="12" spans="1:35" ht="15" customHeight="1">
      <c r="A12" s="46" t="s">
        <v>91</v>
      </c>
      <c r="B12" s="3" t="str">
        <f>_xlfn.IFNA(VLOOKUP(C12,Master!$J:$K,2,0),"")</f>
        <v>B2220</v>
      </c>
      <c r="C12" s="46" t="s">
        <v>83</v>
      </c>
      <c r="D12" s="4" t="str">
        <f>_xlfn.IFNA(VLOOKUP(E12,Master!$J:$K,2,0),"")</f>
        <v>B4101</v>
      </c>
      <c r="E12" s="46" t="s">
        <v>132</v>
      </c>
      <c r="F12" s="4">
        <f>_xlfn.IFNA(VLOOKUP(G12,Master!B:C,2,0),"")</f>
        <v>7511103</v>
      </c>
      <c r="G12" s="46" t="s">
        <v>531</v>
      </c>
      <c r="H12" s="46" t="s">
        <v>532</v>
      </c>
      <c r="I12" s="3" t="str">
        <f>_xlfn.IFNA(VLOOKUP(E12,Master!$J:$M,4,0),"")</f>
        <v>DIR</v>
      </c>
      <c r="J12" s="3" t="str">
        <f>_xlfn.IFNA(VLOOKUP($E12,Master!$J:$M,3,0),"")</f>
        <v>MFG</v>
      </c>
      <c r="M12" s="50">
        <v>47547000</v>
      </c>
      <c r="N12" s="50">
        <v>50875600</v>
      </c>
      <c r="O12" s="50">
        <v>50875600</v>
      </c>
      <c r="P12" s="50">
        <v>50875600</v>
      </c>
      <c r="Q12" s="50">
        <v>50875600</v>
      </c>
      <c r="R12" s="50">
        <v>50875600</v>
      </c>
      <c r="S12" s="50">
        <v>50875600</v>
      </c>
      <c r="T12" s="50">
        <v>50875600</v>
      </c>
      <c r="U12" s="50">
        <v>50875600</v>
      </c>
      <c r="V12" s="50">
        <v>50875600</v>
      </c>
      <c r="W12" s="50">
        <v>50875600</v>
      </c>
      <c r="X12" s="50">
        <v>50875600</v>
      </c>
      <c r="Y12" s="50">
        <v>50875600</v>
      </c>
      <c r="Z12" s="50">
        <v>54436800</v>
      </c>
      <c r="AA12" s="50">
        <v>54436800</v>
      </c>
      <c r="AB12" s="50">
        <v>54436800</v>
      </c>
      <c r="AC12" s="26">
        <f t="shared" si="0"/>
        <v>200173800</v>
      </c>
      <c r="AD12" s="26">
        <f t="shared" si="1"/>
        <v>621190800</v>
      </c>
      <c r="AE12" s="50">
        <v>664673400</v>
      </c>
      <c r="AF12" s="50">
        <v>622194500</v>
      </c>
      <c r="AG12" s="53" t="s">
        <v>55</v>
      </c>
    </row>
    <row r="13" spans="1:35" ht="15" customHeight="1">
      <c r="A13" s="46" t="s">
        <v>91</v>
      </c>
      <c r="B13" s="3" t="str">
        <f>_xlfn.IFNA(VLOOKUP(C13,Master!$J:$K,2,0),"")</f>
        <v>B2220</v>
      </c>
      <c r="C13" s="46" t="s">
        <v>83</v>
      </c>
      <c r="D13" s="4" t="str">
        <f>_xlfn.IFNA(VLOOKUP(E13,Master!$J:$K,2,0),"")</f>
        <v>B4102</v>
      </c>
      <c r="E13" s="46" t="s">
        <v>139</v>
      </c>
      <c r="F13" s="4">
        <f>_xlfn.IFNA(VLOOKUP(G13,Master!B:C,2,0),"")</f>
        <v>7511103</v>
      </c>
      <c r="G13" s="46" t="s">
        <v>531</v>
      </c>
      <c r="H13" s="46" t="s">
        <v>532</v>
      </c>
      <c r="I13" s="3" t="str">
        <f>_xlfn.IFNA(VLOOKUP(E13,Master!$J:$M,4,0),"")</f>
        <v>DIR</v>
      </c>
      <c r="J13" s="3" t="str">
        <f>_xlfn.IFNA(VLOOKUP($E13,Master!$J:$M,3,0),"")</f>
        <v>MFG</v>
      </c>
      <c r="M13" s="50">
        <v>117001000</v>
      </c>
      <c r="N13" s="50">
        <v>125191700</v>
      </c>
      <c r="O13" s="50">
        <v>125191700</v>
      </c>
      <c r="P13" s="50">
        <v>125191700</v>
      </c>
      <c r="Q13" s="50">
        <v>114178100</v>
      </c>
      <c r="R13" s="50">
        <v>114178100</v>
      </c>
      <c r="S13" s="50">
        <v>114178100</v>
      </c>
      <c r="T13" s="50">
        <v>114178100</v>
      </c>
      <c r="U13" s="50">
        <v>114178100</v>
      </c>
      <c r="V13" s="50">
        <v>114178100</v>
      </c>
      <c r="W13" s="50">
        <v>120794000</v>
      </c>
      <c r="X13" s="50">
        <v>120794000</v>
      </c>
      <c r="Y13" s="50">
        <v>120794000</v>
      </c>
      <c r="Z13" s="50">
        <v>129249800</v>
      </c>
      <c r="AA13" s="50">
        <v>129249800</v>
      </c>
      <c r="AB13" s="50">
        <v>129249800</v>
      </c>
      <c r="AC13" s="26">
        <f t="shared" si="0"/>
        <v>492576100</v>
      </c>
      <c r="AD13" s="26">
        <f t="shared" si="1"/>
        <v>1435200000</v>
      </c>
      <c r="AE13" s="50">
        <v>1551677100</v>
      </c>
      <c r="AF13" s="50">
        <v>1457714700</v>
      </c>
      <c r="AG13" s="53" t="s">
        <v>55</v>
      </c>
    </row>
    <row r="14" spans="1:35" ht="15" customHeight="1">
      <c r="A14" s="46" t="s">
        <v>91</v>
      </c>
      <c r="B14" s="3" t="str">
        <f>_xlfn.IFNA(VLOOKUP(C14,Master!$J:$K,2,0),"")</f>
        <v>B2220</v>
      </c>
      <c r="C14" s="46" t="s">
        <v>83</v>
      </c>
      <c r="D14" s="4" t="str">
        <f>_xlfn.IFNA(VLOOKUP(E14,Master!$J:$K,2,0),"")</f>
        <v>B4103</v>
      </c>
      <c r="E14" s="46" t="s">
        <v>144</v>
      </c>
      <c r="F14" s="4">
        <f>_xlfn.IFNA(VLOOKUP(G14,Master!B:C,2,0),"")</f>
        <v>7511103</v>
      </c>
      <c r="G14" s="46" t="s">
        <v>531</v>
      </c>
      <c r="H14" s="46" t="s">
        <v>532</v>
      </c>
      <c r="I14" s="3" t="str">
        <f>_xlfn.IFNA(VLOOKUP(E14,Master!$J:$M,4,0),"")</f>
        <v>DIR</v>
      </c>
      <c r="J14" s="3" t="str">
        <f>_xlfn.IFNA(VLOOKUP($E14,Master!$J:$M,3,0),"")</f>
        <v>MFG</v>
      </c>
      <c r="M14" s="50">
        <v>73648000</v>
      </c>
      <c r="N14" s="50">
        <v>78803700</v>
      </c>
      <c r="O14" s="50">
        <v>78803700</v>
      </c>
      <c r="P14" s="50">
        <v>78803700</v>
      </c>
      <c r="Q14" s="50">
        <v>78803700</v>
      </c>
      <c r="R14" s="50">
        <v>78803700</v>
      </c>
      <c r="S14" s="50">
        <v>78803700</v>
      </c>
      <c r="T14" s="50">
        <v>78803700</v>
      </c>
      <c r="U14" s="50">
        <v>78803700</v>
      </c>
      <c r="V14" s="50">
        <v>78803700</v>
      </c>
      <c r="W14" s="50">
        <v>78803700</v>
      </c>
      <c r="X14" s="50">
        <v>78803700</v>
      </c>
      <c r="Y14" s="50">
        <v>78803700</v>
      </c>
      <c r="Z14" s="50">
        <v>84320000</v>
      </c>
      <c r="AA14" s="50">
        <v>84320000</v>
      </c>
      <c r="AB14" s="50">
        <v>84320000</v>
      </c>
      <c r="AC14" s="26">
        <f t="shared" si="0"/>
        <v>310059100</v>
      </c>
      <c r="AD14" s="26">
        <f t="shared" si="1"/>
        <v>962193300</v>
      </c>
      <c r="AE14" s="50">
        <v>1029547800</v>
      </c>
      <c r="AF14" s="50">
        <v>1101617400</v>
      </c>
      <c r="AG14" s="53" t="s">
        <v>55</v>
      </c>
    </row>
    <row r="15" spans="1:35" ht="15" customHeight="1">
      <c r="A15" s="46" t="s">
        <v>91</v>
      </c>
      <c r="B15" s="3" t="str">
        <f>_xlfn.IFNA(VLOOKUP(C15,Master!$J:$K,2,0),"")</f>
        <v>B2220</v>
      </c>
      <c r="C15" s="46" t="s">
        <v>83</v>
      </c>
      <c r="D15" s="4" t="str">
        <f>_xlfn.IFNA(VLOOKUP(E15,Master!$J:$K,2,0),"")</f>
        <v>B4105</v>
      </c>
      <c r="E15" s="46" t="s">
        <v>149</v>
      </c>
      <c r="F15" s="4">
        <f>_xlfn.IFNA(VLOOKUP(G15,Master!B:C,2,0),"")</f>
        <v>7511103</v>
      </c>
      <c r="G15" s="46" t="s">
        <v>531</v>
      </c>
      <c r="H15" s="46" t="s">
        <v>532</v>
      </c>
      <c r="I15" s="3" t="str">
        <f>_xlfn.IFNA(VLOOKUP(E15,Master!$J:$M,4,0),"")</f>
        <v>DIR</v>
      </c>
      <c r="J15" s="3" t="str">
        <f>_xlfn.IFNA(VLOOKUP($E15,Master!$J:$M,3,0),"")</f>
        <v>MFG</v>
      </c>
      <c r="M15" s="50">
        <v>90481000</v>
      </c>
      <c r="N15" s="50">
        <v>96815300</v>
      </c>
      <c r="O15" s="50">
        <v>96815300</v>
      </c>
      <c r="P15" s="50">
        <v>96815300</v>
      </c>
      <c r="Q15" s="50">
        <v>96815300</v>
      </c>
      <c r="R15" s="50">
        <v>96815300</v>
      </c>
      <c r="S15" s="50">
        <v>96815300</v>
      </c>
      <c r="T15" s="50">
        <v>96815300</v>
      </c>
      <c r="U15" s="50">
        <v>96815300</v>
      </c>
      <c r="V15" s="50">
        <v>96815300</v>
      </c>
      <c r="W15" s="50">
        <v>83111700</v>
      </c>
      <c r="X15" s="50">
        <v>83111700</v>
      </c>
      <c r="Y15" s="50">
        <v>83111700</v>
      </c>
      <c r="Z15" s="50">
        <v>88929500</v>
      </c>
      <c r="AA15" s="50">
        <v>88929500</v>
      </c>
      <c r="AB15" s="50">
        <v>88929500</v>
      </c>
      <c r="AC15" s="26">
        <f t="shared" si="0"/>
        <v>380926900</v>
      </c>
      <c r="AD15" s="26">
        <f t="shared" si="1"/>
        <v>1097015400</v>
      </c>
      <c r="AE15" s="50">
        <v>1085829300</v>
      </c>
      <c r="AF15" s="50">
        <v>1127208600</v>
      </c>
      <c r="AG15" s="53" t="s">
        <v>55</v>
      </c>
    </row>
    <row r="16" spans="1:35" ht="15" customHeight="1">
      <c r="A16" s="46" t="s">
        <v>91</v>
      </c>
      <c r="B16" s="3" t="str">
        <f>_xlfn.IFNA(VLOOKUP(C16,Master!$J:$K,2,0),"")</f>
        <v>B2220</v>
      </c>
      <c r="C16" s="46" t="s">
        <v>83</v>
      </c>
      <c r="D16" s="4" t="str">
        <f>_xlfn.IFNA(VLOOKUP(E16,Master!$J:$K,2,0),"")</f>
        <v>B4110</v>
      </c>
      <c r="E16" s="46" t="s">
        <v>162</v>
      </c>
      <c r="F16" s="4">
        <f>_xlfn.IFNA(VLOOKUP(G16,Master!B:C,2,0),"")</f>
        <v>7511103</v>
      </c>
      <c r="G16" s="46" t="s">
        <v>531</v>
      </c>
      <c r="H16" s="46" t="s">
        <v>532</v>
      </c>
      <c r="I16" s="3" t="str">
        <f>_xlfn.IFNA(VLOOKUP(E16,Master!$J:$M,4,0),"")</f>
        <v>DIR</v>
      </c>
      <c r="J16" s="3" t="str">
        <f>_xlfn.IFNA(VLOOKUP($E16,Master!$J:$M,3,0),"")</f>
        <v>MFG</v>
      </c>
      <c r="M16" s="50">
        <v>142179000</v>
      </c>
      <c r="N16" s="50">
        <v>152132200</v>
      </c>
      <c r="O16" s="50">
        <v>152132200</v>
      </c>
      <c r="P16" s="50">
        <v>152132200</v>
      </c>
      <c r="Q16" s="50">
        <v>152132200</v>
      </c>
      <c r="R16" s="50">
        <v>152132200</v>
      </c>
      <c r="S16" s="50">
        <v>148152900</v>
      </c>
      <c r="T16" s="50">
        <v>156100900</v>
      </c>
      <c r="U16" s="50">
        <v>156100900</v>
      </c>
      <c r="V16" s="50">
        <v>156100900</v>
      </c>
      <c r="W16" s="50">
        <v>156100900</v>
      </c>
      <c r="X16" s="50">
        <v>156100900</v>
      </c>
      <c r="Y16" s="50">
        <v>156100900</v>
      </c>
      <c r="Z16" s="50">
        <v>167028100</v>
      </c>
      <c r="AA16" s="50">
        <v>167028100</v>
      </c>
      <c r="AB16" s="50">
        <v>167028100</v>
      </c>
      <c r="AC16" s="26">
        <f t="shared" si="0"/>
        <v>598575600</v>
      </c>
      <c r="AD16" s="26">
        <f t="shared" si="1"/>
        <v>1890107000</v>
      </c>
      <c r="AE16" s="50">
        <v>1946469000</v>
      </c>
      <c r="AF16" s="50">
        <v>2034267900</v>
      </c>
      <c r="AG16" s="53" t="s">
        <v>55</v>
      </c>
    </row>
    <row r="17" spans="1:33" ht="15" customHeight="1">
      <c r="A17" s="46" t="s">
        <v>91</v>
      </c>
      <c r="B17" s="3" t="str">
        <f>_xlfn.IFNA(VLOOKUP(C17,Master!$J:$K,2,0),"")</f>
        <v>B2220</v>
      </c>
      <c r="C17" s="46" t="s">
        <v>83</v>
      </c>
      <c r="D17" s="4" t="str">
        <f>_xlfn.IFNA(VLOOKUP(E17,Master!$J:$K,2,0),"")</f>
        <v>B4114</v>
      </c>
      <c r="E17" s="46" t="s">
        <v>172</v>
      </c>
      <c r="F17" s="4">
        <f>_xlfn.IFNA(VLOOKUP(G17,Master!B:C,2,0),"")</f>
        <v>7511103</v>
      </c>
      <c r="G17" s="46" t="s">
        <v>531</v>
      </c>
      <c r="H17" s="46" t="s">
        <v>532</v>
      </c>
      <c r="I17" s="3" t="str">
        <f>_xlfn.IFNA(VLOOKUP(E17,Master!$J:$M,4,0),"")</f>
        <v>DIR</v>
      </c>
      <c r="J17" s="3" t="str">
        <f>_xlfn.IFNA(VLOOKUP($E17,Master!$J:$M,3,0),"")</f>
        <v>MFG</v>
      </c>
      <c r="M17" s="50">
        <v>62643000</v>
      </c>
      <c r="N17" s="50">
        <v>67028300</v>
      </c>
      <c r="O17" s="50">
        <v>67028300</v>
      </c>
      <c r="P17" s="50">
        <v>67028300</v>
      </c>
      <c r="Q17" s="50">
        <v>67028300</v>
      </c>
      <c r="R17" s="50">
        <v>67028300</v>
      </c>
      <c r="S17" s="50">
        <v>49530500</v>
      </c>
      <c r="T17" s="50">
        <v>41582500</v>
      </c>
      <c r="U17" s="50">
        <v>41582500</v>
      </c>
      <c r="V17" s="50">
        <v>41582500</v>
      </c>
      <c r="W17" s="50">
        <v>28102600</v>
      </c>
      <c r="X17" s="50">
        <v>28102600</v>
      </c>
      <c r="Y17" s="50">
        <v>28102600</v>
      </c>
      <c r="Z17" s="50">
        <v>30069800</v>
      </c>
      <c r="AA17" s="50">
        <v>30069800</v>
      </c>
      <c r="AB17" s="50">
        <v>30069800</v>
      </c>
      <c r="AC17" s="26">
        <f t="shared" si="0"/>
        <v>263727900</v>
      </c>
      <c r="AD17" s="26">
        <f t="shared" si="1"/>
        <v>482851800</v>
      </c>
      <c r="AE17" s="50">
        <v>367152300</v>
      </c>
      <c r="AF17" s="50">
        <v>392853000</v>
      </c>
      <c r="AG17" s="53" t="s">
        <v>55</v>
      </c>
    </row>
    <row r="18" spans="1:33" ht="15" customHeight="1">
      <c r="A18" s="46" t="s">
        <v>91</v>
      </c>
      <c r="B18" s="3" t="str">
        <f>_xlfn.IFNA(VLOOKUP(C18,Master!$J:$K,2,0),"")</f>
        <v>B2220</v>
      </c>
      <c r="C18" s="46" t="s">
        <v>83</v>
      </c>
      <c r="D18" s="4" t="str">
        <f>_xlfn.IFNA(VLOOKUP(E18,Master!$J:$K,2,0),"")</f>
        <v>B4115</v>
      </c>
      <c r="E18" s="46" t="s">
        <v>167</v>
      </c>
      <c r="F18" s="4">
        <f>_xlfn.IFNA(VLOOKUP(G18,Master!B:C,2,0),"")</f>
        <v>7511103</v>
      </c>
      <c r="G18" s="46" t="s">
        <v>531</v>
      </c>
      <c r="H18" s="46" t="s">
        <v>532</v>
      </c>
      <c r="I18" s="3" t="str">
        <f>_xlfn.IFNA(VLOOKUP(E18,Master!$J:$M,4,0),"")</f>
        <v>DIR</v>
      </c>
      <c r="J18" s="3" t="str">
        <f>_xlfn.IFNA(VLOOKUP($E18,Master!$J:$M,3,0),"")</f>
        <v>MFG</v>
      </c>
      <c r="M18" s="50">
        <v>41213000</v>
      </c>
      <c r="N18" s="50">
        <v>44098200</v>
      </c>
      <c r="O18" s="50">
        <v>44098200</v>
      </c>
      <c r="P18" s="50">
        <v>44098200</v>
      </c>
      <c r="Q18" s="50">
        <v>44098200</v>
      </c>
      <c r="R18" s="50">
        <v>44098200</v>
      </c>
      <c r="S18" s="50">
        <v>44098200</v>
      </c>
      <c r="T18" s="50">
        <v>44098200</v>
      </c>
      <c r="U18" s="50">
        <v>44098200</v>
      </c>
      <c r="V18" s="50">
        <v>44098200</v>
      </c>
      <c r="W18" s="50">
        <v>44098200</v>
      </c>
      <c r="X18" s="50">
        <v>44098200</v>
      </c>
      <c r="Y18" s="50">
        <v>44098200</v>
      </c>
      <c r="Z18" s="50">
        <v>47185200</v>
      </c>
      <c r="AA18" s="50">
        <v>47185200</v>
      </c>
      <c r="AB18" s="50">
        <v>47185200</v>
      </c>
      <c r="AC18" s="26">
        <f t="shared" si="0"/>
        <v>173507600</v>
      </c>
      <c r="AD18" s="26">
        <f t="shared" si="1"/>
        <v>538439400</v>
      </c>
      <c r="AE18" s="50">
        <v>576131100</v>
      </c>
      <c r="AF18" s="50">
        <v>616459500</v>
      </c>
      <c r="AG18" s="53" t="s">
        <v>55</v>
      </c>
    </row>
    <row r="19" spans="1:33" ht="15" customHeight="1">
      <c r="A19" s="46" t="s">
        <v>91</v>
      </c>
      <c r="B19" s="3" t="str">
        <f>_xlfn.IFNA(VLOOKUP(C19,Master!$J:$K,2,0),"")</f>
        <v>B2220</v>
      </c>
      <c r="C19" s="46" t="s">
        <v>83</v>
      </c>
      <c r="D19" s="4" t="str">
        <f>_xlfn.IFNA(VLOOKUP(E19,Master!$J:$K,2,0),"")</f>
        <v>B4120</v>
      </c>
      <c r="E19" s="46" t="s">
        <v>177</v>
      </c>
      <c r="F19" s="4">
        <f>_xlfn.IFNA(VLOOKUP(G19,Master!B:C,2,0),"")</f>
        <v>7511103</v>
      </c>
      <c r="G19" s="46" t="s">
        <v>531</v>
      </c>
      <c r="H19" s="46" t="s">
        <v>532</v>
      </c>
      <c r="I19" s="3" t="str">
        <f>_xlfn.IFNA(VLOOKUP(E19,Master!$J:$M,4,0),"")</f>
        <v>DIR</v>
      </c>
      <c r="J19" s="3" t="str">
        <f>_xlfn.IFNA(VLOOKUP($E19,Master!$J:$M,3,0),"")</f>
        <v>MFG</v>
      </c>
      <c r="M19" s="50">
        <v>234388000</v>
      </c>
      <c r="N19" s="50">
        <v>250796500</v>
      </c>
      <c r="O19" s="50">
        <v>239044600</v>
      </c>
      <c r="P19" s="50">
        <v>239044600</v>
      </c>
      <c r="Q19" s="50">
        <v>235385400</v>
      </c>
      <c r="R19" s="50">
        <v>223902100</v>
      </c>
      <c r="S19" s="50">
        <v>223902100</v>
      </c>
      <c r="T19" s="50">
        <v>200604900</v>
      </c>
      <c r="U19" s="50">
        <v>200604900</v>
      </c>
      <c r="V19" s="50">
        <v>200604900</v>
      </c>
      <c r="W19" s="50">
        <v>214868100</v>
      </c>
      <c r="X19" s="50">
        <v>214868100</v>
      </c>
      <c r="Y19" s="50">
        <v>214868100</v>
      </c>
      <c r="Z19" s="50">
        <v>229908800</v>
      </c>
      <c r="AA19" s="50">
        <v>229908800</v>
      </c>
      <c r="AB19" s="50">
        <v>229908800</v>
      </c>
      <c r="AC19" s="26">
        <f t="shared" si="0"/>
        <v>963273700</v>
      </c>
      <c r="AD19" s="26">
        <f t="shared" si="1"/>
        <v>2619335000</v>
      </c>
      <c r="AE19" s="50">
        <v>2529357100</v>
      </c>
      <c r="AF19" s="50">
        <v>2663080200</v>
      </c>
      <c r="AG19" s="53" t="s">
        <v>55</v>
      </c>
    </row>
    <row r="20" spans="1:33" ht="15" customHeight="1">
      <c r="A20" s="46" t="s">
        <v>91</v>
      </c>
      <c r="B20" s="3" t="str">
        <f>_xlfn.IFNA(VLOOKUP(C20,Master!$J:$K,2,0),"")</f>
        <v>B2220</v>
      </c>
      <c r="C20" s="46" t="s">
        <v>83</v>
      </c>
      <c r="D20" s="4" t="str">
        <f>_xlfn.IFNA(VLOOKUP(E20,Master!$J:$K,2,0),"")</f>
        <v>B4121</v>
      </c>
      <c r="E20" s="46" t="s">
        <v>183</v>
      </c>
      <c r="F20" s="4">
        <f>_xlfn.IFNA(VLOOKUP(G20,Master!B:C,2,0),"")</f>
        <v>7511103</v>
      </c>
      <c r="G20" s="46" t="s">
        <v>531</v>
      </c>
      <c r="H20" s="46" t="s">
        <v>532</v>
      </c>
      <c r="I20" s="3" t="str">
        <f>_xlfn.IFNA(VLOOKUP(E20,Master!$J:$M,4,0),"")</f>
        <v>DIR</v>
      </c>
      <c r="J20" s="3" t="str">
        <f>_xlfn.IFNA(VLOOKUP($E20,Master!$J:$M,3,0),"")</f>
        <v>MFG</v>
      </c>
      <c r="M20" s="50">
        <v>19971000</v>
      </c>
      <c r="N20" s="50">
        <v>21369200</v>
      </c>
      <c r="O20" s="50">
        <v>21369200</v>
      </c>
      <c r="P20" s="50">
        <v>21369200</v>
      </c>
      <c r="AC20" s="26">
        <f t="shared" si="0"/>
        <v>84078600</v>
      </c>
      <c r="AD20" s="26">
        <f t="shared" si="1"/>
        <v>0</v>
      </c>
      <c r="AG20" s="53" t="s">
        <v>55</v>
      </c>
    </row>
    <row r="21" spans="1:33" ht="15" customHeight="1">
      <c r="A21" s="46" t="s">
        <v>91</v>
      </c>
      <c r="B21" s="3" t="str">
        <f>_xlfn.IFNA(VLOOKUP(C21,Master!$J:$K,2,0),"")</f>
        <v>B2220</v>
      </c>
      <c r="C21" s="46" t="s">
        <v>83</v>
      </c>
      <c r="D21" s="4" t="str">
        <f>_xlfn.IFNA(VLOOKUP(E21,Master!$J:$K,2,0),"")</f>
        <v>B4130</v>
      </c>
      <c r="E21" s="46" t="s">
        <v>158</v>
      </c>
      <c r="F21" s="4">
        <f>_xlfn.IFNA(VLOOKUP(G21,Master!B:C,2,0),"")</f>
        <v>7511103</v>
      </c>
      <c r="G21" s="46" t="s">
        <v>531</v>
      </c>
      <c r="H21" s="46" t="s">
        <v>532</v>
      </c>
      <c r="I21" s="3" t="str">
        <f>_xlfn.IFNA(VLOOKUP(E21,Master!$J:$M,4,0),"")</f>
        <v>DIR</v>
      </c>
      <c r="J21" s="3" t="str">
        <f>_xlfn.IFNA(VLOOKUP($E21,Master!$J:$M,3,0),"")</f>
        <v>MFG</v>
      </c>
      <c r="M21" s="50">
        <v>49572000</v>
      </c>
      <c r="N21" s="50">
        <v>53042300</v>
      </c>
      <c r="O21" s="50">
        <v>53042300</v>
      </c>
      <c r="P21" s="50">
        <v>53042300</v>
      </c>
      <c r="Q21" s="50">
        <v>53042300</v>
      </c>
      <c r="R21" s="50">
        <v>53042300</v>
      </c>
      <c r="S21" s="50">
        <v>53042300</v>
      </c>
      <c r="T21" s="50">
        <v>53042300</v>
      </c>
      <c r="U21" s="50">
        <v>53042300</v>
      </c>
      <c r="V21" s="50">
        <v>53042300</v>
      </c>
      <c r="W21" s="50">
        <v>53042300</v>
      </c>
      <c r="X21" s="50">
        <v>53042300</v>
      </c>
      <c r="Y21" s="50">
        <v>53042300</v>
      </c>
      <c r="Z21" s="50">
        <v>56755300</v>
      </c>
      <c r="AA21" s="50">
        <v>56755300</v>
      </c>
      <c r="AB21" s="50">
        <v>56755300</v>
      </c>
      <c r="AC21" s="26">
        <f t="shared" si="0"/>
        <v>208698900</v>
      </c>
      <c r="AD21" s="26">
        <f t="shared" si="1"/>
        <v>647646600</v>
      </c>
      <c r="AE21" s="50">
        <v>616097600</v>
      </c>
      <c r="AF21" s="50">
        <v>602174100</v>
      </c>
      <c r="AG21" s="53" t="s">
        <v>55</v>
      </c>
    </row>
    <row r="22" spans="1:33" ht="15" customHeight="1">
      <c r="A22" s="46" t="s">
        <v>91</v>
      </c>
      <c r="B22" s="3" t="str">
        <f>_xlfn.IFNA(VLOOKUP(C22,Master!$J:$K,2,0),"")</f>
        <v>B2220</v>
      </c>
      <c r="C22" s="46" t="s">
        <v>83</v>
      </c>
      <c r="D22" s="4" t="str">
        <f>_xlfn.IFNA(VLOOKUP(E22,Master!$J:$K,2,0),"")</f>
        <v>B4410</v>
      </c>
      <c r="E22" s="46" t="s">
        <v>188</v>
      </c>
      <c r="F22" s="4">
        <f>_xlfn.IFNA(VLOOKUP(G22,Master!B:C,2,0),"")</f>
        <v>7511103</v>
      </c>
      <c r="G22" s="46" t="s">
        <v>531</v>
      </c>
      <c r="H22" s="46" t="s">
        <v>532</v>
      </c>
      <c r="I22" s="3" t="str">
        <f>_xlfn.IFNA(VLOOKUP(E22,Master!$J:$M,4,0),"")</f>
        <v>DIR</v>
      </c>
      <c r="J22" s="3" t="str">
        <f>_xlfn.IFNA(VLOOKUP($E22,Master!$J:$M,3,0),"")</f>
        <v>MFG</v>
      </c>
      <c r="M22" s="50">
        <v>22297000</v>
      </c>
      <c r="N22" s="50">
        <v>23857900</v>
      </c>
      <c r="O22" s="50">
        <v>23857900</v>
      </c>
      <c r="P22" s="50">
        <v>23857900</v>
      </c>
      <c r="Q22" s="50">
        <v>23857900</v>
      </c>
      <c r="R22" s="50">
        <v>23857900</v>
      </c>
      <c r="S22" s="50">
        <v>23857900</v>
      </c>
      <c r="T22" s="50">
        <v>23857900</v>
      </c>
      <c r="U22" s="50">
        <v>23857900</v>
      </c>
      <c r="V22" s="50">
        <v>23857900</v>
      </c>
      <c r="W22" s="50">
        <v>23857900</v>
      </c>
      <c r="X22" s="50">
        <v>23857900</v>
      </c>
      <c r="Y22" s="50">
        <v>23857900</v>
      </c>
      <c r="AC22" s="26">
        <f t="shared" si="0"/>
        <v>93870700</v>
      </c>
      <c r="AD22" s="26">
        <f t="shared" si="1"/>
        <v>214721100</v>
      </c>
      <c r="AG22" s="53" t="s">
        <v>55</v>
      </c>
    </row>
    <row r="23" spans="1:33" ht="15" customHeight="1">
      <c r="A23" s="46" t="s">
        <v>91</v>
      </c>
      <c r="B23" s="3" t="str">
        <f>_xlfn.IFNA(VLOOKUP(C23,Master!$J:$K,2,0),"")</f>
        <v>B2220</v>
      </c>
      <c r="C23" s="46" t="s">
        <v>83</v>
      </c>
      <c r="D23" s="4" t="str">
        <f>_xlfn.IFNA(VLOOKUP(E23,Master!$J:$K,2,0),"")</f>
        <v>B4430</v>
      </c>
      <c r="E23" s="46" t="s">
        <v>193</v>
      </c>
      <c r="F23" s="4">
        <f>_xlfn.IFNA(VLOOKUP(G23,Master!B:C,2,0),"")</f>
        <v>7511103</v>
      </c>
      <c r="G23" s="46" t="s">
        <v>531</v>
      </c>
      <c r="H23" s="46" t="s">
        <v>532</v>
      </c>
      <c r="I23" s="3" t="str">
        <f>_xlfn.IFNA(VLOOKUP(E23,Master!$J:$M,4,0),"")</f>
        <v>DIR</v>
      </c>
      <c r="J23" s="3" t="str">
        <f>_xlfn.IFNA(VLOOKUP($E23,Master!$J:$M,3,0),"")</f>
        <v>MFG</v>
      </c>
      <c r="M23" s="50">
        <v>38090000</v>
      </c>
      <c r="N23" s="50">
        <v>40756600</v>
      </c>
      <c r="O23" s="50">
        <v>40756600</v>
      </c>
      <c r="P23" s="50">
        <v>40756600</v>
      </c>
      <c r="Q23" s="50">
        <v>40756600</v>
      </c>
      <c r="R23" s="50">
        <v>40756600</v>
      </c>
      <c r="S23" s="50">
        <v>40756600</v>
      </c>
      <c r="T23" s="50">
        <v>40756600</v>
      </c>
      <c r="U23" s="50">
        <v>40756600</v>
      </c>
      <c r="V23" s="50">
        <v>40756600</v>
      </c>
      <c r="W23" s="50">
        <v>40756600</v>
      </c>
      <c r="X23" s="50">
        <v>40756600</v>
      </c>
      <c r="Y23" s="50">
        <v>40756600</v>
      </c>
      <c r="AC23" s="26">
        <f t="shared" si="0"/>
        <v>160359800</v>
      </c>
      <c r="AD23" s="26">
        <f t="shared" si="1"/>
        <v>366809400</v>
      </c>
      <c r="AG23" s="53" t="s">
        <v>55</v>
      </c>
    </row>
    <row r="24" spans="1:33" ht="15" customHeight="1">
      <c r="A24" s="46" t="s">
        <v>91</v>
      </c>
      <c r="B24" s="3" t="str">
        <f>_xlfn.IFNA(VLOOKUP(C24,Master!$J:$K,2,0),"")</f>
        <v>B2220</v>
      </c>
      <c r="C24" s="46" t="s">
        <v>83</v>
      </c>
      <c r="D24" s="4" t="str">
        <f>_xlfn.IFNA(VLOOKUP(E24,Master!$J:$K,2,0),"")</f>
        <v>B4440</v>
      </c>
      <c r="E24" s="46" t="s">
        <v>198</v>
      </c>
      <c r="F24" s="4">
        <f>_xlfn.IFNA(VLOOKUP(G24,Master!B:C,2,0),"")</f>
        <v>7511103</v>
      </c>
      <c r="G24" s="46" t="s">
        <v>531</v>
      </c>
      <c r="H24" s="46" t="s">
        <v>532</v>
      </c>
      <c r="I24" s="3" t="str">
        <f>_xlfn.IFNA(VLOOKUP(E24,Master!$J:$M,4,0),"")</f>
        <v>DIR</v>
      </c>
      <c r="J24" s="3" t="str">
        <f>_xlfn.IFNA(VLOOKUP($E24,Master!$J:$M,3,0),"")</f>
        <v>MFG</v>
      </c>
      <c r="M24" s="50">
        <v>41955000</v>
      </c>
      <c r="N24" s="50">
        <v>44892100</v>
      </c>
      <c r="O24" s="50">
        <v>32647000</v>
      </c>
      <c r="P24" s="50">
        <v>32647000</v>
      </c>
      <c r="Q24" s="50">
        <v>32647000</v>
      </c>
      <c r="R24" s="50">
        <v>32647000</v>
      </c>
      <c r="S24" s="50">
        <v>32647000</v>
      </c>
      <c r="T24" s="50">
        <v>32647000</v>
      </c>
      <c r="U24" s="50">
        <v>32647000</v>
      </c>
      <c r="V24" s="50">
        <v>32647000</v>
      </c>
      <c r="W24" s="50">
        <v>32647000</v>
      </c>
      <c r="X24" s="50">
        <v>32647000</v>
      </c>
      <c r="Y24" s="50">
        <v>21749000</v>
      </c>
      <c r="AC24" s="26">
        <f t="shared" si="0"/>
        <v>152141100</v>
      </c>
      <c r="AD24" s="26">
        <f t="shared" si="1"/>
        <v>282925000</v>
      </c>
      <c r="AG24" s="53" t="s">
        <v>55</v>
      </c>
    </row>
    <row r="25" spans="1:33" ht="15" customHeight="1">
      <c r="A25" s="46" t="s">
        <v>91</v>
      </c>
      <c r="B25" s="3" t="str">
        <f>_xlfn.IFNA(VLOOKUP(C25,Master!$J:$K,2,0),"")</f>
        <v>B2220</v>
      </c>
      <c r="C25" s="46" t="s">
        <v>83</v>
      </c>
      <c r="D25" s="4" t="str">
        <f>_xlfn.IFNA(VLOOKUP(E25,Master!$J:$K,2,0),"")</f>
        <v>B5100</v>
      </c>
      <c r="E25" s="46" t="s">
        <v>211</v>
      </c>
      <c r="F25" s="4">
        <f>_xlfn.IFNA(VLOOKUP(G25,Master!B:C,2,0),"")</f>
        <v>7511103</v>
      </c>
      <c r="G25" s="46" t="s">
        <v>531</v>
      </c>
      <c r="H25" s="46" t="s">
        <v>532</v>
      </c>
      <c r="I25" s="3" t="str">
        <f>_xlfn.IFNA(VLOOKUP(E25,Master!$J:$M,4,0),"")</f>
        <v>IND</v>
      </c>
      <c r="J25" s="3" t="str">
        <f>_xlfn.IFNA(VLOOKUP($E25,Master!$J:$M,3,0),"")</f>
        <v>MFG</v>
      </c>
      <c r="M25" s="50">
        <v>115903000</v>
      </c>
      <c r="N25" s="50">
        <v>124016400</v>
      </c>
      <c r="O25" s="50">
        <v>124016400</v>
      </c>
      <c r="P25" s="50">
        <v>124016400</v>
      </c>
      <c r="Q25" s="50">
        <v>124016400</v>
      </c>
      <c r="R25" s="50">
        <v>124016400</v>
      </c>
      <c r="S25" s="50">
        <v>124016400</v>
      </c>
      <c r="T25" s="50">
        <v>124016400</v>
      </c>
      <c r="U25" s="50">
        <v>124016400</v>
      </c>
      <c r="V25" s="50">
        <v>124016400</v>
      </c>
      <c r="W25" s="50">
        <v>124016400</v>
      </c>
      <c r="X25" s="50">
        <v>124016400</v>
      </c>
      <c r="Y25" s="50">
        <v>124016400</v>
      </c>
      <c r="Z25" s="50">
        <v>132697500</v>
      </c>
      <c r="AA25" s="50">
        <v>132697500</v>
      </c>
      <c r="AB25" s="50">
        <v>132697500</v>
      </c>
      <c r="AC25" s="26">
        <f t="shared" si="0"/>
        <v>487952200</v>
      </c>
      <c r="AD25" s="26">
        <f t="shared" si="1"/>
        <v>1514240100</v>
      </c>
      <c r="AE25" s="50">
        <v>1620236700</v>
      </c>
      <c r="AF25" s="50">
        <v>1733653800</v>
      </c>
      <c r="AG25" s="53" t="s">
        <v>55</v>
      </c>
    </row>
    <row r="26" spans="1:33" ht="15" customHeight="1">
      <c r="A26" s="46" t="s">
        <v>91</v>
      </c>
      <c r="B26" s="3" t="str">
        <f>_xlfn.IFNA(VLOOKUP(C26,Master!$J:$K,2,0),"")</f>
        <v>B2220</v>
      </c>
      <c r="C26" s="46" t="s">
        <v>83</v>
      </c>
      <c r="D26" s="4" t="str">
        <f>_xlfn.IFNA(VLOOKUP(E26,Master!$J:$K,2,0),"")</f>
        <v>B5101</v>
      </c>
      <c r="E26" s="46" t="s">
        <v>216</v>
      </c>
      <c r="F26" s="4">
        <f>_xlfn.IFNA(VLOOKUP(G26,Master!B:C,2,0),"")</f>
        <v>7511103</v>
      </c>
      <c r="G26" s="46" t="s">
        <v>531</v>
      </c>
      <c r="H26" s="46" t="s">
        <v>532</v>
      </c>
      <c r="I26" s="3" t="str">
        <f>_xlfn.IFNA(VLOOKUP(E26,Master!$J:$M,4,0),"")</f>
        <v>IND</v>
      </c>
      <c r="J26" s="3" t="str">
        <f>_xlfn.IFNA(VLOOKUP($E26,Master!$J:$M,3,0),"")</f>
        <v>MFG</v>
      </c>
      <c r="M26" s="50">
        <v>57936000</v>
      </c>
      <c r="N26" s="50">
        <v>61991800</v>
      </c>
      <c r="O26" s="50">
        <v>61991800</v>
      </c>
      <c r="P26" s="50">
        <v>61991800</v>
      </c>
      <c r="Q26" s="50">
        <v>60924900</v>
      </c>
      <c r="R26" s="50">
        <v>60924900</v>
      </c>
      <c r="S26" s="50">
        <v>60924900</v>
      </c>
      <c r="T26" s="50">
        <v>60924900</v>
      </c>
      <c r="U26" s="50">
        <v>60924900</v>
      </c>
      <c r="V26" s="50">
        <v>60924900</v>
      </c>
      <c r="W26" s="50">
        <v>61593400</v>
      </c>
      <c r="X26" s="50">
        <v>61593400</v>
      </c>
      <c r="Y26" s="50">
        <v>61593400</v>
      </c>
      <c r="Z26" s="50">
        <v>65904900</v>
      </c>
      <c r="AA26" s="50">
        <v>65904900</v>
      </c>
      <c r="AB26" s="50">
        <v>65904900</v>
      </c>
      <c r="AC26" s="26">
        <f t="shared" si="0"/>
        <v>243911400</v>
      </c>
      <c r="AD26" s="26">
        <f t="shared" si="1"/>
        <v>748044300</v>
      </c>
      <c r="AE26" s="50">
        <v>858662400</v>
      </c>
      <c r="AF26" s="50">
        <v>974557500</v>
      </c>
      <c r="AG26" s="53" t="s">
        <v>55</v>
      </c>
    </row>
    <row r="27" spans="1:33" ht="15" customHeight="1">
      <c r="A27" s="46" t="s">
        <v>91</v>
      </c>
      <c r="B27" s="3" t="str">
        <f>_xlfn.IFNA(VLOOKUP(C27,Master!$J:$K,2,0),"")</f>
        <v>B2220</v>
      </c>
      <c r="C27" s="46" t="s">
        <v>83</v>
      </c>
      <c r="D27" s="4" t="str">
        <f>_xlfn.IFNA(VLOOKUP(E27,Master!$J:$K,2,0),"")</f>
        <v>B5130</v>
      </c>
      <c r="E27" s="46" t="s">
        <v>247</v>
      </c>
      <c r="F27" s="4">
        <f>_xlfn.IFNA(VLOOKUP(G27,Master!B:C,2,0),"")</f>
        <v>7511103</v>
      </c>
      <c r="G27" s="46" t="s">
        <v>531</v>
      </c>
      <c r="H27" s="46" t="s">
        <v>532</v>
      </c>
      <c r="I27" s="3" t="str">
        <f>_xlfn.IFNA(VLOOKUP(E27,Master!$J:$M,4,0),"")</f>
        <v>IND</v>
      </c>
      <c r="J27" s="3" t="str">
        <f>_xlfn.IFNA(VLOOKUP($E27,Master!$J:$M,3,0),"")</f>
        <v>MFG</v>
      </c>
      <c r="M27" s="50">
        <v>128750000</v>
      </c>
      <c r="N27" s="50">
        <v>137763200</v>
      </c>
      <c r="O27" s="50">
        <v>137763200</v>
      </c>
      <c r="P27" s="50">
        <v>137763200</v>
      </c>
      <c r="Q27" s="50">
        <v>137763200</v>
      </c>
      <c r="R27" s="50">
        <v>137763200</v>
      </c>
      <c r="S27" s="50">
        <v>137763200</v>
      </c>
      <c r="T27" s="50">
        <v>137763200</v>
      </c>
      <c r="U27" s="50">
        <v>137763200</v>
      </c>
      <c r="V27" s="50">
        <v>137763200</v>
      </c>
      <c r="W27" s="50">
        <v>137763200</v>
      </c>
      <c r="X27" s="50">
        <v>137763200</v>
      </c>
      <c r="Y27" s="50">
        <v>137763200</v>
      </c>
      <c r="Z27" s="50">
        <v>136608700</v>
      </c>
      <c r="AA27" s="50">
        <v>136608700</v>
      </c>
      <c r="AB27" s="50">
        <v>136608700</v>
      </c>
      <c r="AC27" s="26">
        <f t="shared" si="0"/>
        <v>542039600</v>
      </c>
      <c r="AD27" s="26">
        <f t="shared" si="1"/>
        <v>1649694900</v>
      </c>
      <c r="AE27" s="50">
        <v>1636794300</v>
      </c>
      <c r="AF27" s="50">
        <v>1657776000</v>
      </c>
      <c r="AG27" s="53" t="s">
        <v>55</v>
      </c>
    </row>
    <row r="28" spans="1:33" ht="15" customHeight="1">
      <c r="A28" s="46" t="s">
        <v>91</v>
      </c>
      <c r="B28" s="3" t="str">
        <f>_xlfn.IFNA(VLOOKUP(C28,Master!$J:$K,2,0),"")</f>
        <v>B2220</v>
      </c>
      <c r="C28" s="46" t="s">
        <v>83</v>
      </c>
      <c r="D28" s="4" t="str">
        <f>_xlfn.IFNA(VLOOKUP(E28,Master!$J:$K,2,0),"")</f>
        <v>B5200</v>
      </c>
      <c r="E28" s="46" t="s">
        <v>253</v>
      </c>
      <c r="F28" s="4">
        <f>_xlfn.IFNA(VLOOKUP(G28,Master!B:C,2,0),"")</f>
        <v>7511103</v>
      </c>
      <c r="G28" s="46" t="s">
        <v>531</v>
      </c>
      <c r="H28" s="46" t="s">
        <v>532</v>
      </c>
      <c r="I28" s="3" t="str">
        <f>_xlfn.IFNA(VLOOKUP(E28,Master!$J:$M,4,0),"")</f>
        <v>IND</v>
      </c>
      <c r="J28" s="3" t="str">
        <f>_xlfn.IFNA(VLOOKUP($E28,Master!$J:$M,3,0),"")</f>
        <v>MFG</v>
      </c>
      <c r="M28" s="50">
        <v>19722000</v>
      </c>
      <c r="N28" s="50">
        <v>21102700</v>
      </c>
      <c r="O28" s="50">
        <v>21102700</v>
      </c>
      <c r="P28" s="50">
        <v>21102700</v>
      </c>
      <c r="Q28" s="50">
        <v>21813400</v>
      </c>
      <c r="R28" s="50">
        <v>21813400</v>
      </c>
      <c r="S28" s="50">
        <v>21813400</v>
      </c>
      <c r="T28" s="50">
        <v>21813400</v>
      </c>
      <c r="U28" s="50">
        <v>21813400</v>
      </c>
      <c r="V28" s="50">
        <v>21813400</v>
      </c>
      <c r="W28" s="50">
        <v>21813400</v>
      </c>
      <c r="X28" s="50">
        <v>21813400</v>
      </c>
      <c r="Y28" s="50">
        <v>21813400</v>
      </c>
      <c r="Z28" s="50">
        <v>23340300</v>
      </c>
      <c r="AA28" s="50">
        <v>23340300</v>
      </c>
      <c r="AB28" s="50">
        <v>23340300</v>
      </c>
      <c r="AC28" s="26">
        <f t="shared" si="0"/>
        <v>83030100</v>
      </c>
      <c r="AD28" s="26">
        <f t="shared" si="1"/>
        <v>266341500</v>
      </c>
      <c r="AE28" s="50">
        <v>284985300</v>
      </c>
      <c r="AF28" s="50">
        <v>304935000</v>
      </c>
      <c r="AG28" s="53" t="s">
        <v>55</v>
      </c>
    </row>
    <row r="29" spans="1:33" ht="15" customHeight="1">
      <c r="A29" s="46" t="s">
        <v>91</v>
      </c>
      <c r="B29" s="3" t="str">
        <f>_xlfn.IFNA(VLOOKUP(C29,Master!$J:$K,2,0),"")</f>
        <v>B2220</v>
      </c>
      <c r="C29" s="46" t="s">
        <v>83</v>
      </c>
      <c r="D29" s="4" t="str">
        <f>_xlfn.IFNA(VLOOKUP(E29,Master!$J:$K,2,0),"")</f>
        <v>B5500</v>
      </c>
      <c r="E29" s="46" t="s">
        <v>236</v>
      </c>
      <c r="F29" s="4">
        <f>_xlfn.IFNA(VLOOKUP(G29,Master!B:C,2,0),"")</f>
        <v>7511103</v>
      </c>
      <c r="G29" s="46" t="s">
        <v>531</v>
      </c>
      <c r="H29" s="46" t="s">
        <v>532</v>
      </c>
      <c r="I29" s="3" t="str">
        <f>_xlfn.IFNA(VLOOKUP(E29,Master!$J:$M,4,0),"")</f>
        <v>IND</v>
      </c>
      <c r="J29" s="3" t="str">
        <f>_xlfn.IFNA(VLOOKUP($E29,Master!$J:$M,3,0),"")</f>
        <v>MFG</v>
      </c>
      <c r="M29" s="50">
        <v>79461600</v>
      </c>
      <c r="N29" s="50">
        <v>90267300</v>
      </c>
      <c r="O29" s="50">
        <v>90267300</v>
      </c>
      <c r="P29" s="50">
        <v>90267300</v>
      </c>
      <c r="Q29" s="50">
        <v>118732000</v>
      </c>
      <c r="R29" s="50">
        <v>118732000</v>
      </c>
      <c r="S29" s="50">
        <v>118732000</v>
      </c>
      <c r="T29" s="50">
        <v>118732000</v>
      </c>
      <c r="U29" s="50">
        <v>118732000</v>
      </c>
      <c r="V29" s="50">
        <v>118732000</v>
      </c>
      <c r="W29" s="50">
        <v>125819700</v>
      </c>
      <c r="X29" s="50">
        <v>125819700</v>
      </c>
      <c r="Y29" s="50">
        <v>125819700</v>
      </c>
      <c r="Z29" s="50">
        <v>134627500</v>
      </c>
      <c r="AA29" s="50">
        <v>134627500</v>
      </c>
      <c r="AB29" s="50">
        <v>134627500</v>
      </c>
      <c r="AC29" s="26">
        <f t="shared" si="0"/>
        <v>350263500</v>
      </c>
      <c r="AD29" s="26">
        <f t="shared" si="1"/>
        <v>1493733600</v>
      </c>
      <c r="AE29" s="50">
        <v>1608081300</v>
      </c>
      <c r="AF29" s="50">
        <v>1669928400</v>
      </c>
      <c r="AG29" s="53" t="s">
        <v>55</v>
      </c>
    </row>
    <row r="30" spans="1:33" ht="15" customHeight="1">
      <c r="A30" s="46" t="s">
        <v>91</v>
      </c>
      <c r="B30" s="3" t="str">
        <f>_xlfn.IFNA(VLOOKUP(C30,Master!$J:$K,2,0),"")</f>
        <v>B2220</v>
      </c>
      <c r="C30" s="46" t="s">
        <v>83</v>
      </c>
      <c r="D30" s="4" t="str">
        <f>_xlfn.IFNA(VLOOKUP(E30,Master!$J:$K,2,0),"")</f>
        <v>B5600</v>
      </c>
      <c r="E30" s="46" t="s">
        <v>241</v>
      </c>
      <c r="F30" s="4">
        <f>_xlfn.IFNA(VLOOKUP(G30,Master!B:C,2,0),"")</f>
        <v>7511103</v>
      </c>
      <c r="G30" s="46" t="s">
        <v>531</v>
      </c>
      <c r="H30" s="46" t="s">
        <v>532</v>
      </c>
      <c r="I30" s="3" t="str">
        <f>_xlfn.IFNA(VLOOKUP(E30,Master!$J:$M,4,0),"")</f>
        <v>IND</v>
      </c>
      <c r="J30" s="3" t="str">
        <f>_xlfn.IFNA(VLOOKUP($E30,Master!$J:$M,3,0),"")</f>
        <v>MFG</v>
      </c>
      <c r="M30" s="50">
        <v>102763000</v>
      </c>
      <c r="N30" s="50">
        <v>109957000</v>
      </c>
      <c r="O30" s="50">
        <v>109957000</v>
      </c>
      <c r="P30" s="50">
        <v>109957000</v>
      </c>
      <c r="Q30" s="50">
        <v>111382100</v>
      </c>
      <c r="R30" s="50">
        <v>111382100</v>
      </c>
      <c r="S30" s="50">
        <v>111382100</v>
      </c>
      <c r="T30" s="50">
        <v>111382100</v>
      </c>
      <c r="U30" s="50">
        <v>111382100</v>
      </c>
      <c r="V30" s="50">
        <v>111382100</v>
      </c>
      <c r="W30" s="50">
        <v>111382100</v>
      </c>
      <c r="X30" s="50">
        <v>111382100</v>
      </c>
      <c r="Y30" s="50">
        <v>111382100</v>
      </c>
      <c r="Z30" s="50">
        <v>119178600</v>
      </c>
      <c r="AA30" s="50">
        <v>119178600</v>
      </c>
      <c r="AB30" s="50">
        <v>119178600</v>
      </c>
      <c r="AC30" s="26">
        <f t="shared" si="0"/>
        <v>432634000</v>
      </c>
      <c r="AD30" s="26">
        <f t="shared" si="1"/>
        <v>1359974700</v>
      </c>
      <c r="AE30" s="50">
        <v>1474053000</v>
      </c>
      <c r="AF30" s="50">
        <v>1600005600</v>
      </c>
      <c r="AG30" s="53" t="s">
        <v>55</v>
      </c>
    </row>
    <row r="31" spans="1:33" ht="15" customHeight="1">
      <c r="A31" s="46" t="s">
        <v>91</v>
      </c>
      <c r="B31" s="3" t="str">
        <f>_xlfn.IFNA(VLOOKUP(C31,Master!$J:$K,2,0),"")</f>
        <v>B2220</v>
      </c>
      <c r="C31" s="46" t="s">
        <v>83</v>
      </c>
      <c r="D31" s="4" t="str">
        <f>_xlfn.IFNA(VLOOKUP(E31,Master!$J:$K,2,0),"")</f>
        <v>B5710</v>
      </c>
      <c r="E31" s="46" t="s">
        <v>265</v>
      </c>
      <c r="F31" s="4">
        <f>_xlfn.IFNA(VLOOKUP(G31,Master!B:C,2,0),"")</f>
        <v>7511103</v>
      </c>
      <c r="G31" s="46" t="s">
        <v>531</v>
      </c>
      <c r="H31" s="46" t="s">
        <v>532</v>
      </c>
      <c r="I31" s="3" t="str">
        <f>_xlfn.IFNA(VLOOKUP(E31,Master!$J:$M,4,0),"")</f>
        <v>IND</v>
      </c>
      <c r="J31" s="3" t="str">
        <f>_xlfn.IFNA(VLOOKUP($E31,Master!$J:$M,3,0),"")</f>
        <v>MFG</v>
      </c>
      <c r="M31" s="50">
        <v>49886000</v>
      </c>
      <c r="N31" s="50">
        <v>53378300</v>
      </c>
      <c r="O31" s="50">
        <v>53378300</v>
      </c>
      <c r="P31" s="50">
        <v>53378300</v>
      </c>
      <c r="Q31" s="50">
        <v>53378300</v>
      </c>
      <c r="R31" s="50">
        <v>53378300</v>
      </c>
      <c r="S31" s="50">
        <v>53378300</v>
      </c>
      <c r="T31" s="50">
        <v>53378300</v>
      </c>
      <c r="U31" s="50">
        <v>53378300</v>
      </c>
      <c r="V31" s="50">
        <v>53378300</v>
      </c>
      <c r="W31" s="50">
        <v>53378300</v>
      </c>
      <c r="X31" s="50">
        <v>53378300</v>
      </c>
      <c r="Y31" s="50">
        <v>53378300</v>
      </c>
      <c r="Z31" s="50">
        <v>67912400</v>
      </c>
      <c r="AA31" s="50">
        <v>67912400</v>
      </c>
      <c r="AB31" s="50">
        <v>67912400</v>
      </c>
      <c r="AC31" s="26">
        <f t="shared" si="0"/>
        <v>210020900</v>
      </c>
      <c r="AD31" s="26">
        <f t="shared" si="1"/>
        <v>684141900</v>
      </c>
      <c r="AE31" s="50">
        <v>726411300</v>
      </c>
      <c r="AF31" s="50">
        <v>741431400</v>
      </c>
      <c r="AG31" s="53" t="s">
        <v>55</v>
      </c>
    </row>
    <row r="32" spans="1:33" ht="15" customHeight="1">
      <c r="A32" s="46" t="s">
        <v>91</v>
      </c>
      <c r="B32" s="3" t="str">
        <f>_xlfn.IFNA(VLOOKUP(C32,Master!$J:$K,2,0),"")</f>
        <v>B2220</v>
      </c>
      <c r="C32" s="46" t="s">
        <v>83</v>
      </c>
      <c r="D32" s="4" t="str">
        <f>_xlfn.IFNA(VLOOKUP(E32,Master!$J:$K,2,0),"")</f>
        <v>B5800</v>
      </c>
      <c r="E32" s="46" t="s">
        <v>226</v>
      </c>
      <c r="F32" s="4">
        <f>_xlfn.IFNA(VLOOKUP(G32,Master!B:C,2,0),"")</f>
        <v>7511103</v>
      </c>
      <c r="G32" s="46" t="s">
        <v>531</v>
      </c>
      <c r="H32" s="46" t="s">
        <v>532</v>
      </c>
      <c r="I32" s="3" t="str">
        <f>_xlfn.IFNA(VLOOKUP(E32,Master!$J:$M,4,0),"")</f>
        <v>IND</v>
      </c>
      <c r="J32" s="3" t="str">
        <f>_xlfn.IFNA(VLOOKUP($E32,Master!$J:$M,3,0),"")</f>
        <v>MFG</v>
      </c>
      <c r="M32" s="50">
        <v>105115000</v>
      </c>
      <c r="N32" s="50">
        <v>112473300</v>
      </c>
      <c r="O32" s="50">
        <v>112473300</v>
      </c>
      <c r="P32" s="50">
        <v>112473300</v>
      </c>
      <c r="Q32" s="50">
        <v>113186800</v>
      </c>
      <c r="R32" s="50">
        <v>113186800</v>
      </c>
      <c r="S32" s="50">
        <v>113186800</v>
      </c>
      <c r="T32" s="50">
        <v>113186800</v>
      </c>
      <c r="U32" s="50">
        <v>113186800</v>
      </c>
      <c r="V32" s="50">
        <v>113186800</v>
      </c>
      <c r="W32" s="50">
        <v>113186800</v>
      </c>
      <c r="X32" s="50">
        <v>113186800</v>
      </c>
      <c r="Y32" s="50">
        <v>113186800</v>
      </c>
      <c r="Z32" s="50">
        <v>121110100</v>
      </c>
      <c r="AA32" s="50">
        <v>121110100</v>
      </c>
      <c r="AB32" s="50">
        <v>121110100</v>
      </c>
      <c r="AC32" s="26">
        <f t="shared" si="0"/>
        <v>442534900</v>
      </c>
      <c r="AD32" s="26">
        <f t="shared" si="1"/>
        <v>1382011500</v>
      </c>
      <c r="AE32" s="50">
        <v>1478754300</v>
      </c>
      <c r="AF32" s="50">
        <v>1461641600</v>
      </c>
      <c r="AG32" s="53" t="s">
        <v>55</v>
      </c>
    </row>
    <row r="33" spans="1:33" ht="15" customHeight="1">
      <c r="A33" s="46" t="s">
        <v>91</v>
      </c>
      <c r="B33" s="3" t="str">
        <f>_xlfn.IFNA(VLOOKUP(C33,Master!$J:$K,2,0),"")</f>
        <v>B2220</v>
      </c>
      <c r="C33" s="46" t="s">
        <v>83</v>
      </c>
      <c r="D33" s="4" t="str">
        <f>_xlfn.IFNA(VLOOKUP(E33,Master!$J:$K,2,0),"")</f>
        <v>B5900</v>
      </c>
      <c r="E33" s="46" t="s">
        <v>231</v>
      </c>
      <c r="F33" s="4">
        <f>_xlfn.IFNA(VLOOKUP(G33,Master!B:C,2,0),"")</f>
        <v>7511103</v>
      </c>
      <c r="G33" s="46" t="s">
        <v>531</v>
      </c>
      <c r="H33" s="46" t="s">
        <v>532</v>
      </c>
      <c r="I33" s="3" t="str">
        <f>_xlfn.IFNA(VLOOKUP(E33,Master!$J:$M,4,0),"")</f>
        <v>IND</v>
      </c>
      <c r="J33" s="3" t="str">
        <f>_xlfn.IFNA(VLOOKUP($E33,Master!$J:$M,3,0),"")</f>
        <v>MFG</v>
      </c>
      <c r="M33" s="50">
        <v>97042000</v>
      </c>
      <c r="N33" s="50">
        <v>103835500</v>
      </c>
      <c r="O33" s="50">
        <v>103835500</v>
      </c>
      <c r="P33" s="50">
        <v>103835500</v>
      </c>
      <c r="Q33" s="50">
        <v>103835500</v>
      </c>
      <c r="R33" s="50">
        <v>103835500</v>
      </c>
      <c r="S33" s="50">
        <v>103835500</v>
      </c>
      <c r="T33" s="50">
        <v>103835500</v>
      </c>
      <c r="U33" s="50">
        <v>103835500</v>
      </c>
      <c r="V33" s="50">
        <v>103835500</v>
      </c>
      <c r="W33" s="50">
        <v>103835500</v>
      </c>
      <c r="X33" s="50">
        <v>103835500</v>
      </c>
      <c r="Y33" s="50">
        <v>103835500</v>
      </c>
      <c r="Z33" s="50">
        <v>111104000</v>
      </c>
      <c r="AA33" s="50">
        <v>111104000</v>
      </c>
      <c r="AB33" s="50">
        <v>111104000</v>
      </c>
      <c r="AC33" s="26">
        <f t="shared" si="0"/>
        <v>408548500</v>
      </c>
      <c r="AD33" s="26">
        <f t="shared" si="1"/>
        <v>1267831500</v>
      </c>
      <c r="AE33" s="50">
        <v>1370765700</v>
      </c>
      <c r="AF33" s="50">
        <v>1343855100</v>
      </c>
      <c r="AG33" s="53" t="s">
        <v>55</v>
      </c>
    </row>
    <row r="34" spans="1:33" ht="15" customHeight="1">
      <c r="A34" s="46" t="s">
        <v>91</v>
      </c>
      <c r="B34" s="3" t="str">
        <f>_xlfn.IFNA(VLOOKUP(C34,Master!$J:$K,2,0),"")</f>
        <v>B2220</v>
      </c>
      <c r="C34" s="46" t="s">
        <v>83</v>
      </c>
      <c r="D34" s="4" t="str">
        <f>_xlfn.IFNA(VLOOKUP(E34,Master!$J:$K,2,0),"")</f>
        <v>B2210</v>
      </c>
      <c r="E34" s="46" t="s">
        <v>78</v>
      </c>
      <c r="F34" s="4">
        <f>_xlfn.IFNA(VLOOKUP(G34,Master!B:C,2,0),"")</f>
        <v>7511111</v>
      </c>
      <c r="G34" s="46" t="s">
        <v>75</v>
      </c>
      <c r="H34" s="46" t="s">
        <v>533</v>
      </c>
      <c r="I34" s="3" t="str">
        <f>_xlfn.IFNA(VLOOKUP(E34,Master!$J:$M,4,0),"")</f>
        <v>ADM</v>
      </c>
      <c r="J34" s="3" t="str">
        <f>_xlfn.IFNA(VLOOKUP($E34,Master!$J:$M,3,0),"")</f>
        <v>SGA</v>
      </c>
      <c r="M34" s="50">
        <v>76500</v>
      </c>
      <c r="N34" s="50">
        <v>76500</v>
      </c>
      <c r="O34" s="50">
        <v>76500</v>
      </c>
      <c r="P34" s="50">
        <v>76500</v>
      </c>
      <c r="Q34" s="50">
        <v>76500</v>
      </c>
      <c r="R34" s="50">
        <v>72000</v>
      </c>
      <c r="S34" s="50">
        <v>72000</v>
      </c>
      <c r="T34" s="50">
        <v>67500</v>
      </c>
      <c r="U34" s="50">
        <v>67500</v>
      </c>
      <c r="V34" s="50">
        <v>67500</v>
      </c>
      <c r="W34" s="50">
        <v>67500</v>
      </c>
      <c r="X34" s="50">
        <v>67500</v>
      </c>
      <c r="Y34" s="50">
        <v>63000</v>
      </c>
      <c r="Z34" s="50">
        <v>63000</v>
      </c>
      <c r="AA34" s="50">
        <v>63000</v>
      </c>
      <c r="AB34" s="50">
        <v>63000</v>
      </c>
      <c r="AC34" s="26">
        <f t="shared" si="0"/>
        <v>306000</v>
      </c>
      <c r="AD34" s="26">
        <f t="shared" si="1"/>
        <v>810000</v>
      </c>
      <c r="AE34" s="50">
        <v>810000</v>
      </c>
      <c r="AF34" s="50">
        <v>697500</v>
      </c>
      <c r="AG34" s="53" t="s">
        <v>55</v>
      </c>
    </row>
    <row r="35" spans="1:33" ht="15" customHeight="1">
      <c r="A35" s="46" t="s">
        <v>91</v>
      </c>
      <c r="B35" s="3" t="str">
        <f>_xlfn.IFNA(VLOOKUP(C35,Master!$J:$K,2,0),"")</f>
        <v>B2220</v>
      </c>
      <c r="C35" s="46" t="s">
        <v>83</v>
      </c>
      <c r="D35" s="4" t="str">
        <f>_xlfn.IFNA(VLOOKUP(E35,Master!$J:$K,2,0),"")</f>
        <v>B2210</v>
      </c>
      <c r="E35" s="46" t="s">
        <v>78</v>
      </c>
      <c r="F35" s="4">
        <f>_xlfn.IFNA(VLOOKUP(G35,Master!B:C,2,0),"")</f>
        <v>7511111</v>
      </c>
      <c r="G35" s="46" t="s">
        <v>75</v>
      </c>
      <c r="H35" s="46" t="s">
        <v>534</v>
      </c>
      <c r="I35" s="3" t="str">
        <f>_xlfn.IFNA(VLOOKUP(E35,Master!$J:$M,4,0),"")</f>
        <v>ADM</v>
      </c>
      <c r="J35" s="3" t="str">
        <f>_xlfn.IFNA(VLOOKUP($E35,Master!$J:$M,3,0),"")</f>
        <v>SGA</v>
      </c>
      <c r="M35" s="50">
        <v>7875200</v>
      </c>
      <c r="N35" s="50">
        <v>9162400</v>
      </c>
      <c r="O35" s="50">
        <v>8457600</v>
      </c>
      <c r="P35" s="50">
        <v>7400400</v>
      </c>
      <c r="Q35" s="50">
        <v>6343200</v>
      </c>
      <c r="R35" s="50">
        <v>7337000</v>
      </c>
      <c r="S35" s="50">
        <v>7003500</v>
      </c>
      <c r="T35" s="50">
        <v>7865000</v>
      </c>
      <c r="U35" s="50">
        <v>7550400</v>
      </c>
      <c r="V35" s="50">
        <v>6921200</v>
      </c>
      <c r="W35" s="50">
        <v>7865000</v>
      </c>
      <c r="X35" s="50">
        <v>7235800</v>
      </c>
      <c r="Y35" s="50">
        <v>6505400</v>
      </c>
      <c r="Z35" s="50">
        <v>7437600</v>
      </c>
      <c r="AA35" s="50">
        <v>6817800</v>
      </c>
      <c r="AB35" s="50">
        <v>5888100</v>
      </c>
      <c r="AC35" s="26">
        <f t="shared" si="0"/>
        <v>32895600</v>
      </c>
      <c r="AD35" s="26">
        <f t="shared" si="1"/>
        <v>84770000</v>
      </c>
      <c r="AE35" s="50">
        <v>85818400</v>
      </c>
      <c r="AF35" s="50">
        <v>74372100</v>
      </c>
      <c r="AG35" s="53" t="s">
        <v>55</v>
      </c>
    </row>
    <row r="36" spans="1:33" ht="15" customHeight="1">
      <c r="A36" s="46" t="s">
        <v>91</v>
      </c>
      <c r="B36" s="3" t="str">
        <f>_xlfn.IFNA(VLOOKUP(C36,Master!$J:$K,2,0),"")</f>
        <v>B2220</v>
      </c>
      <c r="C36" s="46" t="s">
        <v>83</v>
      </c>
      <c r="D36" s="4" t="str">
        <f>_xlfn.IFNA(VLOOKUP(E36,Master!$J:$K,2,0),"")</f>
        <v>B2210</v>
      </c>
      <c r="E36" s="46" t="s">
        <v>78</v>
      </c>
      <c r="F36" s="4">
        <f>_xlfn.IFNA(VLOOKUP(G36,Master!B:C,2,0),"")</f>
        <v>7511111</v>
      </c>
      <c r="G36" s="46" t="s">
        <v>75</v>
      </c>
      <c r="H36" s="46" t="s">
        <v>535</v>
      </c>
      <c r="I36" s="3" t="str">
        <f>_xlfn.IFNA(VLOOKUP(E36,Master!$J:$M,4,0),"")</f>
        <v>ADM</v>
      </c>
      <c r="J36" s="3" t="str">
        <f>_xlfn.IFNA(VLOOKUP($E36,Master!$J:$M,3,0),"")</f>
        <v>SGA</v>
      </c>
      <c r="M36" s="50">
        <v>1550000</v>
      </c>
      <c r="N36" s="50">
        <v>1550000</v>
      </c>
      <c r="O36" s="50">
        <v>1550000</v>
      </c>
      <c r="P36" s="50">
        <v>1550000</v>
      </c>
      <c r="Q36" s="50">
        <v>1550000</v>
      </c>
      <c r="R36" s="50">
        <v>1550000</v>
      </c>
      <c r="S36" s="50">
        <v>1550000</v>
      </c>
      <c r="T36" s="50">
        <v>1550000</v>
      </c>
      <c r="U36" s="50">
        <v>1550000</v>
      </c>
      <c r="V36" s="50">
        <v>1550000</v>
      </c>
      <c r="W36" s="50">
        <v>1550000</v>
      </c>
      <c r="X36" s="50">
        <v>1550000</v>
      </c>
      <c r="Y36" s="50">
        <v>1550000</v>
      </c>
      <c r="Z36" s="50">
        <v>2950000</v>
      </c>
      <c r="AA36" s="50">
        <v>2950000</v>
      </c>
      <c r="AB36" s="50">
        <v>2950000</v>
      </c>
      <c r="AC36" s="26">
        <f t="shared" si="0"/>
        <v>6200000</v>
      </c>
      <c r="AD36" s="26">
        <f t="shared" si="1"/>
        <v>22800000</v>
      </c>
      <c r="AE36" s="50">
        <v>41400000</v>
      </c>
      <c r="AF36" s="50">
        <v>33900000</v>
      </c>
      <c r="AG36" s="53" t="s">
        <v>55</v>
      </c>
    </row>
    <row r="37" spans="1:33" ht="15" customHeight="1">
      <c r="A37" s="46" t="s">
        <v>91</v>
      </c>
      <c r="B37" s="3" t="str">
        <f>_xlfn.IFNA(VLOOKUP(C37,Master!$J:$K,2,0),"")</f>
        <v>B2220</v>
      </c>
      <c r="C37" s="46" t="s">
        <v>83</v>
      </c>
      <c r="D37" s="4" t="str">
        <f>_xlfn.IFNA(VLOOKUP(E37,Master!$J:$K,2,0),"")</f>
        <v>B2210</v>
      </c>
      <c r="E37" s="46" t="s">
        <v>78</v>
      </c>
      <c r="F37" s="4">
        <f>_xlfn.IFNA(VLOOKUP(G37,Master!B:C,2,0),"")</f>
        <v>7511111</v>
      </c>
      <c r="G37" s="46" t="s">
        <v>75</v>
      </c>
      <c r="H37" s="46" t="s">
        <v>536</v>
      </c>
      <c r="I37" s="3" t="str">
        <f>_xlfn.IFNA(VLOOKUP(E37,Master!$J:$M,4,0),"")</f>
        <v>ADM</v>
      </c>
      <c r="J37" s="3" t="str">
        <f>_xlfn.IFNA(VLOOKUP($E37,Master!$J:$M,3,0),"")</f>
        <v>SGA</v>
      </c>
      <c r="P37" s="50">
        <v>3128000</v>
      </c>
      <c r="Q37" s="50">
        <v>1564000</v>
      </c>
      <c r="AB37" s="50">
        <v>4032000</v>
      </c>
      <c r="AC37" s="26">
        <f t="shared" si="0"/>
        <v>3128000</v>
      </c>
      <c r="AD37" s="26">
        <f t="shared" si="1"/>
        <v>5596000</v>
      </c>
      <c r="AE37" s="50">
        <v>4500000</v>
      </c>
      <c r="AF37" s="50">
        <v>3432000</v>
      </c>
      <c r="AG37" s="53" t="s">
        <v>55</v>
      </c>
    </row>
    <row r="38" spans="1:33" ht="15" customHeight="1">
      <c r="A38" s="46" t="s">
        <v>91</v>
      </c>
      <c r="B38" s="3" t="str">
        <f>_xlfn.IFNA(VLOOKUP(C38,Master!$J:$K,2,0),"")</f>
        <v>B2220</v>
      </c>
      <c r="C38" s="46" t="s">
        <v>83</v>
      </c>
      <c r="D38" s="4" t="str">
        <f>_xlfn.IFNA(VLOOKUP(E38,Master!$J:$K,2,0),"")</f>
        <v>B2210</v>
      </c>
      <c r="E38" s="46" t="s">
        <v>78</v>
      </c>
      <c r="F38" s="4">
        <f>_xlfn.IFNA(VLOOKUP(G38,Master!B:C,2,0),"")</f>
        <v>7511111</v>
      </c>
      <c r="G38" s="46" t="s">
        <v>75</v>
      </c>
      <c r="H38" s="46" t="s">
        <v>537</v>
      </c>
      <c r="I38" s="3" t="str">
        <f>_xlfn.IFNA(VLOOKUP(E38,Master!$J:$M,4,0),"")</f>
        <v>ADM</v>
      </c>
      <c r="J38" s="3" t="str">
        <f>_xlfn.IFNA(VLOOKUP($E38,Master!$J:$M,3,0),"")</f>
        <v>SGA</v>
      </c>
      <c r="M38" s="50">
        <v>1000000</v>
      </c>
      <c r="N38" s="50">
        <v>1000000</v>
      </c>
      <c r="O38" s="50">
        <v>1000000</v>
      </c>
      <c r="P38" s="50">
        <v>1000000</v>
      </c>
      <c r="Q38" s="50">
        <v>1000000</v>
      </c>
      <c r="R38" s="50">
        <v>940000</v>
      </c>
      <c r="S38" s="50">
        <v>940000</v>
      </c>
      <c r="T38" s="50">
        <v>880000</v>
      </c>
      <c r="U38" s="50">
        <v>880000</v>
      </c>
      <c r="V38" s="50">
        <v>880000</v>
      </c>
      <c r="W38" s="50">
        <v>880000</v>
      </c>
      <c r="X38" s="50">
        <v>880000</v>
      </c>
      <c r="Y38" s="50">
        <v>820000</v>
      </c>
      <c r="Z38" s="50">
        <v>820000</v>
      </c>
      <c r="AA38" s="50">
        <v>820000</v>
      </c>
      <c r="AB38" s="50">
        <v>820000</v>
      </c>
      <c r="AC38" s="26">
        <f t="shared" si="0"/>
        <v>4000000</v>
      </c>
      <c r="AD38" s="26">
        <f t="shared" si="1"/>
        <v>10560000</v>
      </c>
      <c r="AE38" s="50">
        <v>10560000</v>
      </c>
      <c r="AF38" s="50">
        <v>9060000</v>
      </c>
      <c r="AG38" s="53" t="s">
        <v>55</v>
      </c>
    </row>
    <row r="39" spans="1:33" ht="15" customHeight="1">
      <c r="A39" s="46" t="s">
        <v>91</v>
      </c>
      <c r="B39" s="3" t="str">
        <f>_xlfn.IFNA(VLOOKUP(C39,Master!$J:$K,2,0),"")</f>
        <v>B2220</v>
      </c>
      <c r="C39" s="46" t="s">
        <v>83</v>
      </c>
      <c r="D39" s="4" t="str">
        <f>_xlfn.IFNA(VLOOKUP(E39,Master!$J:$K,2,0),"")</f>
        <v>B2210</v>
      </c>
      <c r="E39" s="46" t="s">
        <v>78</v>
      </c>
      <c r="F39" s="4">
        <f>_xlfn.IFNA(VLOOKUP(G39,Master!B:C,2,0),"")</f>
        <v>7511111</v>
      </c>
      <c r="G39" s="46" t="s">
        <v>75</v>
      </c>
      <c r="H39" s="46" t="s">
        <v>538</v>
      </c>
      <c r="I39" s="3" t="str">
        <f>_xlfn.IFNA(VLOOKUP(E39,Master!$J:$M,4,0),"")</f>
        <v>ADM</v>
      </c>
      <c r="J39" s="3" t="str">
        <f>_xlfn.IFNA(VLOOKUP($E39,Master!$J:$M,3,0),"")</f>
        <v>SGA</v>
      </c>
      <c r="M39" s="50">
        <v>5100000</v>
      </c>
      <c r="N39" s="50">
        <v>5100000</v>
      </c>
      <c r="O39" s="50">
        <v>5100000</v>
      </c>
      <c r="P39" s="50">
        <v>5100000</v>
      </c>
      <c r="Q39" s="50">
        <v>5100000</v>
      </c>
      <c r="R39" s="50">
        <v>4800000</v>
      </c>
      <c r="S39" s="50">
        <v>4800000</v>
      </c>
      <c r="T39" s="50">
        <v>4500000</v>
      </c>
      <c r="U39" s="50">
        <v>4500000</v>
      </c>
      <c r="V39" s="50">
        <v>4500000</v>
      </c>
      <c r="W39" s="50">
        <v>4500000</v>
      </c>
      <c r="X39" s="50">
        <v>4500000</v>
      </c>
      <c r="Y39" s="50">
        <v>4200000</v>
      </c>
      <c r="Z39" s="50">
        <v>4200000</v>
      </c>
      <c r="AA39" s="50">
        <v>4200000</v>
      </c>
      <c r="AB39" s="50">
        <v>4200000</v>
      </c>
      <c r="AC39" s="26">
        <f t="shared" si="0"/>
        <v>20400000</v>
      </c>
      <c r="AD39" s="26">
        <f t="shared" si="1"/>
        <v>54000000</v>
      </c>
      <c r="AE39" s="50">
        <v>54000000</v>
      </c>
      <c r="AF39" s="50">
        <v>46500000</v>
      </c>
      <c r="AG39" s="53" t="s">
        <v>55</v>
      </c>
    </row>
    <row r="40" spans="1:33" ht="15" customHeight="1">
      <c r="A40" s="46" t="s">
        <v>91</v>
      </c>
      <c r="B40" s="3" t="str">
        <f>_xlfn.IFNA(VLOOKUP(C40,Master!$J:$K,2,0),"")</f>
        <v>B2220</v>
      </c>
      <c r="C40" s="46" t="s">
        <v>83</v>
      </c>
      <c r="D40" s="4" t="str">
        <f>_xlfn.IFNA(VLOOKUP(E40,Master!$J:$K,2,0),"")</f>
        <v>B2220</v>
      </c>
      <c r="E40" s="46" t="s">
        <v>83</v>
      </c>
      <c r="F40" s="4">
        <f>_xlfn.IFNA(VLOOKUP(G40,Master!B:C,2,0),"")</f>
        <v>7511111</v>
      </c>
      <c r="G40" s="46" t="s">
        <v>75</v>
      </c>
      <c r="H40" s="46" t="s">
        <v>533</v>
      </c>
      <c r="I40" s="3" t="str">
        <f>_xlfn.IFNA(VLOOKUP(E40,Master!$J:$M,4,0),"")</f>
        <v>ADM</v>
      </c>
      <c r="J40" s="3" t="str">
        <f>_xlfn.IFNA(VLOOKUP($E40,Master!$J:$M,3,0),"")</f>
        <v>SGA</v>
      </c>
      <c r="M40" s="50">
        <v>22500</v>
      </c>
      <c r="N40" s="50">
        <v>22500</v>
      </c>
      <c r="O40" s="50">
        <v>27000</v>
      </c>
      <c r="P40" s="50">
        <v>27000</v>
      </c>
      <c r="Q40" s="50">
        <v>31500</v>
      </c>
      <c r="R40" s="50">
        <v>31500</v>
      </c>
      <c r="S40" s="50">
        <v>31500</v>
      </c>
      <c r="T40" s="50">
        <v>31500</v>
      </c>
      <c r="U40" s="50">
        <v>31500</v>
      </c>
      <c r="V40" s="50">
        <v>31500</v>
      </c>
      <c r="W40" s="50">
        <v>31500</v>
      </c>
      <c r="X40" s="50">
        <v>31500</v>
      </c>
      <c r="Y40" s="50">
        <v>31500</v>
      </c>
      <c r="Z40" s="50">
        <v>31500</v>
      </c>
      <c r="AA40" s="50">
        <v>31500</v>
      </c>
      <c r="AB40" s="50">
        <v>31500</v>
      </c>
      <c r="AC40" s="26">
        <f t="shared" si="0"/>
        <v>99000</v>
      </c>
      <c r="AD40" s="26">
        <f t="shared" si="1"/>
        <v>378000</v>
      </c>
      <c r="AE40" s="50">
        <v>378000</v>
      </c>
      <c r="AF40" s="50">
        <v>378000</v>
      </c>
      <c r="AG40" s="53" t="s">
        <v>55</v>
      </c>
    </row>
    <row r="41" spans="1:33" ht="15" customHeight="1">
      <c r="A41" s="46" t="s">
        <v>91</v>
      </c>
      <c r="B41" s="3" t="str">
        <f>_xlfn.IFNA(VLOOKUP(C41,Master!$J:$K,2,0),"")</f>
        <v>B2220</v>
      </c>
      <c r="C41" s="46" t="s">
        <v>83</v>
      </c>
      <c r="D41" s="4" t="str">
        <f>_xlfn.IFNA(VLOOKUP(E41,Master!$J:$K,2,0),"")</f>
        <v>B2220</v>
      </c>
      <c r="E41" s="46" t="s">
        <v>83</v>
      </c>
      <c r="F41" s="4">
        <f>_xlfn.IFNA(VLOOKUP(G41,Master!B:C,2,0),"")</f>
        <v>7511111</v>
      </c>
      <c r="G41" s="46" t="s">
        <v>75</v>
      </c>
      <c r="H41" s="46" t="s">
        <v>534</v>
      </c>
      <c r="I41" s="3" t="str">
        <f>_xlfn.IFNA(VLOOKUP(E41,Master!$J:$M,4,0),"")</f>
        <v>ADM</v>
      </c>
      <c r="J41" s="3" t="str">
        <f>_xlfn.IFNA(VLOOKUP($E41,Master!$J:$M,3,0),"")</f>
        <v>SGA</v>
      </c>
      <c r="M41" s="50">
        <v>12720650</v>
      </c>
      <c r="N41" s="50">
        <v>13010300</v>
      </c>
      <c r="O41" s="50">
        <v>16317200</v>
      </c>
      <c r="P41" s="50">
        <v>16027550</v>
      </c>
      <c r="Q41" s="50">
        <v>18696000</v>
      </c>
      <c r="R41" s="50">
        <v>19184000</v>
      </c>
      <c r="S41" s="50">
        <v>19062000</v>
      </c>
      <c r="T41" s="50">
        <v>19550000</v>
      </c>
      <c r="U41" s="50">
        <v>19428000</v>
      </c>
      <c r="V41" s="50">
        <v>19184000</v>
      </c>
      <c r="W41" s="50">
        <v>19550000</v>
      </c>
      <c r="X41" s="50">
        <v>19306000</v>
      </c>
      <c r="Y41" s="50">
        <v>19184000</v>
      </c>
      <c r="Z41" s="50">
        <v>19428000</v>
      </c>
      <c r="AA41" s="50">
        <v>19184000</v>
      </c>
      <c r="AB41" s="50">
        <v>18818000</v>
      </c>
      <c r="AC41" s="26">
        <f t="shared" si="0"/>
        <v>58075700</v>
      </c>
      <c r="AD41" s="26">
        <f t="shared" si="1"/>
        <v>230574000</v>
      </c>
      <c r="AE41" s="50">
        <v>231153000</v>
      </c>
      <c r="AF41" s="50">
        <v>233700000</v>
      </c>
      <c r="AG41" s="53" t="s">
        <v>55</v>
      </c>
    </row>
    <row r="42" spans="1:33" ht="15" customHeight="1">
      <c r="A42" s="46" t="s">
        <v>91</v>
      </c>
      <c r="B42" s="3" t="str">
        <f>_xlfn.IFNA(VLOOKUP(C42,Master!$J:$K,2,0),"")</f>
        <v>B2220</v>
      </c>
      <c r="C42" s="46" t="s">
        <v>83</v>
      </c>
      <c r="D42" s="4" t="str">
        <f>_xlfn.IFNA(VLOOKUP(E42,Master!$J:$K,2,0),"")</f>
        <v>B2220</v>
      </c>
      <c r="E42" s="46" t="s">
        <v>83</v>
      </c>
      <c r="F42" s="4">
        <f>_xlfn.IFNA(VLOOKUP(G42,Master!B:C,2,0),"")</f>
        <v>7511111</v>
      </c>
      <c r="G42" s="46" t="s">
        <v>75</v>
      </c>
      <c r="H42" s="46" t="s">
        <v>535</v>
      </c>
      <c r="I42" s="3" t="str">
        <f>_xlfn.IFNA(VLOOKUP(E42,Master!$J:$M,4,0),"")</f>
        <v>ADM</v>
      </c>
      <c r="J42" s="3" t="str">
        <f>_xlfn.IFNA(VLOOKUP($E42,Master!$J:$M,3,0),"")</f>
        <v>SGA</v>
      </c>
      <c r="M42" s="50">
        <v>4250000</v>
      </c>
      <c r="N42" s="50">
        <v>4250000</v>
      </c>
      <c r="O42" s="50">
        <v>5750000</v>
      </c>
      <c r="P42" s="50">
        <v>5750000</v>
      </c>
      <c r="Q42" s="50">
        <v>5750000</v>
      </c>
      <c r="R42" s="50">
        <v>5750000</v>
      </c>
      <c r="S42" s="50">
        <v>5750000</v>
      </c>
      <c r="T42" s="50">
        <v>5750000</v>
      </c>
      <c r="U42" s="50">
        <v>5750000</v>
      </c>
      <c r="V42" s="50">
        <v>5750000</v>
      </c>
      <c r="W42" s="50">
        <v>5750000</v>
      </c>
      <c r="X42" s="50">
        <v>5750000</v>
      </c>
      <c r="Y42" s="50">
        <v>5750000</v>
      </c>
      <c r="Z42" s="50">
        <v>7600000</v>
      </c>
      <c r="AA42" s="50">
        <v>7600000</v>
      </c>
      <c r="AB42" s="50">
        <v>7600000</v>
      </c>
      <c r="AC42" s="26">
        <f t="shared" si="0"/>
        <v>20000000</v>
      </c>
      <c r="AD42" s="26">
        <f t="shared" si="1"/>
        <v>74550000</v>
      </c>
      <c r="AE42" s="50">
        <v>91200000</v>
      </c>
      <c r="AF42" s="50">
        <v>91200000</v>
      </c>
      <c r="AG42" s="53" t="s">
        <v>55</v>
      </c>
    </row>
    <row r="43" spans="1:33" ht="15" customHeight="1">
      <c r="A43" s="46" t="s">
        <v>91</v>
      </c>
      <c r="B43" s="3" t="str">
        <f>_xlfn.IFNA(VLOOKUP(C43,Master!$J:$K,2,0),"")</f>
        <v>B2220</v>
      </c>
      <c r="C43" s="46" t="s">
        <v>83</v>
      </c>
      <c r="D43" s="4" t="str">
        <f>_xlfn.IFNA(VLOOKUP(E43,Master!$J:$K,2,0),"")</f>
        <v>B2220</v>
      </c>
      <c r="E43" s="46" t="s">
        <v>83</v>
      </c>
      <c r="F43" s="4">
        <f>_xlfn.IFNA(VLOOKUP(G43,Master!B:C,2,0),"")</f>
        <v>7511111</v>
      </c>
      <c r="G43" s="46" t="s">
        <v>75</v>
      </c>
      <c r="H43" s="46" t="s">
        <v>536</v>
      </c>
      <c r="I43" s="3" t="str">
        <f>_xlfn.IFNA(VLOOKUP(E43,Master!$J:$M,4,0),"")</f>
        <v>ADM</v>
      </c>
      <c r="J43" s="3" t="str">
        <f>_xlfn.IFNA(VLOOKUP($E43,Master!$J:$M,3,0),"")</f>
        <v>SGA</v>
      </c>
      <c r="P43" s="50">
        <v>1104000</v>
      </c>
      <c r="Q43" s="50">
        <v>644000</v>
      </c>
      <c r="AB43" s="50">
        <v>2016000</v>
      </c>
      <c r="AC43" s="26">
        <f t="shared" si="0"/>
        <v>1104000</v>
      </c>
      <c r="AD43" s="26">
        <f t="shared" si="1"/>
        <v>2660000</v>
      </c>
      <c r="AE43" s="50">
        <v>2100000</v>
      </c>
      <c r="AF43" s="50">
        <v>2184000</v>
      </c>
      <c r="AG43" s="53" t="s">
        <v>55</v>
      </c>
    </row>
    <row r="44" spans="1:33" ht="15" customHeight="1">
      <c r="A44" s="46" t="s">
        <v>91</v>
      </c>
      <c r="B44" s="3" t="str">
        <f>_xlfn.IFNA(VLOOKUP(C44,Master!$J:$K,2,0),"")</f>
        <v>B2220</v>
      </c>
      <c r="C44" s="46" t="s">
        <v>83</v>
      </c>
      <c r="D44" s="4" t="str">
        <f>_xlfn.IFNA(VLOOKUP(E44,Master!$J:$K,2,0),"")</f>
        <v>B2220</v>
      </c>
      <c r="E44" s="46" t="s">
        <v>83</v>
      </c>
      <c r="F44" s="4">
        <f>_xlfn.IFNA(VLOOKUP(G44,Master!B:C,2,0),"")</f>
        <v>7511111</v>
      </c>
      <c r="G44" s="46" t="s">
        <v>75</v>
      </c>
      <c r="H44" s="46" t="s">
        <v>537</v>
      </c>
      <c r="I44" s="3" t="str">
        <f>_xlfn.IFNA(VLOOKUP(E44,Master!$J:$M,4,0),"")</f>
        <v>ADM</v>
      </c>
      <c r="J44" s="3" t="str">
        <f>_xlfn.IFNA(VLOOKUP($E44,Master!$J:$M,3,0),"")</f>
        <v>SGA</v>
      </c>
      <c r="M44" s="50">
        <v>160000</v>
      </c>
      <c r="N44" s="50">
        <v>160000</v>
      </c>
      <c r="O44" s="50">
        <v>160000</v>
      </c>
      <c r="P44" s="50">
        <v>160000</v>
      </c>
      <c r="Q44" s="50">
        <v>220000</v>
      </c>
      <c r="R44" s="50">
        <v>220000</v>
      </c>
      <c r="S44" s="50">
        <v>220000</v>
      </c>
      <c r="T44" s="50">
        <v>220000</v>
      </c>
      <c r="U44" s="50">
        <v>220000</v>
      </c>
      <c r="V44" s="50">
        <v>220000</v>
      </c>
      <c r="W44" s="50">
        <v>220000</v>
      </c>
      <c r="X44" s="50">
        <v>220000</v>
      </c>
      <c r="Y44" s="50">
        <v>220000</v>
      </c>
      <c r="Z44" s="50">
        <v>220000</v>
      </c>
      <c r="AA44" s="50">
        <v>220000</v>
      </c>
      <c r="AB44" s="50">
        <v>220000</v>
      </c>
      <c r="AC44" s="26">
        <f t="shared" si="0"/>
        <v>640000</v>
      </c>
      <c r="AD44" s="26">
        <f t="shared" si="1"/>
        <v>2640000</v>
      </c>
      <c r="AE44" s="50">
        <v>2640000</v>
      </c>
      <c r="AF44" s="50">
        <v>2640000</v>
      </c>
      <c r="AG44" s="53" t="s">
        <v>55</v>
      </c>
    </row>
    <row r="45" spans="1:33" ht="15" customHeight="1">
      <c r="A45" s="46" t="s">
        <v>91</v>
      </c>
      <c r="B45" s="3" t="str">
        <f>_xlfn.IFNA(VLOOKUP(C45,Master!$J:$K,2,0),"")</f>
        <v>B2220</v>
      </c>
      <c r="C45" s="46" t="s">
        <v>83</v>
      </c>
      <c r="D45" s="4" t="str">
        <f>_xlfn.IFNA(VLOOKUP(E45,Master!$J:$K,2,0),"")</f>
        <v>B2220</v>
      </c>
      <c r="E45" s="46" t="s">
        <v>83</v>
      </c>
      <c r="F45" s="4">
        <f>_xlfn.IFNA(VLOOKUP(G45,Master!B:C,2,0),"")</f>
        <v>7511111</v>
      </c>
      <c r="G45" s="46" t="s">
        <v>75</v>
      </c>
      <c r="H45" s="46" t="s">
        <v>538</v>
      </c>
      <c r="I45" s="3" t="str">
        <f>_xlfn.IFNA(VLOOKUP(E45,Master!$J:$M,4,0),"")</f>
        <v>ADM</v>
      </c>
      <c r="J45" s="3" t="str">
        <f>_xlfn.IFNA(VLOOKUP($E45,Master!$J:$M,3,0),"")</f>
        <v>SGA</v>
      </c>
      <c r="M45" s="50">
        <v>1200000</v>
      </c>
      <c r="N45" s="50">
        <v>1200000</v>
      </c>
      <c r="O45" s="50">
        <v>3200000</v>
      </c>
      <c r="P45" s="50">
        <v>3200000</v>
      </c>
      <c r="Q45" s="50">
        <v>3500000</v>
      </c>
      <c r="R45" s="50">
        <v>3500000</v>
      </c>
      <c r="S45" s="50">
        <v>3500000</v>
      </c>
      <c r="T45" s="50">
        <v>3500000</v>
      </c>
      <c r="U45" s="50">
        <v>3500000</v>
      </c>
      <c r="V45" s="50">
        <v>3500000</v>
      </c>
      <c r="W45" s="50">
        <v>3500000</v>
      </c>
      <c r="X45" s="50">
        <v>3500000</v>
      </c>
      <c r="Y45" s="50">
        <v>3500000</v>
      </c>
      <c r="Z45" s="50">
        <v>3500000</v>
      </c>
      <c r="AA45" s="50">
        <v>3500000</v>
      </c>
      <c r="AB45" s="50">
        <v>3500000</v>
      </c>
      <c r="AC45" s="26">
        <f t="shared" si="0"/>
        <v>8800000</v>
      </c>
      <c r="AD45" s="26">
        <f t="shared" si="1"/>
        <v>42000000</v>
      </c>
      <c r="AE45" s="50">
        <v>42000000</v>
      </c>
      <c r="AF45" s="50">
        <v>42000000</v>
      </c>
      <c r="AG45" s="53" t="s">
        <v>55</v>
      </c>
    </row>
    <row r="46" spans="1:33" ht="15" customHeight="1">
      <c r="A46" s="46" t="s">
        <v>91</v>
      </c>
      <c r="B46" s="3" t="str">
        <f>_xlfn.IFNA(VLOOKUP(C46,Master!$J:$K,2,0),"")</f>
        <v>B2220</v>
      </c>
      <c r="C46" s="46" t="s">
        <v>83</v>
      </c>
      <c r="D46" s="4" t="str">
        <f>_xlfn.IFNA(VLOOKUP(E46,Master!$J:$K,2,0),"")</f>
        <v>B2230</v>
      </c>
      <c r="E46" s="46" t="s">
        <v>89</v>
      </c>
      <c r="F46" s="4">
        <f>_xlfn.IFNA(VLOOKUP(G46,Master!B:C,2,0),"")</f>
        <v>7511111</v>
      </c>
      <c r="G46" s="46" t="s">
        <v>75</v>
      </c>
      <c r="H46" s="46" t="s">
        <v>533</v>
      </c>
      <c r="I46" s="3" t="str">
        <f>_xlfn.IFNA(VLOOKUP(E46,Master!$J:$M,4,0),"")</f>
        <v>ADM</v>
      </c>
      <c r="J46" s="3" t="str">
        <f>_xlfn.IFNA(VLOOKUP($E46,Master!$J:$M,3,0),"")</f>
        <v>SGA</v>
      </c>
      <c r="M46" s="50">
        <v>18000</v>
      </c>
      <c r="N46" s="50">
        <v>18000</v>
      </c>
      <c r="O46" s="50">
        <v>18000</v>
      </c>
      <c r="P46" s="50">
        <v>18000</v>
      </c>
      <c r="Q46" s="50">
        <v>18000</v>
      </c>
      <c r="R46" s="50">
        <v>18000</v>
      </c>
      <c r="S46" s="50">
        <v>18000</v>
      </c>
      <c r="T46" s="50">
        <v>18000</v>
      </c>
      <c r="U46" s="50">
        <v>18000</v>
      </c>
      <c r="V46" s="50">
        <v>18000</v>
      </c>
      <c r="W46" s="50">
        <v>18000</v>
      </c>
      <c r="X46" s="50">
        <v>18000</v>
      </c>
      <c r="Y46" s="50">
        <v>18000</v>
      </c>
      <c r="Z46" s="50">
        <v>18000</v>
      </c>
      <c r="AA46" s="50">
        <v>18000</v>
      </c>
      <c r="AB46" s="50">
        <v>18000</v>
      </c>
      <c r="AC46" s="26">
        <f t="shared" si="0"/>
        <v>72000</v>
      </c>
      <c r="AD46" s="26">
        <f t="shared" si="1"/>
        <v>216000</v>
      </c>
      <c r="AE46" s="50">
        <v>216000</v>
      </c>
      <c r="AF46" s="50">
        <v>216000</v>
      </c>
      <c r="AG46" s="53" t="s">
        <v>55</v>
      </c>
    </row>
    <row r="47" spans="1:33" ht="15" customHeight="1">
      <c r="A47" s="46" t="s">
        <v>91</v>
      </c>
      <c r="B47" s="3" t="str">
        <f>_xlfn.IFNA(VLOOKUP(C47,Master!$J:$K,2,0),"")</f>
        <v>B2220</v>
      </c>
      <c r="C47" s="46" t="s">
        <v>83</v>
      </c>
      <c r="D47" s="4" t="str">
        <f>_xlfn.IFNA(VLOOKUP(E47,Master!$J:$K,2,0),"")</f>
        <v>B2230</v>
      </c>
      <c r="E47" s="46" t="s">
        <v>89</v>
      </c>
      <c r="F47" s="4">
        <f>_xlfn.IFNA(VLOOKUP(G47,Master!B:C,2,0),"")</f>
        <v>7511111</v>
      </c>
      <c r="G47" s="46" t="s">
        <v>75</v>
      </c>
      <c r="H47" s="46" t="s">
        <v>534</v>
      </c>
      <c r="I47" s="3" t="str">
        <f>_xlfn.IFNA(VLOOKUP(E47,Master!$J:$M,4,0),"")</f>
        <v>ADM</v>
      </c>
      <c r="J47" s="3" t="str">
        <f>_xlfn.IFNA(VLOOKUP($E47,Master!$J:$M,3,0),"")</f>
        <v>SGA</v>
      </c>
      <c r="M47" s="50">
        <v>4800650</v>
      </c>
      <c r="N47" s="50">
        <v>4970300</v>
      </c>
      <c r="O47" s="50">
        <v>4857200</v>
      </c>
      <c r="P47" s="50">
        <v>4687550</v>
      </c>
      <c r="Q47" s="50">
        <v>7080000</v>
      </c>
      <c r="R47" s="50">
        <v>7320000</v>
      </c>
      <c r="S47" s="50">
        <v>7260000</v>
      </c>
      <c r="T47" s="50">
        <v>7500000</v>
      </c>
      <c r="U47" s="50">
        <v>7440000</v>
      </c>
      <c r="V47" s="50">
        <v>7320000</v>
      </c>
      <c r="W47" s="50">
        <v>7500000</v>
      </c>
      <c r="X47" s="50">
        <v>7380000</v>
      </c>
      <c r="Y47" s="50">
        <v>7320000</v>
      </c>
      <c r="Z47" s="50">
        <v>7440000</v>
      </c>
      <c r="AA47" s="50">
        <v>7320000</v>
      </c>
      <c r="AB47" s="50">
        <v>7140000</v>
      </c>
      <c r="AC47" s="26">
        <f t="shared" si="0"/>
        <v>19315700</v>
      </c>
      <c r="AD47" s="26">
        <f t="shared" si="1"/>
        <v>88020000</v>
      </c>
      <c r="AE47" s="50">
        <v>88191000</v>
      </c>
      <c r="AF47" s="50">
        <v>89595000</v>
      </c>
      <c r="AG47" s="53" t="s">
        <v>55</v>
      </c>
    </row>
    <row r="48" spans="1:33" ht="15" customHeight="1">
      <c r="A48" s="46" t="s">
        <v>91</v>
      </c>
      <c r="B48" s="3" t="str">
        <f>_xlfn.IFNA(VLOOKUP(C48,Master!$J:$K,2,0),"")</f>
        <v>B2220</v>
      </c>
      <c r="C48" s="46" t="s">
        <v>83</v>
      </c>
      <c r="D48" s="4" t="str">
        <f>_xlfn.IFNA(VLOOKUP(E48,Master!$J:$K,2,0),"")</f>
        <v>B2230</v>
      </c>
      <c r="E48" s="46" t="s">
        <v>89</v>
      </c>
      <c r="F48" s="4">
        <f>_xlfn.IFNA(VLOOKUP(G48,Master!B:C,2,0),"")</f>
        <v>7511111</v>
      </c>
      <c r="G48" s="46" t="s">
        <v>75</v>
      </c>
      <c r="H48" s="46" t="s">
        <v>535</v>
      </c>
      <c r="I48" s="3" t="str">
        <f>_xlfn.IFNA(VLOOKUP(E48,Master!$J:$M,4,0),"")</f>
        <v>ADM</v>
      </c>
      <c r="J48" s="3" t="str">
        <f>_xlfn.IFNA(VLOOKUP($E48,Master!$J:$M,3,0),"")</f>
        <v>SGA</v>
      </c>
      <c r="M48" s="50">
        <v>1800000</v>
      </c>
      <c r="N48" s="50">
        <v>1800000</v>
      </c>
      <c r="O48" s="50">
        <v>1800000</v>
      </c>
      <c r="P48" s="50">
        <v>1800000</v>
      </c>
      <c r="Q48" s="50">
        <v>1800000</v>
      </c>
      <c r="R48" s="50">
        <v>1800000</v>
      </c>
      <c r="S48" s="50">
        <v>1800000</v>
      </c>
      <c r="T48" s="50">
        <v>1800000</v>
      </c>
      <c r="U48" s="50">
        <v>1800000</v>
      </c>
      <c r="V48" s="50">
        <v>1800000</v>
      </c>
      <c r="W48" s="50">
        <v>1800000</v>
      </c>
      <c r="X48" s="50">
        <v>1800000</v>
      </c>
      <c r="Y48" s="50">
        <v>1800000</v>
      </c>
      <c r="Z48" s="50">
        <v>3150000</v>
      </c>
      <c r="AA48" s="50">
        <v>3150000</v>
      </c>
      <c r="AB48" s="50">
        <v>3150000</v>
      </c>
      <c r="AC48" s="26">
        <f t="shared" si="0"/>
        <v>7200000</v>
      </c>
      <c r="AD48" s="26">
        <f t="shared" si="1"/>
        <v>25650000</v>
      </c>
      <c r="AE48" s="50">
        <v>37800000</v>
      </c>
      <c r="AF48" s="50">
        <v>39000000</v>
      </c>
      <c r="AG48" s="53" t="s">
        <v>55</v>
      </c>
    </row>
    <row r="49" spans="1:33" ht="15" customHeight="1">
      <c r="A49" s="46" t="s">
        <v>91</v>
      </c>
      <c r="B49" s="3" t="str">
        <f>_xlfn.IFNA(VLOOKUP(C49,Master!$J:$K,2,0),"")</f>
        <v>B2220</v>
      </c>
      <c r="C49" s="46" t="s">
        <v>83</v>
      </c>
      <c r="D49" s="4" t="str">
        <f>_xlfn.IFNA(VLOOKUP(E49,Master!$J:$K,2,0),"")</f>
        <v>B2230</v>
      </c>
      <c r="E49" s="46" t="s">
        <v>89</v>
      </c>
      <c r="F49" s="4">
        <f>_xlfn.IFNA(VLOOKUP(G49,Master!B:C,2,0),"")</f>
        <v>7511111</v>
      </c>
      <c r="G49" s="46" t="s">
        <v>75</v>
      </c>
      <c r="H49" s="46" t="s">
        <v>536</v>
      </c>
      <c r="I49" s="3" t="str">
        <f>_xlfn.IFNA(VLOOKUP(E49,Master!$J:$M,4,0),"")</f>
        <v>ADM</v>
      </c>
      <c r="J49" s="3" t="str">
        <f>_xlfn.IFNA(VLOOKUP($E49,Master!$J:$M,3,0),"")</f>
        <v>SGA</v>
      </c>
      <c r="P49" s="50">
        <v>736000</v>
      </c>
      <c r="Q49" s="50">
        <v>368000</v>
      </c>
      <c r="AB49" s="50">
        <v>1152000</v>
      </c>
      <c r="AC49" s="26">
        <f t="shared" si="0"/>
        <v>736000</v>
      </c>
      <c r="AD49" s="26">
        <f t="shared" si="1"/>
        <v>1520000</v>
      </c>
      <c r="AE49" s="50">
        <v>1200000</v>
      </c>
      <c r="AF49" s="50">
        <v>1248000</v>
      </c>
      <c r="AG49" s="53" t="s">
        <v>55</v>
      </c>
    </row>
    <row r="50" spans="1:33" ht="15" customHeight="1">
      <c r="A50" s="46" t="s">
        <v>91</v>
      </c>
      <c r="B50" s="3" t="str">
        <f>_xlfn.IFNA(VLOOKUP(C50,Master!$J:$K,2,0),"")</f>
        <v>B2220</v>
      </c>
      <c r="C50" s="46" t="s">
        <v>83</v>
      </c>
      <c r="D50" s="4" t="str">
        <f>_xlfn.IFNA(VLOOKUP(E50,Master!$J:$K,2,0),"")</f>
        <v>B2230</v>
      </c>
      <c r="E50" s="46" t="s">
        <v>89</v>
      </c>
      <c r="F50" s="4">
        <f>_xlfn.IFNA(VLOOKUP(G50,Master!B:C,2,0),"")</f>
        <v>7511111</v>
      </c>
      <c r="G50" s="46" t="s">
        <v>75</v>
      </c>
      <c r="H50" s="46" t="s">
        <v>537</v>
      </c>
      <c r="I50" s="3" t="str">
        <f>_xlfn.IFNA(VLOOKUP(E50,Master!$J:$M,4,0),"")</f>
        <v>ADM</v>
      </c>
      <c r="J50" s="3" t="str">
        <f>_xlfn.IFNA(VLOOKUP($E50,Master!$J:$M,3,0),"")</f>
        <v>SGA</v>
      </c>
      <c r="M50" s="50">
        <v>160000</v>
      </c>
      <c r="N50" s="50">
        <v>160000</v>
      </c>
      <c r="O50" s="50">
        <v>160000</v>
      </c>
      <c r="P50" s="50">
        <v>160000</v>
      </c>
      <c r="Q50" s="50">
        <v>160000</v>
      </c>
      <c r="R50" s="50">
        <v>160000</v>
      </c>
      <c r="S50" s="50">
        <v>160000</v>
      </c>
      <c r="T50" s="50">
        <v>160000</v>
      </c>
      <c r="U50" s="50">
        <v>160000</v>
      </c>
      <c r="V50" s="50">
        <v>160000</v>
      </c>
      <c r="W50" s="50">
        <v>160000</v>
      </c>
      <c r="X50" s="50">
        <v>160000</v>
      </c>
      <c r="Y50" s="50">
        <v>160000</v>
      </c>
      <c r="Z50" s="50">
        <v>160000</v>
      </c>
      <c r="AA50" s="50">
        <v>160000</v>
      </c>
      <c r="AB50" s="50">
        <v>160000</v>
      </c>
      <c r="AC50" s="26">
        <f t="shared" si="0"/>
        <v>640000</v>
      </c>
      <c r="AD50" s="26">
        <f t="shared" si="1"/>
        <v>1920000</v>
      </c>
      <c r="AE50" s="50">
        <v>1920000</v>
      </c>
      <c r="AF50" s="50">
        <v>1920000</v>
      </c>
      <c r="AG50" s="53" t="s">
        <v>55</v>
      </c>
    </row>
    <row r="51" spans="1:33" ht="15" customHeight="1">
      <c r="A51" s="46" t="s">
        <v>91</v>
      </c>
      <c r="B51" s="3" t="str">
        <f>_xlfn.IFNA(VLOOKUP(C51,Master!$J:$K,2,0),"")</f>
        <v>B2220</v>
      </c>
      <c r="C51" s="46" t="s">
        <v>83</v>
      </c>
      <c r="D51" s="4" t="str">
        <f>_xlfn.IFNA(VLOOKUP(E51,Master!$J:$K,2,0),"")</f>
        <v>B2230</v>
      </c>
      <c r="E51" s="46" t="s">
        <v>89</v>
      </c>
      <c r="F51" s="4">
        <f>_xlfn.IFNA(VLOOKUP(G51,Master!B:C,2,0),"")</f>
        <v>7511111</v>
      </c>
      <c r="G51" s="46" t="s">
        <v>75</v>
      </c>
      <c r="H51" s="46" t="s">
        <v>538</v>
      </c>
      <c r="I51" s="3" t="str">
        <f>_xlfn.IFNA(VLOOKUP(E51,Master!$J:$M,4,0),"")</f>
        <v>ADM</v>
      </c>
      <c r="J51" s="3" t="str">
        <f>_xlfn.IFNA(VLOOKUP($E51,Master!$J:$M,3,0),"")</f>
        <v>SGA</v>
      </c>
      <c r="M51" s="50">
        <v>900000</v>
      </c>
      <c r="N51" s="50">
        <v>900000</v>
      </c>
      <c r="O51" s="50">
        <v>900000</v>
      </c>
      <c r="P51" s="50">
        <v>900000</v>
      </c>
      <c r="Q51" s="50">
        <v>900000</v>
      </c>
      <c r="R51" s="50">
        <v>900000</v>
      </c>
      <c r="S51" s="50">
        <v>900000</v>
      </c>
      <c r="T51" s="50">
        <v>900000</v>
      </c>
      <c r="U51" s="50">
        <v>900000</v>
      </c>
      <c r="V51" s="50">
        <v>900000</v>
      </c>
      <c r="W51" s="50">
        <v>900000</v>
      </c>
      <c r="X51" s="50">
        <v>900000</v>
      </c>
      <c r="Y51" s="50">
        <v>900000</v>
      </c>
      <c r="Z51" s="50">
        <v>900000</v>
      </c>
      <c r="AA51" s="50">
        <v>900000</v>
      </c>
      <c r="AB51" s="50">
        <v>900000</v>
      </c>
      <c r="AC51" s="26">
        <f t="shared" si="0"/>
        <v>3600000</v>
      </c>
      <c r="AD51" s="26">
        <f t="shared" si="1"/>
        <v>10800000</v>
      </c>
      <c r="AE51" s="50">
        <v>10800000</v>
      </c>
      <c r="AF51" s="50">
        <v>10800000</v>
      </c>
      <c r="AG51" s="53" t="s">
        <v>55</v>
      </c>
    </row>
    <row r="52" spans="1:33" ht="15" customHeight="1">
      <c r="A52" s="46" t="s">
        <v>91</v>
      </c>
      <c r="B52" s="3" t="str">
        <f>_xlfn.IFNA(VLOOKUP(C52,Master!$J:$K,2,0),"")</f>
        <v>B2220</v>
      </c>
      <c r="C52" s="46" t="s">
        <v>83</v>
      </c>
      <c r="D52" s="4" t="str">
        <f>_xlfn.IFNA(VLOOKUP(E52,Master!$J:$K,2,0),"")</f>
        <v>B2300</v>
      </c>
      <c r="E52" s="46" t="s">
        <v>95</v>
      </c>
      <c r="F52" s="4">
        <f>_xlfn.IFNA(VLOOKUP(G52,Master!B:C,2,0),"")</f>
        <v>7511111</v>
      </c>
      <c r="G52" s="46" t="s">
        <v>75</v>
      </c>
      <c r="H52" s="46" t="s">
        <v>533</v>
      </c>
      <c r="I52" s="3" t="str">
        <f>_xlfn.IFNA(VLOOKUP(E52,Master!$J:$M,4,0),"")</f>
        <v>ADM</v>
      </c>
      <c r="J52" s="3" t="str">
        <f>_xlfn.IFNA(VLOOKUP($E52,Master!$J:$M,3,0),"")</f>
        <v>SGA</v>
      </c>
      <c r="M52" s="50">
        <v>36000</v>
      </c>
      <c r="N52" s="50">
        <v>36000</v>
      </c>
      <c r="O52" s="50">
        <v>36000</v>
      </c>
      <c r="P52" s="50">
        <v>36000</v>
      </c>
      <c r="Q52" s="50">
        <v>36000</v>
      </c>
      <c r="R52" s="50">
        <v>36000</v>
      </c>
      <c r="S52" s="50">
        <v>36000</v>
      </c>
      <c r="T52" s="50">
        <v>36000</v>
      </c>
      <c r="U52" s="50">
        <v>36000</v>
      </c>
      <c r="V52" s="50">
        <v>36000</v>
      </c>
      <c r="W52" s="50">
        <v>36000</v>
      </c>
      <c r="X52" s="50">
        <v>36000</v>
      </c>
      <c r="Y52" s="50">
        <v>36000</v>
      </c>
      <c r="Z52" s="50">
        <v>36000</v>
      </c>
      <c r="AA52" s="50">
        <v>36000</v>
      </c>
      <c r="AB52" s="50">
        <v>36000</v>
      </c>
      <c r="AC52" s="26">
        <f t="shared" si="0"/>
        <v>144000</v>
      </c>
      <c r="AD52" s="26">
        <f t="shared" si="1"/>
        <v>432000</v>
      </c>
      <c r="AE52" s="50">
        <v>486000</v>
      </c>
      <c r="AF52" s="50">
        <v>486000</v>
      </c>
      <c r="AG52" s="53" t="s">
        <v>55</v>
      </c>
    </row>
    <row r="53" spans="1:33" ht="15" customHeight="1">
      <c r="A53" s="46" t="s">
        <v>91</v>
      </c>
      <c r="B53" s="3" t="str">
        <f>_xlfn.IFNA(VLOOKUP(C53,Master!$J:$K,2,0),"")</f>
        <v>B2220</v>
      </c>
      <c r="C53" s="46" t="s">
        <v>83</v>
      </c>
      <c r="D53" s="4" t="str">
        <f>_xlfn.IFNA(VLOOKUP(E53,Master!$J:$K,2,0),"")</f>
        <v>B2300</v>
      </c>
      <c r="E53" s="46" t="s">
        <v>95</v>
      </c>
      <c r="F53" s="4">
        <f>_xlfn.IFNA(VLOOKUP(G53,Master!B:C,2,0),"")</f>
        <v>7511111</v>
      </c>
      <c r="G53" s="46" t="s">
        <v>75</v>
      </c>
      <c r="H53" s="46" t="s">
        <v>534</v>
      </c>
      <c r="I53" s="3" t="str">
        <f>_xlfn.IFNA(VLOOKUP(E53,Master!$J:$M,4,0),"")</f>
        <v>ADM</v>
      </c>
      <c r="J53" s="3" t="str">
        <f>_xlfn.IFNA(VLOOKUP($E53,Master!$J:$M,3,0),"")</f>
        <v>SGA</v>
      </c>
      <c r="M53" s="50">
        <v>15507750</v>
      </c>
      <c r="N53" s="50">
        <v>16030500</v>
      </c>
      <c r="O53" s="50">
        <v>15682000</v>
      </c>
      <c r="P53" s="50">
        <v>15159250</v>
      </c>
      <c r="Q53" s="50">
        <v>15312000</v>
      </c>
      <c r="R53" s="50">
        <v>16048000</v>
      </c>
      <c r="S53" s="50">
        <v>15864000</v>
      </c>
      <c r="T53" s="50">
        <v>16600000</v>
      </c>
      <c r="U53" s="50">
        <v>16416000</v>
      </c>
      <c r="V53" s="50">
        <v>16048000</v>
      </c>
      <c r="W53" s="50">
        <v>16600000</v>
      </c>
      <c r="X53" s="50">
        <v>16232000</v>
      </c>
      <c r="Y53" s="50">
        <v>16048000</v>
      </c>
      <c r="Z53" s="50">
        <v>16416000</v>
      </c>
      <c r="AA53" s="50">
        <v>16048000</v>
      </c>
      <c r="AB53" s="50">
        <v>15496000</v>
      </c>
      <c r="AC53" s="26">
        <f t="shared" si="0"/>
        <v>62379500</v>
      </c>
      <c r="AD53" s="26">
        <f t="shared" si="1"/>
        <v>193128000</v>
      </c>
      <c r="AE53" s="50">
        <v>199512000</v>
      </c>
      <c r="AF53" s="50">
        <v>203670000</v>
      </c>
      <c r="AG53" s="53" t="s">
        <v>55</v>
      </c>
    </row>
    <row r="54" spans="1:33" ht="15" customHeight="1">
      <c r="A54" s="46" t="s">
        <v>91</v>
      </c>
      <c r="B54" s="3" t="str">
        <f>_xlfn.IFNA(VLOOKUP(C54,Master!$J:$K,2,0),"")</f>
        <v>B2220</v>
      </c>
      <c r="C54" s="46" t="s">
        <v>83</v>
      </c>
      <c r="D54" s="4" t="str">
        <f>_xlfn.IFNA(VLOOKUP(E54,Master!$J:$K,2,0),"")</f>
        <v>B2300</v>
      </c>
      <c r="E54" s="46" t="s">
        <v>95</v>
      </c>
      <c r="F54" s="4">
        <f>_xlfn.IFNA(VLOOKUP(G54,Master!B:C,2,0),"")</f>
        <v>7511111</v>
      </c>
      <c r="G54" s="46" t="s">
        <v>75</v>
      </c>
      <c r="H54" s="46" t="s">
        <v>535</v>
      </c>
      <c r="I54" s="3" t="str">
        <f>_xlfn.IFNA(VLOOKUP(E54,Master!$J:$M,4,0),"")</f>
        <v>ADM</v>
      </c>
      <c r="J54" s="3" t="str">
        <f>_xlfn.IFNA(VLOOKUP($E54,Master!$J:$M,3,0),"")</f>
        <v>SGA</v>
      </c>
      <c r="M54" s="50">
        <v>8400000</v>
      </c>
      <c r="N54" s="50">
        <v>8400000</v>
      </c>
      <c r="O54" s="50">
        <v>8400000</v>
      </c>
      <c r="P54" s="50">
        <v>8400000</v>
      </c>
      <c r="Q54" s="50">
        <v>8400000</v>
      </c>
      <c r="R54" s="50">
        <v>8400000</v>
      </c>
      <c r="S54" s="50">
        <v>8400000</v>
      </c>
      <c r="T54" s="50">
        <v>8400000</v>
      </c>
      <c r="U54" s="50">
        <v>8400000</v>
      </c>
      <c r="V54" s="50">
        <v>8400000</v>
      </c>
      <c r="W54" s="50">
        <v>8400000</v>
      </c>
      <c r="X54" s="50">
        <v>8400000</v>
      </c>
      <c r="Y54" s="50">
        <v>8400000</v>
      </c>
      <c r="Z54" s="50">
        <v>10450000</v>
      </c>
      <c r="AA54" s="50">
        <v>10450000</v>
      </c>
      <c r="AB54" s="50">
        <v>10450000</v>
      </c>
      <c r="AC54" s="26">
        <f t="shared" si="0"/>
        <v>33600000</v>
      </c>
      <c r="AD54" s="26">
        <f t="shared" si="1"/>
        <v>106950000</v>
      </c>
      <c r="AE54" s="50">
        <v>128400000</v>
      </c>
      <c r="AF54" s="50">
        <v>128400000</v>
      </c>
      <c r="AG54" s="53" t="s">
        <v>55</v>
      </c>
    </row>
    <row r="55" spans="1:33" ht="15" customHeight="1">
      <c r="A55" s="46" t="s">
        <v>91</v>
      </c>
      <c r="B55" s="3" t="str">
        <f>_xlfn.IFNA(VLOOKUP(C55,Master!$J:$K,2,0),"")</f>
        <v>B2220</v>
      </c>
      <c r="C55" s="46" t="s">
        <v>83</v>
      </c>
      <c r="D55" s="4" t="str">
        <f>_xlfn.IFNA(VLOOKUP(E55,Master!$J:$K,2,0),"")</f>
        <v>B2300</v>
      </c>
      <c r="E55" s="46" t="s">
        <v>95</v>
      </c>
      <c r="F55" s="4">
        <f>_xlfn.IFNA(VLOOKUP(G55,Master!B:C,2,0),"")</f>
        <v>7511111</v>
      </c>
      <c r="G55" s="46" t="s">
        <v>75</v>
      </c>
      <c r="H55" s="46" t="s">
        <v>536</v>
      </c>
      <c r="I55" s="3" t="str">
        <f>_xlfn.IFNA(VLOOKUP(E55,Master!$J:$M,4,0),"")</f>
        <v>ADM</v>
      </c>
      <c r="J55" s="3" t="str">
        <f>_xlfn.IFNA(VLOOKUP($E55,Master!$J:$M,3,0),"")</f>
        <v>SGA</v>
      </c>
      <c r="P55" s="50">
        <v>1472000</v>
      </c>
      <c r="Q55" s="50">
        <v>736000</v>
      </c>
      <c r="AB55" s="50">
        <v>2304000</v>
      </c>
      <c r="AC55" s="26">
        <f t="shared" si="0"/>
        <v>1472000</v>
      </c>
      <c r="AD55" s="26">
        <f t="shared" si="1"/>
        <v>3040000</v>
      </c>
      <c r="AE55" s="50">
        <v>2700000</v>
      </c>
      <c r="AF55" s="50">
        <v>2808000</v>
      </c>
      <c r="AG55" s="53" t="s">
        <v>55</v>
      </c>
    </row>
    <row r="56" spans="1:33" ht="15" customHeight="1">
      <c r="A56" s="46" t="s">
        <v>91</v>
      </c>
      <c r="B56" s="3" t="str">
        <f>_xlfn.IFNA(VLOOKUP(C56,Master!$J:$K,2,0),"")</f>
        <v>B2220</v>
      </c>
      <c r="C56" s="46" t="s">
        <v>83</v>
      </c>
      <c r="D56" s="4" t="str">
        <f>_xlfn.IFNA(VLOOKUP(E56,Master!$J:$K,2,0),"")</f>
        <v>B2300</v>
      </c>
      <c r="E56" s="46" t="s">
        <v>95</v>
      </c>
      <c r="F56" s="4">
        <f>_xlfn.IFNA(VLOOKUP(G56,Master!B:C,2,0),"")</f>
        <v>7511111</v>
      </c>
      <c r="G56" s="46" t="s">
        <v>75</v>
      </c>
      <c r="H56" s="46" t="s">
        <v>537</v>
      </c>
      <c r="I56" s="3" t="str">
        <f>_xlfn.IFNA(VLOOKUP(E56,Master!$J:$M,4,0),"")</f>
        <v>ADM</v>
      </c>
      <c r="J56" s="3" t="str">
        <f>_xlfn.IFNA(VLOOKUP($E56,Master!$J:$M,3,0),"")</f>
        <v>SGA</v>
      </c>
      <c r="M56" s="50">
        <v>340000</v>
      </c>
      <c r="N56" s="50">
        <v>340000</v>
      </c>
      <c r="O56" s="50">
        <v>340000</v>
      </c>
      <c r="P56" s="50">
        <v>340000</v>
      </c>
      <c r="Q56" s="50">
        <v>340000</v>
      </c>
      <c r="R56" s="50">
        <v>340000</v>
      </c>
      <c r="S56" s="50">
        <v>340000</v>
      </c>
      <c r="T56" s="50">
        <v>340000</v>
      </c>
      <c r="U56" s="50">
        <v>340000</v>
      </c>
      <c r="V56" s="50">
        <v>340000</v>
      </c>
      <c r="W56" s="50">
        <v>340000</v>
      </c>
      <c r="X56" s="50">
        <v>340000</v>
      </c>
      <c r="Y56" s="50">
        <v>340000</v>
      </c>
      <c r="Z56" s="50">
        <v>340000</v>
      </c>
      <c r="AA56" s="50">
        <v>340000</v>
      </c>
      <c r="AB56" s="50">
        <v>340000</v>
      </c>
      <c r="AC56" s="26">
        <f t="shared" si="0"/>
        <v>1360000</v>
      </c>
      <c r="AD56" s="26">
        <f t="shared" si="1"/>
        <v>4080000</v>
      </c>
      <c r="AE56" s="50">
        <v>4800000</v>
      </c>
      <c r="AF56" s="50">
        <v>4800000</v>
      </c>
      <c r="AG56" s="53" t="s">
        <v>55</v>
      </c>
    </row>
    <row r="57" spans="1:33" ht="15" customHeight="1">
      <c r="A57" s="46" t="s">
        <v>91</v>
      </c>
      <c r="B57" s="3" t="str">
        <f>_xlfn.IFNA(VLOOKUP(C57,Master!$J:$K,2,0),"")</f>
        <v>B2220</v>
      </c>
      <c r="C57" s="46" t="s">
        <v>83</v>
      </c>
      <c r="D57" s="4" t="str">
        <f>_xlfn.IFNA(VLOOKUP(E57,Master!$J:$K,2,0),"")</f>
        <v>B2300</v>
      </c>
      <c r="E57" s="46" t="s">
        <v>95</v>
      </c>
      <c r="F57" s="4">
        <f>_xlfn.IFNA(VLOOKUP(G57,Master!B:C,2,0),"")</f>
        <v>7511111</v>
      </c>
      <c r="G57" s="46" t="s">
        <v>75</v>
      </c>
      <c r="H57" s="46" t="s">
        <v>539</v>
      </c>
      <c r="I57" s="3" t="str">
        <f>_xlfn.IFNA(VLOOKUP(E57,Master!$J:$M,4,0),"")</f>
        <v>ADM</v>
      </c>
      <c r="J57" s="3" t="str">
        <f>_xlfn.IFNA(VLOOKUP($E57,Master!$J:$M,3,0),"")</f>
        <v>SGA</v>
      </c>
      <c r="M57" s="50">
        <v>4500000</v>
      </c>
      <c r="N57" s="50">
        <v>4500000</v>
      </c>
      <c r="O57" s="50">
        <v>4500000</v>
      </c>
      <c r="P57" s="50">
        <v>4500000</v>
      </c>
      <c r="Q57" s="50">
        <v>4500000</v>
      </c>
      <c r="R57" s="50">
        <v>4500000</v>
      </c>
      <c r="S57" s="50">
        <v>4500000</v>
      </c>
      <c r="T57" s="50">
        <v>4500000</v>
      </c>
      <c r="U57" s="50">
        <v>4500000</v>
      </c>
      <c r="V57" s="50">
        <v>4500000</v>
      </c>
      <c r="W57" s="50">
        <v>4500000</v>
      </c>
      <c r="X57" s="50">
        <v>4500000</v>
      </c>
      <c r="Y57" s="50">
        <v>4500000</v>
      </c>
      <c r="Z57" s="50">
        <v>4500000</v>
      </c>
      <c r="AA57" s="50">
        <v>4500000</v>
      </c>
      <c r="AB57" s="50">
        <v>4500000</v>
      </c>
      <c r="AC57" s="26">
        <f t="shared" si="0"/>
        <v>18000000</v>
      </c>
      <c r="AD57" s="26">
        <f t="shared" si="1"/>
        <v>54000000</v>
      </c>
      <c r="AE57" s="50">
        <v>54000000</v>
      </c>
      <c r="AF57" s="50">
        <v>54000000</v>
      </c>
      <c r="AG57" s="53" t="s">
        <v>55</v>
      </c>
    </row>
    <row r="58" spans="1:33" ht="15" customHeight="1">
      <c r="A58" s="46" t="s">
        <v>91</v>
      </c>
      <c r="B58" s="3" t="str">
        <f>_xlfn.IFNA(VLOOKUP(C58,Master!$J:$K,2,0),"")</f>
        <v>B2220</v>
      </c>
      <c r="C58" s="46" t="s">
        <v>83</v>
      </c>
      <c r="D58" s="4" t="str">
        <f>_xlfn.IFNA(VLOOKUP(E58,Master!$J:$K,2,0),"")</f>
        <v>B2300</v>
      </c>
      <c r="E58" s="46" t="s">
        <v>95</v>
      </c>
      <c r="F58" s="4">
        <f>_xlfn.IFNA(VLOOKUP(G58,Master!B:C,2,0),"")</f>
        <v>7511111</v>
      </c>
      <c r="G58" s="46" t="s">
        <v>75</v>
      </c>
      <c r="H58" s="46" t="s">
        <v>538</v>
      </c>
      <c r="I58" s="3" t="str">
        <f>_xlfn.IFNA(VLOOKUP(E58,Master!$J:$M,4,0),"")</f>
        <v>ADM</v>
      </c>
      <c r="J58" s="3" t="str">
        <f>_xlfn.IFNA(VLOOKUP($E58,Master!$J:$M,3,0),"")</f>
        <v>SGA</v>
      </c>
      <c r="M58" s="50">
        <v>2100000</v>
      </c>
      <c r="N58" s="50">
        <v>2100000</v>
      </c>
      <c r="O58" s="50">
        <v>2100000</v>
      </c>
      <c r="P58" s="50">
        <v>2100000</v>
      </c>
      <c r="Q58" s="50">
        <v>2100000</v>
      </c>
      <c r="R58" s="50">
        <v>2100000</v>
      </c>
      <c r="S58" s="50">
        <v>2100000</v>
      </c>
      <c r="T58" s="50">
        <v>2100000</v>
      </c>
      <c r="U58" s="50">
        <v>2100000</v>
      </c>
      <c r="V58" s="50">
        <v>2100000</v>
      </c>
      <c r="W58" s="50">
        <v>2100000</v>
      </c>
      <c r="X58" s="50">
        <v>2100000</v>
      </c>
      <c r="Y58" s="50">
        <v>2100000</v>
      </c>
      <c r="Z58" s="50">
        <v>2100000</v>
      </c>
      <c r="AA58" s="50">
        <v>2100000</v>
      </c>
      <c r="AB58" s="50">
        <v>2100000</v>
      </c>
      <c r="AC58" s="26">
        <f t="shared" si="0"/>
        <v>8400000</v>
      </c>
      <c r="AD58" s="26">
        <f t="shared" si="1"/>
        <v>25200000</v>
      </c>
      <c r="AE58" s="50">
        <v>28800000</v>
      </c>
      <c r="AF58" s="50">
        <v>28800000</v>
      </c>
      <c r="AG58" s="53" t="s">
        <v>55</v>
      </c>
    </row>
    <row r="59" spans="1:33" ht="15" customHeight="1">
      <c r="A59" s="46" t="s">
        <v>91</v>
      </c>
      <c r="B59" s="3" t="str">
        <f>_xlfn.IFNA(VLOOKUP(C59,Master!$J:$K,2,0),"")</f>
        <v>B2220</v>
      </c>
      <c r="C59" s="46" t="s">
        <v>83</v>
      </c>
      <c r="D59" s="4" t="str">
        <f>_xlfn.IFNA(VLOOKUP(E59,Master!$J:$K,2,0),"")</f>
        <v>B2400</v>
      </c>
      <c r="E59" s="46" t="s">
        <v>101</v>
      </c>
      <c r="F59" s="4">
        <f>_xlfn.IFNA(VLOOKUP(G59,Master!B:C,2,0),"")</f>
        <v>7511111</v>
      </c>
      <c r="G59" s="46" t="s">
        <v>75</v>
      </c>
      <c r="H59" s="46" t="s">
        <v>533</v>
      </c>
      <c r="I59" s="3" t="str">
        <f>_xlfn.IFNA(VLOOKUP(E59,Master!$J:$M,4,0),"")</f>
        <v>ADM</v>
      </c>
      <c r="J59" s="3" t="str">
        <f>_xlfn.IFNA(VLOOKUP($E59,Master!$J:$M,3,0),"")</f>
        <v>SGA</v>
      </c>
      <c r="M59" s="50">
        <v>18000</v>
      </c>
      <c r="N59" s="50">
        <v>18000</v>
      </c>
      <c r="O59" s="50">
        <v>18000</v>
      </c>
      <c r="P59" s="50">
        <v>18000</v>
      </c>
      <c r="Q59" s="50">
        <v>18000</v>
      </c>
      <c r="R59" s="50">
        <v>18000</v>
      </c>
      <c r="S59" s="50">
        <v>18000</v>
      </c>
      <c r="T59" s="50">
        <v>18000</v>
      </c>
      <c r="U59" s="50">
        <v>18000</v>
      </c>
      <c r="V59" s="50">
        <v>18000</v>
      </c>
      <c r="W59" s="50">
        <v>18000</v>
      </c>
      <c r="X59" s="50">
        <v>18000</v>
      </c>
      <c r="Y59" s="50">
        <v>18000</v>
      </c>
      <c r="Z59" s="50">
        <v>18000</v>
      </c>
      <c r="AA59" s="50">
        <v>18000</v>
      </c>
      <c r="AB59" s="50">
        <v>18000</v>
      </c>
      <c r="AC59" s="26">
        <f t="shared" si="0"/>
        <v>72000</v>
      </c>
      <c r="AD59" s="26">
        <f t="shared" si="1"/>
        <v>216000</v>
      </c>
      <c r="AE59" s="50">
        <v>216000</v>
      </c>
      <c r="AF59" s="50">
        <v>216000</v>
      </c>
      <c r="AG59" s="53" t="s">
        <v>55</v>
      </c>
    </row>
    <row r="60" spans="1:33" ht="15" customHeight="1">
      <c r="A60" s="46" t="s">
        <v>91</v>
      </c>
      <c r="B60" s="3" t="str">
        <f>_xlfn.IFNA(VLOOKUP(C60,Master!$J:$K,2,0),"")</f>
        <v>B2220</v>
      </c>
      <c r="C60" s="46" t="s">
        <v>83</v>
      </c>
      <c r="D60" s="4" t="str">
        <f>_xlfn.IFNA(VLOOKUP(E60,Master!$J:$K,2,0),"")</f>
        <v>B2400</v>
      </c>
      <c r="E60" s="46" t="s">
        <v>101</v>
      </c>
      <c r="F60" s="4">
        <f>_xlfn.IFNA(VLOOKUP(G60,Master!B:C,2,0),"")</f>
        <v>7511111</v>
      </c>
      <c r="G60" s="46" t="s">
        <v>75</v>
      </c>
      <c r="H60" s="46" t="s">
        <v>534</v>
      </c>
      <c r="I60" s="3" t="str">
        <f>_xlfn.IFNA(VLOOKUP(E60,Master!$J:$M,4,0),"")</f>
        <v>ADM</v>
      </c>
      <c r="J60" s="3" t="str">
        <f>_xlfn.IFNA(VLOOKUP($E60,Master!$J:$M,3,0),"")</f>
        <v>SGA</v>
      </c>
      <c r="M60" s="50">
        <v>5287100</v>
      </c>
      <c r="N60" s="50">
        <v>5520200</v>
      </c>
      <c r="O60" s="50">
        <v>5364800</v>
      </c>
      <c r="P60" s="50">
        <v>5131700</v>
      </c>
      <c r="Q60" s="50">
        <v>7476000</v>
      </c>
      <c r="R60" s="50">
        <v>7804000</v>
      </c>
      <c r="S60" s="50">
        <v>7722000</v>
      </c>
      <c r="T60" s="50">
        <v>8050000</v>
      </c>
      <c r="U60" s="50">
        <v>7968000</v>
      </c>
      <c r="V60" s="50">
        <v>7804000</v>
      </c>
      <c r="W60" s="50">
        <v>8050000</v>
      </c>
      <c r="X60" s="50">
        <v>7886000</v>
      </c>
      <c r="Y60" s="50">
        <v>7804000</v>
      </c>
      <c r="Z60" s="50">
        <v>7968000</v>
      </c>
      <c r="AA60" s="50">
        <v>7804000</v>
      </c>
      <c r="AB60" s="50">
        <v>7558000</v>
      </c>
      <c r="AC60" s="26">
        <f t="shared" si="0"/>
        <v>21303800</v>
      </c>
      <c r="AD60" s="26">
        <f t="shared" si="1"/>
        <v>93894000</v>
      </c>
      <c r="AE60" s="50">
        <v>94359000</v>
      </c>
      <c r="AF60" s="50">
        <v>95970000</v>
      </c>
      <c r="AG60" s="53" t="s">
        <v>55</v>
      </c>
    </row>
    <row r="61" spans="1:33" ht="15" customHeight="1">
      <c r="A61" s="46" t="s">
        <v>91</v>
      </c>
      <c r="B61" s="3" t="str">
        <f>_xlfn.IFNA(VLOOKUP(C61,Master!$J:$K,2,0),"")</f>
        <v>B2220</v>
      </c>
      <c r="C61" s="46" t="s">
        <v>83</v>
      </c>
      <c r="D61" s="4" t="str">
        <f>_xlfn.IFNA(VLOOKUP(E61,Master!$J:$K,2,0),"")</f>
        <v>B2400</v>
      </c>
      <c r="E61" s="46" t="s">
        <v>101</v>
      </c>
      <c r="F61" s="4">
        <f>_xlfn.IFNA(VLOOKUP(G61,Master!B:C,2,0),"")</f>
        <v>7511111</v>
      </c>
      <c r="G61" s="46" t="s">
        <v>75</v>
      </c>
      <c r="H61" s="46" t="s">
        <v>535</v>
      </c>
      <c r="I61" s="3" t="str">
        <f>_xlfn.IFNA(VLOOKUP(E61,Master!$J:$M,4,0),"")</f>
        <v>ADM</v>
      </c>
      <c r="J61" s="3" t="str">
        <f>_xlfn.IFNA(VLOOKUP($E61,Master!$J:$M,3,0),"")</f>
        <v>SGA</v>
      </c>
      <c r="M61" s="50">
        <v>3050000</v>
      </c>
      <c r="N61" s="50">
        <v>3050000</v>
      </c>
      <c r="O61" s="50">
        <v>3050000</v>
      </c>
      <c r="P61" s="50">
        <v>3050000</v>
      </c>
      <c r="Q61" s="50">
        <v>3050000</v>
      </c>
      <c r="R61" s="50">
        <v>3050000</v>
      </c>
      <c r="S61" s="50">
        <v>3050000</v>
      </c>
      <c r="T61" s="50">
        <v>3050000</v>
      </c>
      <c r="U61" s="50">
        <v>3050000</v>
      </c>
      <c r="V61" s="50">
        <v>3050000</v>
      </c>
      <c r="W61" s="50">
        <v>3050000</v>
      </c>
      <c r="X61" s="50">
        <v>3050000</v>
      </c>
      <c r="Y61" s="50">
        <v>3050000</v>
      </c>
      <c r="Z61" s="50">
        <v>4400000</v>
      </c>
      <c r="AA61" s="50">
        <v>4400000</v>
      </c>
      <c r="AB61" s="50">
        <v>4400000</v>
      </c>
      <c r="AC61" s="26">
        <f t="shared" si="0"/>
        <v>12200000</v>
      </c>
      <c r="AD61" s="26">
        <f t="shared" si="1"/>
        <v>40650000</v>
      </c>
      <c r="AE61" s="50">
        <v>52800000</v>
      </c>
      <c r="AF61" s="50">
        <v>52800000</v>
      </c>
      <c r="AG61" s="53" t="s">
        <v>55</v>
      </c>
    </row>
    <row r="62" spans="1:33" ht="15" customHeight="1">
      <c r="A62" s="46" t="s">
        <v>91</v>
      </c>
      <c r="B62" s="3" t="str">
        <f>_xlfn.IFNA(VLOOKUP(C62,Master!$J:$K,2,0),"")</f>
        <v>B2220</v>
      </c>
      <c r="C62" s="46" t="s">
        <v>83</v>
      </c>
      <c r="D62" s="4" t="str">
        <f>_xlfn.IFNA(VLOOKUP(E62,Master!$J:$K,2,0),"")</f>
        <v>B2400</v>
      </c>
      <c r="E62" s="46" t="s">
        <v>101</v>
      </c>
      <c r="F62" s="4">
        <f>_xlfn.IFNA(VLOOKUP(G62,Master!B:C,2,0),"")</f>
        <v>7511111</v>
      </c>
      <c r="G62" s="46" t="s">
        <v>75</v>
      </c>
      <c r="H62" s="46" t="s">
        <v>536</v>
      </c>
      <c r="I62" s="3" t="str">
        <f>_xlfn.IFNA(VLOOKUP(E62,Master!$J:$M,4,0),"")</f>
        <v>ADM</v>
      </c>
      <c r="J62" s="3" t="str">
        <f>_xlfn.IFNA(VLOOKUP($E62,Master!$J:$M,3,0),"")</f>
        <v>SGA</v>
      </c>
      <c r="P62" s="50">
        <v>736000</v>
      </c>
      <c r="Q62" s="50">
        <v>368000</v>
      </c>
      <c r="AB62" s="50">
        <v>1152000</v>
      </c>
      <c r="AC62" s="26">
        <f t="shared" si="0"/>
        <v>736000</v>
      </c>
      <c r="AD62" s="26">
        <f t="shared" si="1"/>
        <v>1520000</v>
      </c>
      <c r="AE62" s="50">
        <v>1200000</v>
      </c>
      <c r="AF62" s="50">
        <v>1248000</v>
      </c>
      <c r="AG62" s="53" t="s">
        <v>55</v>
      </c>
    </row>
    <row r="63" spans="1:33" ht="15" customHeight="1">
      <c r="A63" s="46" t="s">
        <v>91</v>
      </c>
      <c r="B63" s="3" t="str">
        <f>_xlfn.IFNA(VLOOKUP(C63,Master!$J:$K,2,0),"")</f>
        <v>B2220</v>
      </c>
      <c r="C63" s="46" t="s">
        <v>83</v>
      </c>
      <c r="D63" s="4" t="str">
        <f>_xlfn.IFNA(VLOOKUP(E63,Master!$J:$K,2,0),"")</f>
        <v>B2400</v>
      </c>
      <c r="E63" s="46" t="s">
        <v>101</v>
      </c>
      <c r="F63" s="4">
        <f>_xlfn.IFNA(VLOOKUP(G63,Master!B:C,2,0),"")</f>
        <v>7511111</v>
      </c>
      <c r="G63" s="46" t="s">
        <v>75</v>
      </c>
      <c r="H63" s="46" t="s">
        <v>537</v>
      </c>
      <c r="I63" s="3" t="str">
        <f>_xlfn.IFNA(VLOOKUP(E63,Master!$J:$M,4,0),"")</f>
        <v>ADM</v>
      </c>
      <c r="J63" s="3" t="str">
        <f>_xlfn.IFNA(VLOOKUP($E63,Master!$J:$M,3,0),"")</f>
        <v>SGA</v>
      </c>
      <c r="M63" s="50">
        <v>180000</v>
      </c>
      <c r="N63" s="50">
        <v>180000</v>
      </c>
      <c r="O63" s="50">
        <v>180000</v>
      </c>
      <c r="P63" s="50">
        <v>180000</v>
      </c>
      <c r="Q63" s="50">
        <v>180000</v>
      </c>
      <c r="R63" s="50">
        <v>180000</v>
      </c>
      <c r="S63" s="50">
        <v>180000</v>
      </c>
      <c r="T63" s="50">
        <v>180000</v>
      </c>
      <c r="U63" s="50">
        <v>180000</v>
      </c>
      <c r="V63" s="50">
        <v>180000</v>
      </c>
      <c r="W63" s="50">
        <v>180000</v>
      </c>
      <c r="X63" s="50">
        <v>180000</v>
      </c>
      <c r="Y63" s="50">
        <v>180000</v>
      </c>
      <c r="Z63" s="50">
        <v>180000</v>
      </c>
      <c r="AA63" s="50">
        <v>180000</v>
      </c>
      <c r="AB63" s="50">
        <v>180000</v>
      </c>
      <c r="AC63" s="26">
        <f t="shared" si="0"/>
        <v>720000</v>
      </c>
      <c r="AD63" s="26">
        <f t="shared" si="1"/>
        <v>2160000</v>
      </c>
      <c r="AE63" s="50">
        <v>2160000</v>
      </c>
      <c r="AF63" s="50">
        <v>2160000</v>
      </c>
      <c r="AG63" s="53" t="s">
        <v>55</v>
      </c>
    </row>
    <row r="64" spans="1:33" ht="15" customHeight="1">
      <c r="A64" s="46" t="s">
        <v>91</v>
      </c>
      <c r="B64" s="3" t="str">
        <f>_xlfn.IFNA(VLOOKUP(C64,Master!$J:$K,2,0),"")</f>
        <v>B2220</v>
      </c>
      <c r="C64" s="46" t="s">
        <v>83</v>
      </c>
      <c r="D64" s="4" t="str">
        <f>_xlfn.IFNA(VLOOKUP(E64,Master!$J:$K,2,0),"")</f>
        <v>B2400</v>
      </c>
      <c r="E64" s="46" t="s">
        <v>101</v>
      </c>
      <c r="F64" s="4">
        <f>_xlfn.IFNA(VLOOKUP(G64,Master!B:C,2,0),"")</f>
        <v>7511111</v>
      </c>
      <c r="G64" s="46" t="s">
        <v>75</v>
      </c>
      <c r="H64" s="46" t="s">
        <v>538</v>
      </c>
      <c r="I64" s="3" t="str">
        <f>_xlfn.IFNA(VLOOKUP(E64,Master!$J:$M,4,0),"")</f>
        <v>ADM</v>
      </c>
      <c r="J64" s="3" t="str">
        <f>_xlfn.IFNA(VLOOKUP($E64,Master!$J:$M,3,0),"")</f>
        <v>SGA</v>
      </c>
      <c r="M64" s="50">
        <v>900000</v>
      </c>
      <c r="N64" s="50">
        <v>900000</v>
      </c>
      <c r="O64" s="50">
        <v>900000</v>
      </c>
      <c r="P64" s="50">
        <v>900000</v>
      </c>
      <c r="Q64" s="50">
        <v>900000</v>
      </c>
      <c r="R64" s="50">
        <v>900000</v>
      </c>
      <c r="S64" s="50">
        <v>900000</v>
      </c>
      <c r="T64" s="50">
        <v>900000</v>
      </c>
      <c r="U64" s="50">
        <v>900000</v>
      </c>
      <c r="V64" s="50">
        <v>900000</v>
      </c>
      <c r="W64" s="50">
        <v>900000</v>
      </c>
      <c r="X64" s="50">
        <v>900000</v>
      </c>
      <c r="Y64" s="50">
        <v>900000</v>
      </c>
      <c r="Z64" s="50">
        <v>900000</v>
      </c>
      <c r="AA64" s="50">
        <v>900000</v>
      </c>
      <c r="AB64" s="50">
        <v>900000</v>
      </c>
      <c r="AC64" s="26">
        <f t="shared" si="0"/>
        <v>3600000</v>
      </c>
      <c r="AD64" s="26">
        <f t="shared" si="1"/>
        <v>10800000</v>
      </c>
      <c r="AE64" s="50">
        <v>10800000</v>
      </c>
      <c r="AF64" s="50">
        <v>10800000</v>
      </c>
      <c r="AG64" s="53" t="s">
        <v>55</v>
      </c>
    </row>
    <row r="65" spans="1:33" ht="15" customHeight="1">
      <c r="A65" s="46" t="s">
        <v>91</v>
      </c>
      <c r="B65" s="3" t="str">
        <f>_xlfn.IFNA(VLOOKUP(C65,Master!$J:$K,2,0),"")</f>
        <v>B2220</v>
      </c>
      <c r="C65" s="46" t="s">
        <v>83</v>
      </c>
      <c r="D65" s="4" t="str">
        <f>_xlfn.IFNA(VLOOKUP(E65,Master!$J:$K,2,0),"")</f>
        <v>B3110</v>
      </c>
      <c r="E65" s="46" t="s">
        <v>117</v>
      </c>
      <c r="F65" s="4">
        <f>_xlfn.IFNA(VLOOKUP(G65,Master!B:C,2,0),"")</f>
        <v>7511111</v>
      </c>
      <c r="G65" s="46" t="s">
        <v>75</v>
      </c>
      <c r="H65" s="46" t="s">
        <v>533</v>
      </c>
      <c r="I65" s="3" t="str">
        <f>_xlfn.IFNA(VLOOKUP(E65,Master!$J:$M,4,0),"")</f>
        <v>ADM</v>
      </c>
      <c r="J65" s="3" t="str">
        <f>_xlfn.IFNA(VLOOKUP($E65,Master!$J:$M,3,0),"")</f>
        <v>SGA</v>
      </c>
      <c r="M65" s="50">
        <v>31500</v>
      </c>
      <c r="N65" s="50">
        <v>31500</v>
      </c>
      <c r="O65" s="50">
        <v>31500</v>
      </c>
      <c r="P65" s="50">
        <v>31500</v>
      </c>
      <c r="Q65" s="50">
        <v>31500</v>
      </c>
      <c r="R65" s="50">
        <v>31500</v>
      </c>
      <c r="S65" s="50">
        <v>31500</v>
      </c>
      <c r="T65" s="50">
        <v>31500</v>
      </c>
      <c r="U65" s="50">
        <v>31500</v>
      </c>
      <c r="V65" s="50">
        <v>31500</v>
      </c>
      <c r="W65" s="50">
        <v>31500</v>
      </c>
      <c r="X65" s="50">
        <v>31500</v>
      </c>
      <c r="Y65" s="50">
        <v>31500</v>
      </c>
      <c r="Z65" s="50">
        <v>31500</v>
      </c>
      <c r="AA65" s="50">
        <v>31500</v>
      </c>
      <c r="AB65" s="50">
        <v>31500</v>
      </c>
      <c r="AC65" s="26">
        <f t="shared" si="0"/>
        <v>126000</v>
      </c>
      <c r="AD65" s="26">
        <f t="shared" si="1"/>
        <v>378000</v>
      </c>
      <c r="AE65" s="50">
        <v>378000</v>
      </c>
      <c r="AF65" s="50">
        <v>378000</v>
      </c>
      <c r="AG65" s="53" t="s">
        <v>55</v>
      </c>
    </row>
    <row r="66" spans="1:33" ht="15" customHeight="1">
      <c r="A66" s="46" t="s">
        <v>91</v>
      </c>
      <c r="B66" s="3" t="str">
        <f>_xlfn.IFNA(VLOOKUP(C66,Master!$J:$K,2,0),"")</f>
        <v>B2220</v>
      </c>
      <c r="C66" s="46" t="s">
        <v>83</v>
      </c>
      <c r="D66" s="4" t="str">
        <f>_xlfn.IFNA(VLOOKUP(E66,Master!$J:$K,2,0),"")</f>
        <v>B3110</v>
      </c>
      <c r="E66" s="46" t="s">
        <v>117</v>
      </c>
      <c r="F66" s="4">
        <f>_xlfn.IFNA(VLOOKUP(G66,Master!B:C,2,0),"")</f>
        <v>7511111</v>
      </c>
      <c r="G66" s="46" t="s">
        <v>75</v>
      </c>
      <c r="H66" s="46" t="s">
        <v>534</v>
      </c>
      <c r="I66" s="3" t="str">
        <f>_xlfn.IFNA(VLOOKUP(E66,Master!$J:$M,4,0),"")</f>
        <v>ADM</v>
      </c>
      <c r="J66" s="3" t="str">
        <f>_xlfn.IFNA(VLOOKUP($E66,Master!$J:$M,3,0),"")</f>
        <v>SGA</v>
      </c>
      <c r="M66" s="50">
        <v>6587750</v>
      </c>
      <c r="N66" s="50">
        <v>6990500</v>
      </c>
      <c r="O66" s="50">
        <v>6722000</v>
      </c>
      <c r="P66" s="50">
        <v>6319250</v>
      </c>
      <c r="Q66" s="50">
        <v>8556000</v>
      </c>
      <c r="R66" s="50">
        <v>9124000</v>
      </c>
      <c r="S66" s="50">
        <v>8982000</v>
      </c>
      <c r="T66" s="50">
        <v>9550000</v>
      </c>
      <c r="U66" s="50">
        <v>9408000</v>
      </c>
      <c r="V66" s="50">
        <v>9124000</v>
      </c>
      <c r="W66" s="50">
        <v>9550000</v>
      </c>
      <c r="X66" s="50">
        <v>9266000</v>
      </c>
      <c r="Y66" s="50">
        <v>9124000</v>
      </c>
      <c r="Z66" s="50">
        <v>9408000</v>
      </c>
      <c r="AA66" s="50">
        <v>9124000</v>
      </c>
      <c r="AB66" s="50">
        <v>8698000</v>
      </c>
      <c r="AC66" s="26">
        <f t="shared" ref="AC66:AC129" si="2">SUM(K66:P66)</f>
        <v>26619500</v>
      </c>
      <c r="AD66" s="26">
        <f t="shared" ref="AD66:AD129" si="3">SUM(Q66:AB66)</f>
        <v>109914000</v>
      </c>
      <c r="AE66" s="50">
        <v>110550000</v>
      </c>
      <c r="AF66" s="50">
        <v>113565000</v>
      </c>
      <c r="AG66" s="53" t="s">
        <v>55</v>
      </c>
    </row>
    <row r="67" spans="1:33" ht="15" customHeight="1">
      <c r="A67" s="46" t="s">
        <v>91</v>
      </c>
      <c r="B67" s="3" t="str">
        <f>_xlfn.IFNA(VLOOKUP(C67,Master!$J:$K,2,0),"")</f>
        <v>B2220</v>
      </c>
      <c r="C67" s="46" t="s">
        <v>83</v>
      </c>
      <c r="D67" s="4" t="str">
        <f>_xlfn.IFNA(VLOOKUP(E67,Master!$J:$K,2,0),"")</f>
        <v>B3110</v>
      </c>
      <c r="E67" s="46" t="s">
        <v>117</v>
      </c>
      <c r="F67" s="4">
        <f>_xlfn.IFNA(VLOOKUP(G67,Master!B:C,2,0),"")</f>
        <v>7511111</v>
      </c>
      <c r="G67" s="46" t="s">
        <v>75</v>
      </c>
      <c r="H67" s="46" t="s">
        <v>535</v>
      </c>
      <c r="I67" s="3" t="str">
        <f>_xlfn.IFNA(VLOOKUP(E67,Master!$J:$M,4,0),"")</f>
        <v>ADM</v>
      </c>
      <c r="J67" s="3" t="str">
        <f>_xlfn.IFNA(VLOOKUP($E67,Master!$J:$M,3,0),"")</f>
        <v>SGA</v>
      </c>
      <c r="M67" s="50">
        <v>3000000</v>
      </c>
      <c r="N67" s="50">
        <v>3000000</v>
      </c>
      <c r="O67" s="50">
        <v>3000000</v>
      </c>
      <c r="P67" s="50">
        <v>3000000</v>
      </c>
      <c r="Q67" s="50">
        <v>3000000</v>
      </c>
      <c r="R67" s="50">
        <v>3000000</v>
      </c>
      <c r="S67" s="50">
        <v>3000000</v>
      </c>
      <c r="T67" s="50">
        <v>3000000</v>
      </c>
      <c r="U67" s="50">
        <v>3000000</v>
      </c>
      <c r="V67" s="50">
        <v>3000000</v>
      </c>
      <c r="W67" s="50">
        <v>3000000</v>
      </c>
      <c r="X67" s="50">
        <v>3000000</v>
      </c>
      <c r="Y67" s="50">
        <v>3000000</v>
      </c>
      <c r="Z67" s="50">
        <v>5300000</v>
      </c>
      <c r="AA67" s="50">
        <v>5300000</v>
      </c>
      <c r="AB67" s="50">
        <v>5300000</v>
      </c>
      <c r="AC67" s="26">
        <f t="shared" si="2"/>
        <v>12000000</v>
      </c>
      <c r="AD67" s="26">
        <f t="shared" si="3"/>
        <v>42900000</v>
      </c>
      <c r="AE67" s="50">
        <v>63600000</v>
      </c>
      <c r="AF67" s="50">
        <v>63600000</v>
      </c>
      <c r="AG67" s="53" t="s">
        <v>55</v>
      </c>
    </row>
    <row r="68" spans="1:33" ht="15" customHeight="1">
      <c r="A68" s="46" t="s">
        <v>91</v>
      </c>
      <c r="B68" s="3" t="str">
        <f>_xlfn.IFNA(VLOOKUP(C68,Master!$J:$K,2,0),"")</f>
        <v>B2220</v>
      </c>
      <c r="C68" s="46" t="s">
        <v>83</v>
      </c>
      <c r="D68" s="4" t="str">
        <f>_xlfn.IFNA(VLOOKUP(E68,Master!$J:$K,2,0),"")</f>
        <v>B3110</v>
      </c>
      <c r="E68" s="46" t="s">
        <v>117</v>
      </c>
      <c r="F68" s="4">
        <f>_xlfn.IFNA(VLOOKUP(G68,Master!B:C,2,0),"")</f>
        <v>7511111</v>
      </c>
      <c r="G68" s="46" t="s">
        <v>75</v>
      </c>
      <c r="H68" s="46" t="s">
        <v>536</v>
      </c>
      <c r="I68" s="3" t="str">
        <f>_xlfn.IFNA(VLOOKUP(E68,Master!$J:$M,4,0),"")</f>
        <v>ADM</v>
      </c>
      <c r="J68" s="3" t="str">
        <f>_xlfn.IFNA(VLOOKUP($E68,Master!$J:$M,3,0),"")</f>
        <v>SGA</v>
      </c>
      <c r="P68" s="50">
        <v>1288000</v>
      </c>
      <c r="Q68" s="50">
        <v>644000</v>
      </c>
      <c r="AB68" s="50">
        <v>2016000</v>
      </c>
      <c r="AC68" s="26">
        <f t="shared" si="2"/>
        <v>1288000</v>
      </c>
      <c r="AD68" s="26">
        <f t="shared" si="3"/>
        <v>2660000</v>
      </c>
      <c r="AE68" s="50">
        <v>2100000</v>
      </c>
      <c r="AF68" s="50">
        <v>2184000</v>
      </c>
      <c r="AG68" s="53" t="s">
        <v>55</v>
      </c>
    </row>
    <row r="69" spans="1:33" ht="15" customHeight="1">
      <c r="A69" s="46" t="s">
        <v>91</v>
      </c>
      <c r="B69" s="3" t="str">
        <f>_xlfn.IFNA(VLOOKUP(C69,Master!$J:$K,2,0),"")</f>
        <v>B2220</v>
      </c>
      <c r="C69" s="46" t="s">
        <v>83</v>
      </c>
      <c r="D69" s="4" t="str">
        <f>_xlfn.IFNA(VLOOKUP(E69,Master!$J:$K,2,0),"")</f>
        <v>B3110</v>
      </c>
      <c r="E69" s="46" t="s">
        <v>117</v>
      </c>
      <c r="F69" s="4">
        <f>_xlfn.IFNA(VLOOKUP(G69,Master!B:C,2,0),"")</f>
        <v>7511111</v>
      </c>
      <c r="G69" s="46" t="s">
        <v>75</v>
      </c>
      <c r="H69" s="46" t="s">
        <v>537</v>
      </c>
      <c r="I69" s="3" t="str">
        <f>_xlfn.IFNA(VLOOKUP(E69,Master!$J:$M,4,0),"")</f>
        <v>ADM</v>
      </c>
      <c r="J69" s="3" t="str">
        <f>_xlfn.IFNA(VLOOKUP($E69,Master!$J:$M,3,0),"")</f>
        <v>SGA</v>
      </c>
      <c r="M69" s="50">
        <v>280000</v>
      </c>
      <c r="N69" s="50">
        <v>280000</v>
      </c>
      <c r="O69" s="50">
        <v>280000</v>
      </c>
      <c r="P69" s="50">
        <v>280000</v>
      </c>
      <c r="Q69" s="50">
        <v>280000</v>
      </c>
      <c r="R69" s="50">
        <v>280000</v>
      </c>
      <c r="S69" s="50">
        <v>280000</v>
      </c>
      <c r="T69" s="50">
        <v>280000</v>
      </c>
      <c r="U69" s="50">
        <v>280000</v>
      </c>
      <c r="V69" s="50">
        <v>280000</v>
      </c>
      <c r="W69" s="50">
        <v>280000</v>
      </c>
      <c r="X69" s="50">
        <v>280000</v>
      </c>
      <c r="Y69" s="50">
        <v>280000</v>
      </c>
      <c r="Z69" s="50">
        <v>280000</v>
      </c>
      <c r="AA69" s="50">
        <v>280000</v>
      </c>
      <c r="AB69" s="50">
        <v>280000</v>
      </c>
      <c r="AC69" s="26">
        <f t="shared" si="2"/>
        <v>1120000</v>
      </c>
      <c r="AD69" s="26">
        <f t="shared" si="3"/>
        <v>3360000</v>
      </c>
      <c r="AE69" s="50">
        <v>3360000</v>
      </c>
      <c r="AF69" s="50">
        <v>3360000</v>
      </c>
      <c r="AG69" s="53" t="s">
        <v>55</v>
      </c>
    </row>
    <row r="70" spans="1:33" ht="15" customHeight="1">
      <c r="A70" s="46" t="s">
        <v>91</v>
      </c>
      <c r="B70" s="3" t="str">
        <f>_xlfn.IFNA(VLOOKUP(C70,Master!$J:$K,2,0),"")</f>
        <v>B2220</v>
      </c>
      <c r="C70" s="46" t="s">
        <v>83</v>
      </c>
      <c r="D70" s="4" t="str">
        <f>_xlfn.IFNA(VLOOKUP(E70,Master!$J:$K,2,0),"")</f>
        <v>B3110</v>
      </c>
      <c r="E70" s="46" t="s">
        <v>117</v>
      </c>
      <c r="F70" s="4">
        <f>_xlfn.IFNA(VLOOKUP(G70,Master!B:C,2,0),"")</f>
        <v>7511111</v>
      </c>
      <c r="G70" s="46" t="s">
        <v>75</v>
      </c>
      <c r="H70" s="46" t="s">
        <v>538</v>
      </c>
      <c r="I70" s="3" t="str">
        <f>_xlfn.IFNA(VLOOKUP(E70,Master!$J:$M,4,0),"")</f>
        <v>ADM</v>
      </c>
      <c r="J70" s="3" t="str">
        <f>_xlfn.IFNA(VLOOKUP($E70,Master!$J:$M,3,0),"")</f>
        <v>SGA</v>
      </c>
      <c r="M70" s="50">
        <v>1800000</v>
      </c>
      <c r="N70" s="50">
        <v>1800000</v>
      </c>
      <c r="O70" s="50">
        <v>1800000</v>
      </c>
      <c r="P70" s="50">
        <v>1800000</v>
      </c>
      <c r="Q70" s="50">
        <v>1800000</v>
      </c>
      <c r="R70" s="50">
        <v>1800000</v>
      </c>
      <c r="S70" s="50">
        <v>1800000</v>
      </c>
      <c r="T70" s="50">
        <v>1800000</v>
      </c>
      <c r="U70" s="50">
        <v>1800000</v>
      </c>
      <c r="V70" s="50">
        <v>1800000</v>
      </c>
      <c r="W70" s="50">
        <v>1800000</v>
      </c>
      <c r="X70" s="50">
        <v>1800000</v>
      </c>
      <c r="Y70" s="50">
        <v>1800000</v>
      </c>
      <c r="Z70" s="50">
        <v>1800000</v>
      </c>
      <c r="AA70" s="50">
        <v>1800000</v>
      </c>
      <c r="AB70" s="50">
        <v>1800000</v>
      </c>
      <c r="AC70" s="26">
        <f t="shared" si="2"/>
        <v>7200000</v>
      </c>
      <c r="AD70" s="26">
        <f t="shared" si="3"/>
        <v>21600000</v>
      </c>
      <c r="AE70" s="50">
        <v>21600000</v>
      </c>
      <c r="AF70" s="50">
        <v>21600000</v>
      </c>
      <c r="AG70" s="53" t="s">
        <v>55</v>
      </c>
    </row>
    <row r="71" spans="1:33" ht="15" customHeight="1">
      <c r="A71" s="46" t="s">
        <v>91</v>
      </c>
      <c r="B71" s="3" t="str">
        <f>_xlfn.IFNA(VLOOKUP(C71,Master!$J:$K,2,0),"")</f>
        <v>B2220</v>
      </c>
      <c r="C71" s="46" t="s">
        <v>83</v>
      </c>
      <c r="D71" s="4" t="str">
        <f>_xlfn.IFNA(VLOOKUP(E71,Master!$J:$K,2,0),"")</f>
        <v>B3120</v>
      </c>
      <c r="E71" s="46" t="s">
        <v>122</v>
      </c>
      <c r="F71" s="4">
        <f>_xlfn.IFNA(VLOOKUP(G71,Master!B:C,2,0),"")</f>
        <v>7511111</v>
      </c>
      <c r="G71" s="46" t="s">
        <v>75</v>
      </c>
      <c r="H71" s="46" t="s">
        <v>533</v>
      </c>
      <c r="I71" s="3" t="str">
        <f>_xlfn.IFNA(VLOOKUP(E71,Master!$J:$M,4,0),"")</f>
        <v>ADM</v>
      </c>
      <c r="J71" s="3" t="str">
        <f>_xlfn.IFNA(VLOOKUP($E71,Master!$J:$M,3,0),"")</f>
        <v>SGA</v>
      </c>
      <c r="M71" s="50">
        <v>4500</v>
      </c>
      <c r="N71" s="50">
        <v>4500</v>
      </c>
      <c r="O71" s="50">
        <v>4500</v>
      </c>
      <c r="P71" s="50">
        <v>4500</v>
      </c>
      <c r="Q71" s="50">
        <v>4500</v>
      </c>
      <c r="R71" s="50">
        <v>4500</v>
      </c>
      <c r="S71" s="50">
        <v>4500</v>
      </c>
      <c r="T71" s="50">
        <v>4500</v>
      </c>
      <c r="U71" s="50">
        <v>4500</v>
      </c>
      <c r="V71" s="50">
        <v>4500</v>
      </c>
      <c r="W71" s="50">
        <v>4500</v>
      </c>
      <c r="X71" s="50">
        <v>4500</v>
      </c>
      <c r="Y71" s="50">
        <v>4500</v>
      </c>
      <c r="Z71" s="50">
        <v>4500</v>
      </c>
      <c r="AA71" s="50">
        <v>4500</v>
      </c>
      <c r="AB71" s="50">
        <v>4500</v>
      </c>
      <c r="AC71" s="26">
        <f t="shared" si="2"/>
        <v>18000</v>
      </c>
      <c r="AD71" s="26">
        <f t="shared" si="3"/>
        <v>54000</v>
      </c>
      <c r="AE71" s="50">
        <v>54000</v>
      </c>
      <c r="AF71" s="50">
        <v>54000</v>
      </c>
      <c r="AG71" s="53" t="s">
        <v>55</v>
      </c>
    </row>
    <row r="72" spans="1:33" ht="15" customHeight="1">
      <c r="A72" s="46" t="s">
        <v>91</v>
      </c>
      <c r="B72" s="3" t="str">
        <f>_xlfn.IFNA(VLOOKUP(C72,Master!$J:$K,2,0),"")</f>
        <v>B2220</v>
      </c>
      <c r="C72" s="46" t="s">
        <v>83</v>
      </c>
      <c r="D72" s="4" t="str">
        <f>_xlfn.IFNA(VLOOKUP(E72,Master!$J:$K,2,0),"")</f>
        <v>B3120</v>
      </c>
      <c r="E72" s="46" t="s">
        <v>122</v>
      </c>
      <c r="F72" s="4">
        <f>_xlfn.IFNA(VLOOKUP(G72,Master!B:C,2,0),"")</f>
        <v>7511111</v>
      </c>
      <c r="G72" s="46" t="s">
        <v>75</v>
      </c>
      <c r="H72" s="46" t="s">
        <v>534</v>
      </c>
      <c r="I72" s="3" t="str">
        <f>_xlfn.IFNA(VLOOKUP(E72,Master!$J:$M,4,0),"")</f>
        <v>ADM</v>
      </c>
      <c r="J72" s="3" t="str">
        <f>_xlfn.IFNA(VLOOKUP($E72,Master!$J:$M,3,0),"")</f>
        <v>SGA</v>
      </c>
      <c r="M72" s="50">
        <v>434700</v>
      </c>
      <c r="N72" s="50">
        <v>491400</v>
      </c>
      <c r="O72" s="50">
        <v>453600</v>
      </c>
      <c r="P72" s="50">
        <v>396900</v>
      </c>
      <c r="Q72" s="50">
        <v>340200</v>
      </c>
      <c r="R72" s="50">
        <v>415800</v>
      </c>
      <c r="S72" s="50">
        <v>396900</v>
      </c>
      <c r="T72" s="50">
        <v>472500</v>
      </c>
      <c r="U72" s="50">
        <v>453600</v>
      </c>
      <c r="V72" s="50">
        <v>415800</v>
      </c>
      <c r="W72" s="50">
        <v>472500</v>
      </c>
      <c r="X72" s="50">
        <v>434700</v>
      </c>
      <c r="Y72" s="50">
        <v>415800</v>
      </c>
      <c r="Z72" s="50">
        <v>475200</v>
      </c>
      <c r="AA72" s="50">
        <v>435600</v>
      </c>
      <c r="AB72" s="50">
        <v>376200</v>
      </c>
      <c r="AC72" s="26">
        <f t="shared" si="2"/>
        <v>1776600</v>
      </c>
      <c r="AD72" s="26">
        <f t="shared" si="3"/>
        <v>5104800</v>
      </c>
      <c r="AE72" s="50">
        <v>5153600</v>
      </c>
      <c r="AF72" s="50">
        <v>5373300</v>
      </c>
      <c r="AG72" s="53" t="s">
        <v>55</v>
      </c>
    </row>
    <row r="73" spans="1:33" ht="15" customHeight="1">
      <c r="A73" s="46" t="s">
        <v>91</v>
      </c>
      <c r="B73" s="3" t="str">
        <f>_xlfn.IFNA(VLOOKUP(C73,Master!$J:$K,2,0),"")</f>
        <v>B2220</v>
      </c>
      <c r="C73" s="46" t="s">
        <v>83</v>
      </c>
      <c r="D73" s="4" t="str">
        <f>_xlfn.IFNA(VLOOKUP(E73,Master!$J:$K,2,0),"")</f>
        <v>B3120</v>
      </c>
      <c r="E73" s="46" t="s">
        <v>122</v>
      </c>
      <c r="F73" s="4">
        <f>_xlfn.IFNA(VLOOKUP(G73,Master!B:C,2,0),"")</f>
        <v>7511111</v>
      </c>
      <c r="G73" s="46" t="s">
        <v>75</v>
      </c>
      <c r="H73" s="46" t="s">
        <v>535</v>
      </c>
      <c r="I73" s="3" t="str">
        <f>_xlfn.IFNA(VLOOKUP(E73,Master!$J:$M,4,0),"")</f>
        <v>ADM</v>
      </c>
      <c r="J73" s="3" t="str">
        <f>_xlfn.IFNA(VLOOKUP($E73,Master!$J:$M,3,0),"")</f>
        <v>SGA</v>
      </c>
      <c r="M73" s="50">
        <v>150000</v>
      </c>
      <c r="N73" s="50">
        <v>150000</v>
      </c>
      <c r="O73" s="50">
        <v>150000</v>
      </c>
      <c r="P73" s="50">
        <v>150000</v>
      </c>
      <c r="Q73" s="50">
        <v>150000</v>
      </c>
      <c r="R73" s="50">
        <v>150000</v>
      </c>
      <c r="S73" s="50">
        <v>150000</v>
      </c>
      <c r="T73" s="50">
        <v>150000</v>
      </c>
      <c r="U73" s="50">
        <v>150000</v>
      </c>
      <c r="V73" s="50">
        <v>150000</v>
      </c>
      <c r="W73" s="50">
        <v>150000</v>
      </c>
      <c r="X73" s="50">
        <v>150000</v>
      </c>
      <c r="Y73" s="50">
        <v>150000</v>
      </c>
      <c r="Z73" s="50">
        <v>500000</v>
      </c>
      <c r="AA73" s="50">
        <v>500000</v>
      </c>
      <c r="AB73" s="50">
        <v>500000</v>
      </c>
      <c r="AC73" s="26">
        <f t="shared" si="2"/>
        <v>600000</v>
      </c>
      <c r="AD73" s="26">
        <f t="shared" si="3"/>
        <v>2850000</v>
      </c>
      <c r="AE73" s="50">
        <v>6000000</v>
      </c>
      <c r="AF73" s="50">
        <v>6000000</v>
      </c>
      <c r="AG73" s="53" t="s">
        <v>55</v>
      </c>
    </row>
    <row r="74" spans="1:33" ht="15" customHeight="1">
      <c r="A74" s="46" t="s">
        <v>91</v>
      </c>
      <c r="B74" s="3" t="str">
        <f>_xlfn.IFNA(VLOOKUP(C74,Master!$J:$K,2,0),"")</f>
        <v>B2220</v>
      </c>
      <c r="C74" s="46" t="s">
        <v>83</v>
      </c>
      <c r="D74" s="4" t="str">
        <f>_xlfn.IFNA(VLOOKUP(E74,Master!$J:$K,2,0),"")</f>
        <v>B3120</v>
      </c>
      <c r="E74" s="46" t="s">
        <v>122</v>
      </c>
      <c r="F74" s="4">
        <f>_xlfn.IFNA(VLOOKUP(G74,Master!B:C,2,0),"")</f>
        <v>7511111</v>
      </c>
      <c r="G74" s="46" t="s">
        <v>75</v>
      </c>
      <c r="H74" s="46" t="s">
        <v>536</v>
      </c>
      <c r="I74" s="3" t="str">
        <f>_xlfn.IFNA(VLOOKUP(E74,Master!$J:$M,4,0),"")</f>
        <v>ADM</v>
      </c>
      <c r="J74" s="3" t="str">
        <f>_xlfn.IFNA(VLOOKUP($E74,Master!$J:$M,3,0),"")</f>
        <v>SGA</v>
      </c>
      <c r="P74" s="50">
        <v>184000</v>
      </c>
      <c r="Q74" s="50">
        <v>92000</v>
      </c>
      <c r="AB74" s="50">
        <v>288000</v>
      </c>
      <c r="AC74" s="26">
        <f t="shared" si="2"/>
        <v>184000</v>
      </c>
      <c r="AD74" s="26">
        <f t="shared" si="3"/>
        <v>380000</v>
      </c>
      <c r="AE74" s="50">
        <v>300000</v>
      </c>
      <c r="AF74" s="50">
        <v>312000</v>
      </c>
      <c r="AG74" s="53" t="s">
        <v>55</v>
      </c>
    </row>
    <row r="75" spans="1:33" ht="15" customHeight="1">
      <c r="A75" s="46" t="s">
        <v>91</v>
      </c>
      <c r="B75" s="3" t="str">
        <f>_xlfn.IFNA(VLOOKUP(C75,Master!$J:$K,2,0),"")</f>
        <v>B2220</v>
      </c>
      <c r="C75" s="46" t="s">
        <v>83</v>
      </c>
      <c r="D75" s="4" t="str">
        <f>_xlfn.IFNA(VLOOKUP(E75,Master!$J:$K,2,0),"")</f>
        <v>B3120</v>
      </c>
      <c r="E75" s="46" t="s">
        <v>122</v>
      </c>
      <c r="F75" s="4">
        <f>_xlfn.IFNA(VLOOKUP(G75,Master!B:C,2,0),"")</f>
        <v>7511111</v>
      </c>
      <c r="G75" s="46" t="s">
        <v>75</v>
      </c>
      <c r="H75" s="46" t="s">
        <v>537</v>
      </c>
      <c r="I75" s="3" t="str">
        <f>_xlfn.IFNA(VLOOKUP(E75,Master!$J:$M,4,0),"")</f>
        <v>ADM</v>
      </c>
      <c r="J75" s="3" t="str">
        <f>_xlfn.IFNA(VLOOKUP($E75,Master!$J:$M,3,0),"")</f>
        <v>SGA</v>
      </c>
      <c r="M75" s="50">
        <v>60000</v>
      </c>
      <c r="N75" s="50">
        <v>60000</v>
      </c>
      <c r="O75" s="50">
        <v>60000</v>
      </c>
      <c r="P75" s="50">
        <v>60000</v>
      </c>
      <c r="Q75" s="50">
        <v>60000</v>
      </c>
      <c r="R75" s="50">
        <v>60000</v>
      </c>
      <c r="S75" s="50">
        <v>60000</v>
      </c>
      <c r="T75" s="50">
        <v>60000</v>
      </c>
      <c r="U75" s="50">
        <v>60000</v>
      </c>
      <c r="V75" s="50">
        <v>60000</v>
      </c>
      <c r="W75" s="50">
        <v>60000</v>
      </c>
      <c r="X75" s="50">
        <v>60000</v>
      </c>
      <c r="Y75" s="50">
        <v>60000</v>
      </c>
      <c r="Z75" s="50">
        <v>60000</v>
      </c>
      <c r="AA75" s="50">
        <v>60000</v>
      </c>
      <c r="AB75" s="50">
        <v>60000</v>
      </c>
      <c r="AC75" s="26">
        <f t="shared" si="2"/>
        <v>240000</v>
      </c>
      <c r="AD75" s="26">
        <f t="shared" si="3"/>
        <v>720000</v>
      </c>
      <c r="AE75" s="50">
        <v>720000</v>
      </c>
      <c r="AF75" s="50">
        <v>720000</v>
      </c>
      <c r="AG75" s="53" t="s">
        <v>55</v>
      </c>
    </row>
    <row r="76" spans="1:33" ht="15" customHeight="1">
      <c r="A76" s="46" t="s">
        <v>91</v>
      </c>
      <c r="B76" s="3" t="str">
        <f>_xlfn.IFNA(VLOOKUP(C76,Master!$J:$K,2,0),"")</f>
        <v>B2220</v>
      </c>
      <c r="C76" s="46" t="s">
        <v>83</v>
      </c>
      <c r="D76" s="4" t="str">
        <f>_xlfn.IFNA(VLOOKUP(E76,Master!$J:$K,2,0),"")</f>
        <v>B3120</v>
      </c>
      <c r="E76" s="46" t="s">
        <v>122</v>
      </c>
      <c r="F76" s="4">
        <f>_xlfn.IFNA(VLOOKUP(G76,Master!B:C,2,0),"")</f>
        <v>7511111</v>
      </c>
      <c r="G76" s="46" t="s">
        <v>75</v>
      </c>
      <c r="H76" s="46" t="s">
        <v>538</v>
      </c>
      <c r="I76" s="3" t="str">
        <f>_xlfn.IFNA(VLOOKUP(E76,Master!$J:$M,4,0),"")</f>
        <v>ADM</v>
      </c>
      <c r="J76" s="3" t="str">
        <f>_xlfn.IFNA(VLOOKUP($E76,Master!$J:$M,3,0),"")</f>
        <v>SGA</v>
      </c>
      <c r="M76" s="50">
        <v>300000</v>
      </c>
      <c r="N76" s="50">
        <v>300000</v>
      </c>
      <c r="O76" s="50">
        <v>300000</v>
      </c>
      <c r="P76" s="50">
        <v>300000</v>
      </c>
      <c r="Q76" s="50">
        <v>300000</v>
      </c>
      <c r="R76" s="50">
        <v>300000</v>
      </c>
      <c r="S76" s="50">
        <v>300000</v>
      </c>
      <c r="T76" s="50">
        <v>300000</v>
      </c>
      <c r="U76" s="50">
        <v>300000</v>
      </c>
      <c r="V76" s="50">
        <v>300000</v>
      </c>
      <c r="W76" s="50">
        <v>300000</v>
      </c>
      <c r="X76" s="50">
        <v>300000</v>
      </c>
      <c r="Y76" s="50">
        <v>300000</v>
      </c>
      <c r="Z76" s="50">
        <v>300000</v>
      </c>
      <c r="AA76" s="50">
        <v>300000</v>
      </c>
      <c r="AB76" s="50">
        <v>300000</v>
      </c>
      <c r="AC76" s="26">
        <f t="shared" si="2"/>
        <v>1200000</v>
      </c>
      <c r="AD76" s="26">
        <f t="shared" si="3"/>
        <v>3600000</v>
      </c>
      <c r="AE76" s="50">
        <v>3600000</v>
      </c>
      <c r="AF76" s="50">
        <v>3600000</v>
      </c>
      <c r="AG76" s="53" t="s">
        <v>55</v>
      </c>
    </row>
    <row r="77" spans="1:33" ht="15" customHeight="1">
      <c r="A77" s="46" t="s">
        <v>91</v>
      </c>
      <c r="B77" s="3" t="str">
        <f>_xlfn.IFNA(VLOOKUP(C77,Master!$J:$K,2,0),"")</f>
        <v>B2220</v>
      </c>
      <c r="C77" s="46" t="s">
        <v>83</v>
      </c>
      <c r="D77" s="4" t="str">
        <f>_xlfn.IFNA(VLOOKUP(E77,Master!$J:$K,2,0),"")</f>
        <v>B3130</v>
      </c>
      <c r="E77" s="46" t="s">
        <v>127</v>
      </c>
      <c r="F77" s="4">
        <f>_xlfn.IFNA(VLOOKUP(G77,Master!B:C,2,0),"")</f>
        <v>7511111</v>
      </c>
      <c r="G77" s="46" t="s">
        <v>75</v>
      </c>
      <c r="H77" s="46" t="s">
        <v>533</v>
      </c>
      <c r="I77" s="3" t="str">
        <f>_xlfn.IFNA(VLOOKUP(E77,Master!$J:$M,4,0),"")</f>
        <v>ADM</v>
      </c>
      <c r="J77" s="3" t="str">
        <f>_xlfn.IFNA(VLOOKUP($E77,Master!$J:$M,3,0),"")</f>
        <v>SGA</v>
      </c>
      <c r="M77" s="50">
        <v>45000</v>
      </c>
      <c r="N77" s="50">
        <v>45000</v>
      </c>
      <c r="O77" s="50">
        <v>54000</v>
      </c>
      <c r="P77" s="50">
        <v>54000</v>
      </c>
      <c r="Q77" s="50">
        <v>63000</v>
      </c>
      <c r="R77" s="50">
        <v>63000</v>
      </c>
      <c r="S77" s="50">
        <v>63000</v>
      </c>
      <c r="T77" s="50">
        <v>63000</v>
      </c>
      <c r="U77" s="50">
        <v>63000</v>
      </c>
      <c r="V77" s="50">
        <v>63000</v>
      </c>
      <c r="W77" s="50">
        <v>63000</v>
      </c>
      <c r="X77" s="50">
        <v>63000</v>
      </c>
      <c r="Y77" s="50">
        <v>63000</v>
      </c>
      <c r="Z77" s="50">
        <v>63000</v>
      </c>
      <c r="AA77" s="50">
        <v>63000</v>
      </c>
      <c r="AB77" s="50">
        <v>63000</v>
      </c>
      <c r="AC77" s="26">
        <f t="shared" si="2"/>
        <v>198000</v>
      </c>
      <c r="AD77" s="26">
        <f t="shared" si="3"/>
        <v>756000</v>
      </c>
      <c r="AE77" s="50">
        <v>756000</v>
      </c>
      <c r="AF77" s="50">
        <v>756000</v>
      </c>
      <c r="AG77" s="53" t="s">
        <v>55</v>
      </c>
    </row>
    <row r="78" spans="1:33" ht="15" customHeight="1">
      <c r="A78" s="46" t="s">
        <v>91</v>
      </c>
      <c r="B78" s="3" t="str">
        <f>_xlfn.IFNA(VLOOKUP(C78,Master!$J:$K,2,0),"")</f>
        <v>B2220</v>
      </c>
      <c r="C78" s="46" t="s">
        <v>83</v>
      </c>
      <c r="D78" s="4" t="str">
        <f>_xlfn.IFNA(VLOOKUP(E78,Master!$J:$K,2,0),"")</f>
        <v>B3130</v>
      </c>
      <c r="E78" s="46" t="s">
        <v>127</v>
      </c>
      <c r="F78" s="4">
        <f>_xlfn.IFNA(VLOOKUP(G78,Master!B:C,2,0),"")</f>
        <v>7511111</v>
      </c>
      <c r="G78" s="46" t="s">
        <v>75</v>
      </c>
      <c r="H78" s="46" t="s">
        <v>534</v>
      </c>
      <c r="I78" s="3" t="str">
        <f>_xlfn.IFNA(VLOOKUP(E78,Master!$J:$M,4,0),"")</f>
        <v>ADM</v>
      </c>
      <c r="J78" s="3" t="str">
        <f>_xlfn.IFNA(VLOOKUP($E78,Master!$J:$M,3,0),"")</f>
        <v>SGA</v>
      </c>
      <c r="M78" s="50">
        <v>18441300</v>
      </c>
      <c r="N78" s="50">
        <v>19020600</v>
      </c>
      <c r="O78" s="50">
        <v>19539200</v>
      </c>
      <c r="P78" s="50">
        <v>18846800</v>
      </c>
      <c r="Q78" s="50">
        <v>21612000</v>
      </c>
      <c r="R78" s="50">
        <v>22748000</v>
      </c>
      <c r="S78" s="50">
        <v>22464000</v>
      </c>
      <c r="T78" s="50">
        <v>23600000</v>
      </c>
      <c r="U78" s="50">
        <v>23316000</v>
      </c>
      <c r="V78" s="50">
        <v>22748000</v>
      </c>
      <c r="W78" s="50">
        <v>23600000</v>
      </c>
      <c r="X78" s="50">
        <v>23032000</v>
      </c>
      <c r="Y78" s="50">
        <v>22748000</v>
      </c>
      <c r="Z78" s="50">
        <v>23316000</v>
      </c>
      <c r="AA78" s="50">
        <v>22748000</v>
      </c>
      <c r="AB78" s="50">
        <v>21896000</v>
      </c>
      <c r="AC78" s="26">
        <f t="shared" si="2"/>
        <v>75847900</v>
      </c>
      <c r="AD78" s="26">
        <f t="shared" si="3"/>
        <v>273828000</v>
      </c>
      <c r="AE78" s="50">
        <v>275100000</v>
      </c>
      <c r="AF78" s="50">
        <v>281130000</v>
      </c>
      <c r="AG78" s="53" t="s">
        <v>55</v>
      </c>
    </row>
    <row r="79" spans="1:33" ht="15" customHeight="1">
      <c r="A79" s="46" t="s">
        <v>91</v>
      </c>
      <c r="B79" s="3" t="str">
        <f>_xlfn.IFNA(VLOOKUP(C79,Master!$J:$K,2,0),"")</f>
        <v>B2220</v>
      </c>
      <c r="C79" s="46" t="s">
        <v>83</v>
      </c>
      <c r="D79" s="4" t="str">
        <f>_xlfn.IFNA(VLOOKUP(E79,Master!$J:$K,2,0),"")</f>
        <v>B3130</v>
      </c>
      <c r="E79" s="46" t="s">
        <v>127</v>
      </c>
      <c r="F79" s="4">
        <f>_xlfn.IFNA(VLOOKUP(G79,Master!B:C,2,0),"")</f>
        <v>7511111</v>
      </c>
      <c r="G79" s="46" t="s">
        <v>75</v>
      </c>
      <c r="H79" s="46" t="s">
        <v>535</v>
      </c>
      <c r="I79" s="3" t="str">
        <f>_xlfn.IFNA(VLOOKUP(E79,Master!$J:$M,4,0),"")</f>
        <v>ADM</v>
      </c>
      <c r="J79" s="3" t="str">
        <f>_xlfn.IFNA(VLOOKUP($E79,Master!$J:$M,3,0),"")</f>
        <v>SGA</v>
      </c>
      <c r="M79" s="50">
        <v>8200000</v>
      </c>
      <c r="N79" s="50">
        <v>8200000</v>
      </c>
      <c r="O79" s="50">
        <v>8200000</v>
      </c>
      <c r="P79" s="50">
        <v>8200000</v>
      </c>
      <c r="Q79" s="50">
        <v>8200000</v>
      </c>
      <c r="R79" s="50">
        <v>8200000</v>
      </c>
      <c r="S79" s="50">
        <v>8200000</v>
      </c>
      <c r="T79" s="50">
        <v>8200000</v>
      </c>
      <c r="U79" s="50">
        <v>8200000</v>
      </c>
      <c r="V79" s="50">
        <v>8200000</v>
      </c>
      <c r="W79" s="50">
        <v>8200000</v>
      </c>
      <c r="X79" s="50">
        <v>8200000</v>
      </c>
      <c r="Y79" s="50">
        <v>8200000</v>
      </c>
      <c r="Z79" s="50">
        <v>12100000</v>
      </c>
      <c r="AA79" s="50">
        <v>12100000</v>
      </c>
      <c r="AB79" s="50">
        <v>12100000</v>
      </c>
      <c r="AC79" s="26">
        <f t="shared" si="2"/>
        <v>32800000</v>
      </c>
      <c r="AD79" s="26">
        <f t="shared" si="3"/>
        <v>110100000</v>
      </c>
      <c r="AE79" s="50">
        <v>145200000</v>
      </c>
      <c r="AF79" s="50">
        <v>145200000</v>
      </c>
      <c r="AG79" s="53" t="s">
        <v>55</v>
      </c>
    </row>
    <row r="80" spans="1:33" ht="15" customHeight="1">
      <c r="A80" s="46" t="s">
        <v>91</v>
      </c>
      <c r="B80" s="3" t="str">
        <f>_xlfn.IFNA(VLOOKUP(C80,Master!$J:$K,2,0),"")</f>
        <v>B2220</v>
      </c>
      <c r="C80" s="46" t="s">
        <v>83</v>
      </c>
      <c r="D80" s="4" t="str">
        <f>_xlfn.IFNA(VLOOKUP(E80,Master!$J:$K,2,0),"")</f>
        <v>B3130</v>
      </c>
      <c r="E80" s="46" t="s">
        <v>127</v>
      </c>
      <c r="F80" s="4">
        <f>_xlfn.IFNA(VLOOKUP(G80,Master!B:C,2,0),"")</f>
        <v>7511111</v>
      </c>
      <c r="G80" s="46" t="s">
        <v>75</v>
      </c>
      <c r="H80" s="46" t="s">
        <v>536</v>
      </c>
      <c r="I80" s="3" t="str">
        <f>_xlfn.IFNA(VLOOKUP(E80,Master!$J:$M,4,0),"")</f>
        <v>ADM</v>
      </c>
      <c r="J80" s="3" t="str">
        <f>_xlfn.IFNA(VLOOKUP($E80,Master!$J:$M,3,0),"")</f>
        <v>SGA</v>
      </c>
      <c r="P80" s="50">
        <v>2208000</v>
      </c>
      <c r="Q80" s="50">
        <v>1288000</v>
      </c>
      <c r="AB80" s="50">
        <v>4032000</v>
      </c>
      <c r="AC80" s="26">
        <f t="shared" si="2"/>
        <v>2208000</v>
      </c>
      <c r="AD80" s="26">
        <f t="shared" si="3"/>
        <v>5320000</v>
      </c>
      <c r="AE80" s="50">
        <v>4200000</v>
      </c>
      <c r="AF80" s="50">
        <v>4368000</v>
      </c>
      <c r="AG80" s="53" t="s">
        <v>55</v>
      </c>
    </row>
    <row r="81" spans="1:33" ht="15" customHeight="1">
      <c r="A81" s="46" t="s">
        <v>91</v>
      </c>
      <c r="B81" s="3" t="str">
        <f>_xlfn.IFNA(VLOOKUP(C81,Master!$J:$K,2,0),"")</f>
        <v>B2220</v>
      </c>
      <c r="C81" s="46" t="s">
        <v>83</v>
      </c>
      <c r="D81" s="4" t="str">
        <f>_xlfn.IFNA(VLOOKUP(E81,Master!$J:$K,2,0),"")</f>
        <v>B3130</v>
      </c>
      <c r="E81" s="46" t="s">
        <v>127</v>
      </c>
      <c r="F81" s="4">
        <f>_xlfn.IFNA(VLOOKUP(G81,Master!B:C,2,0),"")</f>
        <v>7511111</v>
      </c>
      <c r="G81" s="46" t="s">
        <v>75</v>
      </c>
      <c r="H81" s="46" t="s">
        <v>537</v>
      </c>
      <c r="I81" s="3" t="str">
        <f>_xlfn.IFNA(VLOOKUP(E81,Master!$J:$M,4,0),"")</f>
        <v>ADM</v>
      </c>
      <c r="J81" s="3" t="str">
        <f>_xlfn.IFNA(VLOOKUP($E81,Master!$J:$M,3,0),"")</f>
        <v>SGA</v>
      </c>
      <c r="M81" s="50">
        <v>440000</v>
      </c>
      <c r="N81" s="50">
        <v>440000</v>
      </c>
      <c r="O81" s="50">
        <v>560000</v>
      </c>
      <c r="P81" s="50">
        <v>560000</v>
      </c>
      <c r="Q81" s="50">
        <v>680000</v>
      </c>
      <c r="R81" s="50">
        <v>680000</v>
      </c>
      <c r="S81" s="50">
        <v>680000</v>
      </c>
      <c r="T81" s="50">
        <v>680000</v>
      </c>
      <c r="U81" s="50">
        <v>680000</v>
      </c>
      <c r="V81" s="50">
        <v>680000</v>
      </c>
      <c r="W81" s="50">
        <v>680000</v>
      </c>
      <c r="X81" s="50">
        <v>680000</v>
      </c>
      <c r="Y81" s="50">
        <v>680000</v>
      </c>
      <c r="Z81" s="50">
        <v>680000</v>
      </c>
      <c r="AA81" s="50">
        <v>680000</v>
      </c>
      <c r="AB81" s="50">
        <v>680000</v>
      </c>
      <c r="AC81" s="26">
        <f t="shared" si="2"/>
        <v>2000000</v>
      </c>
      <c r="AD81" s="26">
        <f t="shared" si="3"/>
        <v>8160000</v>
      </c>
      <c r="AE81" s="50">
        <v>8160000</v>
      </c>
      <c r="AF81" s="50">
        <v>8160000</v>
      </c>
      <c r="AG81" s="53" t="s">
        <v>55</v>
      </c>
    </row>
    <row r="82" spans="1:33" ht="15" customHeight="1">
      <c r="A82" s="46" t="s">
        <v>91</v>
      </c>
      <c r="B82" s="3" t="str">
        <f>_xlfn.IFNA(VLOOKUP(C82,Master!$J:$K,2,0),"")</f>
        <v>B2220</v>
      </c>
      <c r="C82" s="46" t="s">
        <v>83</v>
      </c>
      <c r="D82" s="4" t="str">
        <f>_xlfn.IFNA(VLOOKUP(E82,Master!$J:$K,2,0),"")</f>
        <v>B3130</v>
      </c>
      <c r="E82" s="46" t="s">
        <v>127</v>
      </c>
      <c r="F82" s="4">
        <f>_xlfn.IFNA(VLOOKUP(G82,Master!B:C,2,0),"")</f>
        <v>7511111</v>
      </c>
      <c r="G82" s="46" t="s">
        <v>75</v>
      </c>
      <c r="H82" s="46" t="s">
        <v>538</v>
      </c>
      <c r="I82" s="3" t="str">
        <f>_xlfn.IFNA(VLOOKUP(E82,Master!$J:$M,4,0),"")</f>
        <v>ADM</v>
      </c>
      <c r="J82" s="3" t="str">
        <f>_xlfn.IFNA(VLOOKUP($E82,Master!$J:$M,3,0),"")</f>
        <v>SGA</v>
      </c>
      <c r="M82" s="50">
        <v>2400000</v>
      </c>
      <c r="N82" s="50">
        <v>2400000</v>
      </c>
      <c r="O82" s="50">
        <v>3000000</v>
      </c>
      <c r="P82" s="50">
        <v>3000000</v>
      </c>
      <c r="Q82" s="50">
        <v>3600000</v>
      </c>
      <c r="R82" s="50">
        <v>3600000</v>
      </c>
      <c r="S82" s="50">
        <v>3600000</v>
      </c>
      <c r="T82" s="50">
        <v>3600000</v>
      </c>
      <c r="U82" s="50">
        <v>3600000</v>
      </c>
      <c r="V82" s="50">
        <v>3600000</v>
      </c>
      <c r="W82" s="50">
        <v>3600000</v>
      </c>
      <c r="X82" s="50">
        <v>3600000</v>
      </c>
      <c r="Y82" s="50">
        <v>3600000</v>
      </c>
      <c r="Z82" s="50">
        <v>3600000</v>
      </c>
      <c r="AA82" s="50">
        <v>3600000</v>
      </c>
      <c r="AB82" s="50">
        <v>3600000</v>
      </c>
      <c r="AC82" s="26">
        <f t="shared" si="2"/>
        <v>10800000</v>
      </c>
      <c r="AD82" s="26">
        <f t="shared" si="3"/>
        <v>43200000</v>
      </c>
      <c r="AE82" s="50">
        <v>43200000</v>
      </c>
      <c r="AF82" s="50">
        <v>43200000</v>
      </c>
      <c r="AG82" s="53" t="s">
        <v>55</v>
      </c>
    </row>
    <row r="83" spans="1:33" ht="15" customHeight="1">
      <c r="A83" s="46" t="s">
        <v>91</v>
      </c>
      <c r="B83" s="3" t="str">
        <f>_xlfn.IFNA(VLOOKUP(C83,Master!$J:$K,2,0),"")</f>
        <v>B2220</v>
      </c>
      <c r="C83" s="46" t="s">
        <v>83</v>
      </c>
      <c r="D83" s="4" t="str">
        <f>_xlfn.IFNA(VLOOKUP(E83,Master!$J:$K,2,0),"")</f>
        <v>B3150</v>
      </c>
      <c r="E83" s="46" t="s">
        <v>259</v>
      </c>
      <c r="F83" s="4">
        <f>_xlfn.IFNA(VLOOKUP(G83,Master!B:C,2,0),"")</f>
        <v>7511111</v>
      </c>
      <c r="G83" s="46" t="s">
        <v>75</v>
      </c>
      <c r="H83" s="46" t="s">
        <v>533</v>
      </c>
      <c r="I83" s="3" t="str">
        <f>_xlfn.IFNA(VLOOKUP(E83,Master!$J:$M,4,0),"")</f>
        <v>ADM</v>
      </c>
      <c r="J83" s="3" t="str">
        <f>_xlfn.IFNA(VLOOKUP($E83,Master!$J:$M,3,0),"")</f>
        <v>SGA</v>
      </c>
      <c r="M83" s="50">
        <v>54000</v>
      </c>
      <c r="N83" s="50">
        <v>49500</v>
      </c>
      <c r="O83" s="50">
        <v>49500</v>
      </c>
      <c r="P83" s="50">
        <v>49500</v>
      </c>
      <c r="Q83" s="50">
        <v>49500</v>
      </c>
      <c r="R83" s="50">
        <v>49500</v>
      </c>
      <c r="S83" s="50">
        <v>49500</v>
      </c>
      <c r="T83" s="50">
        <v>49500</v>
      </c>
      <c r="U83" s="50">
        <v>49500</v>
      </c>
      <c r="V83" s="50">
        <v>49500</v>
      </c>
      <c r="W83" s="50">
        <v>49500</v>
      </c>
      <c r="X83" s="50">
        <v>49500</v>
      </c>
      <c r="Y83" s="50">
        <v>49500</v>
      </c>
      <c r="Z83" s="50">
        <v>49500</v>
      </c>
      <c r="AA83" s="50">
        <v>49500</v>
      </c>
      <c r="AB83" s="50">
        <v>49500</v>
      </c>
      <c r="AC83" s="26">
        <f t="shared" si="2"/>
        <v>202500</v>
      </c>
      <c r="AD83" s="26">
        <f t="shared" si="3"/>
        <v>594000</v>
      </c>
      <c r="AE83" s="50">
        <v>594000</v>
      </c>
      <c r="AF83" s="50">
        <v>594000</v>
      </c>
      <c r="AG83" s="53" t="s">
        <v>55</v>
      </c>
    </row>
    <row r="84" spans="1:33" ht="15" customHeight="1">
      <c r="A84" s="46" t="s">
        <v>91</v>
      </c>
      <c r="B84" s="3" t="str">
        <f>_xlfn.IFNA(VLOOKUP(C84,Master!$J:$K,2,0),"")</f>
        <v>B2220</v>
      </c>
      <c r="C84" s="46" t="s">
        <v>83</v>
      </c>
      <c r="D84" s="4" t="str">
        <f>_xlfn.IFNA(VLOOKUP(E84,Master!$J:$K,2,0),"")</f>
        <v>B3150</v>
      </c>
      <c r="E84" s="46" t="s">
        <v>259</v>
      </c>
      <c r="F84" s="4">
        <f>_xlfn.IFNA(VLOOKUP(G84,Master!B:C,2,0),"")</f>
        <v>7511111</v>
      </c>
      <c r="G84" s="46" t="s">
        <v>75</v>
      </c>
      <c r="H84" s="46" t="s">
        <v>534</v>
      </c>
      <c r="I84" s="3" t="str">
        <f>_xlfn.IFNA(VLOOKUP(E84,Master!$J:$M,4,0),"")</f>
        <v>ADM</v>
      </c>
      <c r="J84" s="3" t="str">
        <f>_xlfn.IFNA(VLOOKUP($E84,Master!$J:$M,3,0),"")</f>
        <v>SGA</v>
      </c>
      <c r="M84" s="50">
        <v>8755500</v>
      </c>
      <c r="N84" s="50">
        <v>8950900</v>
      </c>
      <c r="O84" s="50">
        <v>8531600</v>
      </c>
      <c r="P84" s="50">
        <v>7902650</v>
      </c>
      <c r="Q84" s="50">
        <v>9996000</v>
      </c>
      <c r="R84" s="50">
        <v>10884000</v>
      </c>
      <c r="S84" s="50">
        <v>10662000</v>
      </c>
      <c r="T84" s="50">
        <v>11550000</v>
      </c>
      <c r="U84" s="50">
        <v>11328000</v>
      </c>
      <c r="V84" s="50">
        <v>10884000</v>
      </c>
      <c r="W84" s="50">
        <v>11550000</v>
      </c>
      <c r="X84" s="50">
        <v>11106000</v>
      </c>
      <c r="Y84" s="50">
        <v>10884000</v>
      </c>
      <c r="Z84" s="50">
        <v>11328000</v>
      </c>
      <c r="AA84" s="50">
        <v>10884000</v>
      </c>
      <c r="AB84" s="50">
        <v>10218000</v>
      </c>
      <c r="AC84" s="26">
        <f t="shared" si="2"/>
        <v>34140650</v>
      </c>
      <c r="AD84" s="26">
        <f t="shared" si="3"/>
        <v>131274000</v>
      </c>
      <c r="AE84" s="50">
        <v>132138000</v>
      </c>
      <c r="AF84" s="50">
        <v>137025000</v>
      </c>
      <c r="AG84" s="53" t="s">
        <v>55</v>
      </c>
    </row>
    <row r="85" spans="1:33" ht="15" customHeight="1">
      <c r="A85" s="46" t="s">
        <v>91</v>
      </c>
      <c r="B85" s="3" t="str">
        <f>_xlfn.IFNA(VLOOKUP(C85,Master!$J:$K,2,0),"")</f>
        <v>B2220</v>
      </c>
      <c r="C85" s="46" t="s">
        <v>83</v>
      </c>
      <c r="D85" s="4" t="str">
        <f>_xlfn.IFNA(VLOOKUP(E85,Master!$J:$K,2,0),"")</f>
        <v>B3150</v>
      </c>
      <c r="E85" s="46" t="s">
        <v>259</v>
      </c>
      <c r="F85" s="4">
        <f>_xlfn.IFNA(VLOOKUP(G85,Master!B:C,2,0),"")</f>
        <v>7511111</v>
      </c>
      <c r="G85" s="46" t="s">
        <v>75</v>
      </c>
      <c r="H85" s="46" t="s">
        <v>535</v>
      </c>
      <c r="I85" s="3" t="str">
        <f>_xlfn.IFNA(VLOOKUP(E85,Master!$J:$M,4,0),"")</f>
        <v>ADM</v>
      </c>
      <c r="J85" s="3" t="str">
        <f>_xlfn.IFNA(VLOOKUP($E85,Master!$J:$M,3,0),"")</f>
        <v>SGA</v>
      </c>
      <c r="M85" s="50">
        <v>3200000</v>
      </c>
      <c r="N85" s="50">
        <v>3200000</v>
      </c>
      <c r="O85" s="50">
        <v>3200000</v>
      </c>
      <c r="P85" s="50">
        <v>3200000</v>
      </c>
      <c r="Q85" s="50">
        <v>3200000</v>
      </c>
      <c r="R85" s="50">
        <v>3200000</v>
      </c>
      <c r="S85" s="50">
        <v>3200000</v>
      </c>
      <c r="T85" s="50">
        <v>3200000</v>
      </c>
      <c r="U85" s="50">
        <v>3200000</v>
      </c>
      <c r="V85" s="50">
        <v>3200000</v>
      </c>
      <c r="W85" s="50">
        <v>3200000</v>
      </c>
      <c r="X85" s="50">
        <v>3200000</v>
      </c>
      <c r="Y85" s="50">
        <v>3200000</v>
      </c>
      <c r="Z85" s="50">
        <v>4900000</v>
      </c>
      <c r="AA85" s="50">
        <v>4900000</v>
      </c>
      <c r="AB85" s="50">
        <v>4900000</v>
      </c>
      <c r="AC85" s="26">
        <f t="shared" si="2"/>
        <v>12800000</v>
      </c>
      <c r="AD85" s="26">
        <f t="shared" si="3"/>
        <v>43500000</v>
      </c>
      <c r="AE85" s="50">
        <v>60300000</v>
      </c>
      <c r="AF85" s="50">
        <v>61800000</v>
      </c>
      <c r="AG85" s="53" t="s">
        <v>55</v>
      </c>
    </row>
    <row r="86" spans="1:33" ht="15" customHeight="1">
      <c r="A86" s="46" t="s">
        <v>91</v>
      </c>
      <c r="B86" s="3" t="str">
        <f>_xlfn.IFNA(VLOOKUP(C86,Master!$J:$K,2,0),"")</f>
        <v>B2220</v>
      </c>
      <c r="C86" s="46" t="s">
        <v>83</v>
      </c>
      <c r="D86" s="4" t="str">
        <f>_xlfn.IFNA(VLOOKUP(E86,Master!$J:$K,2,0),"")</f>
        <v>B3150</v>
      </c>
      <c r="E86" s="46" t="s">
        <v>259</v>
      </c>
      <c r="F86" s="4">
        <f>_xlfn.IFNA(VLOOKUP(G86,Master!B:C,2,0),"")</f>
        <v>7511111</v>
      </c>
      <c r="G86" s="46" t="s">
        <v>75</v>
      </c>
      <c r="H86" s="46" t="s">
        <v>536</v>
      </c>
      <c r="I86" s="3" t="str">
        <f>_xlfn.IFNA(VLOOKUP(E86,Master!$J:$M,4,0),"")</f>
        <v>ADM</v>
      </c>
      <c r="J86" s="3" t="str">
        <f>_xlfn.IFNA(VLOOKUP($E86,Master!$J:$M,3,0),"")</f>
        <v>SGA</v>
      </c>
      <c r="P86" s="50">
        <v>2024000</v>
      </c>
      <c r="Q86" s="50">
        <v>1012000</v>
      </c>
      <c r="AB86" s="50">
        <v>3168000</v>
      </c>
      <c r="AC86" s="26">
        <f t="shared" si="2"/>
        <v>2024000</v>
      </c>
      <c r="AD86" s="26">
        <f t="shared" si="3"/>
        <v>4180000</v>
      </c>
      <c r="AE86" s="50">
        <v>3300000</v>
      </c>
      <c r="AF86" s="50">
        <v>3432000</v>
      </c>
      <c r="AG86" s="53" t="s">
        <v>55</v>
      </c>
    </row>
    <row r="87" spans="1:33" ht="15" customHeight="1">
      <c r="A87" s="46" t="s">
        <v>91</v>
      </c>
      <c r="B87" s="3" t="str">
        <f>_xlfn.IFNA(VLOOKUP(C87,Master!$J:$K,2,0),"")</f>
        <v>B2220</v>
      </c>
      <c r="C87" s="46" t="s">
        <v>83</v>
      </c>
      <c r="D87" s="4" t="str">
        <f>_xlfn.IFNA(VLOOKUP(E87,Master!$J:$K,2,0),"")</f>
        <v>B3150</v>
      </c>
      <c r="E87" s="46" t="s">
        <v>259</v>
      </c>
      <c r="F87" s="4">
        <f>_xlfn.IFNA(VLOOKUP(G87,Master!B:C,2,0),"")</f>
        <v>7511111</v>
      </c>
      <c r="G87" s="46" t="s">
        <v>75</v>
      </c>
      <c r="H87" s="46" t="s">
        <v>537</v>
      </c>
      <c r="I87" s="3" t="str">
        <f>_xlfn.IFNA(VLOOKUP(E87,Master!$J:$M,4,0),"")</f>
        <v>ADM</v>
      </c>
      <c r="J87" s="3" t="str">
        <f>_xlfn.IFNA(VLOOKUP($E87,Master!$J:$M,3,0),"")</f>
        <v>SGA</v>
      </c>
      <c r="M87" s="50">
        <v>620000</v>
      </c>
      <c r="N87" s="50">
        <v>560000</v>
      </c>
      <c r="O87" s="50">
        <v>560000</v>
      </c>
      <c r="P87" s="50">
        <v>560000</v>
      </c>
      <c r="Q87" s="50">
        <v>560000</v>
      </c>
      <c r="R87" s="50">
        <v>560000</v>
      </c>
      <c r="S87" s="50">
        <v>560000</v>
      </c>
      <c r="T87" s="50">
        <v>560000</v>
      </c>
      <c r="U87" s="50">
        <v>560000</v>
      </c>
      <c r="V87" s="50">
        <v>560000</v>
      </c>
      <c r="W87" s="50">
        <v>560000</v>
      </c>
      <c r="X87" s="50">
        <v>560000</v>
      </c>
      <c r="Y87" s="50">
        <v>560000</v>
      </c>
      <c r="Z87" s="50">
        <v>560000</v>
      </c>
      <c r="AA87" s="50">
        <v>560000</v>
      </c>
      <c r="AB87" s="50">
        <v>560000</v>
      </c>
      <c r="AC87" s="26">
        <f t="shared" si="2"/>
        <v>2300000</v>
      </c>
      <c r="AD87" s="26">
        <f t="shared" si="3"/>
        <v>6720000</v>
      </c>
      <c r="AE87" s="50">
        <v>6720000</v>
      </c>
      <c r="AF87" s="50">
        <v>6720000</v>
      </c>
      <c r="AG87" s="53" t="s">
        <v>55</v>
      </c>
    </row>
    <row r="88" spans="1:33" ht="15" customHeight="1">
      <c r="A88" s="46" t="s">
        <v>91</v>
      </c>
      <c r="B88" s="3" t="str">
        <f>_xlfn.IFNA(VLOOKUP(C88,Master!$J:$K,2,0),"")</f>
        <v>B2220</v>
      </c>
      <c r="C88" s="46" t="s">
        <v>83</v>
      </c>
      <c r="D88" s="4" t="str">
        <f>_xlfn.IFNA(VLOOKUP(E88,Master!$J:$K,2,0),"")</f>
        <v>B3150</v>
      </c>
      <c r="E88" s="46" t="s">
        <v>259</v>
      </c>
      <c r="F88" s="4">
        <f>_xlfn.IFNA(VLOOKUP(G88,Master!B:C,2,0),"")</f>
        <v>7511111</v>
      </c>
      <c r="G88" s="46" t="s">
        <v>75</v>
      </c>
      <c r="H88" s="46" t="s">
        <v>538</v>
      </c>
      <c r="I88" s="3" t="str">
        <f>_xlfn.IFNA(VLOOKUP(E88,Master!$J:$M,4,0),"")</f>
        <v>ADM</v>
      </c>
      <c r="J88" s="3" t="str">
        <f>_xlfn.IFNA(VLOOKUP($E88,Master!$J:$M,3,0),"")</f>
        <v>SGA</v>
      </c>
      <c r="M88" s="50">
        <v>3300000</v>
      </c>
      <c r="N88" s="50">
        <v>3000000</v>
      </c>
      <c r="O88" s="50">
        <v>3000000</v>
      </c>
      <c r="P88" s="50">
        <v>3000000</v>
      </c>
      <c r="Q88" s="50">
        <v>3000000</v>
      </c>
      <c r="R88" s="50">
        <v>3000000</v>
      </c>
      <c r="S88" s="50">
        <v>3000000</v>
      </c>
      <c r="T88" s="50">
        <v>3000000</v>
      </c>
      <c r="U88" s="50">
        <v>3000000</v>
      </c>
      <c r="V88" s="50">
        <v>3000000</v>
      </c>
      <c r="W88" s="50">
        <v>3000000</v>
      </c>
      <c r="X88" s="50">
        <v>3000000</v>
      </c>
      <c r="Y88" s="50">
        <v>3000000</v>
      </c>
      <c r="Z88" s="50">
        <v>3000000</v>
      </c>
      <c r="AA88" s="50">
        <v>3000000</v>
      </c>
      <c r="AB88" s="50">
        <v>3000000</v>
      </c>
      <c r="AC88" s="26">
        <f t="shared" si="2"/>
        <v>12300000</v>
      </c>
      <c r="AD88" s="26">
        <f t="shared" si="3"/>
        <v>36000000</v>
      </c>
      <c r="AE88" s="50">
        <v>36000000</v>
      </c>
      <c r="AF88" s="50">
        <v>36000000</v>
      </c>
      <c r="AG88" s="53" t="s">
        <v>55</v>
      </c>
    </row>
    <row r="89" spans="1:33" ht="15" customHeight="1">
      <c r="A89" s="46" t="s">
        <v>91</v>
      </c>
      <c r="B89" s="3" t="str">
        <f>_xlfn.IFNA(VLOOKUP(C89,Master!$J:$K,2,0),"")</f>
        <v>B2220</v>
      </c>
      <c r="C89" s="46" t="s">
        <v>83</v>
      </c>
      <c r="D89" s="4" t="str">
        <f>_xlfn.IFNA(VLOOKUP(E89,Master!$J:$K,2,0),"")</f>
        <v>B3160</v>
      </c>
      <c r="E89" s="46" t="s">
        <v>112</v>
      </c>
      <c r="F89" s="4">
        <f>_xlfn.IFNA(VLOOKUP(G89,Master!B:C,2,0),"")</f>
        <v>7511111</v>
      </c>
      <c r="G89" s="46" t="s">
        <v>75</v>
      </c>
      <c r="H89" s="46" t="s">
        <v>533</v>
      </c>
      <c r="I89" s="3" t="str">
        <f>_xlfn.IFNA(VLOOKUP(E89,Master!$J:$M,4,0),"")</f>
        <v>ADM</v>
      </c>
      <c r="J89" s="3" t="str">
        <f>_xlfn.IFNA(VLOOKUP($E89,Master!$J:$M,3,0),"")</f>
        <v>SGA</v>
      </c>
      <c r="M89" s="50">
        <v>31500</v>
      </c>
      <c r="N89" s="50">
        <v>31500</v>
      </c>
      <c r="O89" s="50">
        <v>31500</v>
      </c>
      <c r="P89" s="50">
        <v>31500</v>
      </c>
      <c r="Q89" s="50">
        <v>31500</v>
      </c>
      <c r="R89" s="50">
        <v>31500</v>
      </c>
      <c r="S89" s="50">
        <v>31500</v>
      </c>
      <c r="T89" s="50">
        <v>31500</v>
      </c>
      <c r="U89" s="50">
        <v>31500</v>
      </c>
      <c r="V89" s="50">
        <v>31500</v>
      </c>
      <c r="W89" s="50">
        <v>31500</v>
      </c>
      <c r="X89" s="50">
        <v>31500</v>
      </c>
      <c r="Y89" s="50">
        <v>31500</v>
      </c>
      <c r="Z89" s="50">
        <v>31500</v>
      </c>
      <c r="AA89" s="50">
        <v>31500</v>
      </c>
      <c r="AB89" s="50">
        <v>31500</v>
      </c>
      <c r="AC89" s="26">
        <f t="shared" si="2"/>
        <v>126000</v>
      </c>
      <c r="AD89" s="26">
        <f t="shared" si="3"/>
        <v>378000</v>
      </c>
      <c r="AE89" s="50">
        <v>378000</v>
      </c>
      <c r="AF89" s="50">
        <v>378000</v>
      </c>
      <c r="AG89" s="53" t="s">
        <v>55</v>
      </c>
    </row>
    <row r="90" spans="1:33" ht="15" customHeight="1">
      <c r="A90" s="46" t="s">
        <v>91</v>
      </c>
      <c r="B90" s="3" t="str">
        <f>_xlfn.IFNA(VLOOKUP(C90,Master!$J:$K,2,0),"")</f>
        <v>B2220</v>
      </c>
      <c r="C90" s="46" t="s">
        <v>83</v>
      </c>
      <c r="D90" s="4" t="str">
        <f>_xlfn.IFNA(VLOOKUP(E90,Master!$J:$K,2,0),"")</f>
        <v>B3160</v>
      </c>
      <c r="E90" s="46" t="s">
        <v>112</v>
      </c>
      <c r="F90" s="4">
        <f>_xlfn.IFNA(VLOOKUP(G90,Master!B:C,2,0),"")</f>
        <v>7511111</v>
      </c>
      <c r="G90" s="46" t="s">
        <v>75</v>
      </c>
      <c r="H90" s="46" t="s">
        <v>534</v>
      </c>
      <c r="I90" s="3" t="str">
        <f>_xlfn.IFNA(VLOOKUP(E90,Master!$J:$M,4,0),"")</f>
        <v>ADM</v>
      </c>
      <c r="J90" s="3" t="str">
        <f>_xlfn.IFNA(VLOOKUP($E90,Master!$J:$M,3,0),"")</f>
        <v>SGA</v>
      </c>
      <c r="M90" s="50">
        <v>6587750</v>
      </c>
      <c r="N90" s="50">
        <v>6990500</v>
      </c>
      <c r="O90" s="50">
        <v>6722000</v>
      </c>
      <c r="P90" s="50">
        <v>6319250</v>
      </c>
      <c r="Q90" s="50">
        <v>8556000</v>
      </c>
      <c r="R90" s="50">
        <v>9124000</v>
      </c>
      <c r="S90" s="50">
        <v>8982000</v>
      </c>
      <c r="T90" s="50">
        <v>9550000</v>
      </c>
      <c r="U90" s="50">
        <v>9408000</v>
      </c>
      <c r="V90" s="50">
        <v>9124000</v>
      </c>
      <c r="W90" s="50">
        <v>9550000</v>
      </c>
      <c r="X90" s="50">
        <v>9266000</v>
      </c>
      <c r="Y90" s="50">
        <v>9124000</v>
      </c>
      <c r="Z90" s="50">
        <v>9408000</v>
      </c>
      <c r="AA90" s="50">
        <v>9124000</v>
      </c>
      <c r="AB90" s="50">
        <v>8698000</v>
      </c>
      <c r="AC90" s="26">
        <f t="shared" si="2"/>
        <v>26619500</v>
      </c>
      <c r="AD90" s="26">
        <f t="shared" si="3"/>
        <v>109914000</v>
      </c>
      <c r="AE90" s="50">
        <v>110550000</v>
      </c>
      <c r="AF90" s="50">
        <v>113565000</v>
      </c>
      <c r="AG90" s="53" t="s">
        <v>55</v>
      </c>
    </row>
    <row r="91" spans="1:33" ht="15" customHeight="1">
      <c r="A91" s="46" t="s">
        <v>91</v>
      </c>
      <c r="B91" s="3" t="str">
        <f>_xlfn.IFNA(VLOOKUP(C91,Master!$J:$K,2,0),"")</f>
        <v>B2220</v>
      </c>
      <c r="C91" s="46" t="s">
        <v>83</v>
      </c>
      <c r="D91" s="4" t="str">
        <f>_xlfn.IFNA(VLOOKUP(E91,Master!$J:$K,2,0),"")</f>
        <v>B3160</v>
      </c>
      <c r="E91" s="46" t="s">
        <v>112</v>
      </c>
      <c r="F91" s="4">
        <f>_xlfn.IFNA(VLOOKUP(G91,Master!B:C,2,0),"")</f>
        <v>7511111</v>
      </c>
      <c r="G91" s="46" t="s">
        <v>75</v>
      </c>
      <c r="H91" s="46" t="s">
        <v>535</v>
      </c>
      <c r="I91" s="3" t="str">
        <f>_xlfn.IFNA(VLOOKUP(E91,Master!$J:$M,4,0),"")</f>
        <v>ADM</v>
      </c>
      <c r="J91" s="3" t="str">
        <f>_xlfn.IFNA(VLOOKUP($E91,Master!$J:$M,3,0),"")</f>
        <v>SGA</v>
      </c>
      <c r="M91" s="50">
        <v>3500000</v>
      </c>
      <c r="N91" s="50">
        <v>3500000</v>
      </c>
      <c r="O91" s="50">
        <v>3500000</v>
      </c>
      <c r="P91" s="50">
        <v>3500000</v>
      </c>
      <c r="Q91" s="50">
        <v>3500000</v>
      </c>
      <c r="R91" s="50">
        <v>3500000</v>
      </c>
      <c r="S91" s="50">
        <v>3500000</v>
      </c>
      <c r="T91" s="50">
        <v>3500000</v>
      </c>
      <c r="U91" s="50">
        <v>3500000</v>
      </c>
      <c r="V91" s="50">
        <v>3500000</v>
      </c>
      <c r="W91" s="50">
        <v>3500000</v>
      </c>
      <c r="X91" s="50">
        <v>3500000</v>
      </c>
      <c r="Y91" s="50">
        <v>3500000</v>
      </c>
      <c r="Z91" s="50">
        <v>5800000</v>
      </c>
      <c r="AA91" s="50">
        <v>5800000</v>
      </c>
      <c r="AB91" s="50">
        <v>5800000</v>
      </c>
      <c r="AC91" s="26">
        <f t="shared" si="2"/>
        <v>14000000</v>
      </c>
      <c r="AD91" s="26">
        <f t="shared" si="3"/>
        <v>48900000</v>
      </c>
      <c r="AE91" s="50">
        <v>69600000</v>
      </c>
      <c r="AF91" s="50">
        <v>69600000</v>
      </c>
      <c r="AG91" s="53" t="s">
        <v>55</v>
      </c>
    </row>
    <row r="92" spans="1:33" ht="15" customHeight="1">
      <c r="A92" s="46" t="s">
        <v>91</v>
      </c>
      <c r="B92" s="3" t="str">
        <f>_xlfn.IFNA(VLOOKUP(C92,Master!$J:$K,2,0),"")</f>
        <v>B2220</v>
      </c>
      <c r="C92" s="46" t="s">
        <v>83</v>
      </c>
      <c r="D92" s="4" t="str">
        <f>_xlfn.IFNA(VLOOKUP(E92,Master!$J:$K,2,0),"")</f>
        <v>B3160</v>
      </c>
      <c r="E92" s="46" t="s">
        <v>112</v>
      </c>
      <c r="F92" s="4">
        <f>_xlfn.IFNA(VLOOKUP(G92,Master!B:C,2,0),"")</f>
        <v>7511111</v>
      </c>
      <c r="G92" s="46" t="s">
        <v>75</v>
      </c>
      <c r="H92" s="46" t="s">
        <v>536</v>
      </c>
      <c r="I92" s="3" t="str">
        <f>_xlfn.IFNA(VLOOKUP(E92,Master!$J:$M,4,0),"")</f>
        <v>ADM</v>
      </c>
      <c r="J92" s="3" t="str">
        <f>_xlfn.IFNA(VLOOKUP($E92,Master!$J:$M,3,0),"")</f>
        <v>SGA</v>
      </c>
      <c r="P92" s="50">
        <v>1288000</v>
      </c>
      <c r="Q92" s="50">
        <v>644000</v>
      </c>
      <c r="AB92" s="50">
        <v>2016000</v>
      </c>
      <c r="AC92" s="26">
        <f t="shared" si="2"/>
        <v>1288000</v>
      </c>
      <c r="AD92" s="26">
        <f t="shared" si="3"/>
        <v>2660000</v>
      </c>
      <c r="AE92" s="50">
        <v>2100000</v>
      </c>
      <c r="AF92" s="50">
        <v>2184000</v>
      </c>
      <c r="AG92" s="53" t="s">
        <v>55</v>
      </c>
    </row>
    <row r="93" spans="1:33" ht="15" customHeight="1">
      <c r="A93" s="46" t="s">
        <v>91</v>
      </c>
      <c r="B93" s="3" t="str">
        <f>_xlfn.IFNA(VLOOKUP(C93,Master!$J:$K,2,0),"")</f>
        <v>B2220</v>
      </c>
      <c r="C93" s="46" t="s">
        <v>83</v>
      </c>
      <c r="D93" s="4" t="str">
        <f>_xlfn.IFNA(VLOOKUP(E93,Master!$J:$K,2,0),"")</f>
        <v>B3160</v>
      </c>
      <c r="E93" s="46" t="s">
        <v>112</v>
      </c>
      <c r="F93" s="4">
        <f>_xlfn.IFNA(VLOOKUP(G93,Master!B:C,2,0),"")</f>
        <v>7511111</v>
      </c>
      <c r="G93" s="46" t="s">
        <v>75</v>
      </c>
      <c r="H93" s="46" t="s">
        <v>537</v>
      </c>
      <c r="I93" s="3" t="str">
        <f>_xlfn.IFNA(VLOOKUP(E93,Master!$J:$M,4,0),"")</f>
        <v>ADM</v>
      </c>
      <c r="J93" s="3" t="str">
        <f>_xlfn.IFNA(VLOOKUP($E93,Master!$J:$M,3,0),"")</f>
        <v>SGA</v>
      </c>
      <c r="M93" s="50">
        <v>400000</v>
      </c>
      <c r="N93" s="50">
        <v>400000</v>
      </c>
      <c r="O93" s="50">
        <v>400000</v>
      </c>
      <c r="P93" s="50">
        <v>400000</v>
      </c>
      <c r="Q93" s="50">
        <v>400000</v>
      </c>
      <c r="R93" s="50">
        <v>400000</v>
      </c>
      <c r="S93" s="50">
        <v>400000</v>
      </c>
      <c r="T93" s="50">
        <v>400000</v>
      </c>
      <c r="U93" s="50">
        <v>400000</v>
      </c>
      <c r="V93" s="50">
        <v>400000</v>
      </c>
      <c r="W93" s="50">
        <v>400000</v>
      </c>
      <c r="X93" s="50">
        <v>400000</v>
      </c>
      <c r="Y93" s="50">
        <v>400000</v>
      </c>
      <c r="Z93" s="50">
        <v>400000</v>
      </c>
      <c r="AA93" s="50">
        <v>400000</v>
      </c>
      <c r="AB93" s="50">
        <v>400000</v>
      </c>
      <c r="AC93" s="26">
        <f t="shared" si="2"/>
        <v>1600000</v>
      </c>
      <c r="AD93" s="26">
        <f t="shared" si="3"/>
        <v>4800000</v>
      </c>
      <c r="AE93" s="50">
        <v>4800000</v>
      </c>
      <c r="AF93" s="50">
        <v>4800000</v>
      </c>
      <c r="AG93" s="53" t="s">
        <v>55</v>
      </c>
    </row>
    <row r="94" spans="1:33" ht="15" customHeight="1">
      <c r="A94" s="46" t="s">
        <v>91</v>
      </c>
      <c r="B94" s="3" t="str">
        <f>_xlfn.IFNA(VLOOKUP(C94,Master!$J:$K,2,0),"")</f>
        <v>B2220</v>
      </c>
      <c r="C94" s="46" t="s">
        <v>83</v>
      </c>
      <c r="D94" s="4" t="str">
        <f>_xlfn.IFNA(VLOOKUP(E94,Master!$J:$K,2,0),"")</f>
        <v>B3160</v>
      </c>
      <c r="E94" s="46" t="s">
        <v>112</v>
      </c>
      <c r="F94" s="4">
        <f>_xlfn.IFNA(VLOOKUP(G94,Master!B:C,2,0),"")</f>
        <v>7511111</v>
      </c>
      <c r="G94" s="46" t="s">
        <v>75</v>
      </c>
      <c r="H94" s="46" t="s">
        <v>539</v>
      </c>
      <c r="I94" s="3" t="str">
        <f>_xlfn.IFNA(VLOOKUP(E94,Master!$J:$M,4,0),"")</f>
        <v>ADM</v>
      </c>
      <c r="J94" s="3" t="str">
        <f>_xlfn.IFNA(VLOOKUP($E94,Master!$J:$M,3,0),"")</f>
        <v>SGA</v>
      </c>
      <c r="M94" s="50">
        <v>500000</v>
      </c>
      <c r="N94" s="50">
        <v>500000</v>
      </c>
      <c r="O94" s="50">
        <v>500000</v>
      </c>
      <c r="P94" s="50">
        <v>500000</v>
      </c>
      <c r="Q94" s="50">
        <v>500000</v>
      </c>
      <c r="R94" s="50">
        <v>500000</v>
      </c>
      <c r="S94" s="50">
        <v>500000</v>
      </c>
      <c r="T94" s="50">
        <v>500000</v>
      </c>
      <c r="U94" s="50">
        <v>500000</v>
      </c>
      <c r="V94" s="50">
        <v>500000</v>
      </c>
      <c r="W94" s="50">
        <v>500000</v>
      </c>
      <c r="X94" s="50">
        <v>500000</v>
      </c>
      <c r="Y94" s="50">
        <v>500000</v>
      </c>
      <c r="Z94" s="50">
        <v>500000</v>
      </c>
      <c r="AA94" s="50">
        <v>500000</v>
      </c>
      <c r="AB94" s="50">
        <v>500000</v>
      </c>
      <c r="AC94" s="26">
        <f t="shared" si="2"/>
        <v>2000000</v>
      </c>
      <c r="AD94" s="26">
        <f t="shared" si="3"/>
        <v>6000000</v>
      </c>
      <c r="AE94" s="50">
        <v>6000000</v>
      </c>
      <c r="AF94" s="50">
        <v>6000000</v>
      </c>
      <c r="AG94" s="53" t="s">
        <v>55</v>
      </c>
    </row>
    <row r="95" spans="1:33" ht="15" customHeight="1">
      <c r="A95" s="46" t="s">
        <v>91</v>
      </c>
      <c r="B95" s="3" t="str">
        <f>_xlfn.IFNA(VLOOKUP(C95,Master!$J:$K,2,0),"")</f>
        <v>B2220</v>
      </c>
      <c r="C95" s="46" t="s">
        <v>83</v>
      </c>
      <c r="D95" s="4" t="str">
        <f>_xlfn.IFNA(VLOOKUP(E95,Master!$J:$K,2,0),"")</f>
        <v>B3160</v>
      </c>
      <c r="E95" s="46" t="s">
        <v>112</v>
      </c>
      <c r="F95" s="4">
        <f>_xlfn.IFNA(VLOOKUP(G95,Master!B:C,2,0),"")</f>
        <v>7511111</v>
      </c>
      <c r="G95" s="46" t="s">
        <v>75</v>
      </c>
      <c r="H95" s="46" t="s">
        <v>538</v>
      </c>
      <c r="I95" s="3" t="str">
        <f>_xlfn.IFNA(VLOOKUP(E95,Master!$J:$M,4,0),"")</f>
        <v>ADM</v>
      </c>
      <c r="J95" s="3" t="str">
        <f>_xlfn.IFNA(VLOOKUP($E95,Master!$J:$M,3,0),"")</f>
        <v>SGA</v>
      </c>
      <c r="M95" s="50">
        <v>2100000</v>
      </c>
      <c r="N95" s="50">
        <v>2100000</v>
      </c>
      <c r="O95" s="50">
        <v>2100000</v>
      </c>
      <c r="P95" s="50">
        <v>2100000</v>
      </c>
      <c r="Q95" s="50">
        <v>2100000</v>
      </c>
      <c r="R95" s="50">
        <v>2100000</v>
      </c>
      <c r="S95" s="50">
        <v>2100000</v>
      </c>
      <c r="T95" s="50">
        <v>2100000</v>
      </c>
      <c r="U95" s="50">
        <v>2100000</v>
      </c>
      <c r="V95" s="50">
        <v>2100000</v>
      </c>
      <c r="W95" s="50">
        <v>2100000</v>
      </c>
      <c r="X95" s="50">
        <v>2100000</v>
      </c>
      <c r="Y95" s="50">
        <v>2100000</v>
      </c>
      <c r="Z95" s="50">
        <v>2100000</v>
      </c>
      <c r="AA95" s="50">
        <v>2100000</v>
      </c>
      <c r="AB95" s="50">
        <v>2100000</v>
      </c>
      <c r="AC95" s="26">
        <f t="shared" si="2"/>
        <v>8400000</v>
      </c>
      <c r="AD95" s="26">
        <f t="shared" si="3"/>
        <v>25200000</v>
      </c>
      <c r="AE95" s="50">
        <v>25200000</v>
      </c>
      <c r="AF95" s="50">
        <v>25200000</v>
      </c>
      <c r="AG95" s="53" t="s">
        <v>55</v>
      </c>
    </row>
    <row r="96" spans="1:33" ht="15" customHeight="1">
      <c r="A96" s="46" t="s">
        <v>91</v>
      </c>
      <c r="B96" s="3" t="str">
        <f>_xlfn.IFNA(VLOOKUP(C96,Master!$J:$K,2,0),"")</f>
        <v>B2220</v>
      </c>
      <c r="C96" s="46" t="s">
        <v>83</v>
      </c>
      <c r="D96" s="4" t="str">
        <f>_xlfn.IFNA(VLOOKUP(E96,Master!$J:$K,2,0),"")</f>
        <v>B4101</v>
      </c>
      <c r="E96" s="46" t="s">
        <v>132</v>
      </c>
      <c r="F96" s="4">
        <f>_xlfn.IFNA(VLOOKUP(G96,Master!B:C,2,0),"")</f>
        <v>7511111</v>
      </c>
      <c r="G96" s="46" t="s">
        <v>75</v>
      </c>
      <c r="H96" s="46" t="s">
        <v>533</v>
      </c>
      <c r="I96" s="3" t="str">
        <f>_xlfn.IFNA(VLOOKUP(E96,Master!$J:$M,4,0),"")</f>
        <v>DIR</v>
      </c>
      <c r="J96" s="3" t="str">
        <f>_xlfn.IFNA(VLOOKUP($E96,Master!$J:$M,3,0),"")</f>
        <v>MFG</v>
      </c>
      <c r="M96" s="50">
        <v>27000</v>
      </c>
      <c r="N96" s="50">
        <v>27000</v>
      </c>
      <c r="O96" s="50">
        <v>27000</v>
      </c>
      <c r="P96" s="50">
        <v>27000</v>
      </c>
      <c r="Q96" s="50">
        <v>27000</v>
      </c>
      <c r="R96" s="50">
        <v>27000</v>
      </c>
      <c r="S96" s="50">
        <v>27000</v>
      </c>
      <c r="T96" s="50">
        <v>27000</v>
      </c>
      <c r="U96" s="50">
        <v>27000</v>
      </c>
      <c r="V96" s="50">
        <v>27000</v>
      </c>
      <c r="W96" s="50">
        <v>27000</v>
      </c>
      <c r="X96" s="50">
        <v>27000</v>
      </c>
      <c r="Y96" s="50">
        <v>27000</v>
      </c>
      <c r="Z96" s="50">
        <v>27000</v>
      </c>
      <c r="AA96" s="50">
        <v>27000</v>
      </c>
      <c r="AB96" s="50">
        <v>27000</v>
      </c>
      <c r="AC96" s="26">
        <f t="shared" si="2"/>
        <v>108000</v>
      </c>
      <c r="AD96" s="26">
        <f t="shared" si="3"/>
        <v>324000</v>
      </c>
      <c r="AE96" s="50">
        <v>324000</v>
      </c>
      <c r="AF96" s="50">
        <v>292500</v>
      </c>
      <c r="AG96" s="53" t="s">
        <v>55</v>
      </c>
    </row>
    <row r="97" spans="1:33" ht="15" customHeight="1">
      <c r="A97" s="46" t="s">
        <v>91</v>
      </c>
      <c r="B97" s="3" t="str">
        <f>_xlfn.IFNA(VLOOKUP(C97,Master!$J:$K,2,0),"")</f>
        <v>B2220</v>
      </c>
      <c r="C97" s="46" t="s">
        <v>83</v>
      </c>
      <c r="D97" s="4" t="str">
        <f>_xlfn.IFNA(VLOOKUP(E97,Master!$J:$K,2,0),"")</f>
        <v>B4101</v>
      </c>
      <c r="E97" s="46" t="s">
        <v>132</v>
      </c>
      <c r="F97" s="4">
        <f>_xlfn.IFNA(VLOOKUP(G97,Master!B:C,2,0),"")</f>
        <v>7511111</v>
      </c>
      <c r="G97" s="46" t="s">
        <v>75</v>
      </c>
      <c r="H97" s="46" t="s">
        <v>534</v>
      </c>
      <c r="I97" s="3" t="str">
        <f>_xlfn.IFNA(VLOOKUP(E97,Master!$J:$M,4,0),"")</f>
        <v>DIR</v>
      </c>
      <c r="J97" s="3" t="str">
        <f>_xlfn.IFNA(VLOOKUP($E97,Master!$J:$M,3,0),"")</f>
        <v>MFG</v>
      </c>
      <c r="M97" s="50">
        <v>2608200</v>
      </c>
      <c r="N97" s="50">
        <v>2948400</v>
      </c>
      <c r="O97" s="50">
        <v>2721600</v>
      </c>
      <c r="P97" s="50">
        <v>2381400</v>
      </c>
      <c r="Q97" s="50">
        <v>2041200</v>
      </c>
      <c r="R97" s="50">
        <v>2494800</v>
      </c>
      <c r="S97" s="50">
        <v>2381400</v>
      </c>
      <c r="T97" s="50">
        <v>2835000</v>
      </c>
      <c r="U97" s="50">
        <v>2721600</v>
      </c>
      <c r="V97" s="50">
        <v>2494800</v>
      </c>
      <c r="W97" s="50">
        <v>2835000</v>
      </c>
      <c r="X97" s="50">
        <v>2608200</v>
      </c>
      <c r="Y97" s="50">
        <v>2494800</v>
      </c>
      <c r="Z97" s="50">
        <v>2851200</v>
      </c>
      <c r="AA97" s="50">
        <v>2613600</v>
      </c>
      <c r="AB97" s="50">
        <v>2257200</v>
      </c>
      <c r="AC97" s="26">
        <f t="shared" si="2"/>
        <v>10659600</v>
      </c>
      <c r="AD97" s="26">
        <f t="shared" si="3"/>
        <v>30628800</v>
      </c>
      <c r="AE97" s="50">
        <v>30921600</v>
      </c>
      <c r="AF97" s="50">
        <v>29029700</v>
      </c>
      <c r="AG97" s="53" t="s">
        <v>55</v>
      </c>
    </row>
    <row r="98" spans="1:33" ht="15" customHeight="1">
      <c r="A98" s="46" t="s">
        <v>91</v>
      </c>
      <c r="B98" s="3" t="str">
        <f>_xlfn.IFNA(VLOOKUP(C98,Master!$J:$K,2,0),"")</f>
        <v>B2220</v>
      </c>
      <c r="C98" s="46" t="s">
        <v>83</v>
      </c>
      <c r="D98" s="4" t="str">
        <f>_xlfn.IFNA(VLOOKUP(E98,Master!$J:$K,2,0),"")</f>
        <v>B4101</v>
      </c>
      <c r="E98" s="46" t="s">
        <v>132</v>
      </c>
      <c r="F98" s="4">
        <f>_xlfn.IFNA(VLOOKUP(G98,Master!B:C,2,0),"")</f>
        <v>7511111</v>
      </c>
      <c r="G98" s="46" t="s">
        <v>75</v>
      </c>
      <c r="H98" s="46" t="s">
        <v>535</v>
      </c>
      <c r="I98" s="3" t="str">
        <f>_xlfn.IFNA(VLOOKUP(E98,Master!$J:$M,4,0),"")</f>
        <v>DIR</v>
      </c>
      <c r="J98" s="3" t="str">
        <f>_xlfn.IFNA(VLOOKUP($E98,Master!$J:$M,3,0),"")</f>
        <v>MFG</v>
      </c>
      <c r="M98" s="50">
        <v>600000</v>
      </c>
      <c r="N98" s="50">
        <v>600000</v>
      </c>
      <c r="O98" s="50">
        <v>600000</v>
      </c>
      <c r="P98" s="50">
        <v>600000</v>
      </c>
      <c r="Q98" s="50">
        <v>600000</v>
      </c>
      <c r="R98" s="50">
        <v>600000</v>
      </c>
      <c r="S98" s="50">
        <v>600000</v>
      </c>
      <c r="T98" s="50">
        <v>600000</v>
      </c>
      <c r="U98" s="50">
        <v>600000</v>
      </c>
      <c r="V98" s="50">
        <v>600000</v>
      </c>
      <c r="W98" s="50">
        <v>600000</v>
      </c>
      <c r="X98" s="50">
        <v>600000</v>
      </c>
      <c r="Y98" s="50">
        <v>600000</v>
      </c>
      <c r="Z98" s="50">
        <v>1000000</v>
      </c>
      <c r="AA98" s="50">
        <v>1000000</v>
      </c>
      <c r="AB98" s="50">
        <v>1000000</v>
      </c>
      <c r="AC98" s="26">
        <f t="shared" si="2"/>
        <v>2400000</v>
      </c>
      <c r="AD98" s="26">
        <f t="shared" si="3"/>
        <v>8400000</v>
      </c>
      <c r="AE98" s="50">
        <v>12000000</v>
      </c>
      <c r="AF98" s="50">
        <v>12000000</v>
      </c>
      <c r="AG98" s="53" t="s">
        <v>55</v>
      </c>
    </row>
    <row r="99" spans="1:33" ht="15" customHeight="1">
      <c r="A99" s="46" t="s">
        <v>91</v>
      </c>
      <c r="B99" s="3" t="str">
        <f>_xlfn.IFNA(VLOOKUP(C99,Master!$J:$K,2,0),"")</f>
        <v>B2220</v>
      </c>
      <c r="C99" s="46" t="s">
        <v>83</v>
      </c>
      <c r="D99" s="4" t="str">
        <f>_xlfn.IFNA(VLOOKUP(E99,Master!$J:$K,2,0),"")</f>
        <v>B4101</v>
      </c>
      <c r="E99" s="46" t="s">
        <v>132</v>
      </c>
      <c r="F99" s="4">
        <f>_xlfn.IFNA(VLOOKUP(G99,Master!B:C,2,0),"")</f>
        <v>7511111</v>
      </c>
      <c r="G99" s="46" t="s">
        <v>75</v>
      </c>
      <c r="H99" s="46" t="s">
        <v>536</v>
      </c>
      <c r="I99" s="3" t="str">
        <f>_xlfn.IFNA(VLOOKUP(E99,Master!$J:$M,4,0),"")</f>
        <v>DIR</v>
      </c>
      <c r="J99" s="3" t="str">
        <f>_xlfn.IFNA(VLOOKUP($E99,Master!$J:$M,3,0),"")</f>
        <v>MFG</v>
      </c>
      <c r="P99" s="50">
        <v>1104000</v>
      </c>
      <c r="Q99" s="50">
        <v>552000</v>
      </c>
      <c r="AB99" s="50">
        <v>1728000</v>
      </c>
      <c r="AC99" s="26">
        <f t="shared" si="2"/>
        <v>1104000</v>
      </c>
      <c r="AD99" s="26">
        <f t="shared" si="3"/>
        <v>2280000</v>
      </c>
      <c r="AE99" s="50">
        <v>1800000</v>
      </c>
      <c r="AF99" s="50">
        <v>1560000</v>
      </c>
      <c r="AG99" s="53" t="s">
        <v>55</v>
      </c>
    </row>
    <row r="100" spans="1:33" ht="15" customHeight="1">
      <c r="A100" s="46" t="s">
        <v>91</v>
      </c>
      <c r="B100" s="3" t="str">
        <f>_xlfn.IFNA(VLOOKUP(C100,Master!$J:$K,2,0),"")</f>
        <v>B2220</v>
      </c>
      <c r="C100" s="46" t="s">
        <v>83</v>
      </c>
      <c r="D100" s="4" t="str">
        <f>_xlfn.IFNA(VLOOKUP(E100,Master!$J:$K,2,0),"")</f>
        <v>B4101</v>
      </c>
      <c r="E100" s="46" t="s">
        <v>132</v>
      </c>
      <c r="F100" s="4">
        <f>_xlfn.IFNA(VLOOKUP(G100,Master!B:C,2,0),"")</f>
        <v>7511111</v>
      </c>
      <c r="G100" s="46" t="s">
        <v>75</v>
      </c>
      <c r="H100" s="46" t="s">
        <v>537</v>
      </c>
      <c r="I100" s="3" t="str">
        <f>_xlfn.IFNA(VLOOKUP(E100,Master!$J:$M,4,0),"")</f>
        <v>DIR</v>
      </c>
      <c r="J100" s="3" t="str">
        <f>_xlfn.IFNA(VLOOKUP($E100,Master!$J:$M,3,0),"")</f>
        <v>MFG</v>
      </c>
      <c r="M100" s="50">
        <v>360000</v>
      </c>
      <c r="N100" s="50">
        <v>360000</v>
      </c>
      <c r="O100" s="50">
        <v>360000</v>
      </c>
      <c r="P100" s="50">
        <v>360000</v>
      </c>
      <c r="Q100" s="50">
        <v>360000</v>
      </c>
      <c r="R100" s="50">
        <v>360000</v>
      </c>
      <c r="S100" s="50">
        <v>360000</v>
      </c>
      <c r="T100" s="50">
        <v>360000</v>
      </c>
      <c r="U100" s="50">
        <v>360000</v>
      </c>
      <c r="V100" s="50">
        <v>360000</v>
      </c>
      <c r="W100" s="50">
        <v>360000</v>
      </c>
      <c r="X100" s="50">
        <v>360000</v>
      </c>
      <c r="Y100" s="50">
        <v>360000</v>
      </c>
      <c r="Z100" s="50">
        <v>360000</v>
      </c>
      <c r="AA100" s="50">
        <v>360000</v>
      </c>
      <c r="AB100" s="50">
        <v>360000</v>
      </c>
      <c r="AC100" s="26">
        <f t="shared" si="2"/>
        <v>1440000</v>
      </c>
      <c r="AD100" s="26">
        <f t="shared" si="3"/>
        <v>4320000</v>
      </c>
      <c r="AE100" s="50">
        <v>4320000</v>
      </c>
      <c r="AF100" s="50">
        <v>3900000</v>
      </c>
      <c r="AG100" s="53" t="s">
        <v>55</v>
      </c>
    </row>
    <row r="101" spans="1:33" ht="15" customHeight="1">
      <c r="A101" s="46" t="s">
        <v>91</v>
      </c>
      <c r="B101" s="3" t="str">
        <f>_xlfn.IFNA(VLOOKUP(C101,Master!$J:$K,2,0),"")</f>
        <v>B2220</v>
      </c>
      <c r="C101" s="46" t="s">
        <v>83</v>
      </c>
      <c r="D101" s="4" t="str">
        <f>_xlfn.IFNA(VLOOKUP(E101,Master!$J:$K,2,0),"")</f>
        <v>B4101</v>
      </c>
      <c r="E101" s="46" t="s">
        <v>132</v>
      </c>
      <c r="F101" s="4">
        <f>_xlfn.IFNA(VLOOKUP(G101,Master!B:C,2,0),"")</f>
        <v>7511111</v>
      </c>
      <c r="G101" s="46" t="s">
        <v>75</v>
      </c>
      <c r="H101" s="46" t="s">
        <v>540</v>
      </c>
      <c r="I101" s="3" t="str">
        <f>_xlfn.IFNA(VLOOKUP(E101,Master!$J:$M,4,0),"")</f>
        <v>DIR</v>
      </c>
      <c r="J101" s="3" t="str">
        <f>_xlfn.IFNA(VLOOKUP($E101,Master!$J:$M,3,0),"")</f>
        <v>MFG</v>
      </c>
      <c r="M101" s="50">
        <v>690000</v>
      </c>
      <c r="N101" s="50">
        <v>780000</v>
      </c>
      <c r="O101" s="50">
        <v>720000</v>
      </c>
      <c r="P101" s="50">
        <v>630000</v>
      </c>
      <c r="Q101" s="50">
        <v>540000</v>
      </c>
      <c r="R101" s="50">
        <v>660000</v>
      </c>
      <c r="S101" s="50">
        <v>630000</v>
      </c>
      <c r="T101" s="50">
        <v>750000</v>
      </c>
      <c r="U101" s="50">
        <v>720000</v>
      </c>
      <c r="V101" s="50">
        <v>660000</v>
      </c>
      <c r="W101" s="50">
        <v>750000</v>
      </c>
      <c r="X101" s="50">
        <v>690000</v>
      </c>
      <c r="Y101" s="50">
        <v>660000</v>
      </c>
      <c r="Z101" s="50">
        <v>720000</v>
      </c>
      <c r="AA101" s="50">
        <v>660000</v>
      </c>
      <c r="AB101" s="50">
        <v>570000</v>
      </c>
      <c r="AC101" s="26">
        <f t="shared" si="2"/>
        <v>2820000</v>
      </c>
      <c r="AD101" s="26">
        <f t="shared" si="3"/>
        <v>8010000</v>
      </c>
      <c r="AE101" s="50">
        <v>7710000</v>
      </c>
      <c r="AF101" s="50">
        <v>6895000</v>
      </c>
      <c r="AG101" s="53" t="s">
        <v>55</v>
      </c>
    </row>
    <row r="102" spans="1:33" ht="15" customHeight="1">
      <c r="A102" s="46" t="s">
        <v>91</v>
      </c>
      <c r="B102" s="3" t="str">
        <f>_xlfn.IFNA(VLOOKUP(C102,Master!$J:$K,2,0),"")</f>
        <v>B2220</v>
      </c>
      <c r="C102" s="46" t="s">
        <v>83</v>
      </c>
      <c r="D102" s="4" t="str">
        <f>_xlfn.IFNA(VLOOKUP(E102,Master!$J:$K,2,0),"")</f>
        <v>B4101</v>
      </c>
      <c r="E102" s="46" t="s">
        <v>132</v>
      </c>
      <c r="F102" s="4">
        <f>_xlfn.IFNA(VLOOKUP(G102,Master!B:C,2,0),"")</f>
        <v>7511111</v>
      </c>
      <c r="G102" s="46" t="s">
        <v>75</v>
      </c>
      <c r="H102" s="46" t="s">
        <v>538</v>
      </c>
      <c r="I102" s="3" t="str">
        <f>_xlfn.IFNA(VLOOKUP(E102,Master!$J:$M,4,0),"")</f>
        <v>DIR</v>
      </c>
      <c r="J102" s="3" t="str">
        <f>_xlfn.IFNA(VLOOKUP($E102,Master!$J:$M,3,0),"")</f>
        <v>MFG</v>
      </c>
      <c r="M102" s="50">
        <v>1800000</v>
      </c>
      <c r="N102" s="50">
        <v>1800000</v>
      </c>
      <c r="O102" s="50">
        <v>1800000</v>
      </c>
      <c r="P102" s="50">
        <v>1800000</v>
      </c>
      <c r="Q102" s="50">
        <v>1800000</v>
      </c>
      <c r="R102" s="50">
        <v>1800000</v>
      </c>
      <c r="S102" s="50">
        <v>1800000</v>
      </c>
      <c r="T102" s="50">
        <v>1800000</v>
      </c>
      <c r="U102" s="50">
        <v>1800000</v>
      </c>
      <c r="V102" s="50">
        <v>1800000</v>
      </c>
      <c r="W102" s="50">
        <v>1800000</v>
      </c>
      <c r="X102" s="50">
        <v>1800000</v>
      </c>
      <c r="Y102" s="50">
        <v>1800000</v>
      </c>
      <c r="Z102" s="50">
        <v>1800000</v>
      </c>
      <c r="AA102" s="50">
        <v>1800000</v>
      </c>
      <c r="AB102" s="50">
        <v>1800000</v>
      </c>
      <c r="AC102" s="26">
        <f t="shared" si="2"/>
        <v>7200000</v>
      </c>
      <c r="AD102" s="26">
        <f t="shared" si="3"/>
        <v>21600000</v>
      </c>
      <c r="AE102" s="50">
        <v>21600000</v>
      </c>
      <c r="AF102" s="50">
        <v>19500000</v>
      </c>
      <c r="AG102" s="53" t="s">
        <v>55</v>
      </c>
    </row>
    <row r="103" spans="1:33" ht="15" customHeight="1">
      <c r="A103" s="46" t="s">
        <v>91</v>
      </c>
      <c r="B103" s="3" t="str">
        <f>_xlfn.IFNA(VLOOKUP(C103,Master!$J:$K,2,0),"")</f>
        <v>B2220</v>
      </c>
      <c r="C103" s="46" t="s">
        <v>83</v>
      </c>
      <c r="D103" s="4" t="str">
        <f>_xlfn.IFNA(VLOOKUP(E103,Master!$J:$K,2,0),"")</f>
        <v>B4102</v>
      </c>
      <c r="E103" s="46" t="s">
        <v>139</v>
      </c>
      <c r="F103" s="4">
        <f>_xlfn.IFNA(VLOOKUP(G103,Master!B:C,2,0),"")</f>
        <v>7511111</v>
      </c>
      <c r="G103" s="46" t="s">
        <v>75</v>
      </c>
      <c r="H103" s="46" t="s">
        <v>533</v>
      </c>
      <c r="I103" s="3" t="str">
        <f>_xlfn.IFNA(VLOOKUP(E103,Master!$J:$M,4,0),"")</f>
        <v>DIR</v>
      </c>
      <c r="J103" s="3" t="str">
        <f>_xlfn.IFNA(VLOOKUP($E103,Master!$J:$M,3,0),"")</f>
        <v>MFG</v>
      </c>
      <c r="M103" s="50">
        <v>72000</v>
      </c>
      <c r="N103" s="50">
        <v>72000</v>
      </c>
      <c r="O103" s="50">
        <v>72000</v>
      </c>
      <c r="P103" s="50">
        <v>72000</v>
      </c>
      <c r="Q103" s="50">
        <v>67500</v>
      </c>
      <c r="R103" s="50">
        <v>67500</v>
      </c>
      <c r="S103" s="50">
        <v>67500</v>
      </c>
      <c r="T103" s="50">
        <v>67500</v>
      </c>
      <c r="U103" s="50">
        <v>67500</v>
      </c>
      <c r="V103" s="50">
        <v>67500</v>
      </c>
      <c r="W103" s="50">
        <v>72000</v>
      </c>
      <c r="X103" s="50">
        <v>72000</v>
      </c>
      <c r="Y103" s="50">
        <v>72000</v>
      </c>
      <c r="Z103" s="50">
        <v>72000</v>
      </c>
      <c r="AA103" s="50">
        <v>72000</v>
      </c>
      <c r="AB103" s="50">
        <v>72000</v>
      </c>
      <c r="AC103" s="26">
        <f t="shared" si="2"/>
        <v>288000</v>
      </c>
      <c r="AD103" s="26">
        <f t="shared" si="3"/>
        <v>837000</v>
      </c>
      <c r="AE103" s="50">
        <v>850500</v>
      </c>
      <c r="AF103" s="50">
        <v>760500</v>
      </c>
      <c r="AG103" s="53" t="s">
        <v>55</v>
      </c>
    </row>
    <row r="104" spans="1:33" ht="15" customHeight="1">
      <c r="A104" s="46" t="s">
        <v>91</v>
      </c>
      <c r="B104" s="3" t="str">
        <f>_xlfn.IFNA(VLOOKUP(C104,Master!$J:$K,2,0),"")</f>
        <v>B2220</v>
      </c>
      <c r="C104" s="46" t="s">
        <v>83</v>
      </c>
      <c r="D104" s="4" t="str">
        <f>_xlfn.IFNA(VLOOKUP(E104,Master!$J:$K,2,0),"")</f>
        <v>B4102</v>
      </c>
      <c r="E104" s="46" t="s">
        <v>139</v>
      </c>
      <c r="F104" s="4">
        <f>_xlfn.IFNA(VLOOKUP(G104,Master!B:C,2,0),"")</f>
        <v>7511111</v>
      </c>
      <c r="G104" s="46" t="s">
        <v>75</v>
      </c>
      <c r="H104" s="46" t="s">
        <v>534</v>
      </c>
      <c r="I104" s="3" t="str">
        <f>_xlfn.IFNA(VLOOKUP(E104,Master!$J:$M,4,0),"")</f>
        <v>DIR</v>
      </c>
      <c r="J104" s="3" t="str">
        <f>_xlfn.IFNA(VLOOKUP($E104,Master!$J:$M,3,0),"")</f>
        <v>MFG</v>
      </c>
      <c r="M104" s="50">
        <v>6955200</v>
      </c>
      <c r="N104" s="50">
        <v>7862400</v>
      </c>
      <c r="O104" s="50">
        <v>7257600</v>
      </c>
      <c r="P104" s="50">
        <v>6350400</v>
      </c>
      <c r="Q104" s="50">
        <v>5103000</v>
      </c>
      <c r="R104" s="50">
        <v>6237000</v>
      </c>
      <c r="S104" s="50">
        <v>5953500</v>
      </c>
      <c r="T104" s="50">
        <v>7087500</v>
      </c>
      <c r="U104" s="50">
        <v>6804000</v>
      </c>
      <c r="V104" s="50">
        <v>6237000</v>
      </c>
      <c r="W104" s="50">
        <v>7560000</v>
      </c>
      <c r="X104" s="50">
        <v>6955200</v>
      </c>
      <c r="Y104" s="50">
        <v>6652800</v>
      </c>
      <c r="Z104" s="50">
        <v>7603200</v>
      </c>
      <c r="AA104" s="50">
        <v>6969600</v>
      </c>
      <c r="AB104" s="50">
        <v>6019200</v>
      </c>
      <c r="AC104" s="26">
        <f t="shared" si="2"/>
        <v>28425600</v>
      </c>
      <c r="AD104" s="26">
        <f t="shared" si="3"/>
        <v>79182000</v>
      </c>
      <c r="AE104" s="50">
        <v>81105600</v>
      </c>
      <c r="AF104" s="50">
        <v>75600600</v>
      </c>
      <c r="AG104" s="53" t="s">
        <v>55</v>
      </c>
    </row>
    <row r="105" spans="1:33" ht="15" customHeight="1">
      <c r="A105" s="46" t="s">
        <v>91</v>
      </c>
      <c r="B105" s="3" t="str">
        <f>_xlfn.IFNA(VLOOKUP(C105,Master!$J:$K,2,0),"")</f>
        <v>B2220</v>
      </c>
      <c r="C105" s="46" t="s">
        <v>83</v>
      </c>
      <c r="D105" s="4" t="str">
        <f>_xlfn.IFNA(VLOOKUP(E105,Master!$J:$K,2,0),"")</f>
        <v>B4102</v>
      </c>
      <c r="E105" s="46" t="s">
        <v>139</v>
      </c>
      <c r="F105" s="4">
        <f>_xlfn.IFNA(VLOOKUP(G105,Master!B:C,2,0),"")</f>
        <v>7511111</v>
      </c>
      <c r="G105" s="46" t="s">
        <v>75</v>
      </c>
      <c r="H105" s="46" t="s">
        <v>535</v>
      </c>
      <c r="I105" s="3" t="str">
        <f>_xlfn.IFNA(VLOOKUP(E105,Master!$J:$M,4,0),"")</f>
        <v>DIR</v>
      </c>
      <c r="J105" s="3" t="str">
        <f>_xlfn.IFNA(VLOOKUP($E105,Master!$J:$M,3,0),"")</f>
        <v>MFG</v>
      </c>
      <c r="M105" s="50">
        <v>1450000</v>
      </c>
      <c r="N105" s="50">
        <v>1450000</v>
      </c>
      <c r="O105" s="50">
        <v>1450000</v>
      </c>
      <c r="P105" s="50">
        <v>1450000</v>
      </c>
      <c r="Q105" s="50">
        <v>1400000</v>
      </c>
      <c r="R105" s="50">
        <v>1400000</v>
      </c>
      <c r="S105" s="50">
        <v>1400000</v>
      </c>
      <c r="T105" s="50">
        <v>1400000</v>
      </c>
      <c r="U105" s="50">
        <v>1400000</v>
      </c>
      <c r="V105" s="50">
        <v>1400000</v>
      </c>
      <c r="W105" s="50">
        <v>1400000</v>
      </c>
      <c r="X105" s="50">
        <v>1400000</v>
      </c>
      <c r="Y105" s="50">
        <v>1400000</v>
      </c>
      <c r="Z105" s="50">
        <v>2650000</v>
      </c>
      <c r="AA105" s="50">
        <v>2650000</v>
      </c>
      <c r="AB105" s="50">
        <v>2650000</v>
      </c>
      <c r="AC105" s="26">
        <f t="shared" si="2"/>
        <v>5800000</v>
      </c>
      <c r="AD105" s="26">
        <f t="shared" si="3"/>
        <v>20550000</v>
      </c>
      <c r="AE105" s="50">
        <v>31950000</v>
      </c>
      <c r="AF105" s="50">
        <v>28100000</v>
      </c>
      <c r="AG105" s="53" t="s">
        <v>55</v>
      </c>
    </row>
    <row r="106" spans="1:33" ht="15" customHeight="1">
      <c r="A106" s="46" t="s">
        <v>91</v>
      </c>
      <c r="B106" s="3" t="str">
        <f>_xlfn.IFNA(VLOOKUP(C106,Master!$J:$K,2,0),"")</f>
        <v>B2220</v>
      </c>
      <c r="C106" s="46" t="s">
        <v>83</v>
      </c>
      <c r="D106" s="4" t="str">
        <f>_xlfn.IFNA(VLOOKUP(E106,Master!$J:$K,2,0),"")</f>
        <v>B4102</v>
      </c>
      <c r="E106" s="46" t="s">
        <v>139</v>
      </c>
      <c r="F106" s="4">
        <f>_xlfn.IFNA(VLOOKUP(G106,Master!B:C,2,0),"")</f>
        <v>7511111</v>
      </c>
      <c r="G106" s="46" t="s">
        <v>75</v>
      </c>
      <c r="H106" s="46" t="s">
        <v>536</v>
      </c>
      <c r="I106" s="3" t="str">
        <f>_xlfn.IFNA(VLOOKUP(E106,Master!$J:$M,4,0),"")</f>
        <v>DIR</v>
      </c>
      <c r="J106" s="3" t="str">
        <f>_xlfn.IFNA(VLOOKUP($E106,Master!$J:$M,3,0),"")</f>
        <v>MFG</v>
      </c>
      <c r="P106" s="50">
        <v>2944000</v>
      </c>
      <c r="Q106" s="50">
        <v>1380000</v>
      </c>
      <c r="AB106" s="50">
        <v>4608000</v>
      </c>
      <c r="AC106" s="26">
        <f t="shared" si="2"/>
        <v>2944000</v>
      </c>
      <c r="AD106" s="26">
        <f t="shared" si="3"/>
        <v>5988000</v>
      </c>
      <c r="AE106" s="50">
        <v>4500000</v>
      </c>
      <c r="AF106" s="50">
        <v>4368000</v>
      </c>
      <c r="AG106" s="53" t="s">
        <v>55</v>
      </c>
    </row>
    <row r="107" spans="1:33" ht="15" customHeight="1">
      <c r="A107" s="46" t="s">
        <v>91</v>
      </c>
      <c r="B107" s="3" t="str">
        <f>_xlfn.IFNA(VLOOKUP(C107,Master!$J:$K,2,0),"")</f>
        <v>B2220</v>
      </c>
      <c r="C107" s="46" t="s">
        <v>83</v>
      </c>
      <c r="D107" s="4" t="str">
        <f>_xlfn.IFNA(VLOOKUP(E107,Master!$J:$K,2,0),"")</f>
        <v>B4102</v>
      </c>
      <c r="E107" s="46" t="s">
        <v>139</v>
      </c>
      <c r="F107" s="4">
        <f>_xlfn.IFNA(VLOOKUP(G107,Master!B:C,2,0),"")</f>
        <v>7511111</v>
      </c>
      <c r="G107" s="46" t="s">
        <v>75</v>
      </c>
      <c r="H107" s="46" t="s">
        <v>537</v>
      </c>
      <c r="I107" s="3" t="str">
        <f>_xlfn.IFNA(VLOOKUP(E107,Master!$J:$M,4,0),"")</f>
        <v>DIR</v>
      </c>
      <c r="J107" s="3" t="str">
        <f>_xlfn.IFNA(VLOOKUP($E107,Master!$J:$M,3,0),"")</f>
        <v>MFG</v>
      </c>
      <c r="M107" s="50">
        <v>940000</v>
      </c>
      <c r="N107" s="50">
        <v>940000</v>
      </c>
      <c r="O107" s="50">
        <v>940000</v>
      </c>
      <c r="P107" s="50">
        <v>940000</v>
      </c>
      <c r="Q107" s="50">
        <v>880000</v>
      </c>
      <c r="R107" s="50">
        <v>880000</v>
      </c>
      <c r="S107" s="50">
        <v>880000</v>
      </c>
      <c r="T107" s="50">
        <v>880000</v>
      </c>
      <c r="U107" s="50">
        <v>880000</v>
      </c>
      <c r="V107" s="50">
        <v>880000</v>
      </c>
      <c r="W107" s="50">
        <v>940000</v>
      </c>
      <c r="X107" s="50">
        <v>940000</v>
      </c>
      <c r="Y107" s="50">
        <v>940000</v>
      </c>
      <c r="Z107" s="50">
        <v>940000</v>
      </c>
      <c r="AA107" s="50">
        <v>940000</v>
      </c>
      <c r="AB107" s="50">
        <v>940000</v>
      </c>
      <c r="AC107" s="26">
        <f t="shared" si="2"/>
        <v>3760000</v>
      </c>
      <c r="AD107" s="26">
        <f t="shared" si="3"/>
        <v>10920000</v>
      </c>
      <c r="AE107" s="50">
        <v>11100000</v>
      </c>
      <c r="AF107" s="50">
        <v>9900000</v>
      </c>
      <c r="AG107" s="53" t="s">
        <v>55</v>
      </c>
    </row>
    <row r="108" spans="1:33" ht="15" customHeight="1">
      <c r="A108" s="46" t="s">
        <v>91</v>
      </c>
      <c r="B108" s="3" t="str">
        <f>_xlfn.IFNA(VLOOKUP(C108,Master!$J:$K,2,0),"")</f>
        <v>B2220</v>
      </c>
      <c r="C108" s="46" t="s">
        <v>83</v>
      </c>
      <c r="D108" s="4" t="str">
        <f>_xlfn.IFNA(VLOOKUP(E108,Master!$J:$K,2,0),"")</f>
        <v>B4102</v>
      </c>
      <c r="E108" s="46" t="s">
        <v>139</v>
      </c>
      <c r="F108" s="4">
        <f>_xlfn.IFNA(VLOOKUP(G108,Master!B:C,2,0),"")</f>
        <v>7511111</v>
      </c>
      <c r="G108" s="46" t="s">
        <v>75</v>
      </c>
      <c r="H108" s="46" t="s">
        <v>540</v>
      </c>
      <c r="I108" s="3" t="str">
        <f>_xlfn.IFNA(VLOOKUP(E108,Master!$J:$M,4,0),"")</f>
        <v>DIR</v>
      </c>
      <c r="J108" s="3" t="str">
        <f>_xlfn.IFNA(VLOOKUP($E108,Master!$J:$M,3,0),"")</f>
        <v>MFG</v>
      </c>
      <c r="M108" s="50">
        <v>1725000</v>
      </c>
      <c r="N108" s="50">
        <v>1950000</v>
      </c>
      <c r="O108" s="50">
        <v>1800000</v>
      </c>
      <c r="P108" s="50">
        <v>1575000</v>
      </c>
      <c r="Q108" s="50">
        <v>1260000</v>
      </c>
      <c r="R108" s="50">
        <v>1540000</v>
      </c>
      <c r="S108" s="50">
        <v>1470000</v>
      </c>
      <c r="T108" s="50">
        <v>1750000</v>
      </c>
      <c r="U108" s="50">
        <v>1680000</v>
      </c>
      <c r="V108" s="50">
        <v>1540000</v>
      </c>
      <c r="W108" s="50">
        <v>1875000</v>
      </c>
      <c r="X108" s="50">
        <v>1725000</v>
      </c>
      <c r="Y108" s="50">
        <v>1650000</v>
      </c>
      <c r="Z108" s="50">
        <v>1800000</v>
      </c>
      <c r="AA108" s="50">
        <v>1650000</v>
      </c>
      <c r="AB108" s="50">
        <v>1425000</v>
      </c>
      <c r="AC108" s="26">
        <f t="shared" si="2"/>
        <v>7050000</v>
      </c>
      <c r="AD108" s="26">
        <f t="shared" si="3"/>
        <v>19365000</v>
      </c>
      <c r="AE108" s="50">
        <v>18950000</v>
      </c>
      <c r="AF108" s="50">
        <v>16665000</v>
      </c>
      <c r="AG108" s="53" t="s">
        <v>55</v>
      </c>
    </row>
    <row r="109" spans="1:33" ht="15" customHeight="1">
      <c r="A109" s="46" t="s">
        <v>91</v>
      </c>
      <c r="B109" s="3" t="str">
        <f>_xlfn.IFNA(VLOOKUP(C109,Master!$J:$K,2,0),"")</f>
        <v>B2220</v>
      </c>
      <c r="C109" s="46" t="s">
        <v>83</v>
      </c>
      <c r="D109" s="4" t="str">
        <f>_xlfn.IFNA(VLOOKUP(E109,Master!$J:$K,2,0),"")</f>
        <v>B4102</v>
      </c>
      <c r="E109" s="46" t="s">
        <v>139</v>
      </c>
      <c r="F109" s="4">
        <f>_xlfn.IFNA(VLOOKUP(G109,Master!B:C,2,0),"")</f>
        <v>7511111</v>
      </c>
      <c r="G109" s="46" t="s">
        <v>75</v>
      </c>
      <c r="H109" s="46" t="s">
        <v>539</v>
      </c>
      <c r="I109" s="3" t="str">
        <f>_xlfn.IFNA(VLOOKUP(E109,Master!$J:$M,4,0),"")</f>
        <v>DIR</v>
      </c>
      <c r="J109" s="3" t="str">
        <f>_xlfn.IFNA(VLOOKUP($E109,Master!$J:$M,3,0),"")</f>
        <v>MFG</v>
      </c>
      <c r="M109" s="50">
        <v>300000</v>
      </c>
      <c r="N109" s="50">
        <v>300000</v>
      </c>
      <c r="O109" s="50">
        <v>300000</v>
      </c>
      <c r="P109" s="50">
        <v>300000</v>
      </c>
      <c r="Q109" s="50">
        <v>300000</v>
      </c>
      <c r="R109" s="50">
        <v>300000</v>
      </c>
      <c r="S109" s="50">
        <v>300000</v>
      </c>
      <c r="T109" s="50">
        <v>300000</v>
      </c>
      <c r="U109" s="50">
        <v>300000</v>
      </c>
      <c r="V109" s="50">
        <v>300000</v>
      </c>
      <c r="W109" s="50">
        <v>500000</v>
      </c>
      <c r="X109" s="50">
        <v>500000</v>
      </c>
      <c r="Y109" s="50">
        <v>500000</v>
      </c>
      <c r="Z109" s="50">
        <v>500000</v>
      </c>
      <c r="AA109" s="50">
        <v>500000</v>
      </c>
      <c r="AB109" s="50">
        <v>500000</v>
      </c>
      <c r="AC109" s="26">
        <f t="shared" si="2"/>
        <v>1200000</v>
      </c>
      <c r="AD109" s="26">
        <f t="shared" si="3"/>
        <v>4800000</v>
      </c>
      <c r="AE109" s="50">
        <v>6000000</v>
      </c>
      <c r="AF109" s="50">
        <v>6000000</v>
      </c>
      <c r="AG109" s="53" t="s">
        <v>55</v>
      </c>
    </row>
    <row r="110" spans="1:33" ht="15" customHeight="1">
      <c r="A110" s="46" t="s">
        <v>91</v>
      </c>
      <c r="B110" s="3" t="str">
        <f>_xlfn.IFNA(VLOOKUP(C110,Master!$J:$K,2,0),"")</f>
        <v>B2220</v>
      </c>
      <c r="C110" s="46" t="s">
        <v>83</v>
      </c>
      <c r="D110" s="4" t="str">
        <f>_xlfn.IFNA(VLOOKUP(E110,Master!$J:$K,2,0),"")</f>
        <v>B4102</v>
      </c>
      <c r="E110" s="46" t="s">
        <v>139</v>
      </c>
      <c r="F110" s="4">
        <f>_xlfn.IFNA(VLOOKUP(G110,Master!B:C,2,0),"")</f>
        <v>7511111</v>
      </c>
      <c r="G110" s="46" t="s">
        <v>75</v>
      </c>
      <c r="H110" s="46" t="s">
        <v>538</v>
      </c>
      <c r="I110" s="3" t="str">
        <f>_xlfn.IFNA(VLOOKUP(E110,Master!$J:$M,4,0),"")</f>
        <v>DIR</v>
      </c>
      <c r="J110" s="3" t="str">
        <f>_xlfn.IFNA(VLOOKUP($E110,Master!$J:$M,3,0),"")</f>
        <v>MFG</v>
      </c>
      <c r="M110" s="50">
        <v>4800000</v>
      </c>
      <c r="N110" s="50">
        <v>4800000</v>
      </c>
      <c r="O110" s="50">
        <v>4800000</v>
      </c>
      <c r="P110" s="50">
        <v>4800000</v>
      </c>
      <c r="Q110" s="50">
        <v>4500000</v>
      </c>
      <c r="R110" s="50">
        <v>4500000</v>
      </c>
      <c r="S110" s="50">
        <v>4500000</v>
      </c>
      <c r="T110" s="50">
        <v>4500000</v>
      </c>
      <c r="U110" s="50">
        <v>4500000</v>
      </c>
      <c r="V110" s="50">
        <v>4500000</v>
      </c>
      <c r="W110" s="50">
        <v>4800000</v>
      </c>
      <c r="X110" s="50">
        <v>4800000</v>
      </c>
      <c r="Y110" s="50">
        <v>4800000</v>
      </c>
      <c r="Z110" s="50">
        <v>4800000</v>
      </c>
      <c r="AA110" s="50">
        <v>4800000</v>
      </c>
      <c r="AB110" s="50">
        <v>4800000</v>
      </c>
      <c r="AC110" s="26">
        <f t="shared" si="2"/>
        <v>19200000</v>
      </c>
      <c r="AD110" s="26">
        <f t="shared" si="3"/>
        <v>55800000</v>
      </c>
      <c r="AE110" s="50">
        <v>56700000</v>
      </c>
      <c r="AF110" s="50">
        <v>50700000</v>
      </c>
      <c r="AG110" s="53" t="s">
        <v>55</v>
      </c>
    </row>
    <row r="111" spans="1:33" ht="15" customHeight="1">
      <c r="A111" s="46" t="s">
        <v>91</v>
      </c>
      <c r="B111" s="3" t="str">
        <f>_xlfn.IFNA(VLOOKUP(C111,Master!$J:$K,2,0),"")</f>
        <v>B2220</v>
      </c>
      <c r="C111" s="46" t="s">
        <v>83</v>
      </c>
      <c r="D111" s="4" t="str">
        <f>_xlfn.IFNA(VLOOKUP(E111,Master!$J:$K,2,0),"")</f>
        <v>B4103</v>
      </c>
      <c r="E111" s="46" t="s">
        <v>144</v>
      </c>
      <c r="F111" s="4">
        <f>_xlfn.IFNA(VLOOKUP(G111,Master!B:C,2,0),"")</f>
        <v>7511111</v>
      </c>
      <c r="G111" s="46" t="s">
        <v>75</v>
      </c>
      <c r="H111" s="46" t="s">
        <v>533</v>
      </c>
      <c r="I111" s="3" t="str">
        <f>_xlfn.IFNA(VLOOKUP(E111,Master!$J:$M,4,0),"")</f>
        <v>DIR</v>
      </c>
      <c r="J111" s="3" t="str">
        <f>_xlfn.IFNA(VLOOKUP($E111,Master!$J:$M,3,0),"")</f>
        <v>MFG</v>
      </c>
      <c r="M111" s="50">
        <v>45000</v>
      </c>
      <c r="N111" s="50">
        <v>45000</v>
      </c>
      <c r="O111" s="50">
        <v>45000</v>
      </c>
      <c r="P111" s="50">
        <v>45000</v>
      </c>
      <c r="Q111" s="50">
        <v>45000</v>
      </c>
      <c r="R111" s="50">
        <v>45000</v>
      </c>
      <c r="S111" s="50">
        <v>45000</v>
      </c>
      <c r="T111" s="50">
        <v>45000</v>
      </c>
      <c r="U111" s="50">
        <v>45000</v>
      </c>
      <c r="V111" s="50">
        <v>45000</v>
      </c>
      <c r="W111" s="50">
        <v>45000</v>
      </c>
      <c r="X111" s="50">
        <v>45000</v>
      </c>
      <c r="Y111" s="50">
        <v>45000</v>
      </c>
      <c r="Z111" s="50">
        <v>45000</v>
      </c>
      <c r="AA111" s="50">
        <v>45000</v>
      </c>
      <c r="AB111" s="50">
        <v>45000</v>
      </c>
      <c r="AC111" s="26">
        <f t="shared" si="2"/>
        <v>180000</v>
      </c>
      <c r="AD111" s="26">
        <f t="shared" si="3"/>
        <v>540000</v>
      </c>
      <c r="AE111" s="50">
        <v>540000</v>
      </c>
      <c r="AF111" s="50">
        <v>540000</v>
      </c>
      <c r="AG111" s="53" t="s">
        <v>55</v>
      </c>
    </row>
    <row r="112" spans="1:33" ht="15" customHeight="1">
      <c r="A112" s="46" t="s">
        <v>91</v>
      </c>
      <c r="B112" s="3" t="str">
        <f>_xlfn.IFNA(VLOOKUP(C112,Master!$J:$K,2,0),"")</f>
        <v>B2220</v>
      </c>
      <c r="C112" s="46" t="s">
        <v>83</v>
      </c>
      <c r="D112" s="4" t="str">
        <f>_xlfn.IFNA(VLOOKUP(E112,Master!$J:$K,2,0),"")</f>
        <v>B4103</v>
      </c>
      <c r="E112" s="46" t="s">
        <v>144</v>
      </c>
      <c r="F112" s="4">
        <f>_xlfn.IFNA(VLOOKUP(G112,Master!B:C,2,0),"")</f>
        <v>7511111</v>
      </c>
      <c r="G112" s="46" t="s">
        <v>75</v>
      </c>
      <c r="H112" s="46" t="s">
        <v>534</v>
      </c>
      <c r="I112" s="3" t="str">
        <f>_xlfn.IFNA(VLOOKUP(E112,Master!$J:$M,4,0),"")</f>
        <v>DIR</v>
      </c>
      <c r="J112" s="3" t="str">
        <f>_xlfn.IFNA(VLOOKUP($E112,Master!$J:$M,3,0),"")</f>
        <v>MFG</v>
      </c>
      <c r="M112" s="50">
        <v>4347000</v>
      </c>
      <c r="N112" s="50">
        <v>4914000</v>
      </c>
      <c r="O112" s="50">
        <v>4536000</v>
      </c>
      <c r="P112" s="50">
        <v>3969000</v>
      </c>
      <c r="Q112" s="50">
        <v>3402000</v>
      </c>
      <c r="R112" s="50">
        <v>4158000</v>
      </c>
      <c r="S112" s="50">
        <v>3969000</v>
      </c>
      <c r="T112" s="50">
        <v>4725000</v>
      </c>
      <c r="U112" s="50">
        <v>4536000</v>
      </c>
      <c r="V112" s="50">
        <v>4158000</v>
      </c>
      <c r="W112" s="50">
        <v>4725000</v>
      </c>
      <c r="X112" s="50">
        <v>4347000</v>
      </c>
      <c r="Y112" s="50">
        <v>4158000</v>
      </c>
      <c r="Z112" s="50">
        <v>4752000</v>
      </c>
      <c r="AA112" s="50">
        <v>4356000</v>
      </c>
      <c r="AB112" s="50">
        <v>3762000</v>
      </c>
      <c r="AC112" s="26">
        <f t="shared" si="2"/>
        <v>17766000</v>
      </c>
      <c r="AD112" s="26">
        <f t="shared" si="3"/>
        <v>51048000</v>
      </c>
      <c r="AE112" s="50">
        <v>51536000</v>
      </c>
      <c r="AF112" s="50">
        <v>53733000</v>
      </c>
      <c r="AG112" s="53" t="s">
        <v>55</v>
      </c>
    </row>
    <row r="113" spans="1:33" ht="15" customHeight="1">
      <c r="A113" s="46" t="s">
        <v>91</v>
      </c>
      <c r="B113" s="3" t="str">
        <f>_xlfn.IFNA(VLOOKUP(C113,Master!$J:$K,2,0),"")</f>
        <v>B2220</v>
      </c>
      <c r="C113" s="46" t="s">
        <v>83</v>
      </c>
      <c r="D113" s="4" t="str">
        <f>_xlfn.IFNA(VLOOKUP(E113,Master!$J:$K,2,0),"")</f>
        <v>B4103</v>
      </c>
      <c r="E113" s="46" t="s">
        <v>144</v>
      </c>
      <c r="F113" s="4">
        <f>_xlfn.IFNA(VLOOKUP(G113,Master!B:C,2,0),"")</f>
        <v>7511111</v>
      </c>
      <c r="G113" s="46" t="s">
        <v>75</v>
      </c>
      <c r="H113" s="46" t="s">
        <v>535</v>
      </c>
      <c r="I113" s="3" t="str">
        <f>_xlfn.IFNA(VLOOKUP(E113,Master!$J:$M,4,0),"")</f>
        <v>DIR</v>
      </c>
      <c r="J113" s="3" t="str">
        <f>_xlfn.IFNA(VLOOKUP($E113,Master!$J:$M,3,0),"")</f>
        <v>MFG</v>
      </c>
      <c r="M113" s="50">
        <v>1000000</v>
      </c>
      <c r="N113" s="50">
        <v>1000000</v>
      </c>
      <c r="O113" s="50">
        <v>1000000</v>
      </c>
      <c r="P113" s="50">
        <v>1000000</v>
      </c>
      <c r="Q113" s="50">
        <v>1000000</v>
      </c>
      <c r="R113" s="50">
        <v>1000000</v>
      </c>
      <c r="S113" s="50">
        <v>1000000</v>
      </c>
      <c r="T113" s="50">
        <v>1000000</v>
      </c>
      <c r="U113" s="50">
        <v>1000000</v>
      </c>
      <c r="V113" s="50">
        <v>1000000</v>
      </c>
      <c r="W113" s="50">
        <v>1000000</v>
      </c>
      <c r="X113" s="50">
        <v>1000000</v>
      </c>
      <c r="Y113" s="50">
        <v>1000000</v>
      </c>
      <c r="Z113" s="50">
        <v>1850000</v>
      </c>
      <c r="AA113" s="50">
        <v>1850000</v>
      </c>
      <c r="AB113" s="50">
        <v>1850000</v>
      </c>
      <c r="AC113" s="26">
        <f t="shared" si="2"/>
        <v>4000000</v>
      </c>
      <c r="AD113" s="26">
        <f t="shared" si="3"/>
        <v>14550000</v>
      </c>
      <c r="AE113" s="50">
        <v>22200000</v>
      </c>
      <c r="AF113" s="50">
        <v>22200000</v>
      </c>
      <c r="AG113" s="53" t="s">
        <v>55</v>
      </c>
    </row>
    <row r="114" spans="1:33" ht="15" customHeight="1">
      <c r="A114" s="46" t="s">
        <v>91</v>
      </c>
      <c r="B114" s="3" t="str">
        <f>_xlfn.IFNA(VLOOKUP(C114,Master!$J:$K,2,0),"")</f>
        <v>B2220</v>
      </c>
      <c r="C114" s="46" t="s">
        <v>83</v>
      </c>
      <c r="D114" s="4" t="str">
        <f>_xlfn.IFNA(VLOOKUP(E114,Master!$J:$K,2,0),"")</f>
        <v>B4103</v>
      </c>
      <c r="E114" s="46" t="s">
        <v>144</v>
      </c>
      <c r="F114" s="4">
        <f>_xlfn.IFNA(VLOOKUP(G114,Master!B:C,2,0),"")</f>
        <v>7511111</v>
      </c>
      <c r="G114" s="46" t="s">
        <v>75</v>
      </c>
      <c r="H114" s="46" t="s">
        <v>536</v>
      </c>
      <c r="I114" s="3" t="str">
        <f>_xlfn.IFNA(VLOOKUP(E114,Master!$J:$M,4,0),"")</f>
        <v>DIR</v>
      </c>
      <c r="J114" s="3" t="str">
        <f>_xlfn.IFNA(VLOOKUP($E114,Master!$J:$M,3,0),"")</f>
        <v>MFG</v>
      </c>
      <c r="P114" s="50">
        <v>1840000</v>
      </c>
      <c r="Q114" s="50">
        <v>920000</v>
      </c>
      <c r="AB114" s="50">
        <v>2880000</v>
      </c>
      <c r="AC114" s="26">
        <f t="shared" si="2"/>
        <v>1840000</v>
      </c>
      <c r="AD114" s="26">
        <f t="shared" si="3"/>
        <v>3800000</v>
      </c>
      <c r="AE114" s="50">
        <v>3000000</v>
      </c>
      <c r="AF114" s="50">
        <v>3120000</v>
      </c>
      <c r="AG114" s="53" t="s">
        <v>55</v>
      </c>
    </row>
    <row r="115" spans="1:33" ht="15" customHeight="1">
      <c r="A115" s="46" t="s">
        <v>91</v>
      </c>
      <c r="B115" s="3" t="str">
        <f>_xlfn.IFNA(VLOOKUP(C115,Master!$J:$K,2,0),"")</f>
        <v>B2220</v>
      </c>
      <c r="C115" s="46" t="s">
        <v>83</v>
      </c>
      <c r="D115" s="4" t="str">
        <f>_xlfn.IFNA(VLOOKUP(E115,Master!$J:$K,2,0),"")</f>
        <v>B4103</v>
      </c>
      <c r="E115" s="46" t="s">
        <v>144</v>
      </c>
      <c r="F115" s="4">
        <f>_xlfn.IFNA(VLOOKUP(G115,Master!B:C,2,0),"")</f>
        <v>7511111</v>
      </c>
      <c r="G115" s="46" t="s">
        <v>75</v>
      </c>
      <c r="H115" s="46" t="s">
        <v>537</v>
      </c>
      <c r="I115" s="3" t="str">
        <f>_xlfn.IFNA(VLOOKUP(E115,Master!$J:$M,4,0),"")</f>
        <v>DIR</v>
      </c>
      <c r="J115" s="3" t="str">
        <f>_xlfn.IFNA(VLOOKUP($E115,Master!$J:$M,3,0),"")</f>
        <v>MFG</v>
      </c>
      <c r="M115" s="50">
        <v>580000</v>
      </c>
      <c r="N115" s="50">
        <v>580000</v>
      </c>
      <c r="O115" s="50">
        <v>580000</v>
      </c>
      <c r="P115" s="50">
        <v>580000</v>
      </c>
      <c r="Q115" s="50">
        <v>580000</v>
      </c>
      <c r="R115" s="50">
        <v>580000</v>
      </c>
      <c r="S115" s="50">
        <v>580000</v>
      </c>
      <c r="T115" s="50">
        <v>580000</v>
      </c>
      <c r="U115" s="50">
        <v>580000</v>
      </c>
      <c r="V115" s="50">
        <v>580000</v>
      </c>
      <c r="W115" s="50">
        <v>580000</v>
      </c>
      <c r="X115" s="50">
        <v>580000</v>
      </c>
      <c r="Y115" s="50">
        <v>580000</v>
      </c>
      <c r="Z115" s="50">
        <v>580000</v>
      </c>
      <c r="AA115" s="50">
        <v>580000</v>
      </c>
      <c r="AB115" s="50">
        <v>580000</v>
      </c>
      <c r="AC115" s="26">
        <f t="shared" si="2"/>
        <v>2320000</v>
      </c>
      <c r="AD115" s="26">
        <f t="shared" si="3"/>
        <v>6960000</v>
      </c>
      <c r="AE115" s="50">
        <v>6960000</v>
      </c>
      <c r="AF115" s="50">
        <v>6960000</v>
      </c>
      <c r="AG115" s="53" t="s">
        <v>55</v>
      </c>
    </row>
    <row r="116" spans="1:33" ht="15" customHeight="1">
      <c r="A116" s="46" t="s">
        <v>91</v>
      </c>
      <c r="B116" s="3" t="str">
        <f>_xlfn.IFNA(VLOOKUP(C116,Master!$J:$K,2,0),"")</f>
        <v>B2220</v>
      </c>
      <c r="C116" s="46" t="s">
        <v>83</v>
      </c>
      <c r="D116" s="4" t="str">
        <f>_xlfn.IFNA(VLOOKUP(E116,Master!$J:$K,2,0),"")</f>
        <v>B4103</v>
      </c>
      <c r="E116" s="46" t="s">
        <v>144</v>
      </c>
      <c r="F116" s="4">
        <f>_xlfn.IFNA(VLOOKUP(G116,Master!B:C,2,0),"")</f>
        <v>7511111</v>
      </c>
      <c r="G116" s="46" t="s">
        <v>75</v>
      </c>
      <c r="H116" s="46" t="s">
        <v>540</v>
      </c>
      <c r="I116" s="3" t="str">
        <f>_xlfn.IFNA(VLOOKUP(E116,Master!$J:$M,4,0),"")</f>
        <v>DIR</v>
      </c>
      <c r="J116" s="3" t="str">
        <f>_xlfn.IFNA(VLOOKUP($E116,Master!$J:$M,3,0),"")</f>
        <v>MFG</v>
      </c>
      <c r="M116" s="50">
        <v>1035000</v>
      </c>
      <c r="N116" s="50">
        <v>1170000</v>
      </c>
      <c r="O116" s="50">
        <v>1080000</v>
      </c>
      <c r="P116" s="50">
        <v>945000</v>
      </c>
      <c r="Q116" s="50">
        <v>810000</v>
      </c>
      <c r="R116" s="50">
        <v>990000</v>
      </c>
      <c r="S116" s="50">
        <v>945000</v>
      </c>
      <c r="T116" s="50">
        <v>1125000</v>
      </c>
      <c r="U116" s="50">
        <v>1080000</v>
      </c>
      <c r="V116" s="50">
        <v>990000</v>
      </c>
      <c r="W116" s="50">
        <v>1125000</v>
      </c>
      <c r="X116" s="50">
        <v>1035000</v>
      </c>
      <c r="Y116" s="50">
        <v>990000</v>
      </c>
      <c r="Z116" s="50">
        <v>1080000</v>
      </c>
      <c r="AA116" s="50">
        <v>990000</v>
      </c>
      <c r="AB116" s="50">
        <v>855000</v>
      </c>
      <c r="AC116" s="26">
        <f t="shared" si="2"/>
        <v>4230000</v>
      </c>
      <c r="AD116" s="26">
        <f t="shared" si="3"/>
        <v>12015000</v>
      </c>
      <c r="AE116" s="50">
        <v>11565000</v>
      </c>
      <c r="AF116" s="50">
        <v>11475000</v>
      </c>
      <c r="AG116" s="53" t="s">
        <v>55</v>
      </c>
    </row>
    <row r="117" spans="1:33" ht="15" customHeight="1">
      <c r="A117" s="46" t="s">
        <v>91</v>
      </c>
      <c r="B117" s="3" t="str">
        <f>_xlfn.IFNA(VLOOKUP(C117,Master!$J:$K,2,0),"")</f>
        <v>B2220</v>
      </c>
      <c r="C117" s="46" t="s">
        <v>83</v>
      </c>
      <c r="D117" s="4" t="str">
        <f>_xlfn.IFNA(VLOOKUP(E117,Master!$J:$K,2,0),"")</f>
        <v>B4103</v>
      </c>
      <c r="E117" s="46" t="s">
        <v>144</v>
      </c>
      <c r="F117" s="4">
        <f>_xlfn.IFNA(VLOOKUP(G117,Master!B:C,2,0),"")</f>
        <v>7511111</v>
      </c>
      <c r="G117" s="46" t="s">
        <v>75</v>
      </c>
      <c r="H117" s="46" t="s">
        <v>538</v>
      </c>
      <c r="I117" s="3" t="str">
        <f>_xlfn.IFNA(VLOOKUP(E117,Master!$J:$M,4,0),"")</f>
        <v>DIR</v>
      </c>
      <c r="J117" s="3" t="str">
        <f>_xlfn.IFNA(VLOOKUP($E117,Master!$J:$M,3,0),"")</f>
        <v>MFG</v>
      </c>
      <c r="M117" s="50">
        <v>3000000</v>
      </c>
      <c r="N117" s="50">
        <v>3000000</v>
      </c>
      <c r="O117" s="50">
        <v>3000000</v>
      </c>
      <c r="P117" s="50">
        <v>3000000</v>
      </c>
      <c r="Q117" s="50">
        <v>3000000</v>
      </c>
      <c r="R117" s="50">
        <v>3000000</v>
      </c>
      <c r="S117" s="50">
        <v>3000000</v>
      </c>
      <c r="T117" s="50">
        <v>3000000</v>
      </c>
      <c r="U117" s="50">
        <v>3000000</v>
      </c>
      <c r="V117" s="50">
        <v>3000000</v>
      </c>
      <c r="W117" s="50">
        <v>3000000</v>
      </c>
      <c r="X117" s="50">
        <v>3000000</v>
      </c>
      <c r="Y117" s="50">
        <v>3000000</v>
      </c>
      <c r="Z117" s="50">
        <v>3000000</v>
      </c>
      <c r="AA117" s="50">
        <v>3000000</v>
      </c>
      <c r="AB117" s="50">
        <v>3000000</v>
      </c>
      <c r="AC117" s="26">
        <f t="shared" si="2"/>
        <v>12000000</v>
      </c>
      <c r="AD117" s="26">
        <f t="shared" si="3"/>
        <v>36000000</v>
      </c>
      <c r="AE117" s="50">
        <v>36000000</v>
      </c>
      <c r="AF117" s="50">
        <v>36000000</v>
      </c>
      <c r="AG117" s="53" t="s">
        <v>55</v>
      </c>
    </row>
    <row r="118" spans="1:33" ht="15" customHeight="1">
      <c r="A118" s="46" t="s">
        <v>91</v>
      </c>
      <c r="B118" s="3" t="str">
        <f>_xlfn.IFNA(VLOOKUP(C118,Master!$J:$K,2,0),"")</f>
        <v>B2220</v>
      </c>
      <c r="C118" s="46" t="s">
        <v>83</v>
      </c>
      <c r="D118" s="4" t="str">
        <f>_xlfn.IFNA(VLOOKUP(E118,Master!$J:$K,2,0),"")</f>
        <v>B4105</v>
      </c>
      <c r="E118" s="46" t="s">
        <v>149</v>
      </c>
      <c r="F118" s="4">
        <f>_xlfn.IFNA(VLOOKUP(G118,Master!B:C,2,0),"")</f>
        <v>7511111</v>
      </c>
      <c r="G118" s="46" t="s">
        <v>75</v>
      </c>
      <c r="H118" s="46" t="s">
        <v>533</v>
      </c>
      <c r="I118" s="3" t="str">
        <f>_xlfn.IFNA(VLOOKUP(E118,Master!$J:$M,4,0),"")</f>
        <v>DIR</v>
      </c>
      <c r="J118" s="3" t="str">
        <f>_xlfn.IFNA(VLOOKUP($E118,Master!$J:$M,3,0),"")</f>
        <v>MFG</v>
      </c>
      <c r="M118" s="50">
        <v>54000</v>
      </c>
      <c r="N118" s="50">
        <v>54000</v>
      </c>
      <c r="O118" s="50">
        <v>54000</v>
      </c>
      <c r="P118" s="50">
        <v>54000</v>
      </c>
      <c r="Q118" s="50">
        <v>54000</v>
      </c>
      <c r="R118" s="50">
        <v>54000</v>
      </c>
      <c r="S118" s="50">
        <v>54000</v>
      </c>
      <c r="T118" s="50">
        <v>54000</v>
      </c>
      <c r="U118" s="50">
        <v>54000</v>
      </c>
      <c r="V118" s="50">
        <v>54000</v>
      </c>
      <c r="W118" s="50">
        <v>45000</v>
      </c>
      <c r="X118" s="50">
        <v>45000</v>
      </c>
      <c r="Y118" s="50">
        <v>45000</v>
      </c>
      <c r="Z118" s="50">
        <v>45000</v>
      </c>
      <c r="AA118" s="50">
        <v>45000</v>
      </c>
      <c r="AB118" s="50">
        <v>45000</v>
      </c>
      <c r="AC118" s="26">
        <f t="shared" si="2"/>
        <v>216000</v>
      </c>
      <c r="AD118" s="26">
        <f t="shared" si="3"/>
        <v>594000</v>
      </c>
      <c r="AE118" s="50">
        <v>540000</v>
      </c>
      <c r="AF118" s="50">
        <v>526500</v>
      </c>
      <c r="AG118" s="53" t="s">
        <v>55</v>
      </c>
    </row>
    <row r="119" spans="1:33" ht="15" customHeight="1">
      <c r="A119" s="46" t="s">
        <v>91</v>
      </c>
      <c r="B119" s="3" t="str">
        <f>_xlfn.IFNA(VLOOKUP(C119,Master!$J:$K,2,0),"")</f>
        <v>B2220</v>
      </c>
      <c r="C119" s="46" t="s">
        <v>83</v>
      </c>
      <c r="D119" s="4" t="str">
        <f>_xlfn.IFNA(VLOOKUP(E119,Master!$J:$K,2,0),"")</f>
        <v>B4105</v>
      </c>
      <c r="E119" s="46" t="s">
        <v>149</v>
      </c>
      <c r="F119" s="4">
        <f>_xlfn.IFNA(VLOOKUP(G119,Master!B:C,2,0),"")</f>
        <v>7511111</v>
      </c>
      <c r="G119" s="46" t="s">
        <v>75</v>
      </c>
      <c r="H119" s="46" t="s">
        <v>534</v>
      </c>
      <c r="I119" s="3" t="str">
        <f>_xlfn.IFNA(VLOOKUP(E119,Master!$J:$M,4,0),"")</f>
        <v>DIR</v>
      </c>
      <c r="J119" s="3" t="str">
        <f>_xlfn.IFNA(VLOOKUP($E119,Master!$J:$M,3,0),"")</f>
        <v>MFG</v>
      </c>
      <c r="M119" s="50">
        <v>5216400</v>
      </c>
      <c r="N119" s="50">
        <v>5896800</v>
      </c>
      <c r="O119" s="50">
        <v>5443200</v>
      </c>
      <c r="P119" s="50">
        <v>4762800</v>
      </c>
      <c r="Q119" s="50">
        <v>4082400</v>
      </c>
      <c r="R119" s="50">
        <v>4989600</v>
      </c>
      <c r="S119" s="50">
        <v>4762800</v>
      </c>
      <c r="T119" s="50">
        <v>5670000</v>
      </c>
      <c r="U119" s="50">
        <v>5443200</v>
      </c>
      <c r="V119" s="50">
        <v>4989600</v>
      </c>
      <c r="W119" s="50">
        <v>4725000</v>
      </c>
      <c r="X119" s="50">
        <v>4347000</v>
      </c>
      <c r="Y119" s="50">
        <v>4158000</v>
      </c>
      <c r="Z119" s="50">
        <v>4752000</v>
      </c>
      <c r="AA119" s="50">
        <v>4356000</v>
      </c>
      <c r="AB119" s="50">
        <v>3762000</v>
      </c>
      <c r="AC119" s="26">
        <f t="shared" si="2"/>
        <v>21319200</v>
      </c>
      <c r="AD119" s="26">
        <f t="shared" si="3"/>
        <v>56037600</v>
      </c>
      <c r="AE119" s="50">
        <v>51536000</v>
      </c>
      <c r="AF119" s="50">
        <v>52353300</v>
      </c>
      <c r="AG119" s="53" t="s">
        <v>55</v>
      </c>
    </row>
    <row r="120" spans="1:33" ht="15" customHeight="1">
      <c r="A120" s="46" t="s">
        <v>91</v>
      </c>
      <c r="B120" s="3" t="str">
        <f>_xlfn.IFNA(VLOOKUP(C120,Master!$J:$K,2,0),"")</f>
        <v>B2220</v>
      </c>
      <c r="C120" s="46" t="s">
        <v>83</v>
      </c>
      <c r="D120" s="4" t="str">
        <f>_xlfn.IFNA(VLOOKUP(E120,Master!$J:$K,2,0),"")</f>
        <v>B4105</v>
      </c>
      <c r="E120" s="46" t="s">
        <v>149</v>
      </c>
      <c r="F120" s="4">
        <f>_xlfn.IFNA(VLOOKUP(G120,Master!B:C,2,0),"")</f>
        <v>7511111</v>
      </c>
      <c r="G120" s="46" t="s">
        <v>75</v>
      </c>
      <c r="H120" s="46" t="s">
        <v>535</v>
      </c>
      <c r="I120" s="3" t="str">
        <f>_xlfn.IFNA(VLOOKUP(E120,Master!$J:$M,4,0),"")</f>
        <v>DIR</v>
      </c>
      <c r="J120" s="3" t="str">
        <f>_xlfn.IFNA(VLOOKUP($E120,Master!$J:$M,3,0),"")</f>
        <v>MFG</v>
      </c>
      <c r="M120" s="50">
        <v>1150000</v>
      </c>
      <c r="N120" s="50">
        <v>1150000</v>
      </c>
      <c r="O120" s="50">
        <v>1150000</v>
      </c>
      <c r="P120" s="50">
        <v>1150000</v>
      </c>
      <c r="Q120" s="50">
        <v>1150000</v>
      </c>
      <c r="R120" s="50">
        <v>1150000</v>
      </c>
      <c r="S120" s="50">
        <v>1150000</v>
      </c>
      <c r="T120" s="50">
        <v>1150000</v>
      </c>
      <c r="U120" s="50">
        <v>1150000</v>
      </c>
      <c r="V120" s="50">
        <v>1150000</v>
      </c>
      <c r="W120" s="50">
        <v>1150000</v>
      </c>
      <c r="X120" s="50">
        <v>1150000</v>
      </c>
      <c r="Y120" s="50">
        <v>1150000</v>
      </c>
      <c r="Z120" s="50">
        <v>1900000</v>
      </c>
      <c r="AA120" s="50">
        <v>1900000</v>
      </c>
      <c r="AB120" s="50">
        <v>1900000</v>
      </c>
      <c r="AC120" s="26">
        <f t="shared" si="2"/>
        <v>4600000</v>
      </c>
      <c r="AD120" s="26">
        <f t="shared" si="3"/>
        <v>16050000</v>
      </c>
      <c r="AE120" s="50">
        <v>22800000</v>
      </c>
      <c r="AF120" s="50">
        <v>22800000</v>
      </c>
      <c r="AG120" s="53" t="s">
        <v>55</v>
      </c>
    </row>
    <row r="121" spans="1:33" ht="15" customHeight="1">
      <c r="A121" s="46" t="s">
        <v>91</v>
      </c>
      <c r="B121" s="3" t="str">
        <f>_xlfn.IFNA(VLOOKUP(C121,Master!$J:$K,2,0),"")</f>
        <v>B2220</v>
      </c>
      <c r="C121" s="46" t="s">
        <v>83</v>
      </c>
      <c r="D121" s="4" t="str">
        <f>_xlfn.IFNA(VLOOKUP(E121,Master!$J:$K,2,0),"")</f>
        <v>B4105</v>
      </c>
      <c r="E121" s="46" t="s">
        <v>149</v>
      </c>
      <c r="F121" s="4">
        <f>_xlfn.IFNA(VLOOKUP(G121,Master!B:C,2,0),"")</f>
        <v>7511111</v>
      </c>
      <c r="G121" s="46" t="s">
        <v>75</v>
      </c>
      <c r="H121" s="46" t="s">
        <v>536</v>
      </c>
      <c r="I121" s="3" t="str">
        <f>_xlfn.IFNA(VLOOKUP(E121,Master!$J:$M,4,0),"")</f>
        <v>DIR</v>
      </c>
      <c r="J121" s="3" t="str">
        <f>_xlfn.IFNA(VLOOKUP($E121,Master!$J:$M,3,0),"")</f>
        <v>MFG</v>
      </c>
      <c r="P121" s="50">
        <v>2208000</v>
      </c>
      <c r="Q121" s="50">
        <v>1104000</v>
      </c>
      <c r="AB121" s="50">
        <v>2880000</v>
      </c>
      <c r="AC121" s="26">
        <f t="shared" si="2"/>
        <v>2208000</v>
      </c>
      <c r="AD121" s="26">
        <f t="shared" si="3"/>
        <v>3984000</v>
      </c>
      <c r="AE121" s="50">
        <v>3000000</v>
      </c>
      <c r="AF121" s="50">
        <v>2808000</v>
      </c>
      <c r="AG121" s="53" t="s">
        <v>55</v>
      </c>
    </row>
    <row r="122" spans="1:33" ht="15" customHeight="1">
      <c r="A122" s="46" t="s">
        <v>91</v>
      </c>
      <c r="B122" s="3" t="str">
        <f>_xlfn.IFNA(VLOOKUP(C122,Master!$J:$K,2,0),"")</f>
        <v>B2220</v>
      </c>
      <c r="C122" s="46" t="s">
        <v>83</v>
      </c>
      <c r="D122" s="4" t="str">
        <f>_xlfn.IFNA(VLOOKUP(E122,Master!$J:$K,2,0),"")</f>
        <v>B4105</v>
      </c>
      <c r="E122" s="46" t="s">
        <v>149</v>
      </c>
      <c r="F122" s="4">
        <f>_xlfn.IFNA(VLOOKUP(G122,Master!B:C,2,0),"")</f>
        <v>7511111</v>
      </c>
      <c r="G122" s="46" t="s">
        <v>75</v>
      </c>
      <c r="H122" s="46" t="s">
        <v>537</v>
      </c>
      <c r="I122" s="3" t="str">
        <f>_xlfn.IFNA(VLOOKUP(E122,Master!$J:$M,4,0),"")</f>
        <v>DIR</v>
      </c>
      <c r="J122" s="3" t="str">
        <f>_xlfn.IFNA(VLOOKUP($E122,Master!$J:$M,3,0),"")</f>
        <v>MFG</v>
      </c>
      <c r="M122" s="50">
        <v>680000</v>
      </c>
      <c r="N122" s="50">
        <v>680000</v>
      </c>
      <c r="O122" s="50">
        <v>680000</v>
      </c>
      <c r="P122" s="50">
        <v>680000</v>
      </c>
      <c r="Q122" s="50">
        <v>680000</v>
      </c>
      <c r="R122" s="50">
        <v>680000</v>
      </c>
      <c r="S122" s="50">
        <v>680000</v>
      </c>
      <c r="T122" s="50">
        <v>680000</v>
      </c>
      <c r="U122" s="50">
        <v>680000</v>
      </c>
      <c r="V122" s="50">
        <v>680000</v>
      </c>
      <c r="W122" s="50">
        <v>560000</v>
      </c>
      <c r="X122" s="50">
        <v>560000</v>
      </c>
      <c r="Y122" s="50">
        <v>560000</v>
      </c>
      <c r="Z122" s="50">
        <v>560000</v>
      </c>
      <c r="AA122" s="50">
        <v>560000</v>
      </c>
      <c r="AB122" s="50">
        <v>560000</v>
      </c>
      <c r="AC122" s="26">
        <f t="shared" si="2"/>
        <v>2720000</v>
      </c>
      <c r="AD122" s="26">
        <f t="shared" si="3"/>
        <v>7440000</v>
      </c>
      <c r="AE122" s="50">
        <v>6720000</v>
      </c>
      <c r="AF122" s="50">
        <v>6540000</v>
      </c>
      <c r="AG122" s="53" t="s">
        <v>55</v>
      </c>
    </row>
    <row r="123" spans="1:33" ht="15" customHeight="1">
      <c r="A123" s="46" t="s">
        <v>91</v>
      </c>
      <c r="B123" s="3" t="str">
        <f>_xlfn.IFNA(VLOOKUP(C123,Master!$J:$K,2,0),"")</f>
        <v>B2220</v>
      </c>
      <c r="C123" s="46" t="s">
        <v>83</v>
      </c>
      <c r="D123" s="4" t="str">
        <f>_xlfn.IFNA(VLOOKUP(E123,Master!$J:$K,2,0),"")</f>
        <v>B4105</v>
      </c>
      <c r="E123" s="46" t="s">
        <v>149</v>
      </c>
      <c r="F123" s="4">
        <f>_xlfn.IFNA(VLOOKUP(G123,Master!B:C,2,0),"")</f>
        <v>7511111</v>
      </c>
      <c r="G123" s="46" t="s">
        <v>75</v>
      </c>
      <c r="H123" s="46" t="s">
        <v>540</v>
      </c>
      <c r="I123" s="3" t="str">
        <f>_xlfn.IFNA(VLOOKUP(E123,Master!$J:$M,4,0),"")</f>
        <v>DIR</v>
      </c>
      <c r="J123" s="3" t="str">
        <f>_xlfn.IFNA(VLOOKUP($E123,Master!$J:$M,3,0),"")</f>
        <v>MFG</v>
      </c>
      <c r="M123" s="50">
        <v>1265000</v>
      </c>
      <c r="N123" s="50">
        <v>1430000</v>
      </c>
      <c r="O123" s="50">
        <v>1320000</v>
      </c>
      <c r="P123" s="50">
        <v>1155000</v>
      </c>
      <c r="Q123" s="50">
        <v>990000</v>
      </c>
      <c r="R123" s="50">
        <v>1210000</v>
      </c>
      <c r="S123" s="50">
        <v>1155000</v>
      </c>
      <c r="T123" s="50">
        <v>1375000</v>
      </c>
      <c r="U123" s="50">
        <v>1320000</v>
      </c>
      <c r="V123" s="50">
        <v>1210000</v>
      </c>
      <c r="W123" s="50">
        <v>1125000</v>
      </c>
      <c r="X123" s="50">
        <v>1035000</v>
      </c>
      <c r="Y123" s="50">
        <v>990000</v>
      </c>
      <c r="Z123" s="50">
        <v>1080000</v>
      </c>
      <c r="AA123" s="50">
        <v>990000</v>
      </c>
      <c r="AB123" s="50">
        <v>855000</v>
      </c>
      <c r="AC123" s="26">
        <f t="shared" si="2"/>
        <v>5170000</v>
      </c>
      <c r="AD123" s="26">
        <f t="shared" si="3"/>
        <v>13335000</v>
      </c>
      <c r="AE123" s="50">
        <v>11565000</v>
      </c>
      <c r="AF123" s="50">
        <v>11160000</v>
      </c>
      <c r="AG123" s="53" t="s">
        <v>55</v>
      </c>
    </row>
    <row r="124" spans="1:33" ht="15" customHeight="1">
      <c r="A124" s="46" t="s">
        <v>91</v>
      </c>
      <c r="B124" s="3" t="str">
        <f>_xlfn.IFNA(VLOOKUP(C124,Master!$J:$K,2,0),"")</f>
        <v>B2220</v>
      </c>
      <c r="C124" s="46" t="s">
        <v>83</v>
      </c>
      <c r="D124" s="4" t="str">
        <f>_xlfn.IFNA(VLOOKUP(E124,Master!$J:$K,2,0),"")</f>
        <v>B4105</v>
      </c>
      <c r="E124" s="46" t="s">
        <v>149</v>
      </c>
      <c r="F124" s="4">
        <f>_xlfn.IFNA(VLOOKUP(G124,Master!B:C,2,0),"")</f>
        <v>7511111</v>
      </c>
      <c r="G124" s="46" t="s">
        <v>75</v>
      </c>
      <c r="H124" s="46" t="s">
        <v>539</v>
      </c>
      <c r="I124" s="3" t="str">
        <f>_xlfn.IFNA(VLOOKUP(E124,Master!$J:$M,4,0),"")</f>
        <v>DIR</v>
      </c>
      <c r="J124" s="3" t="str">
        <f>_xlfn.IFNA(VLOOKUP($E124,Master!$J:$M,3,0),"")</f>
        <v>MFG</v>
      </c>
      <c r="M124" s="50">
        <v>400000</v>
      </c>
      <c r="N124" s="50">
        <v>400000</v>
      </c>
      <c r="O124" s="50">
        <v>400000</v>
      </c>
      <c r="P124" s="50">
        <v>400000</v>
      </c>
      <c r="Q124" s="50">
        <v>400000</v>
      </c>
      <c r="R124" s="50">
        <v>400000</v>
      </c>
      <c r="S124" s="50">
        <v>400000</v>
      </c>
      <c r="T124" s="50">
        <v>400000</v>
      </c>
      <c r="U124" s="50">
        <v>400000</v>
      </c>
      <c r="V124" s="50">
        <v>400000</v>
      </c>
      <c r="W124" s="50">
        <v>200000</v>
      </c>
      <c r="X124" s="50">
        <v>200000</v>
      </c>
      <c r="Y124" s="50">
        <v>200000</v>
      </c>
      <c r="Z124" s="50">
        <v>200000</v>
      </c>
      <c r="AA124" s="50">
        <v>200000</v>
      </c>
      <c r="AB124" s="50">
        <v>200000</v>
      </c>
      <c r="AC124" s="26">
        <f t="shared" si="2"/>
        <v>1600000</v>
      </c>
      <c r="AD124" s="26">
        <f t="shared" si="3"/>
        <v>3600000</v>
      </c>
      <c r="AE124" s="50">
        <v>2400000</v>
      </c>
      <c r="AF124" s="50">
        <v>2400000</v>
      </c>
      <c r="AG124" s="53" t="s">
        <v>55</v>
      </c>
    </row>
    <row r="125" spans="1:33" ht="15" customHeight="1">
      <c r="A125" s="46" t="s">
        <v>91</v>
      </c>
      <c r="B125" s="3" t="str">
        <f>_xlfn.IFNA(VLOOKUP(C125,Master!$J:$K,2,0),"")</f>
        <v>B2220</v>
      </c>
      <c r="C125" s="46" t="s">
        <v>83</v>
      </c>
      <c r="D125" s="4" t="str">
        <f>_xlfn.IFNA(VLOOKUP(E125,Master!$J:$K,2,0),"")</f>
        <v>B4105</v>
      </c>
      <c r="E125" s="46" t="s">
        <v>149</v>
      </c>
      <c r="F125" s="4">
        <f>_xlfn.IFNA(VLOOKUP(G125,Master!B:C,2,0),"")</f>
        <v>7511111</v>
      </c>
      <c r="G125" s="46" t="s">
        <v>75</v>
      </c>
      <c r="H125" s="46" t="s">
        <v>538</v>
      </c>
      <c r="I125" s="3" t="str">
        <f>_xlfn.IFNA(VLOOKUP(E125,Master!$J:$M,4,0),"")</f>
        <v>DIR</v>
      </c>
      <c r="J125" s="3" t="str">
        <f>_xlfn.IFNA(VLOOKUP($E125,Master!$J:$M,3,0),"")</f>
        <v>MFG</v>
      </c>
      <c r="M125" s="50">
        <v>3600000</v>
      </c>
      <c r="N125" s="50">
        <v>3600000</v>
      </c>
      <c r="O125" s="50">
        <v>3600000</v>
      </c>
      <c r="P125" s="50">
        <v>3600000</v>
      </c>
      <c r="Q125" s="50">
        <v>3600000</v>
      </c>
      <c r="R125" s="50">
        <v>3600000</v>
      </c>
      <c r="S125" s="50">
        <v>3600000</v>
      </c>
      <c r="T125" s="50">
        <v>3600000</v>
      </c>
      <c r="U125" s="50">
        <v>3600000</v>
      </c>
      <c r="V125" s="50">
        <v>3600000</v>
      </c>
      <c r="W125" s="50">
        <v>3000000</v>
      </c>
      <c r="X125" s="50">
        <v>3000000</v>
      </c>
      <c r="Y125" s="50">
        <v>3000000</v>
      </c>
      <c r="Z125" s="50">
        <v>3000000</v>
      </c>
      <c r="AA125" s="50">
        <v>3000000</v>
      </c>
      <c r="AB125" s="50">
        <v>3000000</v>
      </c>
      <c r="AC125" s="26">
        <f t="shared" si="2"/>
        <v>14400000</v>
      </c>
      <c r="AD125" s="26">
        <f t="shared" si="3"/>
        <v>39600000</v>
      </c>
      <c r="AE125" s="50">
        <v>36000000</v>
      </c>
      <c r="AF125" s="50">
        <v>35100000</v>
      </c>
      <c r="AG125" s="53" t="s">
        <v>55</v>
      </c>
    </row>
    <row r="126" spans="1:33" ht="15" customHeight="1">
      <c r="A126" s="46" t="s">
        <v>91</v>
      </c>
      <c r="B126" s="3" t="str">
        <f>_xlfn.IFNA(VLOOKUP(C126,Master!$J:$K,2,0),"")</f>
        <v>B2220</v>
      </c>
      <c r="C126" s="46" t="s">
        <v>83</v>
      </c>
      <c r="D126" s="4" t="str">
        <f>_xlfn.IFNA(VLOOKUP(E126,Master!$J:$K,2,0),"")</f>
        <v>B4110</v>
      </c>
      <c r="E126" s="46" t="s">
        <v>162</v>
      </c>
      <c r="F126" s="4">
        <f>_xlfn.IFNA(VLOOKUP(G126,Master!B:C,2,0),"")</f>
        <v>7511111</v>
      </c>
      <c r="G126" s="46" t="s">
        <v>75</v>
      </c>
      <c r="H126" s="46" t="s">
        <v>533</v>
      </c>
      <c r="I126" s="3" t="str">
        <f>_xlfn.IFNA(VLOOKUP(E126,Master!$J:$M,4,0),"")</f>
        <v>DIR</v>
      </c>
      <c r="J126" s="3" t="str">
        <f>_xlfn.IFNA(VLOOKUP($E126,Master!$J:$M,3,0),"")</f>
        <v>MFG</v>
      </c>
      <c r="M126" s="50">
        <v>76500</v>
      </c>
      <c r="N126" s="50">
        <v>76500</v>
      </c>
      <c r="O126" s="50">
        <v>76500</v>
      </c>
      <c r="P126" s="50">
        <v>76500</v>
      </c>
      <c r="Q126" s="50">
        <v>76500</v>
      </c>
      <c r="R126" s="50">
        <v>76500</v>
      </c>
      <c r="S126" s="50">
        <v>76500</v>
      </c>
      <c r="T126" s="50">
        <v>81000</v>
      </c>
      <c r="U126" s="50">
        <v>81000</v>
      </c>
      <c r="V126" s="50">
        <v>81000</v>
      </c>
      <c r="W126" s="50">
        <v>81000</v>
      </c>
      <c r="X126" s="50">
        <v>81000</v>
      </c>
      <c r="Y126" s="50">
        <v>81000</v>
      </c>
      <c r="Z126" s="50">
        <v>81000</v>
      </c>
      <c r="AA126" s="50">
        <v>81000</v>
      </c>
      <c r="AB126" s="50">
        <v>81000</v>
      </c>
      <c r="AC126" s="26">
        <f t="shared" si="2"/>
        <v>306000</v>
      </c>
      <c r="AD126" s="26">
        <f t="shared" si="3"/>
        <v>958500</v>
      </c>
      <c r="AE126" s="50">
        <v>936000</v>
      </c>
      <c r="AF126" s="50">
        <v>918000</v>
      </c>
      <c r="AG126" s="53" t="s">
        <v>55</v>
      </c>
    </row>
    <row r="127" spans="1:33" ht="15" customHeight="1">
      <c r="A127" s="46" t="s">
        <v>91</v>
      </c>
      <c r="B127" s="3" t="str">
        <f>_xlfn.IFNA(VLOOKUP(C127,Master!$J:$K,2,0),"")</f>
        <v>B2220</v>
      </c>
      <c r="C127" s="46" t="s">
        <v>83</v>
      </c>
      <c r="D127" s="4" t="str">
        <f>_xlfn.IFNA(VLOOKUP(E127,Master!$J:$K,2,0),"")</f>
        <v>B4110</v>
      </c>
      <c r="E127" s="46" t="s">
        <v>162</v>
      </c>
      <c r="F127" s="4">
        <f>_xlfn.IFNA(VLOOKUP(G127,Master!B:C,2,0),"")</f>
        <v>7511111</v>
      </c>
      <c r="G127" s="46" t="s">
        <v>75</v>
      </c>
      <c r="H127" s="46" t="s">
        <v>534</v>
      </c>
      <c r="I127" s="3" t="str">
        <f>_xlfn.IFNA(VLOOKUP(E127,Master!$J:$M,4,0),"")</f>
        <v>DIR</v>
      </c>
      <c r="J127" s="3" t="str">
        <f>_xlfn.IFNA(VLOOKUP($E127,Master!$J:$M,3,0),"")</f>
        <v>MFG</v>
      </c>
      <c r="M127" s="50">
        <v>7389900</v>
      </c>
      <c r="N127" s="50">
        <v>8353800</v>
      </c>
      <c r="O127" s="50">
        <v>7711200</v>
      </c>
      <c r="P127" s="50">
        <v>6747300</v>
      </c>
      <c r="Q127" s="50">
        <v>5783400</v>
      </c>
      <c r="R127" s="50">
        <v>7068600</v>
      </c>
      <c r="S127" s="50">
        <v>6747300</v>
      </c>
      <c r="T127" s="50">
        <v>8505000</v>
      </c>
      <c r="U127" s="50">
        <v>8164800</v>
      </c>
      <c r="V127" s="50">
        <v>7484400</v>
      </c>
      <c r="W127" s="50">
        <v>8505000</v>
      </c>
      <c r="X127" s="50">
        <v>7824600</v>
      </c>
      <c r="Y127" s="50">
        <v>7484400</v>
      </c>
      <c r="Z127" s="50">
        <v>8553600</v>
      </c>
      <c r="AA127" s="50">
        <v>7840800</v>
      </c>
      <c r="AB127" s="50">
        <v>6771600</v>
      </c>
      <c r="AC127" s="26">
        <f t="shared" si="2"/>
        <v>30202200</v>
      </c>
      <c r="AD127" s="26">
        <f t="shared" si="3"/>
        <v>90733500</v>
      </c>
      <c r="AE127" s="50">
        <v>89234800</v>
      </c>
      <c r="AF127" s="50">
        <v>91346100</v>
      </c>
      <c r="AG127" s="53" t="s">
        <v>55</v>
      </c>
    </row>
    <row r="128" spans="1:33" ht="15" customHeight="1">
      <c r="A128" s="46" t="s">
        <v>91</v>
      </c>
      <c r="B128" s="3" t="str">
        <f>_xlfn.IFNA(VLOOKUP(C128,Master!$J:$K,2,0),"")</f>
        <v>B2220</v>
      </c>
      <c r="C128" s="46" t="s">
        <v>83</v>
      </c>
      <c r="D128" s="4" t="str">
        <f>_xlfn.IFNA(VLOOKUP(E128,Master!$J:$K,2,0),"")</f>
        <v>B4110</v>
      </c>
      <c r="E128" s="46" t="s">
        <v>162</v>
      </c>
      <c r="F128" s="4">
        <f>_xlfn.IFNA(VLOOKUP(G128,Master!B:C,2,0),"")</f>
        <v>7511111</v>
      </c>
      <c r="G128" s="46" t="s">
        <v>75</v>
      </c>
      <c r="H128" s="46" t="s">
        <v>535</v>
      </c>
      <c r="I128" s="3" t="str">
        <f>_xlfn.IFNA(VLOOKUP(E128,Master!$J:$M,4,0),"")</f>
        <v>DIR</v>
      </c>
      <c r="J128" s="3" t="str">
        <f>_xlfn.IFNA(VLOOKUP($E128,Master!$J:$M,3,0),"")</f>
        <v>MFG</v>
      </c>
      <c r="M128" s="50">
        <v>1550000</v>
      </c>
      <c r="N128" s="50">
        <v>1550000</v>
      </c>
      <c r="O128" s="50">
        <v>1550000</v>
      </c>
      <c r="P128" s="50">
        <v>1550000</v>
      </c>
      <c r="Q128" s="50">
        <v>1550000</v>
      </c>
      <c r="R128" s="50">
        <v>1550000</v>
      </c>
      <c r="S128" s="50">
        <v>1500000</v>
      </c>
      <c r="T128" s="50">
        <v>1500000</v>
      </c>
      <c r="U128" s="50">
        <v>1500000</v>
      </c>
      <c r="V128" s="50">
        <v>1500000</v>
      </c>
      <c r="W128" s="50">
        <v>1500000</v>
      </c>
      <c r="X128" s="50">
        <v>1500000</v>
      </c>
      <c r="Y128" s="50">
        <v>1500000</v>
      </c>
      <c r="Z128" s="50">
        <v>2950000</v>
      </c>
      <c r="AA128" s="50">
        <v>2950000</v>
      </c>
      <c r="AB128" s="50">
        <v>2950000</v>
      </c>
      <c r="AC128" s="26">
        <f t="shared" si="2"/>
        <v>6200000</v>
      </c>
      <c r="AD128" s="26">
        <f t="shared" si="3"/>
        <v>22450000</v>
      </c>
      <c r="AE128" s="50">
        <v>34200000</v>
      </c>
      <c r="AF128" s="50">
        <v>33600000</v>
      </c>
      <c r="AG128" s="53" t="s">
        <v>55</v>
      </c>
    </row>
    <row r="129" spans="1:33" ht="15" customHeight="1">
      <c r="A129" s="46" t="s">
        <v>91</v>
      </c>
      <c r="B129" s="3" t="str">
        <f>_xlfn.IFNA(VLOOKUP(C129,Master!$J:$K,2,0),"")</f>
        <v>B2220</v>
      </c>
      <c r="C129" s="46" t="s">
        <v>83</v>
      </c>
      <c r="D129" s="4" t="str">
        <f>_xlfn.IFNA(VLOOKUP(E129,Master!$J:$K,2,0),"")</f>
        <v>B4110</v>
      </c>
      <c r="E129" s="46" t="s">
        <v>162</v>
      </c>
      <c r="F129" s="4">
        <f>_xlfn.IFNA(VLOOKUP(G129,Master!B:C,2,0),"")</f>
        <v>7511111</v>
      </c>
      <c r="G129" s="46" t="s">
        <v>75</v>
      </c>
      <c r="H129" s="46" t="s">
        <v>536</v>
      </c>
      <c r="I129" s="3" t="str">
        <f>_xlfn.IFNA(VLOOKUP(E129,Master!$J:$M,4,0),"")</f>
        <v>DIR</v>
      </c>
      <c r="J129" s="3" t="str">
        <f>_xlfn.IFNA(VLOOKUP($E129,Master!$J:$M,3,0),"")</f>
        <v>MFG</v>
      </c>
      <c r="P129" s="50">
        <v>3128000</v>
      </c>
      <c r="Q129" s="50">
        <v>1564000</v>
      </c>
      <c r="AB129" s="50">
        <v>5184000</v>
      </c>
      <c r="AC129" s="26">
        <f t="shared" si="2"/>
        <v>3128000</v>
      </c>
      <c r="AD129" s="26">
        <f t="shared" si="3"/>
        <v>6748000</v>
      </c>
      <c r="AE129" s="50">
        <v>5100000</v>
      </c>
      <c r="AF129" s="50">
        <v>5304000</v>
      </c>
      <c r="AG129" s="53" t="s">
        <v>55</v>
      </c>
    </row>
    <row r="130" spans="1:33" ht="15" customHeight="1">
      <c r="A130" s="46" t="s">
        <v>91</v>
      </c>
      <c r="B130" s="3" t="str">
        <f>_xlfn.IFNA(VLOOKUP(C130,Master!$J:$K,2,0),"")</f>
        <v>B2220</v>
      </c>
      <c r="C130" s="46" t="s">
        <v>83</v>
      </c>
      <c r="D130" s="4" t="str">
        <f>_xlfn.IFNA(VLOOKUP(E130,Master!$J:$K,2,0),"")</f>
        <v>B4110</v>
      </c>
      <c r="E130" s="46" t="s">
        <v>162</v>
      </c>
      <c r="F130" s="4">
        <f>_xlfn.IFNA(VLOOKUP(G130,Master!B:C,2,0),"")</f>
        <v>7511111</v>
      </c>
      <c r="G130" s="46" t="s">
        <v>75</v>
      </c>
      <c r="H130" s="46" t="s">
        <v>537</v>
      </c>
      <c r="I130" s="3" t="str">
        <f>_xlfn.IFNA(VLOOKUP(E130,Master!$J:$M,4,0),"")</f>
        <v>DIR</v>
      </c>
      <c r="J130" s="3" t="str">
        <f>_xlfn.IFNA(VLOOKUP($E130,Master!$J:$M,3,0),"")</f>
        <v>MFG</v>
      </c>
      <c r="M130" s="50">
        <v>1020000</v>
      </c>
      <c r="N130" s="50">
        <v>1020000</v>
      </c>
      <c r="O130" s="50">
        <v>1020000</v>
      </c>
      <c r="P130" s="50">
        <v>1020000</v>
      </c>
      <c r="Q130" s="50">
        <v>1020000</v>
      </c>
      <c r="R130" s="50">
        <v>1020000</v>
      </c>
      <c r="S130" s="50">
        <v>1020000</v>
      </c>
      <c r="T130" s="50">
        <v>1080000</v>
      </c>
      <c r="U130" s="50">
        <v>1080000</v>
      </c>
      <c r="V130" s="50">
        <v>1080000</v>
      </c>
      <c r="W130" s="50">
        <v>1080000</v>
      </c>
      <c r="X130" s="50">
        <v>1080000</v>
      </c>
      <c r="Y130" s="50">
        <v>1080000</v>
      </c>
      <c r="Z130" s="50">
        <v>1080000</v>
      </c>
      <c r="AA130" s="50">
        <v>1080000</v>
      </c>
      <c r="AB130" s="50">
        <v>1080000</v>
      </c>
      <c r="AC130" s="26">
        <f t="shared" ref="AC130:AC193" si="4">SUM(K130:P130)</f>
        <v>4080000</v>
      </c>
      <c r="AD130" s="26">
        <f t="shared" ref="AD130:AD193" si="5">SUM(Q130:AB130)</f>
        <v>12780000</v>
      </c>
      <c r="AE130" s="50">
        <v>12480000</v>
      </c>
      <c r="AF130" s="50">
        <v>12240000</v>
      </c>
      <c r="AG130" s="53" t="s">
        <v>55</v>
      </c>
    </row>
    <row r="131" spans="1:33" ht="15" customHeight="1">
      <c r="A131" s="46" t="s">
        <v>91</v>
      </c>
      <c r="B131" s="3" t="str">
        <f>_xlfn.IFNA(VLOOKUP(C131,Master!$J:$K,2,0),"")</f>
        <v>B2220</v>
      </c>
      <c r="C131" s="46" t="s">
        <v>83</v>
      </c>
      <c r="D131" s="4" t="str">
        <f>_xlfn.IFNA(VLOOKUP(E131,Master!$J:$K,2,0),"")</f>
        <v>B4110</v>
      </c>
      <c r="E131" s="46" t="s">
        <v>162</v>
      </c>
      <c r="F131" s="4">
        <f>_xlfn.IFNA(VLOOKUP(G131,Master!B:C,2,0),"")</f>
        <v>7511111</v>
      </c>
      <c r="G131" s="46" t="s">
        <v>75</v>
      </c>
      <c r="H131" s="46" t="s">
        <v>540</v>
      </c>
      <c r="I131" s="3" t="str">
        <f>_xlfn.IFNA(VLOOKUP(E131,Master!$J:$M,4,0),"")</f>
        <v>DIR</v>
      </c>
      <c r="J131" s="3" t="str">
        <f>_xlfn.IFNA(VLOOKUP($E131,Master!$J:$M,3,0),"")</f>
        <v>MFG</v>
      </c>
      <c r="M131" s="50">
        <v>1840000</v>
      </c>
      <c r="N131" s="50">
        <v>2080000</v>
      </c>
      <c r="O131" s="50">
        <v>1920000</v>
      </c>
      <c r="P131" s="50">
        <v>1680000</v>
      </c>
      <c r="Q131" s="50">
        <v>1440000</v>
      </c>
      <c r="R131" s="50">
        <v>1760000</v>
      </c>
      <c r="S131" s="50">
        <v>1680000</v>
      </c>
      <c r="T131" s="50">
        <v>2125000</v>
      </c>
      <c r="U131" s="50">
        <v>2040000</v>
      </c>
      <c r="V131" s="50">
        <v>1870000</v>
      </c>
      <c r="W131" s="50">
        <v>2125000</v>
      </c>
      <c r="X131" s="50">
        <v>1955000</v>
      </c>
      <c r="Y131" s="50">
        <v>1870000</v>
      </c>
      <c r="Z131" s="50">
        <v>2040000</v>
      </c>
      <c r="AA131" s="50">
        <v>1870000</v>
      </c>
      <c r="AB131" s="50">
        <v>1615000</v>
      </c>
      <c r="AC131" s="26">
        <f t="shared" si="4"/>
        <v>7520000</v>
      </c>
      <c r="AD131" s="26">
        <f t="shared" si="5"/>
        <v>22390000</v>
      </c>
      <c r="AE131" s="50">
        <v>20970000</v>
      </c>
      <c r="AF131" s="50">
        <v>20400000</v>
      </c>
      <c r="AG131" s="53" t="s">
        <v>55</v>
      </c>
    </row>
    <row r="132" spans="1:33" ht="15" customHeight="1">
      <c r="A132" s="46" t="s">
        <v>91</v>
      </c>
      <c r="B132" s="3" t="str">
        <f>_xlfn.IFNA(VLOOKUP(C132,Master!$J:$K,2,0),"")</f>
        <v>B2220</v>
      </c>
      <c r="C132" s="46" t="s">
        <v>83</v>
      </c>
      <c r="D132" s="4" t="str">
        <f>_xlfn.IFNA(VLOOKUP(E132,Master!$J:$K,2,0),"")</f>
        <v>B4110</v>
      </c>
      <c r="E132" s="46" t="s">
        <v>162</v>
      </c>
      <c r="F132" s="4">
        <f>_xlfn.IFNA(VLOOKUP(G132,Master!B:C,2,0),"")</f>
        <v>7511111</v>
      </c>
      <c r="G132" s="46" t="s">
        <v>75</v>
      </c>
      <c r="H132" s="46" t="s">
        <v>538</v>
      </c>
      <c r="I132" s="3" t="str">
        <f>_xlfn.IFNA(VLOOKUP(E132,Master!$J:$M,4,0),"")</f>
        <v>DIR</v>
      </c>
      <c r="J132" s="3" t="str">
        <f>_xlfn.IFNA(VLOOKUP($E132,Master!$J:$M,3,0),"")</f>
        <v>MFG</v>
      </c>
      <c r="M132" s="50">
        <v>5100000</v>
      </c>
      <c r="N132" s="50">
        <v>5100000</v>
      </c>
      <c r="O132" s="50">
        <v>5100000</v>
      </c>
      <c r="P132" s="50">
        <v>5100000</v>
      </c>
      <c r="Q132" s="50">
        <v>5100000</v>
      </c>
      <c r="R132" s="50">
        <v>5100000</v>
      </c>
      <c r="S132" s="50">
        <v>5100000</v>
      </c>
      <c r="T132" s="50">
        <v>5400000</v>
      </c>
      <c r="U132" s="50">
        <v>5400000</v>
      </c>
      <c r="V132" s="50">
        <v>5400000</v>
      </c>
      <c r="W132" s="50">
        <v>5400000</v>
      </c>
      <c r="X132" s="50">
        <v>5400000</v>
      </c>
      <c r="Y132" s="50">
        <v>5400000</v>
      </c>
      <c r="Z132" s="50">
        <v>5400000</v>
      </c>
      <c r="AA132" s="50">
        <v>5400000</v>
      </c>
      <c r="AB132" s="50">
        <v>5400000</v>
      </c>
      <c r="AC132" s="26">
        <f t="shared" si="4"/>
        <v>20400000</v>
      </c>
      <c r="AD132" s="26">
        <f t="shared" si="5"/>
        <v>63900000</v>
      </c>
      <c r="AE132" s="50">
        <v>62400000</v>
      </c>
      <c r="AF132" s="50">
        <v>61200000</v>
      </c>
      <c r="AG132" s="53" t="s">
        <v>55</v>
      </c>
    </row>
    <row r="133" spans="1:33" ht="15" customHeight="1">
      <c r="A133" s="46" t="s">
        <v>91</v>
      </c>
      <c r="B133" s="3" t="str">
        <f>_xlfn.IFNA(VLOOKUP(C133,Master!$J:$K,2,0),"")</f>
        <v>B2220</v>
      </c>
      <c r="C133" s="46" t="s">
        <v>83</v>
      </c>
      <c r="D133" s="4" t="str">
        <f>_xlfn.IFNA(VLOOKUP(E133,Master!$J:$K,2,0),"")</f>
        <v>B4114</v>
      </c>
      <c r="E133" s="46" t="s">
        <v>172</v>
      </c>
      <c r="F133" s="4">
        <f>_xlfn.IFNA(VLOOKUP(G133,Master!B:C,2,0),"")</f>
        <v>7511111</v>
      </c>
      <c r="G133" s="46" t="s">
        <v>75</v>
      </c>
      <c r="H133" s="46" t="s">
        <v>533</v>
      </c>
      <c r="I133" s="3" t="str">
        <f>_xlfn.IFNA(VLOOKUP(E133,Master!$J:$M,4,0),"")</f>
        <v>DIR</v>
      </c>
      <c r="J133" s="3" t="str">
        <f>_xlfn.IFNA(VLOOKUP($E133,Master!$J:$M,3,0),"")</f>
        <v>MFG</v>
      </c>
      <c r="M133" s="50">
        <v>31500</v>
      </c>
      <c r="N133" s="50">
        <v>31500</v>
      </c>
      <c r="O133" s="50">
        <v>31500</v>
      </c>
      <c r="P133" s="50">
        <v>31500</v>
      </c>
      <c r="Q133" s="50">
        <v>31500</v>
      </c>
      <c r="R133" s="50">
        <v>31500</v>
      </c>
      <c r="S133" s="50">
        <v>22500</v>
      </c>
      <c r="T133" s="50">
        <v>18000</v>
      </c>
      <c r="U133" s="50">
        <v>18000</v>
      </c>
      <c r="V133" s="50">
        <v>18000</v>
      </c>
      <c r="W133" s="50">
        <v>13500</v>
      </c>
      <c r="X133" s="50">
        <v>13500</v>
      </c>
      <c r="Y133" s="50">
        <v>13500</v>
      </c>
      <c r="Z133" s="50">
        <v>13500</v>
      </c>
      <c r="AA133" s="50">
        <v>13500</v>
      </c>
      <c r="AB133" s="50">
        <v>13500</v>
      </c>
      <c r="AC133" s="26">
        <f t="shared" si="4"/>
        <v>126000</v>
      </c>
      <c r="AD133" s="26">
        <f t="shared" si="5"/>
        <v>220500</v>
      </c>
      <c r="AE133" s="50">
        <v>162000</v>
      </c>
      <c r="AF133" s="50">
        <v>162000</v>
      </c>
      <c r="AG133" s="53" t="s">
        <v>55</v>
      </c>
    </row>
    <row r="134" spans="1:33" ht="15" customHeight="1">
      <c r="A134" s="46" t="s">
        <v>91</v>
      </c>
      <c r="B134" s="3" t="str">
        <f>_xlfn.IFNA(VLOOKUP(C134,Master!$J:$K,2,0),"")</f>
        <v>B2220</v>
      </c>
      <c r="C134" s="46" t="s">
        <v>83</v>
      </c>
      <c r="D134" s="4" t="str">
        <f>_xlfn.IFNA(VLOOKUP(E134,Master!$J:$K,2,0),"")</f>
        <v>B4114</v>
      </c>
      <c r="E134" s="46" t="s">
        <v>172</v>
      </c>
      <c r="F134" s="4">
        <f>_xlfn.IFNA(VLOOKUP(G134,Master!B:C,2,0),"")</f>
        <v>7511111</v>
      </c>
      <c r="G134" s="46" t="s">
        <v>75</v>
      </c>
      <c r="H134" s="46" t="s">
        <v>534</v>
      </c>
      <c r="I134" s="3" t="str">
        <f>_xlfn.IFNA(VLOOKUP(E134,Master!$J:$M,4,0),"")</f>
        <v>DIR</v>
      </c>
      <c r="J134" s="3" t="str">
        <f>_xlfn.IFNA(VLOOKUP($E134,Master!$J:$M,3,0),"")</f>
        <v>MFG</v>
      </c>
      <c r="M134" s="50">
        <v>3042900</v>
      </c>
      <c r="N134" s="50">
        <v>3439800</v>
      </c>
      <c r="O134" s="50">
        <v>3175200</v>
      </c>
      <c r="P134" s="50">
        <v>2778300</v>
      </c>
      <c r="Q134" s="50">
        <v>2381400</v>
      </c>
      <c r="R134" s="50">
        <v>2910600</v>
      </c>
      <c r="S134" s="50">
        <v>1984500</v>
      </c>
      <c r="T134" s="50">
        <v>1890000</v>
      </c>
      <c r="U134" s="50">
        <v>1814400</v>
      </c>
      <c r="V134" s="50">
        <v>1663200</v>
      </c>
      <c r="W134" s="50">
        <v>1417500</v>
      </c>
      <c r="X134" s="50">
        <v>1304100</v>
      </c>
      <c r="Y134" s="50">
        <v>1247400</v>
      </c>
      <c r="Z134" s="50">
        <v>1425600</v>
      </c>
      <c r="AA134" s="50">
        <v>1306800</v>
      </c>
      <c r="AB134" s="50">
        <v>1128600</v>
      </c>
      <c r="AC134" s="26">
        <f t="shared" si="4"/>
        <v>12436200</v>
      </c>
      <c r="AD134" s="26">
        <f t="shared" si="5"/>
        <v>20474100</v>
      </c>
      <c r="AE134" s="50">
        <v>15460800</v>
      </c>
      <c r="AF134" s="50">
        <v>16119900</v>
      </c>
      <c r="AG134" s="53" t="s">
        <v>55</v>
      </c>
    </row>
    <row r="135" spans="1:33" ht="15" customHeight="1">
      <c r="A135" s="46" t="s">
        <v>91</v>
      </c>
      <c r="B135" s="3" t="str">
        <f>_xlfn.IFNA(VLOOKUP(C135,Master!$J:$K,2,0),"")</f>
        <v>B2220</v>
      </c>
      <c r="C135" s="46" t="s">
        <v>83</v>
      </c>
      <c r="D135" s="4" t="str">
        <f>_xlfn.IFNA(VLOOKUP(E135,Master!$J:$K,2,0),"")</f>
        <v>B4114</v>
      </c>
      <c r="E135" s="46" t="s">
        <v>172</v>
      </c>
      <c r="F135" s="4">
        <f>_xlfn.IFNA(VLOOKUP(G135,Master!B:C,2,0),"")</f>
        <v>7511111</v>
      </c>
      <c r="G135" s="46" t="s">
        <v>75</v>
      </c>
      <c r="H135" s="46" t="s">
        <v>535</v>
      </c>
      <c r="I135" s="3" t="str">
        <f>_xlfn.IFNA(VLOOKUP(E135,Master!$J:$M,4,0),"")</f>
        <v>DIR</v>
      </c>
      <c r="J135" s="3" t="str">
        <f>_xlfn.IFNA(VLOOKUP($E135,Master!$J:$M,3,0),"")</f>
        <v>MFG</v>
      </c>
      <c r="M135" s="50">
        <v>150000</v>
      </c>
      <c r="N135" s="50">
        <v>150000</v>
      </c>
      <c r="O135" s="50">
        <v>150000</v>
      </c>
      <c r="P135" s="50">
        <v>150000</v>
      </c>
      <c r="Q135" s="50">
        <v>150000</v>
      </c>
      <c r="R135" s="50">
        <v>150000</v>
      </c>
      <c r="S135" s="50">
        <v>150000</v>
      </c>
      <c r="T135" s="50">
        <v>150000</v>
      </c>
      <c r="U135" s="50">
        <v>150000</v>
      </c>
      <c r="V135" s="50">
        <v>150000</v>
      </c>
      <c r="W135" s="50">
        <v>100000</v>
      </c>
      <c r="X135" s="50">
        <v>100000</v>
      </c>
      <c r="Y135" s="50">
        <v>100000</v>
      </c>
      <c r="Z135" s="50">
        <v>300000</v>
      </c>
      <c r="AA135" s="50">
        <v>300000</v>
      </c>
      <c r="AB135" s="50">
        <v>300000</v>
      </c>
      <c r="AC135" s="26">
        <f t="shared" si="4"/>
        <v>600000</v>
      </c>
      <c r="AD135" s="26">
        <f t="shared" si="5"/>
        <v>2100000</v>
      </c>
      <c r="AE135" s="50">
        <v>3600000</v>
      </c>
      <c r="AF135" s="50">
        <v>3600000</v>
      </c>
      <c r="AG135" s="53" t="s">
        <v>55</v>
      </c>
    </row>
    <row r="136" spans="1:33" ht="15" customHeight="1">
      <c r="A136" s="46" t="s">
        <v>91</v>
      </c>
      <c r="B136" s="3" t="str">
        <f>_xlfn.IFNA(VLOOKUP(C136,Master!$J:$K,2,0),"")</f>
        <v>B2220</v>
      </c>
      <c r="C136" s="46" t="s">
        <v>83</v>
      </c>
      <c r="D136" s="4" t="str">
        <f>_xlfn.IFNA(VLOOKUP(E136,Master!$J:$K,2,0),"")</f>
        <v>B4114</v>
      </c>
      <c r="E136" s="46" t="s">
        <v>172</v>
      </c>
      <c r="F136" s="4">
        <f>_xlfn.IFNA(VLOOKUP(G136,Master!B:C,2,0),"")</f>
        <v>7511111</v>
      </c>
      <c r="G136" s="46" t="s">
        <v>75</v>
      </c>
      <c r="H136" s="46" t="s">
        <v>536</v>
      </c>
      <c r="I136" s="3" t="str">
        <f>_xlfn.IFNA(VLOOKUP(E136,Master!$J:$M,4,0),"")</f>
        <v>DIR</v>
      </c>
      <c r="J136" s="3" t="str">
        <f>_xlfn.IFNA(VLOOKUP($E136,Master!$J:$M,3,0),"")</f>
        <v>MFG</v>
      </c>
      <c r="P136" s="50">
        <v>1288000</v>
      </c>
      <c r="Q136" s="50">
        <v>644000</v>
      </c>
      <c r="AB136" s="50">
        <v>864000</v>
      </c>
      <c r="AC136" s="26">
        <f t="shared" si="4"/>
        <v>1288000</v>
      </c>
      <c r="AD136" s="26">
        <f t="shared" si="5"/>
        <v>1508000</v>
      </c>
      <c r="AE136" s="50">
        <v>900000</v>
      </c>
      <c r="AF136" s="50">
        <v>936000</v>
      </c>
      <c r="AG136" s="53" t="s">
        <v>55</v>
      </c>
    </row>
    <row r="137" spans="1:33" ht="15" customHeight="1">
      <c r="A137" s="46" t="s">
        <v>91</v>
      </c>
      <c r="B137" s="3" t="str">
        <f>_xlfn.IFNA(VLOOKUP(C137,Master!$J:$K,2,0),"")</f>
        <v>B2220</v>
      </c>
      <c r="C137" s="46" t="s">
        <v>83</v>
      </c>
      <c r="D137" s="4" t="str">
        <f>_xlfn.IFNA(VLOOKUP(E137,Master!$J:$K,2,0),"")</f>
        <v>B4114</v>
      </c>
      <c r="E137" s="46" t="s">
        <v>172</v>
      </c>
      <c r="F137" s="4">
        <f>_xlfn.IFNA(VLOOKUP(G137,Master!B:C,2,0),"")</f>
        <v>7511111</v>
      </c>
      <c r="G137" s="46" t="s">
        <v>75</v>
      </c>
      <c r="H137" s="46" t="s">
        <v>537</v>
      </c>
      <c r="I137" s="3" t="str">
        <f>_xlfn.IFNA(VLOOKUP(E137,Master!$J:$M,4,0),"")</f>
        <v>DIR</v>
      </c>
      <c r="J137" s="3" t="str">
        <f>_xlfn.IFNA(VLOOKUP($E137,Master!$J:$M,3,0),"")</f>
        <v>MFG</v>
      </c>
      <c r="M137" s="50">
        <v>420000</v>
      </c>
      <c r="N137" s="50">
        <v>420000</v>
      </c>
      <c r="O137" s="50">
        <v>420000</v>
      </c>
      <c r="P137" s="50">
        <v>420000</v>
      </c>
      <c r="Q137" s="50">
        <v>420000</v>
      </c>
      <c r="R137" s="50">
        <v>420000</v>
      </c>
      <c r="S137" s="50">
        <v>300000</v>
      </c>
      <c r="T137" s="50">
        <v>240000</v>
      </c>
      <c r="U137" s="50">
        <v>240000</v>
      </c>
      <c r="V137" s="50">
        <v>240000</v>
      </c>
      <c r="W137" s="50">
        <v>180000</v>
      </c>
      <c r="X137" s="50">
        <v>180000</v>
      </c>
      <c r="Y137" s="50">
        <v>180000</v>
      </c>
      <c r="Z137" s="50">
        <v>180000</v>
      </c>
      <c r="AA137" s="50">
        <v>180000</v>
      </c>
      <c r="AB137" s="50">
        <v>180000</v>
      </c>
      <c r="AC137" s="26">
        <f t="shared" si="4"/>
        <v>1680000</v>
      </c>
      <c r="AD137" s="26">
        <f t="shared" si="5"/>
        <v>2940000</v>
      </c>
      <c r="AE137" s="50">
        <v>2160000</v>
      </c>
      <c r="AF137" s="50">
        <v>2160000</v>
      </c>
      <c r="AG137" s="53" t="s">
        <v>55</v>
      </c>
    </row>
    <row r="138" spans="1:33" ht="15" customHeight="1">
      <c r="A138" s="46" t="s">
        <v>91</v>
      </c>
      <c r="B138" s="3" t="str">
        <f>_xlfn.IFNA(VLOOKUP(C138,Master!$J:$K,2,0),"")</f>
        <v>B2220</v>
      </c>
      <c r="C138" s="46" t="s">
        <v>83</v>
      </c>
      <c r="D138" s="4" t="str">
        <f>_xlfn.IFNA(VLOOKUP(E138,Master!$J:$K,2,0),"")</f>
        <v>B4114</v>
      </c>
      <c r="E138" s="46" t="s">
        <v>172</v>
      </c>
      <c r="F138" s="4">
        <f>_xlfn.IFNA(VLOOKUP(G138,Master!B:C,2,0),"")</f>
        <v>7511111</v>
      </c>
      <c r="G138" s="46" t="s">
        <v>75</v>
      </c>
      <c r="H138" s="46" t="s">
        <v>540</v>
      </c>
      <c r="I138" s="3" t="str">
        <f>_xlfn.IFNA(VLOOKUP(E138,Master!$J:$M,4,0),"")</f>
        <v>DIR</v>
      </c>
      <c r="J138" s="3" t="str">
        <f>_xlfn.IFNA(VLOOKUP($E138,Master!$J:$M,3,0),"")</f>
        <v>MFG</v>
      </c>
      <c r="M138" s="50">
        <v>805000</v>
      </c>
      <c r="N138" s="50">
        <v>910000</v>
      </c>
      <c r="O138" s="50">
        <v>840000</v>
      </c>
      <c r="P138" s="50">
        <v>735000</v>
      </c>
      <c r="Q138" s="50">
        <v>630000</v>
      </c>
      <c r="R138" s="50">
        <v>770000</v>
      </c>
      <c r="S138" s="50">
        <v>525000</v>
      </c>
      <c r="T138" s="50">
        <v>500000</v>
      </c>
      <c r="U138" s="50">
        <v>480000</v>
      </c>
      <c r="V138" s="50">
        <v>440000</v>
      </c>
      <c r="W138" s="50">
        <v>375000</v>
      </c>
      <c r="X138" s="50">
        <v>345000</v>
      </c>
      <c r="Y138" s="50">
        <v>330000</v>
      </c>
      <c r="Z138" s="50">
        <v>360000</v>
      </c>
      <c r="AA138" s="50">
        <v>330000</v>
      </c>
      <c r="AB138" s="50">
        <v>285000</v>
      </c>
      <c r="AC138" s="26">
        <f t="shared" si="4"/>
        <v>3290000</v>
      </c>
      <c r="AD138" s="26">
        <f t="shared" si="5"/>
        <v>5370000</v>
      </c>
      <c r="AE138" s="50">
        <v>3855000</v>
      </c>
      <c r="AF138" s="50">
        <v>3825000</v>
      </c>
      <c r="AG138" s="53" t="s">
        <v>55</v>
      </c>
    </row>
    <row r="139" spans="1:33" ht="15" customHeight="1">
      <c r="A139" s="46" t="s">
        <v>91</v>
      </c>
      <c r="B139" s="3" t="str">
        <f>_xlfn.IFNA(VLOOKUP(C139,Master!$J:$K,2,0),"")</f>
        <v>B2220</v>
      </c>
      <c r="C139" s="46" t="s">
        <v>83</v>
      </c>
      <c r="D139" s="4" t="str">
        <f>_xlfn.IFNA(VLOOKUP(E139,Master!$J:$K,2,0),"")</f>
        <v>B4114</v>
      </c>
      <c r="E139" s="46" t="s">
        <v>172</v>
      </c>
      <c r="F139" s="4">
        <f>_xlfn.IFNA(VLOOKUP(G139,Master!B:C,2,0),"")</f>
        <v>7511111</v>
      </c>
      <c r="G139" s="46" t="s">
        <v>75</v>
      </c>
      <c r="H139" s="46" t="s">
        <v>538</v>
      </c>
      <c r="I139" s="3" t="str">
        <f>_xlfn.IFNA(VLOOKUP(E139,Master!$J:$M,4,0),"")</f>
        <v>DIR</v>
      </c>
      <c r="J139" s="3" t="str">
        <f>_xlfn.IFNA(VLOOKUP($E139,Master!$J:$M,3,0),"")</f>
        <v>MFG</v>
      </c>
      <c r="M139" s="50">
        <v>2100000</v>
      </c>
      <c r="N139" s="50">
        <v>2100000</v>
      </c>
      <c r="O139" s="50">
        <v>2100000</v>
      </c>
      <c r="P139" s="50">
        <v>2100000</v>
      </c>
      <c r="Q139" s="50">
        <v>2100000</v>
      </c>
      <c r="R139" s="50">
        <v>2100000</v>
      </c>
      <c r="S139" s="50">
        <v>1500000</v>
      </c>
      <c r="T139" s="50">
        <v>1200000</v>
      </c>
      <c r="U139" s="50">
        <v>1200000</v>
      </c>
      <c r="V139" s="50">
        <v>1200000</v>
      </c>
      <c r="W139" s="50">
        <v>900000</v>
      </c>
      <c r="X139" s="50">
        <v>900000</v>
      </c>
      <c r="Y139" s="50">
        <v>900000</v>
      </c>
      <c r="Z139" s="50">
        <v>900000</v>
      </c>
      <c r="AA139" s="50">
        <v>900000</v>
      </c>
      <c r="AB139" s="50">
        <v>900000</v>
      </c>
      <c r="AC139" s="26">
        <f t="shared" si="4"/>
        <v>8400000</v>
      </c>
      <c r="AD139" s="26">
        <f t="shared" si="5"/>
        <v>14700000</v>
      </c>
      <c r="AE139" s="50">
        <v>10800000</v>
      </c>
      <c r="AF139" s="50">
        <v>10800000</v>
      </c>
      <c r="AG139" s="53" t="s">
        <v>55</v>
      </c>
    </row>
    <row r="140" spans="1:33" ht="15" customHeight="1">
      <c r="A140" s="46" t="s">
        <v>91</v>
      </c>
      <c r="B140" s="3" t="str">
        <f>_xlfn.IFNA(VLOOKUP(C140,Master!$J:$K,2,0),"")</f>
        <v>B2220</v>
      </c>
      <c r="C140" s="46" t="s">
        <v>83</v>
      </c>
      <c r="D140" s="4" t="str">
        <f>_xlfn.IFNA(VLOOKUP(E140,Master!$J:$K,2,0),"")</f>
        <v>B4115</v>
      </c>
      <c r="E140" s="46" t="s">
        <v>167</v>
      </c>
      <c r="F140" s="4">
        <f>_xlfn.IFNA(VLOOKUP(G140,Master!B:C,2,0),"")</f>
        <v>7511111</v>
      </c>
      <c r="G140" s="46" t="s">
        <v>75</v>
      </c>
      <c r="H140" s="46" t="s">
        <v>533</v>
      </c>
      <c r="I140" s="3" t="str">
        <f>_xlfn.IFNA(VLOOKUP(E140,Master!$J:$M,4,0),"")</f>
        <v>DIR</v>
      </c>
      <c r="J140" s="3" t="str">
        <f>_xlfn.IFNA(VLOOKUP($E140,Master!$J:$M,3,0),"")</f>
        <v>MFG</v>
      </c>
      <c r="M140" s="50">
        <v>27000</v>
      </c>
      <c r="N140" s="50">
        <v>27000</v>
      </c>
      <c r="O140" s="50">
        <v>27000</v>
      </c>
      <c r="P140" s="50">
        <v>27000</v>
      </c>
      <c r="Q140" s="50">
        <v>27000</v>
      </c>
      <c r="R140" s="50">
        <v>27000</v>
      </c>
      <c r="S140" s="50">
        <v>27000</v>
      </c>
      <c r="T140" s="50">
        <v>27000</v>
      </c>
      <c r="U140" s="50">
        <v>27000</v>
      </c>
      <c r="V140" s="50">
        <v>27000</v>
      </c>
      <c r="W140" s="50">
        <v>27000</v>
      </c>
      <c r="X140" s="50">
        <v>27000</v>
      </c>
      <c r="Y140" s="50">
        <v>27000</v>
      </c>
      <c r="Z140" s="50">
        <v>27000</v>
      </c>
      <c r="AA140" s="50">
        <v>27000</v>
      </c>
      <c r="AB140" s="50">
        <v>27000</v>
      </c>
      <c r="AC140" s="26">
        <f t="shared" si="4"/>
        <v>108000</v>
      </c>
      <c r="AD140" s="26">
        <f t="shared" si="5"/>
        <v>324000</v>
      </c>
      <c r="AE140" s="50">
        <v>324000</v>
      </c>
      <c r="AF140" s="50">
        <v>324000</v>
      </c>
      <c r="AG140" s="53" t="s">
        <v>55</v>
      </c>
    </row>
    <row r="141" spans="1:33" ht="15" customHeight="1">
      <c r="A141" s="46" t="s">
        <v>91</v>
      </c>
      <c r="B141" s="3" t="str">
        <f>_xlfn.IFNA(VLOOKUP(C141,Master!$J:$K,2,0),"")</f>
        <v>B2220</v>
      </c>
      <c r="C141" s="46" t="s">
        <v>83</v>
      </c>
      <c r="D141" s="4" t="str">
        <f>_xlfn.IFNA(VLOOKUP(E141,Master!$J:$K,2,0),"")</f>
        <v>B4115</v>
      </c>
      <c r="E141" s="46" t="s">
        <v>167</v>
      </c>
      <c r="F141" s="4">
        <f>_xlfn.IFNA(VLOOKUP(G141,Master!B:C,2,0),"")</f>
        <v>7511111</v>
      </c>
      <c r="G141" s="46" t="s">
        <v>75</v>
      </c>
      <c r="H141" s="46" t="s">
        <v>534</v>
      </c>
      <c r="I141" s="3" t="str">
        <f>_xlfn.IFNA(VLOOKUP(E141,Master!$J:$M,4,0),"")</f>
        <v>DIR</v>
      </c>
      <c r="J141" s="3" t="str">
        <f>_xlfn.IFNA(VLOOKUP($E141,Master!$J:$M,3,0),"")</f>
        <v>MFG</v>
      </c>
      <c r="M141" s="50">
        <v>2608200</v>
      </c>
      <c r="N141" s="50">
        <v>2948400</v>
      </c>
      <c r="O141" s="50">
        <v>2721600</v>
      </c>
      <c r="P141" s="50">
        <v>2381400</v>
      </c>
      <c r="Q141" s="50">
        <v>2041200</v>
      </c>
      <c r="R141" s="50">
        <v>2494800</v>
      </c>
      <c r="S141" s="50">
        <v>2381400</v>
      </c>
      <c r="T141" s="50">
        <v>2835000</v>
      </c>
      <c r="U141" s="50">
        <v>2721600</v>
      </c>
      <c r="V141" s="50">
        <v>2494800</v>
      </c>
      <c r="W141" s="50">
        <v>2835000</v>
      </c>
      <c r="X141" s="50">
        <v>2608200</v>
      </c>
      <c r="Y141" s="50">
        <v>2494800</v>
      </c>
      <c r="Z141" s="50">
        <v>2851200</v>
      </c>
      <c r="AA141" s="50">
        <v>2613600</v>
      </c>
      <c r="AB141" s="50">
        <v>2257200</v>
      </c>
      <c r="AC141" s="26">
        <f t="shared" si="4"/>
        <v>10659600</v>
      </c>
      <c r="AD141" s="26">
        <f t="shared" si="5"/>
        <v>30628800</v>
      </c>
      <c r="AE141" s="50">
        <v>30921600</v>
      </c>
      <c r="AF141" s="50">
        <v>32239800</v>
      </c>
      <c r="AG141" s="53" t="s">
        <v>55</v>
      </c>
    </row>
    <row r="142" spans="1:33" ht="15" customHeight="1">
      <c r="A142" s="46" t="s">
        <v>91</v>
      </c>
      <c r="B142" s="3" t="str">
        <f>_xlfn.IFNA(VLOOKUP(C142,Master!$J:$K,2,0),"")</f>
        <v>B2220</v>
      </c>
      <c r="C142" s="46" t="s">
        <v>83</v>
      </c>
      <c r="D142" s="4" t="str">
        <f>_xlfn.IFNA(VLOOKUP(E142,Master!$J:$K,2,0),"")</f>
        <v>B4115</v>
      </c>
      <c r="E142" s="46" t="s">
        <v>167</v>
      </c>
      <c r="F142" s="4">
        <f>_xlfn.IFNA(VLOOKUP(G142,Master!B:C,2,0),"")</f>
        <v>7511111</v>
      </c>
      <c r="G142" s="46" t="s">
        <v>75</v>
      </c>
      <c r="H142" s="46" t="s">
        <v>536</v>
      </c>
      <c r="I142" s="3" t="str">
        <f>_xlfn.IFNA(VLOOKUP(E142,Master!$J:$M,4,0),"")</f>
        <v>DIR</v>
      </c>
      <c r="J142" s="3" t="str">
        <f>_xlfn.IFNA(VLOOKUP($E142,Master!$J:$M,3,0),"")</f>
        <v>MFG</v>
      </c>
      <c r="P142" s="50">
        <v>1104000</v>
      </c>
      <c r="Q142" s="50">
        <v>552000</v>
      </c>
      <c r="AB142" s="50">
        <v>1728000</v>
      </c>
      <c r="AC142" s="26">
        <f t="shared" si="4"/>
        <v>1104000</v>
      </c>
      <c r="AD142" s="26">
        <f t="shared" si="5"/>
        <v>2280000</v>
      </c>
      <c r="AE142" s="50">
        <v>1800000</v>
      </c>
      <c r="AF142" s="50">
        <v>1872000</v>
      </c>
      <c r="AG142" s="53" t="s">
        <v>55</v>
      </c>
    </row>
    <row r="143" spans="1:33" ht="15" customHeight="1">
      <c r="A143" s="46" t="s">
        <v>91</v>
      </c>
      <c r="B143" s="3" t="str">
        <f>_xlfn.IFNA(VLOOKUP(C143,Master!$J:$K,2,0),"")</f>
        <v>B2220</v>
      </c>
      <c r="C143" s="46" t="s">
        <v>83</v>
      </c>
      <c r="D143" s="4" t="str">
        <f>_xlfn.IFNA(VLOOKUP(E143,Master!$J:$K,2,0),"")</f>
        <v>B4115</v>
      </c>
      <c r="E143" s="46" t="s">
        <v>167</v>
      </c>
      <c r="F143" s="4">
        <f>_xlfn.IFNA(VLOOKUP(G143,Master!B:C,2,0),"")</f>
        <v>7511111</v>
      </c>
      <c r="G143" s="46" t="s">
        <v>75</v>
      </c>
      <c r="H143" s="46" t="s">
        <v>537</v>
      </c>
      <c r="I143" s="3" t="str">
        <f>_xlfn.IFNA(VLOOKUP(E143,Master!$J:$M,4,0),"")</f>
        <v>DIR</v>
      </c>
      <c r="J143" s="3" t="str">
        <f>_xlfn.IFNA(VLOOKUP($E143,Master!$J:$M,3,0),"")</f>
        <v>MFG</v>
      </c>
      <c r="M143" s="50">
        <v>360000</v>
      </c>
      <c r="N143" s="50">
        <v>360000</v>
      </c>
      <c r="O143" s="50">
        <v>360000</v>
      </c>
      <c r="P143" s="50">
        <v>360000</v>
      </c>
      <c r="Q143" s="50">
        <v>360000</v>
      </c>
      <c r="R143" s="50">
        <v>360000</v>
      </c>
      <c r="S143" s="50">
        <v>360000</v>
      </c>
      <c r="T143" s="50">
        <v>360000</v>
      </c>
      <c r="U143" s="50">
        <v>360000</v>
      </c>
      <c r="V143" s="50">
        <v>360000</v>
      </c>
      <c r="W143" s="50">
        <v>360000</v>
      </c>
      <c r="X143" s="50">
        <v>360000</v>
      </c>
      <c r="Y143" s="50">
        <v>360000</v>
      </c>
      <c r="Z143" s="50">
        <v>360000</v>
      </c>
      <c r="AA143" s="50">
        <v>360000</v>
      </c>
      <c r="AB143" s="50">
        <v>360000</v>
      </c>
      <c r="AC143" s="26">
        <f t="shared" si="4"/>
        <v>1440000</v>
      </c>
      <c r="AD143" s="26">
        <f t="shared" si="5"/>
        <v>4320000</v>
      </c>
      <c r="AE143" s="50">
        <v>4320000</v>
      </c>
      <c r="AF143" s="50">
        <v>4320000</v>
      </c>
      <c r="AG143" s="53" t="s">
        <v>55</v>
      </c>
    </row>
    <row r="144" spans="1:33" ht="15" customHeight="1">
      <c r="A144" s="46" t="s">
        <v>91</v>
      </c>
      <c r="B144" s="3" t="str">
        <f>_xlfn.IFNA(VLOOKUP(C144,Master!$J:$K,2,0),"")</f>
        <v>B2220</v>
      </c>
      <c r="C144" s="46" t="s">
        <v>83</v>
      </c>
      <c r="D144" s="4" t="str">
        <f>_xlfn.IFNA(VLOOKUP(E144,Master!$J:$K,2,0),"")</f>
        <v>B4115</v>
      </c>
      <c r="E144" s="46" t="s">
        <v>167</v>
      </c>
      <c r="F144" s="4">
        <f>_xlfn.IFNA(VLOOKUP(G144,Master!B:C,2,0),"")</f>
        <v>7511111</v>
      </c>
      <c r="G144" s="46" t="s">
        <v>75</v>
      </c>
      <c r="H144" s="46" t="s">
        <v>540</v>
      </c>
      <c r="I144" s="3" t="str">
        <f>_xlfn.IFNA(VLOOKUP(E144,Master!$J:$M,4,0),"")</f>
        <v>DIR</v>
      </c>
      <c r="J144" s="3" t="str">
        <f>_xlfn.IFNA(VLOOKUP($E144,Master!$J:$M,3,0),"")</f>
        <v>MFG</v>
      </c>
      <c r="M144" s="50">
        <v>690000</v>
      </c>
      <c r="N144" s="50">
        <v>780000</v>
      </c>
      <c r="O144" s="50">
        <v>720000</v>
      </c>
      <c r="P144" s="50">
        <v>630000</v>
      </c>
      <c r="Q144" s="50">
        <v>540000</v>
      </c>
      <c r="R144" s="50">
        <v>660000</v>
      </c>
      <c r="S144" s="50">
        <v>630000</v>
      </c>
      <c r="T144" s="50">
        <v>750000</v>
      </c>
      <c r="U144" s="50">
        <v>720000</v>
      </c>
      <c r="V144" s="50">
        <v>660000</v>
      </c>
      <c r="W144" s="50">
        <v>750000</v>
      </c>
      <c r="X144" s="50">
        <v>690000</v>
      </c>
      <c r="Y144" s="50">
        <v>660000</v>
      </c>
      <c r="Z144" s="50">
        <v>720000</v>
      </c>
      <c r="AA144" s="50">
        <v>660000</v>
      </c>
      <c r="AB144" s="50">
        <v>570000</v>
      </c>
      <c r="AC144" s="26">
        <f t="shared" si="4"/>
        <v>2820000</v>
      </c>
      <c r="AD144" s="26">
        <f t="shared" si="5"/>
        <v>8010000</v>
      </c>
      <c r="AE144" s="50">
        <v>7710000</v>
      </c>
      <c r="AF144" s="50">
        <v>7650000</v>
      </c>
      <c r="AG144" s="53" t="s">
        <v>55</v>
      </c>
    </row>
    <row r="145" spans="1:33" ht="15" customHeight="1">
      <c r="A145" s="46" t="s">
        <v>91</v>
      </c>
      <c r="B145" s="3" t="str">
        <f>_xlfn.IFNA(VLOOKUP(C145,Master!$J:$K,2,0),"")</f>
        <v>B2220</v>
      </c>
      <c r="C145" s="46" t="s">
        <v>83</v>
      </c>
      <c r="D145" s="4" t="str">
        <f>_xlfn.IFNA(VLOOKUP(E145,Master!$J:$K,2,0),"")</f>
        <v>B4115</v>
      </c>
      <c r="E145" s="46" t="s">
        <v>167</v>
      </c>
      <c r="F145" s="4">
        <f>_xlfn.IFNA(VLOOKUP(G145,Master!B:C,2,0),"")</f>
        <v>7511111</v>
      </c>
      <c r="G145" s="46" t="s">
        <v>75</v>
      </c>
      <c r="H145" s="46" t="s">
        <v>538</v>
      </c>
      <c r="I145" s="3" t="str">
        <f>_xlfn.IFNA(VLOOKUP(E145,Master!$J:$M,4,0),"")</f>
        <v>DIR</v>
      </c>
      <c r="J145" s="3" t="str">
        <f>_xlfn.IFNA(VLOOKUP($E145,Master!$J:$M,3,0),"")</f>
        <v>MFG</v>
      </c>
      <c r="M145" s="50">
        <v>1800000</v>
      </c>
      <c r="N145" s="50">
        <v>1800000</v>
      </c>
      <c r="O145" s="50">
        <v>1800000</v>
      </c>
      <c r="P145" s="50">
        <v>1800000</v>
      </c>
      <c r="Q145" s="50">
        <v>1800000</v>
      </c>
      <c r="R145" s="50">
        <v>1800000</v>
      </c>
      <c r="S145" s="50">
        <v>1800000</v>
      </c>
      <c r="T145" s="50">
        <v>1800000</v>
      </c>
      <c r="U145" s="50">
        <v>1800000</v>
      </c>
      <c r="V145" s="50">
        <v>1800000</v>
      </c>
      <c r="W145" s="50">
        <v>1800000</v>
      </c>
      <c r="X145" s="50">
        <v>1800000</v>
      </c>
      <c r="Y145" s="50">
        <v>1800000</v>
      </c>
      <c r="Z145" s="50">
        <v>1800000</v>
      </c>
      <c r="AA145" s="50">
        <v>1800000</v>
      </c>
      <c r="AB145" s="50">
        <v>1800000</v>
      </c>
      <c r="AC145" s="26">
        <f t="shared" si="4"/>
        <v>7200000</v>
      </c>
      <c r="AD145" s="26">
        <f t="shared" si="5"/>
        <v>21600000</v>
      </c>
      <c r="AE145" s="50">
        <v>21600000</v>
      </c>
      <c r="AF145" s="50">
        <v>21600000</v>
      </c>
      <c r="AG145" s="53" t="s">
        <v>55</v>
      </c>
    </row>
    <row r="146" spans="1:33" ht="15" customHeight="1">
      <c r="A146" s="46" t="s">
        <v>91</v>
      </c>
      <c r="B146" s="3" t="str">
        <f>_xlfn.IFNA(VLOOKUP(C146,Master!$J:$K,2,0),"")</f>
        <v>B2220</v>
      </c>
      <c r="C146" s="46" t="s">
        <v>83</v>
      </c>
      <c r="D146" s="4" t="str">
        <f>_xlfn.IFNA(VLOOKUP(E146,Master!$J:$K,2,0),"")</f>
        <v>B4120</v>
      </c>
      <c r="E146" s="46" t="s">
        <v>177</v>
      </c>
      <c r="F146" s="4">
        <f>_xlfn.IFNA(VLOOKUP(G146,Master!B:C,2,0),"")</f>
        <v>7511111</v>
      </c>
      <c r="G146" s="46" t="s">
        <v>75</v>
      </c>
      <c r="H146" s="46" t="s">
        <v>533</v>
      </c>
      <c r="I146" s="3" t="str">
        <f>_xlfn.IFNA(VLOOKUP(E146,Master!$J:$M,4,0),"")</f>
        <v>DIR</v>
      </c>
      <c r="J146" s="3" t="str">
        <f>_xlfn.IFNA(VLOOKUP($E146,Master!$J:$M,3,0),"")</f>
        <v>MFG</v>
      </c>
      <c r="M146" s="50">
        <v>126000</v>
      </c>
      <c r="N146" s="50">
        <v>126000</v>
      </c>
      <c r="O146" s="50">
        <v>121500</v>
      </c>
      <c r="P146" s="50">
        <v>121500</v>
      </c>
      <c r="Q146" s="50">
        <v>126000</v>
      </c>
      <c r="R146" s="50">
        <v>121500</v>
      </c>
      <c r="S146" s="50">
        <v>121500</v>
      </c>
      <c r="T146" s="50">
        <v>112500</v>
      </c>
      <c r="U146" s="50">
        <v>112500</v>
      </c>
      <c r="V146" s="50">
        <v>112500</v>
      </c>
      <c r="W146" s="50">
        <v>117000</v>
      </c>
      <c r="X146" s="50">
        <v>117000</v>
      </c>
      <c r="Y146" s="50">
        <v>117000</v>
      </c>
      <c r="Z146" s="50">
        <v>117000</v>
      </c>
      <c r="AA146" s="50">
        <v>117000</v>
      </c>
      <c r="AB146" s="50">
        <v>117000</v>
      </c>
      <c r="AC146" s="26">
        <f t="shared" si="4"/>
        <v>495000</v>
      </c>
      <c r="AD146" s="26">
        <f t="shared" si="5"/>
        <v>1408500</v>
      </c>
      <c r="AE146" s="50">
        <v>1309500</v>
      </c>
      <c r="AF146" s="50">
        <v>1296000</v>
      </c>
      <c r="AG146" s="53" t="s">
        <v>55</v>
      </c>
    </row>
    <row r="147" spans="1:33" ht="15" customHeight="1">
      <c r="A147" s="46" t="s">
        <v>91</v>
      </c>
      <c r="B147" s="3" t="str">
        <f>_xlfn.IFNA(VLOOKUP(C147,Master!$J:$K,2,0),"")</f>
        <v>B2220</v>
      </c>
      <c r="C147" s="46" t="s">
        <v>83</v>
      </c>
      <c r="D147" s="4" t="str">
        <f>_xlfn.IFNA(VLOOKUP(E147,Master!$J:$K,2,0),"")</f>
        <v>B4120</v>
      </c>
      <c r="E147" s="46" t="s">
        <v>177</v>
      </c>
      <c r="F147" s="4">
        <f>_xlfn.IFNA(VLOOKUP(G147,Master!B:C,2,0),"")</f>
        <v>7511111</v>
      </c>
      <c r="G147" s="46" t="s">
        <v>75</v>
      </c>
      <c r="H147" s="46" t="s">
        <v>534</v>
      </c>
      <c r="I147" s="3" t="str">
        <f>_xlfn.IFNA(VLOOKUP(E147,Master!$J:$M,4,0),"")</f>
        <v>DIR</v>
      </c>
      <c r="J147" s="3" t="str">
        <f>_xlfn.IFNA(VLOOKUP($E147,Master!$J:$M,3,0),"")</f>
        <v>MFG</v>
      </c>
      <c r="M147" s="50">
        <v>12171600</v>
      </c>
      <c r="N147" s="50">
        <v>13759200</v>
      </c>
      <c r="O147" s="50">
        <v>12247200</v>
      </c>
      <c r="P147" s="50">
        <v>10716300</v>
      </c>
      <c r="Q147" s="50">
        <v>9525600</v>
      </c>
      <c r="R147" s="50">
        <v>11226600</v>
      </c>
      <c r="S147" s="50">
        <v>10716300</v>
      </c>
      <c r="T147" s="50">
        <v>11812500</v>
      </c>
      <c r="U147" s="50">
        <v>11340000</v>
      </c>
      <c r="V147" s="50">
        <v>10395000</v>
      </c>
      <c r="W147" s="50">
        <v>12285000</v>
      </c>
      <c r="X147" s="50">
        <v>11302200</v>
      </c>
      <c r="Y147" s="50">
        <v>10810800</v>
      </c>
      <c r="Z147" s="50">
        <v>12355200</v>
      </c>
      <c r="AA147" s="50">
        <v>11325600</v>
      </c>
      <c r="AB147" s="50">
        <v>9781200</v>
      </c>
      <c r="AC147" s="26">
        <f t="shared" si="4"/>
        <v>48894300</v>
      </c>
      <c r="AD147" s="26">
        <f t="shared" si="5"/>
        <v>132876000</v>
      </c>
      <c r="AE147" s="50">
        <v>124834800</v>
      </c>
      <c r="AF147" s="50">
        <v>128959200</v>
      </c>
      <c r="AG147" s="53" t="s">
        <v>55</v>
      </c>
    </row>
    <row r="148" spans="1:33" ht="15" customHeight="1">
      <c r="A148" s="46" t="s">
        <v>91</v>
      </c>
      <c r="B148" s="3" t="str">
        <f>_xlfn.IFNA(VLOOKUP(C148,Master!$J:$K,2,0),"")</f>
        <v>B2220</v>
      </c>
      <c r="C148" s="46" t="s">
        <v>83</v>
      </c>
      <c r="D148" s="4" t="str">
        <f>_xlfn.IFNA(VLOOKUP(E148,Master!$J:$K,2,0),"")</f>
        <v>B4120</v>
      </c>
      <c r="E148" s="46" t="s">
        <v>177</v>
      </c>
      <c r="F148" s="4">
        <f>_xlfn.IFNA(VLOOKUP(G148,Master!B:C,2,0),"")</f>
        <v>7511111</v>
      </c>
      <c r="G148" s="46" t="s">
        <v>75</v>
      </c>
      <c r="H148" s="46" t="s">
        <v>535</v>
      </c>
      <c r="I148" s="3" t="str">
        <f>_xlfn.IFNA(VLOOKUP(E148,Master!$J:$M,4,0),"")</f>
        <v>DIR</v>
      </c>
      <c r="J148" s="3" t="str">
        <f>_xlfn.IFNA(VLOOKUP($E148,Master!$J:$M,3,0),"")</f>
        <v>MFG</v>
      </c>
      <c r="M148" s="50">
        <v>1650000</v>
      </c>
      <c r="N148" s="50">
        <v>1650000</v>
      </c>
      <c r="O148" s="50">
        <v>1650000</v>
      </c>
      <c r="P148" s="50">
        <v>1650000</v>
      </c>
      <c r="Q148" s="50">
        <v>1200000</v>
      </c>
      <c r="R148" s="50">
        <v>1200000</v>
      </c>
      <c r="S148" s="50">
        <v>1200000</v>
      </c>
      <c r="T148" s="50">
        <v>900000</v>
      </c>
      <c r="U148" s="50">
        <v>900000</v>
      </c>
      <c r="V148" s="50">
        <v>900000</v>
      </c>
      <c r="W148" s="50">
        <v>950000</v>
      </c>
      <c r="X148" s="50">
        <v>950000</v>
      </c>
      <c r="Y148" s="50">
        <v>950000</v>
      </c>
      <c r="Z148" s="50">
        <v>2150000</v>
      </c>
      <c r="AA148" s="50">
        <v>2150000</v>
      </c>
      <c r="AB148" s="50">
        <v>2150000</v>
      </c>
      <c r="AC148" s="26">
        <f t="shared" si="4"/>
        <v>6600000</v>
      </c>
      <c r="AD148" s="26">
        <f t="shared" si="5"/>
        <v>15600000</v>
      </c>
      <c r="AE148" s="50">
        <v>24300000</v>
      </c>
      <c r="AF148" s="50">
        <v>24000000</v>
      </c>
      <c r="AG148" s="53" t="s">
        <v>55</v>
      </c>
    </row>
    <row r="149" spans="1:33" ht="15" customHeight="1">
      <c r="A149" s="46" t="s">
        <v>91</v>
      </c>
      <c r="B149" s="3" t="str">
        <f>_xlfn.IFNA(VLOOKUP(C149,Master!$J:$K,2,0),"")</f>
        <v>B2220</v>
      </c>
      <c r="C149" s="46" t="s">
        <v>83</v>
      </c>
      <c r="D149" s="4" t="str">
        <f>_xlfn.IFNA(VLOOKUP(E149,Master!$J:$K,2,0),"")</f>
        <v>B4120</v>
      </c>
      <c r="E149" s="46" t="s">
        <v>177</v>
      </c>
      <c r="F149" s="4">
        <f>_xlfn.IFNA(VLOOKUP(G149,Master!B:C,2,0),"")</f>
        <v>7511111</v>
      </c>
      <c r="G149" s="46" t="s">
        <v>75</v>
      </c>
      <c r="H149" s="46" t="s">
        <v>536</v>
      </c>
      <c r="I149" s="3" t="str">
        <f>_xlfn.IFNA(VLOOKUP(E149,Master!$J:$M,4,0),"")</f>
        <v>DIR</v>
      </c>
      <c r="J149" s="3" t="str">
        <f>_xlfn.IFNA(VLOOKUP($E149,Master!$J:$M,3,0),"")</f>
        <v>MFG</v>
      </c>
      <c r="P149" s="50">
        <v>4968000</v>
      </c>
      <c r="Q149" s="50">
        <v>2576000</v>
      </c>
      <c r="AB149" s="50">
        <v>7488000</v>
      </c>
      <c r="AC149" s="26">
        <f t="shared" si="4"/>
        <v>4968000</v>
      </c>
      <c r="AD149" s="26">
        <f t="shared" si="5"/>
        <v>10064000</v>
      </c>
      <c r="AE149" s="50">
        <v>7200000</v>
      </c>
      <c r="AF149" s="50">
        <v>7488000</v>
      </c>
      <c r="AG149" s="53" t="s">
        <v>55</v>
      </c>
    </row>
    <row r="150" spans="1:33" ht="15" customHeight="1">
      <c r="A150" s="46" t="s">
        <v>91</v>
      </c>
      <c r="B150" s="3" t="str">
        <f>_xlfn.IFNA(VLOOKUP(C150,Master!$J:$K,2,0),"")</f>
        <v>B2220</v>
      </c>
      <c r="C150" s="46" t="s">
        <v>83</v>
      </c>
      <c r="D150" s="4" t="str">
        <f>_xlfn.IFNA(VLOOKUP(E150,Master!$J:$K,2,0),"")</f>
        <v>B4120</v>
      </c>
      <c r="E150" s="46" t="s">
        <v>177</v>
      </c>
      <c r="F150" s="4">
        <f>_xlfn.IFNA(VLOOKUP(G150,Master!B:C,2,0),"")</f>
        <v>7511111</v>
      </c>
      <c r="G150" s="46" t="s">
        <v>75</v>
      </c>
      <c r="H150" s="46" t="s">
        <v>537</v>
      </c>
      <c r="I150" s="3" t="str">
        <f>_xlfn.IFNA(VLOOKUP(E150,Master!$J:$M,4,0),"")</f>
        <v>DIR</v>
      </c>
      <c r="J150" s="3" t="str">
        <f>_xlfn.IFNA(VLOOKUP($E150,Master!$J:$M,3,0),"")</f>
        <v>MFG</v>
      </c>
      <c r="M150" s="50">
        <v>1460000</v>
      </c>
      <c r="N150" s="50">
        <v>1460000</v>
      </c>
      <c r="O150" s="50">
        <v>1400000</v>
      </c>
      <c r="P150" s="50">
        <v>1400000</v>
      </c>
      <c r="Q150" s="50">
        <v>1400000</v>
      </c>
      <c r="R150" s="50">
        <v>1340000</v>
      </c>
      <c r="S150" s="50">
        <v>1340000</v>
      </c>
      <c r="T150" s="50">
        <v>1220000</v>
      </c>
      <c r="U150" s="50">
        <v>1220000</v>
      </c>
      <c r="V150" s="50">
        <v>1220000</v>
      </c>
      <c r="W150" s="50">
        <v>1280000</v>
      </c>
      <c r="X150" s="50">
        <v>1280000</v>
      </c>
      <c r="Y150" s="50">
        <v>1280000</v>
      </c>
      <c r="Z150" s="50">
        <v>1280000</v>
      </c>
      <c r="AA150" s="50">
        <v>1280000</v>
      </c>
      <c r="AB150" s="50">
        <v>1280000</v>
      </c>
      <c r="AC150" s="26">
        <f t="shared" si="4"/>
        <v>5720000</v>
      </c>
      <c r="AD150" s="26">
        <f t="shared" si="5"/>
        <v>15420000</v>
      </c>
      <c r="AE150" s="50">
        <v>14100000</v>
      </c>
      <c r="AF150" s="50">
        <v>13920000</v>
      </c>
      <c r="AG150" s="53" t="s">
        <v>55</v>
      </c>
    </row>
    <row r="151" spans="1:33" ht="15" customHeight="1">
      <c r="A151" s="46" t="s">
        <v>91</v>
      </c>
      <c r="B151" s="3" t="str">
        <f>_xlfn.IFNA(VLOOKUP(C151,Master!$J:$K,2,0),"")</f>
        <v>B2220</v>
      </c>
      <c r="C151" s="46" t="s">
        <v>83</v>
      </c>
      <c r="D151" s="4" t="str">
        <f>_xlfn.IFNA(VLOOKUP(E151,Master!$J:$K,2,0),"")</f>
        <v>B4120</v>
      </c>
      <c r="E151" s="46" t="s">
        <v>177</v>
      </c>
      <c r="F151" s="4">
        <f>_xlfn.IFNA(VLOOKUP(G151,Master!B:C,2,0),"")</f>
        <v>7511111</v>
      </c>
      <c r="G151" s="46" t="s">
        <v>75</v>
      </c>
      <c r="H151" s="46" t="s">
        <v>540</v>
      </c>
      <c r="I151" s="3" t="str">
        <f>_xlfn.IFNA(VLOOKUP(E151,Master!$J:$M,4,0),"")</f>
        <v>DIR</v>
      </c>
      <c r="J151" s="3" t="str">
        <f>_xlfn.IFNA(VLOOKUP($E151,Master!$J:$M,3,0),"")</f>
        <v>MFG</v>
      </c>
      <c r="M151" s="50">
        <v>3105000</v>
      </c>
      <c r="N151" s="50">
        <v>3510000</v>
      </c>
      <c r="O151" s="50">
        <v>3120000</v>
      </c>
      <c r="P151" s="50">
        <v>2730000</v>
      </c>
      <c r="Q151" s="50">
        <v>2520000</v>
      </c>
      <c r="R151" s="50">
        <v>2970000</v>
      </c>
      <c r="S151" s="50">
        <v>2835000</v>
      </c>
      <c r="T151" s="50">
        <v>3125000</v>
      </c>
      <c r="U151" s="50">
        <v>3000000</v>
      </c>
      <c r="V151" s="50">
        <v>2750000</v>
      </c>
      <c r="W151" s="50">
        <v>3250000</v>
      </c>
      <c r="X151" s="50">
        <v>2990000</v>
      </c>
      <c r="Y151" s="50">
        <v>2860000</v>
      </c>
      <c r="Z151" s="50">
        <v>3120000</v>
      </c>
      <c r="AA151" s="50">
        <v>2860000</v>
      </c>
      <c r="AB151" s="50">
        <v>2470000</v>
      </c>
      <c r="AC151" s="26">
        <f t="shared" si="4"/>
        <v>12465000</v>
      </c>
      <c r="AD151" s="26">
        <f t="shared" si="5"/>
        <v>34750000</v>
      </c>
      <c r="AE151" s="50">
        <v>31130000</v>
      </c>
      <c r="AF151" s="50">
        <v>30600000</v>
      </c>
      <c r="AG151" s="53" t="s">
        <v>55</v>
      </c>
    </row>
    <row r="152" spans="1:33" ht="15" customHeight="1">
      <c r="A152" s="46" t="s">
        <v>91</v>
      </c>
      <c r="B152" s="3" t="str">
        <f>_xlfn.IFNA(VLOOKUP(C152,Master!$J:$K,2,0),"")</f>
        <v>B2220</v>
      </c>
      <c r="C152" s="46" t="s">
        <v>83</v>
      </c>
      <c r="D152" s="4" t="str">
        <f>_xlfn.IFNA(VLOOKUP(E152,Master!$J:$K,2,0),"")</f>
        <v>B4120</v>
      </c>
      <c r="E152" s="46" t="s">
        <v>177</v>
      </c>
      <c r="F152" s="4">
        <f>_xlfn.IFNA(VLOOKUP(G152,Master!B:C,2,0),"")</f>
        <v>7511111</v>
      </c>
      <c r="G152" s="46" t="s">
        <v>75</v>
      </c>
      <c r="H152" s="46" t="s">
        <v>538</v>
      </c>
      <c r="I152" s="3" t="str">
        <f>_xlfn.IFNA(VLOOKUP(E152,Master!$J:$M,4,0),"")</f>
        <v>DIR</v>
      </c>
      <c r="J152" s="3" t="str">
        <f>_xlfn.IFNA(VLOOKUP($E152,Master!$J:$M,3,0),"")</f>
        <v>MFG</v>
      </c>
      <c r="M152" s="50">
        <v>8400000</v>
      </c>
      <c r="N152" s="50">
        <v>8400000</v>
      </c>
      <c r="O152" s="50">
        <v>8100000</v>
      </c>
      <c r="P152" s="50">
        <v>8100000</v>
      </c>
      <c r="Q152" s="50">
        <v>8400000</v>
      </c>
      <c r="R152" s="50">
        <v>8100000</v>
      </c>
      <c r="S152" s="50">
        <v>8100000</v>
      </c>
      <c r="T152" s="50">
        <v>7500000</v>
      </c>
      <c r="U152" s="50">
        <v>7500000</v>
      </c>
      <c r="V152" s="50">
        <v>7500000</v>
      </c>
      <c r="W152" s="50">
        <v>7800000</v>
      </c>
      <c r="X152" s="50">
        <v>7800000</v>
      </c>
      <c r="Y152" s="50">
        <v>7800000</v>
      </c>
      <c r="Z152" s="50">
        <v>7800000</v>
      </c>
      <c r="AA152" s="50">
        <v>7800000</v>
      </c>
      <c r="AB152" s="50">
        <v>7800000</v>
      </c>
      <c r="AC152" s="26">
        <f t="shared" si="4"/>
        <v>33000000</v>
      </c>
      <c r="AD152" s="26">
        <f t="shared" si="5"/>
        <v>93900000</v>
      </c>
      <c r="AE152" s="50">
        <v>87300000</v>
      </c>
      <c r="AF152" s="50">
        <v>86400000</v>
      </c>
      <c r="AG152" s="53" t="s">
        <v>55</v>
      </c>
    </row>
    <row r="153" spans="1:33" ht="15" customHeight="1">
      <c r="A153" s="46" t="s">
        <v>91</v>
      </c>
      <c r="B153" s="3" t="str">
        <f>_xlfn.IFNA(VLOOKUP(C153,Master!$J:$K,2,0),"")</f>
        <v>B2220</v>
      </c>
      <c r="C153" s="46" t="s">
        <v>83</v>
      </c>
      <c r="D153" s="4" t="str">
        <f>_xlfn.IFNA(VLOOKUP(E153,Master!$J:$K,2,0),"")</f>
        <v>B4121</v>
      </c>
      <c r="E153" s="46" t="s">
        <v>183</v>
      </c>
      <c r="F153" s="4">
        <f>_xlfn.IFNA(VLOOKUP(G153,Master!B:C,2,0),"")</f>
        <v>7511111</v>
      </c>
      <c r="G153" s="46" t="s">
        <v>75</v>
      </c>
      <c r="H153" s="46" t="s">
        <v>533</v>
      </c>
      <c r="I153" s="3" t="str">
        <f>_xlfn.IFNA(VLOOKUP(E153,Master!$J:$M,4,0),"")</f>
        <v>DIR</v>
      </c>
      <c r="J153" s="3" t="str">
        <f>_xlfn.IFNA(VLOOKUP($E153,Master!$J:$M,3,0),"")</f>
        <v>MFG</v>
      </c>
      <c r="M153" s="50">
        <v>13500</v>
      </c>
      <c r="N153" s="50">
        <v>13500</v>
      </c>
      <c r="O153" s="50">
        <v>13500</v>
      </c>
      <c r="P153" s="50">
        <v>13500</v>
      </c>
      <c r="AC153" s="26">
        <f t="shared" si="4"/>
        <v>54000</v>
      </c>
      <c r="AD153" s="26">
        <f t="shared" si="5"/>
        <v>0</v>
      </c>
      <c r="AG153" s="53" t="s">
        <v>55</v>
      </c>
    </row>
    <row r="154" spans="1:33" ht="15" customHeight="1">
      <c r="A154" s="46" t="s">
        <v>91</v>
      </c>
      <c r="B154" s="3" t="str">
        <f>_xlfn.IFNA(VLOOKUP(C154,Master!$J:$K,2,0),"")</f>
        <v>B2220</v>
      </c>
      <c r="C154" s="46" t="s">
        <v>83</v>
      </c>
      <c r="D154" s="4" t="str">
        <f>_xlfn.IFNA(VLOOKUP(E154,Master!$J:$K,2,0),"")</f>
        <v>B4121</v>
      </c>
      <c r="E154" s="46" t="s">
        <v>183</v>
      </c>
      <c r="F154" s="4">
        <f>_xlfn.IFNA(VLOOKUP(G154,Master!B:C,2,0),"")</f>
        <v>7511111</v>
      </c>
      <c r="G154" s="46" t="s">
        <v>75</v>
      </c>
      <c r="H154" s="46" t="s">
        <v>534</v>
      </c>
      <c r="I154" s="3" t="str">
        <f>_xlfn.IFNA(VLOOKUP(E154,Master!$J:$M,4,0),"")</f>
        <v>DIR</v>
      </c>
      <c r="J154" s="3" t="str">
        <f>_xlfn.IFNA(VLOOKUP($E154,Master!$J:$M,3,0),"")</f>
        <v>MFG</v>
      </c>
      <c r="M154" s="50">
        <v>1304100</v>
      </c>
      <c r="N154" s="50">
        <v>1474200</v>
      </c>
      <c r="O154" s="50">
        <v>1360800</v>
      </c>
      <c r="P154" s="50">
        <v>1190700</v>
      </c>
      <c r="AC154" s="26">
        <f t="shared" si="4"/>
        <v>5329800</v>
      </c>
      <c r="AD154" s="26">
        <f t="shared" si="5"/>
        <v>0</v>
      </c>
      <c r="AG154" s="53" t="s">
        <v>55</v>
      </c>
    </row>
    <row r="155" spans="1:33" ht="15" customHeight="1">
      <c r="A155" s="46" t="s">
        <v>91</v>
      </c>
      <c r="B155" s="3" t="str">
        <f>_xlfn.IFNA(VLOOKUP(C155,Master!$J:$K,2,0),"")</f>
        <v>B2220</v>
      </c>
      <c r="C155" s="46" t="s">
        <v>83</v>
      </c>
      <c r="D155" s="4" t="str">
        <f>_xlfn.IFNA(VLOOKUP(E155,Master!$J:$K,2,0),"")</f>
        <v>B4121</v>
      </c>
      <c r="E155" s="46" t="s">
        <v>183</v>
      </c>
      <c r="F155" s="4">
        <f>_xlfn.IFNA(VLOOKUP(G155,Master!B:C,2,0),"")</f>
        <v>7511111</v>
      </c>
      <c r="G155" s="46" t="s">
        <v>75</v>
      </c>
      <c r="H155" s="46" t="s">
        <v>535</v>
      </c>
      <c r="I155" s="3" t="str">
        <f>_xlfn.IFNA(VLOOKUP(E155,Master!$J:$M,4,0),"")</f>
        <v>DIR</v>
      </c>
      <c r="J155" s="3" t="str">
        <f>_xlfn.IFNA(VLOOKUP($E155,Master!$J:$M,3,0),"")</f>
        <v>MFG</v>
      </c>
      <c r="M155" s="50">
        <v>50000</v>
      </c>
      <c r="N155" s="50">
        <v>50000</v>
      </c>
      <c r="O155" s="50">
        <v>50000</v>
      </c>
      <c r="P155" s="50">
        <v>50000</v>
      </c>
      <c r="AC155" s="26">
        <f t="shared" si="4"/>
        <v>200000</v>
      </c>
      <c r="AD155" s="26">
        <f t="shared" si="5"/>
        <v>0</v>
      </c>
      <c r="AG155" s="53" t="s">
        <v>55</v>
      </c>
    </row>
    <row r="156" spans="1:33" ht="15" customHeight="1">
      <c r="A156" s="46" t="s">
        <v>91</v>
      </c>
      <c r="B156" s="3" t="str">
        <f>_xlfn.IFNA(VLOOKUP(C156,Master!$J:$K,2,0),"")</f>
        <v>B2220</v>
      </c>
      <c r="C156" s="46" t="s">
        <v>83</v>
      </c>
      <c r="D156" s="4" t="str">
        <f>_xlfn.IFNA(VLOOKUP(E156,Master!$J:$K,2,0),"")</f>
        <v>B4121</v>
      </c>
      <c r="E156" s="46" t="s">
        <v>183</v>
      </c>
      <c r="F156" s="4">
        <f>_xlfn.IFNA(VLOOKUP(G156,Master!B:C,2,0),"")</f>
        <v>7511111</v>
      </c>
      <c r="G156" s="46" t="s">
        <v>75</v>
      </c>
      <c r="H156" s="46" t="s">
        <v>536</v>
      </c>
      <c r="I156" s="3" t="str">
        <f>_xlfn.IFNA(VLOOKUP(E156,Master!$J:$M,4,0),"")</f>
        <v>DIR</v>
      </c>
      <c r="J156" s="3" t="str">
        <f>_xlfn.IFNA(VLOOKUP($E156,Master!$J:$M,3,0),"")</f>
        <v>MFG</v>
      </c>
      <c r="P156" s="50">
        <v>552000</v>
      </c>
      <c r="AC156" s="26">
        <f t="shared" si="4"/>
        <v>552000</v>
      </c>
      <c r="AD156" s="26">
        <f t="shared" si="5"/>
        <v>0</v>
      </c>
      <c r="AG156" s="53" t="s">
        <v>55</v>
      </c>
    </row>
    <row r="157" spans="1:33" ht="15" customHeight="1">
      <c r="A157" s="46" t="s">
        <v>91</v>
      </c>
      <c r="B157" s="3" t="str">
        <f>_xlfn.IFNA(VLOOKUP(C157,Master!$J:$K,2,0),"")</f>
        <v>B2220</v>
      </c>
      <c r="C157" s="46" t="s">
        <v>83</v>
      </c>
      <c r="D157" s="4" t="str">
        <f>_xlfn.IFNA(VLOOKUP(E157,Master!$J:$K,2,0),"")</f>
        <v>B4121</v>
      </c>
      <c r="E157" s="46" t="s">
        <v>183</v>
      </c>
      <c r="F157" s="4">
        <f>_xlfn.IFNA(VLOOKUP(G157,Master!B:C,2,0),"")</f>
        <v>7511111</v>
      </c>
      <c r="G157" s="46" t="s">
        <v>75</v>
      </c>
      <c r="H157" s="46" t="s">
        <v>537</v>
      </c>
      <c r="I157" s="3" t="str">
        <f>_xlfn.IFNA(VLOOKUP(E157,Master!$J:$M,4,0),"")</f>
        <v>DIR</v>
      </c>
      <c r="J157" s="3" t="str">
        <f>_xlfn.IFNA(VLOOKUP($E157,Master!$J:$M,3,0),"")</f>
        <v>MFG</v>
      </c>
      <c r="M157" s="50">
        <v>120000</v>
      </c>
      <c r="N157" s="50">
        <v>120000</v>
      </c>
      <c r="O157" s="50">
        <v>120000</v>
      </c>
      <c r="P157" s="50">
        <v>120000</v>
      </c>
      <c r="AC157" s="26">
        <f t="shared" si="4"/>
        <v>480000</v>
      </c>
      <c r="AD157" s="26">
        <f t="shared" si="5"/>
        <v>0</v>
      </c>
      <c r="AG157" s="53" t="s">
        <v>55</v>
      </c>
    </row>
    <row r="158" spans="1:33" ht="15" customHeight="1">
      <c r="A158" s="46" t="s">
        <v>91</v>
      </c>
      <c r="B158" s="3" t="str">
        <f>_xlfn.IFNA(VLOOKUP(C158,Master!$J:$K,2,0),"")</f>
        <v>B2220</v>
      </c>
      <c r="C158" s="46" t="s">
        <v>83</v>
      </c>
      <c r="D158" s="4" t="str">
        <f>_xlfn.IFNA(VLOOKUP(E158,Master!$J:$K,2,0),"")</f>
        <v>B4121</v>
      </c>
      <c r="E158" s="46" t="s">
        <v>183</v>
      </c>
      <c r="F158" s="4">
        <f>_xlfn.IFNA(VLOOKUP(G158,Master!B:C,2,0),"")</f>
        <v>7511111</v>
      </c>
      <c r="G158" s="46" t="s">
        <v>75</v>
      </c>
      <c r="H158" s="46" t="s">
        <v>540</v>
      </c>
      <c r="I158" s="3" t="str">
        <f>_xlfn.IFNA(VLOOKUP(E158,Master!$J:$M,4,0),"")</f>
        <v>DIR</v>
      </c>
      <c r="J158" s="3" t="str">
        <f>_xlfn.IFNA(VLOOKUP($E158,Master!$J:$M,3,0),"")</f>
        <v>MFG</v>
      </c>
      <c r="M158" s="50">
        <v>345000</v>
      </c>
      <c r="N158" s="50">
        <v>390000</v>
      </c>
      <c r="O158" s="50">
        <v>360000</v>
      </c>
      <c r="P158" s="50">
        <v>315000</v>
      </c>
      <c r="AC158" s="26">
        <f t="shared" si="4"/>
        <v>1410000</v>
      </c>
      <c r="AD158" s="26">
        <f t="shared" si="5"/>
        <v>0</v>
      </c>
      <c r="AG158" s="53" t="s">
        <v>55</v>
      </c>
    </row>
    <row r="159" spans="1:33" ht="15" customHeight="1">
      <c r="A159" s="46" t="s">
        <v>91</v>
      </c>
      <c r="B159" s="3" t="str">
        <f>_xlfn.IFNA(VLOOKUP(C159,Master!$J:$K,2,0),"")</f>
        <v>B2220</v>
      </c>
      <c r="C159" s="46" t="s">
        <v>83</v>
      </c>
      <c r="D159" s="4" t="str">
        <f>_xlfn.IFNA(VLOOKUP(E159,Master!$J:$K,2,0),"")</f>
        <v>B4121</v>
      </c>
      <c r="E159" s="46" t="s">
        <v>183</v>
      </c>
      <c r="F159" s="4">
        <f>_xlfn.IFNA(VLOOKUP(G159,Master!B:C,2,0),"")</f>
        <v>7511111</v>
      </c>
      <c r="G159" s="46" t="s">
        <v>75</v>
      </c>
      <c r="H159" s="46" t="s">
        <v>538</v>
      </c>
      <c r="I159" s="3" t="str">
        <f>_xlfn.IFNA(VLOOKUP(E159,Master!$J:$M,4,0),"")</f>
        <v>DIR</v>
      </c>
      <c r="J159" s="3" t="str">
        <f>_xlfn.IFNA(VLOOKUP($E159,Master!$J:$M,3,0),"")</f>
        <v>MFG</v>
      </c>
      <c r="M159" s="50">
        <v>900000</v>
      </c>
      <c r="N159" s="50">
        <v>900000</v>
      </c>
      <c r="O159" s="50">
        <v>900000</v>
      </c>
      <c r="P159" s="50">
        <v>900000</v>
      </c>
      <c r="AC159" s="26">
        <f t="shared" si="4"/>
        <v>3600000</v>
      </c>
      <c r="AD159" s="26">
        <f t="shared" si="5"/>
        <v>0</v>
      </c>
      <c r="AG159" s="53" t="s">
        <v>55</v>
      </c>
    </row>
    <row r="160" spans="1:33" ht="15" customHeight="1">
      <c r="A160" s="46" t="s">
        <v>91</v>
      </c>
      <c r="B160" s="3" t="str">
        <f>_xlfn.IFNA(VLOOKUP(C160,Master!$J:$K,2,0),"")</f>
        <v>B2220</v>
      </c>
      <c r="C160" s="46" t="s">
        <v>83</v>
      </c>
      <c r="D160" s="4" t="str">
        <f>_xlfn.IFNA(VLOOKUP(E160,Master!$J:$K,2,0),"")</f>
        <v>B4130</v>
      </c>
      <c r="E160" s="46" t="s">
        <v>158</v>
      </c>
      <c r="F160" s="4">
        <f>_xlfn.IFNA(VLOOKUP(G160,Master!B:C,2,0),"")</f>
        <v>7511111</v>
      </c>
      <c r="G160" s="46" t="s">
        <v>75</v>
      </c>
      <c r="H160" s="46" t="s">
        <v>533</v>
      </c>
      <c r="I160" s="3" t="str">
        <f>_xlfn.IFNA(VLOOKUP(E160,Master!$J:$M,4,0),"")</f>
        <v>DIR</v>
      </c>
      <c r="J160" s="3" t="str">
        <f>_xlfn.IFNA(VLOOKUP($E160,Master!$J:$M,3,0),"")</f>
        <v>MFG</v>
      </c>
      <c r="M160" s="50">
        <v>31500</v>
      </c>
      <c r="N160" s="50">
        <v>31500</v>
      </c>
      <c r="O160" s="50">
        <v>31500</v>
      </c>
      <c r="P160" s="50">
        <v>31500</v>
      </c>
      <c r="Q160" s="50">
        <v>31500</v>
      </c>
      <c r="R160" s="50">
        <v>31500</v>
      </c>
      <c r="S160" s="50">
        <v>31500</v>
      </c>
      <c r="T160" s="50">
        <v>31500</v>
      </c>
      <c r="U160" s="50">
        <v>31500</v>
      </c>
      <c r="V160" s="50">
        <v>31500</v>
      </c>
      <c r="W160" s="50">
        <v>31500</v>
      </c>
      <c r="X160" s="50">
        <v>31500</v>
      </c>
      <c r="Y160" s="50">
        <v>31500</v>
      </c>
      <c r="Z160" s="50">
        <v>31500</v>
      </c>
      <c r="AA160" s="50">
        <v>31500</v>
      </c>
      <c r="AB160" s="50">
        <v>31500</v>
      </c>
      <c r="AC160" s="26">
        <f t="shared" si="4"/>
        <v>126000</v>
      </c>
      <c r="AD160" s="26">
        <f t="shared" si="5"/>
        <v>378000</v>
      </c>
      <c r="AE160" s="50">
        <v>346500</v>
      </c>
      <c r="AF160" s="50">
        <v>324000</v>
      </c>
      <c r="AG160" s="53" t="s">
        <v>55</v>
      </c>
    </row>
    <row r="161" spans="1:33" ht="15" customHeight="1">
      <c r="A161" s="46" t="s">
        <v>91</v>
      </c>
      <c r="B161" s="3" t="str">
        <f>_xlfn.IFNA(VLOOKUP(C161,Master!$J:$K,2,0),"")</f>
        <v>B2220</v>
      </c>
      <c r="C161" s="46" t="s">
        <v>83</v>
      </c>
      <c r="D161" s="4" t="str">
        <f>_xlfn.IFNA(VLOOKUP(E161,Master!$J:$K,2,0),"")</f>
        <v>B4130</v>
      </c>
      <c r="E161" s="46" t="s">
        <v>158</v>
      </c>
      <c r="F161" s="4">
        <f>_xlfn.IFNA(VLOOKUP(G161,Master!B:C,2,0),"")</f>
        <v>7511111</v>
      </c>
      <c r="G161" s="46" t="s">
        <v>75</v>
      </c>
      <c r="H161" s="46" t="s">
        <v>534</v>
      </c>
      <c r="I161" s="3" t="str">
        <f>_xlfn.IFNA(VLOOKUP(E161,Master!$J:$M,4,0),"")</f>
        <v>DIR</v>
      </c>
      <c r="J161" s="3" t="str">
        <f>_xlfn.IFNA(VLOOKUP($E161,Master!$J:$M,3,0),"")</f>
        <v>MFG</v>
      </c>
      <c r="M161" s="50">
        <v>3042900</v>
      </c>
      <c r="N161" s="50">
        <v>3439800</v>
      </c>
      <c r="O161" s="50">
        <v>3175200</v>
      </c>
      <c r="P161" s="50">
        <v>2778300</v>
      </c>
      <c r="Q161" s="50">
        <v>2381400</v>
      </c>
      <c r="R161" s="50">
        <v>2910600</v>
      </c>
      <c r="S161" s="50">
        <v>2778300</v>
      </c>
      <c r="T161" s="50">
        <v>3307500</v>
      </c>
      <c r="U161" s="50">
        <v>3175200</v>
      </c>
      <c r="V161" s="50">
        <v>2910600</v>
      </c>
      <c r="W161" s="50">
        <v>3307500</v>
      </c>
      <c r="X161" s="50">
        <v>3042900</v>
      </c>
      <c r="Y161" s="50">
        <v>2910600</v>
      </c>
      <c r="Z161" s="50">
        <v>3326400</v>
      </c>
      <c r="AA161" s="50">
        <v>3049200</v>
      </c>
      <c r="AB161" s="50">
        <v>2633400</v>
      </c>
      <c r="AC161" s="26">
        <f t="shared" si="4"/>
        <v>12436200</v>
      </c>
      <c r="AD161" s="26">
        <f t="shared" si="5"/>
        <v>35733600</v>
      </c>
      <c r="AE161" s="50">
        <v>32980800</v>
      </c>
      <c r="AF161" s="50">
        <v>32239800</v>
      </c>
      <c r="AG161" s="53" t="s">
        <v>55</v>
      </c>
    </row>
    <row r="162" spans="1:33" ht="15" customHeight="1">
      <c r="A162" s="46" t="s">
        <v>91</v>
      </c>
      <c r="B162" s="3" t="str">
        <f>_xlfn.IFNA(VLOOKUP(C162,Master!$J:$K,2,0),"")</f>
        <v>B2220</v>
      </c>
      <c r="C162" s="46" t="s">
        <v>83</v>
      </c>
      <c r="D162" s="4" t="str">
        <f>_xlfn.IFNA(VLOOKUP(E162,Master!$J:$K,2,0),"")</f>
        <v>B4130</v>
      </c>
      <c r="E162" s="46" t="s">
        <v>158</v>
      </c>
      <c r="F162" s="4">
        <f>_xlfn.IFNA(VLOOKUP(G162,Master!B:C,2,0),"")</f>
        <v>7511111</v>
      </c>
      <c r="G162" s="46" t="s">
        <v>75</v>
      </c>
      <c r="H162" s="46" t="s">
        <v>535</v>
      </c>
      <c r="I162" s="3" t="str">
        <f>_xlfn.IFNA(VLOOKUP(E162,Master!$J:$M,4,0),"")</f>
        <v>DIR</v>
      </c>
      <c r="J162" s="3" t="str">
        <f>_xlfn.IFNA(VLOOKUP($E162,Master!$J:$M,3,0),"")</f>
        <v>MFG</v>
      </c>
      <c r="M162" s="50">
        <v>350000</v>
      </c>
      <c r="N162" s="50">
        <v>350000</v>
      </c>
      <c r="O162" s="50">
        <v>350000</v>
      </c>
      <c r="P162" s="50">
        <v>350000</v>
      </c>
      <c r="Q162" s="50">
        <v>350000</v>
      </c>
      <c r="R162" s="50">
        <v>350000</v>
      </c>
      <c r="S162" s="50">
        <v>350000</v>
      </c>
      <c r="T162" s="50">
        <v>350000</v>
      </c>
      <c r="U162" s="50">
        <v>350000</v>
      </c>
      <c r="V162" s="50">
        <v>350000</v>
      </c>
      <c r="W162" s="50">
        <v>350000</v>
      </c>
      <c r="X162" s="50">
        <v>350000</v>
      </c>
      <c r="Y162" s="50">
        <v>350000</v>
      </c>
      <c r="Z162" s="50">
        <v>650000</v>
      </c>
      <c r="AA162" s="50">
        <v>650000</v>
      </c>
      <c r="AB162" s="50">
        <v>650000</v>
      </c>
      <c r="AC162" s="26">
        <f t="shared" si="4"/>
        <v>1400000</v>
      </c>
      <c r="AD162" s="26">
        <f t="shared" si="5"/>
        <v>5100000</v>
      </c>
      <c r="AE162" s="50">
        <v>7800000</v>
      </c>
      <c r="AF162" s="50">
        <v>7800000</v>
      </c>
      <c r="AG162" s="53" t="s">
        <v>55</v>
      </c>
    </row>
    <row r="163" spans="1:33" ht="15" customHeight="1">
      <c r="A163" s="46" t="s">
        <v>91</v>
      </c>
      <c r="B163" s="3" t="str">
        <f>_xlfn.IFNA(VLOOKUP(C163,Master!$J:$K,2,0),"")</f>
        <v>B2220</v>
      </c>
      <c r="C163" s="46" t="s">
        <v>83</v>
      </c>
      <c r="D163" s="4" t="str">
        <f>_xlfn.IFNA(VLOOKUP(E163,Master!$J:$K,2,0),"")</f>
        <v>B4130</v>
      </c>
      <c r="E163" s="46" t="s">
        <v>158</v>
      </c>
      <c r="F163" s="4">
        <f>_xlfn.IFNA(VLOOKUP(G163,Master!B:C,2,0),"")</f>
        <v>7511111</v>
      </c>
      <c r="G163" s="46" t="s">
        <v>75</v>
      </c>
      <c r="H163" s="46" t="s">
        <v>536</v>
      </c>
      <c r="I163" s="3" t="str">
        <f>_xlfn.IFNA(VLOOKUP(E163,Master!$J:$M,4,0),"")</f>
        <v>DIR</v>
      </c>
      <c r="J163" s="3" t="str">
        <f>_xlfn.IFNA(VLOOKUP($E163,Master!$J:$M,3,0),"")</f>
        <v>MFG</v>
      </c>
      <c r="P163" s="50">
        <v>1288000</v>
      </c>
      <c r="Q163" s="50">
        <v>644000</v>
      </c>
      <c r="AB163" s="50">
        <v>2016000</v>
      </c>
      <c r="AC163" s="26">
        <f t="shared" si="4"/>
        <v>1288000</v>
      </c>
      <c r="AD163" s="26">
        <f t="shared" si="5"/>
        <v>2660000</v>
      </c>
      <c r="AE163" s="50">
        <v>1800000</v>
      </c>
      <c r="AF163" s="50">
        <v>1872000</v>
      </c>
      <c r="AG163" s="53" t="s">
        <v>55</v>
      </c>
    </row>
    <row r="164" spans="1:33" ht="15" customHeight="1">
      <c r="A164" s="46" t="s">
        <v>91</v>
      </c>
      <c r="B164" s="3" t="str">
        <f>_xlfn.IFNA(VLOOKUP(C164,Master!$J:$K,2,0),"")</f>
        <v>B2220</v>
      </c>
      <c r="C164" s="46" t="s">
        <v>83</v>
      </c>
      <c r="D164" s="4" t="str">
        <f>_xlfn.IFNA(VLOOKUP(E164,Master!$J:$K,2,0),"")</f>
        <v>B4130</v>
      </c>
      <c r="E164" s="46" t="s">
        <v>158</v>
      </c>
      <c r="F164" s="4">
        <f>_xlfn.IFNA(VLOOKUP(G164,Master!B:C,2,0),"")</f>
        <v>7511111</v>
      </c>
      <c r="G164" s="46" t="s">
        <v>75</v>
      </c>
      <c r="H164" s="46" t="s">
        <v>537</v>
      </c>
      <c r="I164" s="3" t="str">
        <f>_xlfn.IFNA(VLOOKUP(E164,Master!$J:$M,4,0),"")</f>
        <v>DIR</v>
      </c>
      <c r="J164" s="3" t="str">
        <f>_xlfn.IFNA(VLOOKUP($E164,Master!$J:$M,3,0),"")</f>
        <v>MFG</v>
      </c>
      <c r="M164" s="50">
        <v>420000</v>
      </c>
      <c r="N164" s="50">
        <v>420000</v>
      </c>
      <c r="O164" s="50">
        <v>420000</v>
      </c>
      <c r="P164" s="50">
        <v>420000</v>
      </c>
      <c r="Q164" s="50">
        <v>420000</v>
      </c>
      <c r="R164" s="50">
        <v>420000</v>
      </c>
      <c r="S164" s="50">
        <v>420000</v>
      </c>
      <c r="T164" s="50">
        <v>420000</v>
      </c>
      <c r="U164" s="50">
        <v>420000</v>
      </c>
      <c r="V164" s="50">
        <v>420000</v>
      </c>
      <c r="W164" s="50">
        <v>420000</v>
      </c>
      <c r="X164" s="50">
        <v>420000</v>
      </c>
      <c r="Y164" s="50">
        <v>420000</v>
      </c>
      <c r="Z164" s="50">
        <v>420000</v>
      </c>
      <c r="AA164" s="50">
        <v>420000</v>
      </c>
      <c r="AB164" s="50">
        <v>420000</v>
      </c>
      <c r="AC164" s="26">
        <f t="shared" si="4"/>
        <v>1680000</v>
      </c>
      <c r="AD164" s="26">
        <f t="shared" si="5"/>
        <v>5040000</v>
      </c>
      <c r="AE164" s="50">
        <v>4620000</v>
      </c>
      <c r="AF164" s="50">
        <v>4320000</v>
      </c>
      <c r="AG164" s="53" t="s">
        <v>55</v>
      </c>
    </row>
    <row r="165" spans="1:33" ht="15" customHeight="1">
      <c r="A165" s="46" t="s">
        <v>91</v>
      </c>
      <c r="B165" s="3" t="str">
        <f>_xlfn.IFNA(VLOOKUP(C165,Master!$J:$K,2,0),"")</f>
        <v>B2220</v>
      </c>
      <c r="C165" s="46" t="s">
        <v>83</v>
      </c>
      <c r="D165" s="4" t="str">
        <f>_xlfn.IFNA(VLOOKUP(E165,Master!$J:$K,2,0),"")</f>
        <v>B4130</v>
      </c>
      <c r="E165" s="46" t="s">
        <v>158</v>
      </c>
      <c r="F165" s="4">
        <f>_xlfn.IFNA(VLOOKUP(G165,Master!B:C,2,0),"")</f>
        <v>7511111</v>
      </c>
      <c r="G165" s="46" t="s">
        <v>75</v>
      </c>
      <c r="H165" s="46" t="s">
        <v>540</v>
      </c>
      <c r="I165" s="3" t="str">
        <f>_xlfn.IFNA(VLOOKUP(E165,Master!$J:$M,4,0),"")</f>
        <v>DIR</v>
      </c>
      <c r="J165" s="3" t="str">
        <f>_xlfn.IFNA(VLOOKUP($E165,Master!$J:$M,3,0),"")</f>
        <v>MFG</v>
      </c>
      <c r="M165" s="50">
        <v>805000</v>
      </c>
      <c r="N165" s="50">
        <v>910000</v>
      </c>
      <c r="O165" s="50">
        <v>840000</v>
      </c>
      <c r="P165" s="50">
        <v>735000</v>
      </c>
      <c r="Q165" s="50">
        <v>630000</v>
      </c>
      <c r="R165" s="50">
        <v>770000</v>
      </c>
      <c r="S165" s="50">
        <v>735000</v>
      </c>
      <c r="T165" s="50">
        <v>875000</v>
      </c>
      <c r="U165" s="50">
        <v>840000</v>
      </c>
      <c r="V165" s="50">
        <v>770000</v>
      </c>
      <c r="W165" s="50">
        <v>875000</v>
      </c>
      <c r="X165" s="50">
        <v>805000</v>
      </c>
      <c r="Y165" s="50">
        <v>770000</v>
      </c>
      <c r="Z165" s="50">
        <v>840000</v>
      </c>
      <c r="AA165" s="50">
        <v>770000</v>
      </c>
      <c r="AB165" s="50">
        <v>665000</v>
      </c>
      <c r="AC165" s="26">
        <f t="shared" si="4"/>
        <v>3290000</v>
      </c>
      <c r="AD165" s="26">
        <f t="shared" si="5"/>
        <v>9345000</v>
      </c>
      <c r="AE165" s="50">
        <v>8230000</v>
      </c>
      <c r="AF165" s="50">
        <v>7650000</v>
      </c>
      <c r="AG165" s="53" t="s">
        <v>55</v>
      </c>
    </row>
    <row r="166" spans="1:33" ht="15" customHeight="1">
      <c r="A166" s="46" t="s">
        <v>91</v>
      </c>
      <c r="B166" s="3" t="str">
        <f>_xlfn.IFNA(VLOOKUP(C166,Master!$J:$K,2,0),"")</f>
        <v>B2220</v>
      </c>
      <c r="C166" s="46" t="s">
        <v>83</v>
      </c>
      <c r="D166" s="4" t="str">
        <f>_xlfn.IFNA(VLOOKUP(E166,Master!$J:$K,2,0),"")</f>
        <v>B4130</v>
      </c>
      <c r="E166" s="46" t="s">
        <v>158</v>
      </c>
      <c r="F166" s="4">
        <f>_xlfn.IFNA(VLOOKUP(G166,Master!B:C,2,0),"")</f>
        <v>7511111</v>
      </c>
      <c r="G166" s="46" t="s">
        <v>75</v>
      </c>
      <c r="H166" s="46" t="s">
        <v>538</v>
      </c>
      <c r="I166" s="3" t="str">
        <f>_xlfn.IFNA(VLOOKUP(E166,Master!$J:$M,4,0),"")</f>
        <v>DIR</v>
      </c>
      <c r="J166" s="3" t="str">
        <f>_xlfn.IFNA(VLOOKUP($E166,Master!$J:$M,3,0),"")</f>
        <v>MFG</v>
      </c>
      <c r="M166" s="50">
        <v>2100000</v>
      </c>
      <c r="N166" s="50">
        <v>2100000</v>
      </c>
      <c r="O166" s="50">
        <v>2100000</v>
      </c>
      <c r="P166" s="50">
        <v>2100000</v>
      </c>
      <c r="Q166" s="50">
        <v>2100000</v>
      </c>
      <c r="R166" s="50">
        <v>2100000</v>
      </c>
      <c r="S166" s="50">
        <v>2100000</v>
      </c>
      <c r="T166" s="50">
        <v>2100000</v>
      </c>
      <c r="U166" s="50">
        <v>2100000</v>
      </c>
      <c r="V166" s="50">
        <v>2100000</v>
      </c>
      <c r="W166" s="50">
        <v>2100000</v>
      </c>
      <c r="X166" s="50">
        <v>2100000</v>
      </c>
      <c r="Y166" s="50">
        <v>2100000</v>
      </c>
      <c r="Z166" s="50">
        <v>2100000</v>
      </c>
      <c r="AA166" s="50">
        <v>2100000</v>
      </c>
      <c r="AB166" s="50">
        <v>2100000</v>
      </c>
      <c r="AC166" s="26">
        <f t="shared" si="4"/>
        <v>8400000</v>
      </c>
      <c r="AD166" s="26">
        <f t="shared" si="5"/>
        <v>25200000</v>
      </c>
      <c r="AE166" s="50">
        <v>23100000</v>
      </c>
      <c r="AF166" s="50">
        <v>21600000</v>
      </c>
      <c r="AG166" s="53" t="s">
        <v>55</v>
      </c>
    </row>
    <row r="167" spans="1:33" ht="15" customHeight="1">
      <c r="A167" s="46" t="s">
        <v>91</v>
      </c>
      <c r="B167" s="3" t="str">
        <f>_xlfn.IFNA(VLOOKUP(C167,Master!$J:$K,2,0),"")</f>
        <v>B2220</v>
      </c>
      <c r="C167" s="46" t="s">
        <v>83</v>
      </c>
      <c r="D167" s="4" t="str">
        <f>_xlfn.IFNA(VLOOKUP(E167,Master!$J:$K,2,0),"")</f>
        <v>B4410</v>
      </c>
      <c r="E167" s="46" t="s">
        <v>188</v>
      </c>
      <c r="F167" s="4">
        <f>_xlfn.IFNA(VLOOKUP(G167,Master!B:C,2,0),"")</f>
        <v>7511111</v>
      </c>
      <c r="G167" s="46" t="s">
        <v>75</v>
      </c>
      <c r="H167" s="46" t="s">
        <v>533</v>
      </c>
      <c r="I167" s="3" t="str">
        <f>_xlfn.IFNA(VLOOKUP(E167,Master!$J:$M,4,0),"")</f>
        <v>DIR</v>
      </c>
      <c r="J167" s="3" t="str">
        <f>_xlfn.IFNA(VLOOKUP($E167,Master!$J:$M,3,0),"")</f>
        <v>MFG</v>
      </c>
      <c r="M167" s="50">
        <v>13500</v>
      </c>
      <c r="N167" s="50">
        <v>13500</v>
      </c>
      <c r="O167" s="50">
        <v>13500</v>
      </c>
      <c r="P167" s="50">
        <v>13500</v>
      </c>
      <c r="Q167" s="50">
        <v>13500</v>
      </c>
      <c r="R167" s="50">
        <v>13500</v>
      </c>
      <c r="S167" s="50">
        <v>13500</v>
      </c>
      <c r="T167" s="50">
        <v>13500</v>
      </c>
      <c r="U167" s="50">
        <v>13500</v>
      </c>
      <c r="V167" s="50">
        <v>13500</v>
      </c>
      <c r="W167" s="50">
        <v>13500</v>
      </c>
      <c r="X167" s="50">
        <v>13500</v>
      </c>
      <c r="Y167" s="50">
        <v>13500</v>
      </c>
      <c r="AC167" s="26">
        <f t="shared" si="4"/>
        <v>54000</v>
      </c>
      <c r="AD167" s="26">
        <f t="shared" si="5"/>
        <v>121500</v>
      </c>
      <c r="AG167" s="53" t="s">
        <v>55</v>
      </c>
    </row>
    <row r="168" spans="1:33" ht="15" customHeight="1">
      <c r="A168" s="46" t="s">
        <v>91</v>
      </c>
      <c r="B168" s="3" t="str">
        <f>_xlfn.IFNA(VLOOKUP(C168,Master!$J:$K,2,0),"")</f>
        <v>B2220</v>
      </c>
      <c r="C168" s="46" t="s">
        <v>83</v>
      </c>
      <c r="D168" s="4" t="str">
        <f>_xlfn.IFNA(VLOOKUP(E168,Master!$J:$K,2,0),"")</f>
        <v>B4410</v>
      </c>
      <c r="E168" s="46" t="s">
        <v>188</v>
      </c>
      <c r="F168" s="4">
        <f>_xlfn.IFNA(VLOOKUP(G168,Master!B:C,2,0),"")</f>
        <v>7511111</v>
      </c>
      <c r="G168" s="46" t="s">
        <v>75</v>
      </c>
      <c r="H168" s="46" t="s">
        <v>534</v>
      </c>
      <c r="I168" s="3" t="str">
        <f>_xlfn.IFNA(VLOOKUP(E168,Master!$J:$M,4,0),"")</f>
        <v>DIR</v>
      </c>
      <c r="J168" s="3" t="str">
        <f>_xlfn.IFNA(VLOOKUP($E168,Master!$J:$M,3,0),"")</f>
        <v>MFG</v>
      </c>
      <c r="M168" s="50">
        <v>1304100</v>
      </c>
      <c r="N168" s="50">
        <v>1474200</v>
      </c>
      <c r="O168" s="50">
        <v>1360800</v>
      </c>
      <c r="P168" s="50">
        <v>1190700</v>
      </c>
      <c r="Q168" s="50">
        <v>1020600</v>
      </c>
      <c r="R168" s="50">
        <v>1247400</v>
      </c>
      <c r="S168" s="50">
        <v>1190700</v>
      </c>
      <c r="T168" s="50">
        <v>1417500</v>
      </c>
      <c r="U168" s="50">
        <v>1360800</v>
      </c>
      <c r="V168" s="50">
        <v>1247400</v>
      </c>
      <c r="W168" s="50">
        <v>1417500</v>
      </c>
      <c r="X168" s="50">
        <v>1304100</v>
      </c>
      <c r="Y168" s="50">
        <v>1247400</v>
      </c>
      <c r="AC168" s="26">
        <f t="shared" si="4"/>
        <v>5329800</v>
      </c>
      <c r="AD168" s="26">
        <f t="shared" si="5"/>
        <v>11453400</v>
      </c>
      <c r="AG168" s="53" t="s">
        <v>55</v>
      </c>
    </row>
    <row r="169" spans="1:33" ht="15" customHeight="1">
      <c r="A169" s="46" t="s">
        <v>91</v>
      </c>
      <c r="B169" s="3" t="str">
        <f>_xlfn.IFNA(VLOOKUP(C169,Master!$J:$K,2,0),"")</f>
        <v>B2220</v>
      </c>
      <c r="C169" s="46" t="s">
        <v>83</v>
      </c>
      <c r="D169" s="4" t="str">
        <f>_xlfn.IFNA(VLOOKUP(E169,Master!$J:$K,2,0),"")</f>
        <v>B4410</v>
      </c>
      <c r="E169" s="46" t="s">
        <v>188</v>
      </c>
      <c r="F169" s="4">
        <f>_xlfn.IFNA(VLOOKUP(G169,Master!B:C,2,0),"")</f>
        <v>7511111</v>
      </c>
      <c r="G169" s="46" t="s">
        <v>75</v>
      </c>
      <c r="H169" s="46" t="s">
        <v>535</v>
      </c>
      <c r="I169" s="3" t="str">
        <f>_xlfn.IFNA(VLOOKUP(E169,Master!$J:$M,4,0),"")</f>
        <v>DIR</v>
      </c>
      <c r="J169" s="3" t="str">
        <f>_xlfn.IFNA(VLOOKUP($E169,Master!$J:$M,3,0),"")</f>
        <v>MFG</v>
      </c>
      <c r="M169" s="50">
        <v>400000</v>
      </c>
      <c r="N169" s="50">
        <v>400000</v>
      </c>
      <c r="O169" s="50">
        <v>400000</v>
      </c>
      <c r="P169" s="50">
        <v>400000</v>
      </c>
      <c r="Q169" s="50">
        <v>400000</v>
      </c>
      <c r="R169" s="50">
        <v>400000</v>
      </c>
      <c r="S169" s="50">
        <v>400000</v>
      </c>
      <c r="T169" s="50">
        <v>400000</v>
      </c>
      <c r="U169" s="50">
        <v>400000</v>
      </c>
      <c r="V169" s="50">
        <v>400000</v>
      </c>
      <c r="W169" s="50">
        <v>400000</v>
      </c>
      <c r="X169" s="50">
        <v>400000</v>
      </c>
      <c r="Y169" s="50">
        <v>400000</v>
      </c>
      <c r="AC169" s="26">
        <f t="shared" si="4"/>
        <v>1600000</v>
      </c>
      <c r="AD169" s="26">
        <f t="shared" si="5"/>
        <v>3600000</v>
      </c>
      <c r="AG169" s="53" t="s">
        <v>55</v>
      </c>
    </row>
    <row r="170" spans="1:33" ht="15" customHeight="1">
      <c r="A170" s="46" t="s">
        <v>91</v>
      </c>
      <c r="B170" s="3" t="str">
        <f>_xlfn.IFNA(VLOOKUP(C170,Master!$J:$K,2,0),"")</f>
        <v>B2220</v>
      </c>
      <c r="C170" s="46" t="s">
        <v>83</v>
      </c>
      <c r="D170" s="4" t="str">
        <f>_xlfn.IFNA(VLOOKUP(E170,Master!$J:$K,2,0),"")</f>
        <v>B4410</v>
      </c>
      <c r="E170" s="46" t="s">
        <v>188</v>
      </c>
      <c r="F170" s="4">
        <f>_xlfn.IFNA(VLOOKUP(G170,Master!B:C,2,0),"")</f>
        <v>7511111</v>
      </c>
      <c r="G170" s="46" t="s">
        <v>75</v>
      </c>
      <c r="H170" s="46" t="s">
        <v>536</v>
      </c>
      <c r="I170" s="3" t="str">
        <f>_xlfn.IFNA(VLOOKUP(E170,Master!$J:$M,4,0),"")</f>
        <v>DIR</v>
      </c>
      <c r="J170" s="3" t="str">
        <f>_xlfn.IFNA(VLOOKUP($E170,Master!$J:$M,3,0),"")</f>
        <v>MFG</v>
      </c>
      <c r="P170" s="50">
        <v>552000</v>
      </c>
      <c r="Q170" s="50">
        <v>276000</v>
      </c>
      <c r="AC170" s="26">
        <f t="shared" si="4"/>
        <v>552000</v>
      </c>
      <c r="AD170" s="26">
        <f t="shared" si="5"/>
        <v>276000</v>
      </c>
      <c r="AG170" s="53" t="s">
        <v>55</v>
      </c>
    </row>
    <row r="171" spans="1:33" ht="15" customHeight="1">
      <c r="A171" s="46" t="s">
        <v>91</v>
      </c>
      <c r="B171" s="3" t="str">
        <f>_xlfn.IFNA(VLOOKUP(C171,Master!$J:$K,2,0),"")</f>
        <v>B2220</v>
      </c>
      <c r="C171" s="46" t="s">
        <v>83</v>
      </c>
      <c r="D171" s="4" t="str">
        <f>_xlfn.IFNA(VLOOKUP(E171,Master!$J:$K,2,0),"")</f>
        <v>B4410</v>
      </c>
      <c r="E171" s="46" t="s">
        <v>188</v>
      </c>
      <c r="F171" s="4">
        <f>_xlfn.IFNA(VLOOKUP(G171,Master!B:C,2,0),"")</f>
        <v>7511111</v>
      </c>
      <c r="G171" s="46" t="s">
        <v>75</v>
      </c>
      <c r="H171" s="46" t="s">
        <v>537</v>
      </c>
      <c r="I171" s="3" t="str">
        <f>_xlfn.IFNA(VLOOKUP(E171,Master!$J:$M,4,0),"")</f>
        <v>DIR</v>
      </c>
      <c r="J171" s="3" t="str">
        <f>_xlfn.IFNA(VLOOKUP($E171,Master!$J:$M,3,0),"")</f>
        <v>MFG</v>
      </c>
      <c r="M171" s="50">
        <v>180000</v>
      </c>
      <c r="N171" s="50">
        <v>180000</v>
      </c>
      <c r="O171" s="50">
        <v>180000</v>
      </c>
      <c r="P171" s="50">
        <v>180000</v>
      </c>
      <c r="Q171" s="50">
        <v>180000</v>
      </c>
      <c r="R171" s="50">
        <v>180000</v>
      </c>
      <c r="S171" s="50">
        <v>180000</v>
      </c>
      <c r="T171" s="50">
        <v>180000</v>
      </c>
      <c r="U171" s="50">
        <v>180000</v>
      </c>
      <c r="V171" s="50">
        <v>180000</v>
      </c>
      <c r="W171" s="50">
        <v>180000</v>
      </c>
      <c r="X171" s="50">
        <v>180000</v>
      </c>
      <c r="Y171" s="50">
        <v>180000</v>
      </c>
      <c r="AC171" s="26">
        <f t="shared" si="4"/>
        <v>720000</v>
      </c>
      <c r="AD171" s="26">
        <f t="shared" si="5"/>
        <v>1620000</v>
      </c>
      <c r="AG171" s="53" t="s">
        <v>55</v>
      </c>
    </row>
    <row r="172" spans="1:33" ht="15" customHeight="1">
      <c r="A172" s="46" t="s">
        <v>91</v>
      </c>
      <c r="B172" s="3" t="str">
        <f>_xlfn.IFNA(VLOOKUP(C172,Master!$J:$K,2,0),"")</f>
        <v>B2220</v>
      </c>
      <c r="C172" s="46" t="s">
        <v>83</v>
      </c>
      <c r="D172" s="4" t="str">
        <f>_xlfn.IFNA(VLOOKUP(E172,Master!$J:$K,2,0),"")</f>
        <v>B4410</v>
      </c>
      <c r="E172" s="46" t="s">
        <v>188</v>
      </c>
      <c r="F172" s="4">
        <f>_xlfn.IFNA(VLOOKUP(G172,Master!B:C,2,0),"")</f>
        <v>7511111</v>
      </c>
      <c r="G172" s="46" t="s">
        <v>75</v>
      </c>
      <c r="H172" s="46" t="s">
        <v>540</v>
      </c>
      <c r="I172" s="3" t="str">
        <f>_xlfn.IFNA(VLOOKUP(E172,Master!$J:$M,4,0),"")</f>
        <v>DIR</v>
      </c>
      <c r="J172" s="3" t="str">
        <f>_xlfn.IFNA(VLOOKUP($E172,Master!$J:$M,3,0),"")</f>
        <v>MFG</v>
      </c>
      <c r="M172" s="50">
        <v>345000</v>
      </c>
      <c r="N172" s="50">
        <v>390000</v>
      </c>
      <c r="O172" s="50">
        <v>360000</v>
      </c>
      <c r="P172" s="50">
        <v>315000</v>
      </c>
      <c r="Q172" s="50">
        <v>270000</v>
      </c>
      <c r="R172" s="50">
        <v>330000</v>
      </c>
      <c r="S172" s="50">
        <v>315000</v>
      </c>
      <c r="T172" s="50">
        <v>375000</v>
      </c>
      <c r="U172" s="50">
        <v>360000</v>
      </c>
      <c r="V172" s="50">
        <v>330000</v>
      </c>
      <c r="W172" s="50">
        <v>375000</v>
      </c>
      <c r="X172" s="50">
        <v>345000</v>
      </c>
      <c r="Y172" s="50">
        <v>330000</v>
      </c>
      <c r="AC172" s="26">
        <f t="shared" si="4"/>
        <v>1410000</v>
      </c>
      <c r="AD172" s="26">
        <f t="shared" si="5"/>
        <v>3030000</v>
      </c>
      <c r="AG172" s="53" t="s">
        <v>55</v>
      </c>
    </row>
    <row r="173" spans="1:33" ht="15" customHeight="1">
      <c r="A173" s="46" t="s">
        <v>91</v>
      </c>
      <c r="B173" s="3" t="str">
        <f>_xlfn.IFNA(VLOOKUP(C173,Master!$J:$K,2,0),"")</f>
        <v>B2220</v>
      </c>
      <c r="C173" s="46" t="s">
        <v>83</v>
      </c>
      <c r="D173" s="4" t="str">
        <f>_xlfn.IFNA(VLOOKUP(E173,Master!$J:$K,2,0),"")</f>
        <v>B4410</v>
      </c>
      <c r="E173" s="46" t="s">
        <v>188</v>
      </c>
      <c r="F173" s="4">
        <f>_xlfn.IFNA(VLOOKUP(G173,Master!B:C,2,0),"")</f>
        <v>7511111</v>
      </c>
      <c r="G173" s="46" t="s">
        <v>75</v>
      </c>
      <c r="H173" s="46" t="s">
        <v>538</v>
      </c>
      <c r="I173" s="3" t="str">
        <f>_xlfn.IFNA(VLOOKUP(E173,Master!$J:$M,4,0),"")</f>
        <v>DIR</v>
      </c>
      <c r="J173" s="3" t="str">
        <f>_xlfn.IFNA(VLOOKUP($E173,Master!$J:$M,3,0),"")</f>
        <v>MFG</v>
      </c>
      <c r="M173" s="50">
        <v>900000</v>
      </c>
      <c r="N173" s="50">
        <v>900000</v>
      </c>
      <c r="O173" s="50">
        <v>900000</v>
      </c>
      <c r="P173" s="50">
        <v>900000</v>
      </c>
      <c r="Q173" s="50">
        <v>900000</v>
      </c>
      <c r="R173" s="50">
        <v>900000</v>
      </c>
      <c r="S173" s="50">
        <v>900000</v>
      </c>
      <c r="T173" s="50">
        <v>900000</v>
      </c>
      <c r="U173" s="50">
        <v>900000</v>
      </c>
      <c r="V173" s="50">
        <v>900000</v>
      </c>
      <c r="W173" s="50">
        <v>900000</v>
      </c>
      <c r="X173" s="50">
        <v>900000</v>
      </c>
      <c r="Y173" s="50">
        <v>900000</v>
      </c>
      <c r="AC173" s="26">
        <f t="shared" si="4"/>
        <v>3600000</v>
      </c>
      <c r="AD173" s="26">
        <f t="shared" si="5"/>
        <v>8100000</v>
      </c>
      <c r="AG173" s="53" t="s">
        <v>55</v>
      </c>
    </row>
    <row r="174" spans="1:33" ht="15" customHeight="1">
      <c r="A174" s="46" t="s">
        <v>91</v>
      </c>
      <c r="B174" s="3" t="str">
        <f>_xlfn.IFNA(VLOOKUP(C174,Master!$J:$K,2,0),"")</f>
        <v>B2220</v>
      </c>
      <c r="C174" s="46" t="s">
        <v>83</v>
      </c>
      <c r="D174" s="4" t="str">
        <f>_xlfn.IFNA(VLOOKUP(E174,Master!$J:$K,2,0),"")</f>
        <v>B4430</v>
      </c>
      <c r="E174" s="46" t="s">
        <v>193</v>
      </c>
      <c r="F174" s="4">
        <f>_xlfn.IFNA(VLOOKUP(G174,Master!B:C,2,0),"")</f>
        <v>7511111</v>
      </c>
      <c r="G174" s="46" t="s">
        <v>75</v>
      </c>
      <c r="H174" s="46" t="s">
        <v>533</v>
      </c>
      <c r="I174" s="3" t="str">
        <f>_xlfn.IFNA(VLOOKUP(E174,Master!$J:$M,4,0),"")</f>
        <v>DIR</v>
      </c>
      <c r="J174" s="3" t="str">
        <f>_xlfn.IFNA(VLOOKUP($E174,Master!$J:$M,3,0),"")</f>
        <v>MFG</v>
      </c>
      <c r="M174" s="50">
        <v>22500</v>
      </c>
      <c r="N174" s="50">
        <v>22500</v>
      </c>
      <c r="O174" s="50">
        <v>22500</v>
      </c>
      <c r="P174" s="50">
        <v>22500</v>
      </c>
      <c r="Q174" s="50">
        <v>22500</v>
      </c>
      <c r="R174" s="50">
        <v>22500</v>
      </c>
      <c r="S174" s="50">
        <v>22500</v>
      </c>
      <c r="T174" s="50">
        <v>22500</v>
      </c>
      <c r="U174" s="50">
        <v>22500</v>
      </c>
      <c r="V174" s="50">
        <v>22500</v>
      </c>
      <c r="W174" s="50">
        <v>22500</v>
      </c>
      <c r="X174" s="50">
        <v>22500</v>
      </c>
      <c r="Y174" s="50">
        <v>22500</v>
      </c>
      <c r="AC174" s="26">
        <f t="shared" si="4"/>
        <v>90000</v>
      </c>
      <c r="AD174" s="26">
        <f t="shared" si="5"/>
        <v>202500</v>
      </c>
      <c r="AG174" s="53" t="s">
        <v>55</v>
      </c>
    </row>
    <row r="175" spans="1:33" ht="15" customHeight="1">
      <c r="A175" s="46" t="s">
        <v>91</v>
      </c>
      <c r="B175" s="3" t="str">
        <f>_xlfn.IFNA(VLOOKUP(C175,Master!$J:$K,2,0),"")</f>
        <v>B2220</v>
      </c>
      <c r="C175" s="46" t="s">
        <v>83</v>
      </c>
      <c r="D175" s="4" t="str">
        <f>_xlfn.IFNA(VLOOKUP(E175,Master!$J:$K,2,0),"")</f>
        <v>B4430</v>
      </c>
      <c r="E175" s="46" t="s">
        <v>193</v>
      </c>
      <c r="F175" s="4">
        <f>_xlfn.IFNA(VLOOKUP(G175,Master!B:C,2,0),"")</f>
        <v>7511111</v>
      </c>
      <c r="G175" s="46" t="s">
        <v>75</v>
      </c>
      <c r="H175" s="46" t="s">
        <v>534</v>
      </c>
      <c r="I175" s="3" t="str">
        <f>_xlfn.IFNA(VLOOKUP(E175,Master!$J:$M,4,0),"")</f>
        <v>DIR</v>
      </c>
      <c r="J175" s="3" t="str">
        <f>_xlfn.IFNA(VLOOKUP($E175,Master!$J:$M,3,0),"")</f>
        <v>MFG</v>
      </c>
      <c r="M175" s="50">
        <v>2173500</v>
      </c>
      <c r="N175" s="50">
        <v>2457000</v>
      </c>
      <c r="O175" s="50">
        <v>2268000</v>
      </c>
      <c r="P175" s="50">
        <v>1984500</v>
      </c>
      <c r="Q175" s="50">
        <v>1701000</v>
      </c>
      <c r="R175" s="50">
        <v>2079000</v>
      </c>
      <c r="S175" s="50">
        <v>1984500</v>
      </c>
      <c r="T175" s="50">
        <v>2362500</v>
      </c>
      <c r="U175" s="50">
        <v>2268000</v>
      </c>
      <c r="V175" s="50">
        <v>2079000</v>
      </c>
      <c r="W175" s="50">
        <v>2362500</v>
      </c>
      <c r="X175" s="50">
        <v>2173500</v>
      </c>
      <c r="Y175" s="50">
        <v>2079000</v>
      </c>
      <c r="AC175" s="26">
        <f t="shared" si="4"/>
        <v>8883000</v>
      </c>
      <c r="AD175" s="26">
        <f t="shared" si="5"/>
        <v>19089000</v>
      </c>
      <c r="AG175" s="53" t="s">
        <v>55</v>
      </c>
    </row>
    <row r="176" spans="1:33" ht="15" customHeight="1">
      <c r="A176" s="46" t="s">
        <v>91</v>
      </c>
      <c r="B176" s="3" t="str">
        <f>_xlfn.IFNA(VLOOKUP(C176,Master!$J:$K,2,0),"")</f>
        <v>B2220</v>
      </c>
      <c r="C176" s="46" t="s">
        <v>83</v>
      </c>
      <c r="D176" s="4" t="str">
        <f>_xlfn.IFNA(VLOOKUP(E176,Master!$J:$K,2,0),"")</f>
        <v>B4430</v>
      </c>
      <c r="E176" s="46" t="s">
        <v>193</v>
      </c>
      <c r="F176" s="4">
        <f>_xlfn.IFNA(VLOOKUP(G176,Master!B:C,2,0),"")</f>
        <v>7511111</v>
      </c>
      <c r="G176" s="46" t="s">
        <v>75</v>
      </c>
      <c r="H176" s="46" t="s">
        <v>535</v>
      </c>
      <c r="I176" s="3" t="str">
        <f>_xlfn.IFNA(VLOOKUP(E176,Master!$J:$M,4,0),"")</f>
        <v>DIR</v>
      </c>
      <c r="J176" s="3" t="str">
        <f>_xlfn.IFNA(VLOOKUP($E176,Master!$J:$M,3,0),"")</f>
        <v>MFG</v>
      </c>
      <c r="M176" s="50">
        <v>500000</v>
      </c>
      <c r="N176" s="50">
        <v>500000</v>
      </c>
      <c r="O176" s="50">
        <v>500000</v>
      </c>
      <c r="P176" s="50">
        <v>500000</v>
      </c>
      <c r="Q176" s="50">
        <v>500000</v>
      </c>
      <c r="R176" s="50">
        <v>500000</v>
      </c>
      <c r="S176" s="50">
        <v>500000</v>
      </c>
      <c r="T176" s="50">
        <v>500000</v>
      </c>
      <c r="U176" s="50">
        <v>500000</v>
      </c>
      <c r="V176" s="50">
        <v>500000</v>
      </c>
      <c r="W176" s="50">
        <v>500000</v>
      </c>
      <c r="X176" s="50">
        <v>500000</v>
      </c>
      <c r="Y176" s="50">
        <v>500000</v>
      </c>
      <c r="AC176" s="26">
        <f t="shared" si="4"/>
        <v>2000000</v>
      </c>
      <c r="AD176" s="26">
        <f t="shared" si="5"/>
        <v>4500000</v>
      </c>
      <c r="AG176" s="53" t="s">
        <v>55</v>
      </c>
    </row>
    <row r="177" spans="1:33" ht="15" customHeight="1">
      <c r="A177" s="46" t="s">
        <v>91</v>
      </c>
      <c r="B177" s="3" t="str">
        <f>_xlfn.IFNA(VLOOKUP(C177,Master!$J:$K,2,0),"")</f>
        <v>B2220</v>
      </c>
      <c r="C177" s="46" t="s">
        <v>83</v>
      </c>
      <c r="D177" s="4" t="str">
        <f>_xlfn.IFNA(VLOOKUP(E177,Master!$J:$K,2,0),"")</f>
        <v>B4430</v>
      </c>
      <c r="E177" s="46" t="s">
        <v>193</v>
      </c>
      <c r="F177" s="4">
        <f>_xlfn.IFNA(VLOOKUP(G177,Master!B:C,2,0),"")</f>
        <v>7511111</v>
      </c>
      <c r="G177" s="46" t="s">
        <v>75</v>
      </c>
      <c r="H177" s="46" t="s">
        <v>536</v>
      </c>
      <c r="I177" s="3" t="str">
        <f>_xlfn.IFNA(VLOOKUP(E177,Master!$J:$M,4,0),"")</f>
        <v>DIR</v>
      </c>
      <c r="J177" s="3" t="str">
        <f>_xlfn.IFNA(VLOOKUP($E177,Master!$J:$M,3,0),"")</f>
        <v>MFG</v>
      </c>
      <c r="P177" s="50">
        <v>920000</v>
      </c>
      <c r="Q177" s="50">
        <v>460000</v>
      </c>
      <c r="AC177" s="26">
        <f t="shared" si="4"/>
        <v>920000</v>
      </c>
      <c r="AD177" s="26">
        <f t="shared" si="5"/>
        <v>460000</v>
      </c>
      <c r="AG177" s="53" t="s">
        <v>55</v>
      </c>
    </row>
    <row r="178" spans="1:33" ht="15" customHeight="1">
      <c r="A178" s="46" t="s">
        <v>91</v>
      </c>
      <c r="B178" s="3" t="str">
        <f>_xlfn.IFNA(VLOOKUP(C178,Master!$J:$K,2,0),"")</f>
        <v>B2220</v>
      </c>
      <c r="C178" s="46" t="s">
        <v>83</v>
      </c>
      <c r="D178" s="4" t="str">
        <f>_xlfn.IFNA(VLOOKUP(E178,Master!$J:$K,2,0),"")</f>
        <v>B4430</v>
      </c>
      <c r="E178" s="46" t="s">
        <v>193</v>
      </c>
      <c r="F178" s="4">
        <f>_xlfn.IFNA(VLOOKUP(G178,Master!B:C,2,0),"")</f>
        <v>7511111</v>
      </c>
      <c r="G178" s="46" t="s">
        <v>75</v>
      </c>
      <c r="H178" s="46" t="s">
        <v>537</v>
      </c>
      <c r="I178" s="3" t="str">
        <f>_xlfn.IFNA(VLOOKUP(E178,Master!$J:$M,4,0),"")</f>
        <v>DIR</v>
      </c>
      <c r="J178" s="3" t="str">
        <f>_xlfn.IFNA(VLOOKUP($E178,Master!$J:$M,3,0),"")</f>
        <v>MFG</v>
      </c>
      <c r="M178" s="50">
        <v>280000</v>
      </c>
      <c r="N178" s="50">
        <v>280000</v>
      </c>
      <c r="O178" s="50">
        <v>280000</v>
      </c>
      <c r="P178" s="50">
        <v>280000</v>
      </c>
      <c r="Q178" s="50">
        <v>280000</v>
      </c>
      <c r="R178" s="50">
        <v>280000</v>
      </c>
      <c r="S178" s="50">
        <v>280000</v>
      </c>
      <c r="T178" s="50">
        <v>280000</v>
      </c>
      <c r="U178" s="50">
        <v>280000</v>
      </c>
      <c r="V178" s="50">
        <v>280000</v>
      </c>
      <c r="W178" s="50">
        <v>280000</v>
      </c>
      <c r="X178" s="50">
        <v>280000</v>
      </c>
      <c r="Y178" s="50">
        <v>280000</v>
      </c>
      <c r="AC178" s="26">
        <f t="shared" si="4"/>
        <v>1120000</v>
      </c>
      <c r="AD178" s="26">
        <f t="shared" si="5"/>
        <v>2520000</v>
      </c>
      <c r="AG178" s="53" t="s">
        <v>55</v>
      </c>
    </row>
    <row r="179" spans="1:33" ht="15" customHeight="1">
      <c r="A179" s="46" t="s">
        <v>91</v>
      </c>
      <c r="B179" s="3" t="str">
        <f>_xlfn.IFNA(VLOOKUP(C179,Master!$J:$K,2,0),"")</f>
        <v>B2220</v>
      </c>
      <c r="C179" s="46" t="s">
        <v>83</v>
      </c>
      <c r="D179" s="4" t="str">
        <f>_xlfn.IFNA(VLOOKUP(E179,Master!$J:$K,2,0),"")</f>
        <v>B4430</v>
      </c>
      <c r="E179" s="46" t="s">
        <v>193</v>
      </c>
      <c r="F179" s="4">
        <f>_xlfn.IFNA(VLOOKUP(G179,Master!B:C,2,0),"")</f>
        <v>7511111</v>
      </c>
      <c r="G179" s="46" t="s">
        <v>75</v>
      </c>
      <c r="H179" s="46" t="s">
        <v>540</v>
      </c>
      <c r="I179" s="3" t="str">
        <f>_xlfn.IFNA(VLOOKUP(E179,Master!$J:$M,4,0),"")</f>
        <v>DIR</v>
      </c>
      <c r="J179" s="3" t="str">
        <f>_xlfn.IFNA(VLOOKUP($E179,Master!$J:$M,3,0),"")</f>
        <v>MFG</v>
      </c>
      <c r="M179" s="50">
        <v>575000</v>
      </c>
      <c r="N179" s="50">
        <v>650000</v>
      </c>
      <c r="O179" s="50">
        <v>600000</v>
      </c>
      <c r="P179" s="50">
        <v>525000</v>
      </c>
      <c r="Q179" s="50">
        <v>450000</v>
      </c>
      <c r="R179" s="50">
        <v>550000</v>
      </c>
      <c r="S179" s="50">
        <v>525000</v>
      </c>
      <c r="T179" s="50">
        <v>625000</v>
      </c>
      <c r="U179" s="50">
        <v>600000</v>
      </c>
      <c r="V179" s="50">
        <v>550000</v>
      </c>
      <c r="W179" s="50">
        <v>625000</v>
      </c>
      <c r="X179" s="50">
        <v>575000</v>
      </c>
      <c r="Y179" s="50">
        <v>550000</v>
      </c>
      <c r="AC179" s="26">
        <f t="shared" si="4"/>
        <v>2350000</v>
      </c>
      <c r="AD179" s="26">
        <f t="shared" si="5"/>
        <v>5050000</v>
      </c>
      <c r="AG179" s="53" t="s">
        <v>55</v>
      </c>
    </row>
    <row r="180" spans="1:33" ht="15" customHeight="1">
      <c r="A180" s="46" t="s">
        <v>91</v>
      </c>
      <c r="B180" s="3" t="str">
        <f>_xlfn.IFNA(VLOOKUP(C180,Master!$J:$K,2,0),"")</f>
        <v>B2220</v>
      </c>
      <c r="C180" s="46" t="s">
        <v>83</v>
      </c>
      <c r="D180" s="4" t="str">
        <f>_xlfn.IFNA(VLOOKUP(E180,Master!$J:$K,2,0),"")</f>
        <v>B4430</v>
      </c>
      <c r="E180" s="46" t="s">
        <v>193</v>
      </c>
      <c r="F180" s="4">
        <f>_xlfn.IFNA(VLOOKUP(G180,Master!B:C,2,0),"")</f>
        <v>7511111</v>
      </c>
      <c r="G180" s="46" t="s">
        <v>75</v>
      </c>
      <c r="H180" s="46" t="s">
        <v>538</v>
      </c>
      <c r="I180" s="3" t="str">
        <f>_xlfn.IFNA(VLOOKUP(E180,Master!$J:$M,4,0),"")</f>
        <v>DIR</v>
      </c>
      <c r="J180" s="3" t="str">
        <f>_xlfn.IFNA(VLOOKUP($E180,Master!$J:$M,3,0),"")</f>
        <v>MFG</v>
      </c>
      <c r="M180" s="50">
        <v>1500000</v>
      </c>
      <c r="N180" s="50">
        <v>1500000</v>
      </c>
      <c r="O180" s="50">
        <v>1500000</v>
      </c>
      <c r="P180" s="50">
        <v>1500000</v>
      </c>
      <c r="Q180" s="50">
        <v>1500000</v>
      </c>
      <c r="R180" s="50">
        <v>1500000</v>
      </c>
      <c r="S180" s="50">
        <v>1500000</v>
      </c>
      <c r="T180" s="50">
        <v>1500000</v>
      </c>
      <c r="U180" s="50">
        <v>1500000</v>
      </c>
      <c r="V180" s="50">
        <v>1500000</v>
      </c>
      <c r="W180" s="50">
        <v>1500000</v>
      </c>
      <c r="X180" s="50">
        <v>1500000</v>
      </c>
      <c r="Y180" s="50">
        <v>1500000</v>
      </c>
      <c r="AC180" s="26">
        <f t="shared" si="4"/>
        <v>6000000</v>
      </c>
      <c r="AD180" s="26">
        <f t="shared" si="5"/>
        <v>13500000</v>
      </c>
      <c r="AG180" s="53" t="s">
        <v>55</v>
      </c>
    </row>
    <row r="181" spans="1:33" ht="15" customHeight="1">
      <c r="A181" s="46" t="s">
        <v>91</v>
      </c>
      <c r="B181" s="3" t="str">
        <f>_xlfn.IFNA(VLOOKUP(C181,Master!$J:$K,2,0),"")</f>
        <v>B2220</v>
      </c>
      <c r="C181" s="46" t="s">
        <v>83</v>
      </c>
      <c r="D181" s="4" t="str">
        <f>_xlfn.IFNA(VLOOKUP(E181,Master!$J:$K,2,0),"")</f>
        <v>B4440</v>
      </c>
      <c r="E181" s="46" t="s">
        <v>198</v>
      </c>
      <c r="F181" s="4">
        <f>_xlfn.IFNA(VLOOKUP(G181,Master!B:C,2,0),"")</f>
        <v>7511111</v>
      </c>
      <c r="G181" s="46" t="s">
        <v>75</v>
      </c>
      <c r="H181" s="46" t="s">
        <v>533</v>
      </c>
      <c r="I181" s="3" t="str">
        <f>_xlfn.IFNA(VLOOKUP(E181,Master!$J:$M,4,0),"")</f>
        <v>DIR</v>
      </c>
      <c r="J181" s="3" t="str">
        <f>_xlfn.IFNA(VLOOKUP($E181,Master!$J:$M,3,0),"")</f>
        <v>MFG</v>
      </c>
      <c r="M181" s="50">
        <v>22500</v>
      </c>
      <c r="N181" s="50">
        <v>22500</v>
      </c>
      <c r="O181" s="50">
        <v>18000</v>
      </c>
      <c r="P181" s="50">
        <v>18000</v>
      </c>
      <c r="Q181" s="50">
        <v>18000</v>
      </c>
      <c r="R181" s="50">
        <v>18000</v>
      </c>
      <c r="S181" s="50">
        <v>18000</v>
      </c>
      <c r="T181" s="50">
        <v>18000</v>
      </c>
      <c r="U181" s="50">
        <v>18000</v>
      </c>
      <c r="V181" s="50">
        <v>18000</v>
      </c>
      <c r="W181" s="50">
        <v>18000</v>
      </c>
      <c r="X181" s="50">
        <v>18000</v>
      </c>
      <c r="Y181" s="50">
        <v>13500</v>
      </c>
      <c r="AC181" s="26">
        <f t="shared" si="4"/>
        <v>81000</v>
      </c>
      <c r="AD181" s="26">
        <f t="shared" si="5"/>
        <v>157500</v>
      </c>
      <c r="AG181" s="53" t="s">
        <v>55</v>
      </c>
    </row>
    <row r="182" spans="1:33" ht="15" customHeight="1">
      <c r="A182" s="46" t="s">
        <v>91</v>
      </c>
      <c r="B182" s="3" t="str">
        <f>_xlfn.IFNA(VLOOKUP(C182,Master!$J:$K,2,0),"")</f>
        <v>B2220</v>
      </c>
      <c r="C182" s="46" t="s">
        <v>83</v>
      </c>
      <c r="D182" s="4" t="str">
        <f>_xlfn.IFNA(VLOOKUP(E182,Master!$J:$K,2,0),"")</f>
        <v>B4440</v>
      </c>
      <c r="E182" s="46" t="s">
        <v>198</v>
      </c>
      <c r="F182" s="4">
        <f>_xlfn.IFNA(VLOOKUP(G182,Master!B:C,2,0),"")</f>
        <v>7511111</v>
      </c>
      <c r="G182" s="46" t="s">
        <v>75</v>
      </c>
      <c r="H182" s="46" t="s">
        <v>534</v>
      </c>
      <c r="I182" s="3" t="str">
        <f>_xlfn.IFNA(VLOOKUP(E182,Master!$J:$M,4,0),"")</f>
        <v>DIR</v>
      </c>
      <c r="J182" s="3" t="str">
        <f>_xlfn.IFNA(VLOOKUP($E182,Master!$J:$M,3,0),"")</f>
        <v>MFG</v>
      </c>
      <c r="M182" s="50">
        <v>2173500</v>
      </c>
      <c r="N182" s="50">
        <v>2457000</v>
      </c>
      <c r="O182" s="50">
        <v>1814400</v>
      </c>
      <c r="P182" s="50">
        <v>1587600</v>
      </c>
      <c r="Q182" s="50">
        <v>1360800</v>
      </c>
      <c r="R182" s="50">
        <v>1663200</v>
      </c>
      <c r="S182" s="50">
        <v>1587600</v>
      </c>
      <c r="T182" s="50">
        <v>1890000</v>
      </c>
      <c r="U182" s="50">
        <v>1814400</v>
      </c>
      <c r="V182" s="50">
        <v>1663200</v>
      </c>
      <c r="W182" s="50">
        <v>1890000</v>
      </c>
      <c r="X182" s="50">
        <v>1738800</v>
      </c>
      <c r="Y182" s="50">
        <v>1247400</v>
      </c>
      <c r="AC182" s="26">
        <f t="shared" si="4"/>
        <v>8032500</v>
      </c>
      <c r="AD182" s="26">
        <f t="shared" si="5"/>
        <v>14855400</v>
      </c>
      <c r="AG182" s="53" t="s">
        <v>55</v>
      </c>
    </row>
    <row r="183" spans="1:33" ht="15" customHeight="1">
      <c r="A183" s="46" t="s">
        <v>91</v>
      </c>
      <c r="B183" s="3" t="str">
        <f>_xlfn.IFNA(VLOOKUP(C183,Master!$J:$K,2,0),"")</f>
        <v>B2220</v>
      </c>
      <c r="C183" s="46" t="s">
        <v>83</v>
      </c>
      <c r="D183" s="4" t="str">
        <f>_xlfn.IFNA(VLOOKUP(E183,Master!$J:$K,2,0),"")</f>
        <v>B4440</v>
      </c>
      <c r="E183" s="46" t="s">
        <v>198</v>
      </c>
      <c r="F183" s="4">
        <f>_xlfn.IFNA(VLOOKUP(G183,Master!B:C,2,0),"")</f>
        <v>7511111</v>
      </c>
      <c r="G183" s="46" t="s">
        <v>75</v>
      </c>
      <c r="H183" s="46" t="s">
        <v>535</v>
      </c>
      <c r="I183" s="3" t="str">
        <f>_xlfn.IFNA(VLOOKUP(E183,Master!$J:$M,4,0),"")</f>
        <v>DIR</v>
      </c>
      <c r="J183" s="3" t="str">
        <f>_xlfn.IFNA(VLOOKUP($E183,Master!$J:$M,3,0),"")</f>
        <v>MFG</v>
      </c>
      <c r="M183" s="50">
        <v>50000</v>
      </c>
      <c r="N183" s="50">
        <v>50000</v>
      </c>
      <c r="O183" s="50">
        <v>50000</v>
      </c>
      <c r="P183" s="50">
        <v>50000</v>
      </c>
      <c r="Q183" s="50">
        <v>50000</v>
      </c>
      <c r="R183" s="50">
        <v>50000</v>
      </c>
      <c r="S183" s="50">
        <v>50000</v>
      </c>
      <c r="T183" s="50">
        <v>50000</v>
      </c>
      <c r="U183" s="50">
        <v>50000</v>
      </c>
      <c r="V183" s="50">
        <v>50000</v>
      </c>
      <c r="W183" s="50">
        <v>50000</v>
      </c>
      <c r="X183" s="50">
        <v>50000</v>
      </c>
      <c r="Y183" s="50">
        <v>50000</v>
      </c>
      <c r="AC183" s="26">
        <f t="shared" si="4"/>
        <v>200000</v>
      </c>
      <c r="AD183" s="26">
        <f t="shared" si="5"/>
        <v>450000</v>
      </c>
      <c r="AG183" s="53" t="s">
        <v>55</v>
      </c>
    </row>
    <row r="184" spans="1:33" ht="15" customHeight="1">
      <c r="A184" s="46" t="s">
        <v>91</v>
      </c>
      <c r="B184" s="3" t="str">
        <f>_xlfn.IFNA(VLOOKUP(C184,Master!$J:$K,2,0),"")</f>
        <v>B2220</v>
      </c>
      <c r="C184" s="46" t="s">
        <v>83</v>
      </c>
      <c r="D184" s="4" t="str">
        <f>_xlfn.IFNA(VLOOKUP(E184,Master!$J:$K,2,0),"")</f>
        <v>B4440</v>
      </c>
      <c r="E184" s="46" t="s">
        <v>198</v>
      </c>
      <c r="F184" s="4">
        <f>_xlfn.IFNA(VLOOKUP(G184,Master!B:C,2,0),"")</f>
        <v>7511111</v>
      </c>
      <c r="G184" s="46" t="s">
        <v>75</v>
      </c>
      <c r="H184" s="46" t="s">
        <v>536</v>
      </c>
      <c r="I184" s="3" t="str">
        <f>_xlfn.IFNA(VLOOKUP(E184,Master!$J:$M,4,0),"")</f>
        <v>DIR</v>
      </c>
      <c r="J184" s="3" t="str">
        <f>_xlfn.IFNA(VLOOKUP($E184,Master!$J:$M,3,0),"")</f>
        <v>MFG</v>
      </c>
      <c r="P184" s="50">
        <v>736000</v>
      </c>
      <c r="Q184" s="50">
        <v>368000</v>
      </c>
      <c r="AC184" s="26">
        <f t="shared" si="4"/>
        <v>736000</v>
      </c>
      <c r="AD184" s="26">
        <f t="shared" si="5"/>
        <v>368000</v>
      </c>
      <c r="AG184" s="53" t="s">
        <v>55</v>
      </c>
    </row>
    <row r="185" spans="1:33" ht="15" customHeight="1">
      <c r="A185" s="46" t="s">
        <v>91</v>
      </c>
      <c r="B185" s="3" t="str">
        <f>_xlfn.IFNA(VLOOKUP(C185,Master!$J:$K,2,0),"")</f>
        <v>B2220</v>
      </c>
      <c r="C185" s="46" t="s">
        <v>83</v>
      </c>
      <c r="D185" s="4" t="str">
        <f>_xlfn.IFNA(VLOOKUP(E185,Master!$J:$K,2,0),"")</f>
        <v>B4440</v>
      </c>
      <c r="E185" s="46" t="s">
        <v>198</v>
      </c>
      <c r="F185" s="4">
        <f>_xlfn.IFNA(VLOOKUP(G185,Master!B:C,2,0),"")</f>
        <v>7511111</v>
      </c>
      <c r="G185" s="46" t="s">
        <v>75</v>
      </c>
      <c r="H185" s="46" t="s">
        <v>537</v>
      </c>
      <c r="I185" s="3" t="str">
        <f>_xlfn.IFNA(VLOOKUP(E185,Master!$J:$M,4,0),"")</f>
        <v>DIR</v>
      </c>
      <c r="J185" s="3" t="str">
        <f>_xlfn.IFNA(VLOOKUP($E185,Master!$J:$M,3,0),"")</f>
        <v>MFG</v>
      </c>
      <c r="M185" s="50">
        <v>260000</v>
      </c>
      <c r="N185" s="50">
        <v>260000</v>
      </c>
      <c r="O185" s="50">
        <v>200000</v>
      </c>
      <c r="P185" s="50">
        <v>200000</v>
      </c>
      <c r="Q185" s="50">
        <v>200000</v>
      </c>
      <c r="R185" s="50">
        <v>200000</v>
      </c>
      <c r="S185" s="50">
        <v>200000</v>
      </c>
      <c r="T185" s="50">
        <v>200000</v>
      </c>
      <c r="U185" s="50">
        <v>200000</v>
      </c>
      <c r="V185" s="50">
        <v>200000</v>
      </c>
      <c r="W185" s="50">
        <v>200000</v>
      </c>
      <c r="X185" s="50">
        <v>200000</v>
      </c>
      <c r="Y185" s="50">
        <v>140000</v>
      </c>
      <c r="AC185" s="26">
        <f t="shared" si="4"/>
        <v>920000</v>
      </c>
      <c r="AD185" s="26">
        <f t="shared" si="5"/>
        <v>1740000</v>
      </c>
      <c r="AG185" s="53" t="s">
        <v>55</v>
      </c>
    </row>
    <row r="186" spans="1:33" ht="15" customHeight="1">
      <c r="A186" s="46" t="s">
        <v>91</v>
      </c>
      <c r="B186" s="3" t="str">
        <f>_xlfn.IFNA(VLOOKUP(C186,Master!$J:$K,2,0),"")</f>
        <v>B2220</v>
      </c>
      <c r="C186" s="46" t="s">
        <v>83</v>
      </c>
      <c r="D186" s="4" t="str">
        <f>_xlfn.IFNA(VLOOKUP(E186,Master!$J:$K,2,0),"")</f>
        <v>B4440</v>
      </c>
      <c r="E186" s="46" t="s">
        <v>198</v>
      </c>
      <c r="F186" s="4">
        <f>_xlfn.IFNA(VLOOKUP(G186,Master!B:C,2,0),"")</f>
        <v>7511111</v>
      </c>
      <c r="G186" s="46" t="s">
        <v>75</v>
      </c>
      <c r="H186" s="46" t="s">
        <v>540</v>
      </c>
      <c r="I186" s="3" t="str">
        <f>_xlfn.IFNA(VLOOKUP(E186,Master!$J:$M,4,0),"")</f>
        <v>DIR</v>
      </c>
      <c r="J186" s="3" t="str">
        <f>_xlfn.IFNA(VLOOKUP($E186,Master!$J:$M,3,0),"")</f>
        <v>MFG</v>
      </c>
      <c r="M186" s="50">
        <v>575000</v>
      </c>
      <c r="N186" s="50">
        <v>650000</v>
      </c>
      <c r="O186" s="50">
        <v>480000</v>
      </c>
      <c r="P186" s="50">
        <v>420000</v>
      </c>
      <c r="Q186" s="50">
        <v>360000</v>
      </c>
      <c r="R186" s="50">
        <v>440000</v>
      </c>
      <c r="S186" s="50">
        <v>420000</v>
      </c>
      <c r="T186" s="50">
        <v>500000</v>
      </c>
      <c r="U186" s="50">
        <v>480000</v>
      </c>
      <c r="V186" s="50">
        <v>440000</v>
      </c>
      <c r="W186" s="50">
        <v>500000</v>
      </c>
      <c r="X186" s="50">
        <v>460000</v>
      </c>
      <c r="Y186" s="50">
        <v>330000</v>
      </c>
      <c r="AC186" s="26">
        <f t="shared" si="4"/>
        <v>2125000</v>
      </c>
      <c r="AD186" s="26">
        <f t="shared" si="5"/>
        <v>3930000</v>
      </c>
      <c r="AG186" s="53" t="s">
        <v>55</v>
      </c>
    </row>
    <row r="187" spans="1:33" ht="15" customHeight="1">
      <c r="A187" s="46" t="s">
        <v>91</v>
      </c>
      <c r="B187" s="3" t="str">
        <f>_xlfn.IFNA(VLOOKUP(C187,Master!$J:$K,2,0),"")</f>
        <v>B2220</v>
      </c>
      <c r="C187" s="46" t="s">
        <v>83</v>
      </c>
      <c r="D187" s="4" t="str">
        <f>_xlfn.IFNA(VLOOKUP(E187,Master!$J:$K,2,0),"")</f>
        <v>B4440</v>
      </c>
      <c r="E187" s="46" t="s">
        <v>198</v>
      </c>
      <c r="F187" s="4">
        <f>_xlfn.IFNA(VLOOKUP(G187,Master!B:C,2,0),"")</f>
        <v>7511111</v>
      </c>
      <c r="G187" s="46" t="s">
        <v>75</v>
      </c>
      <c r="H187" s="46" t="s">
        <v>538</v>
      </c>
      <c r="I187" s="3" t="str">
        <f>_xlfn.IFNA(VLOOKUP(E187,Master!$J:$M,4,0),"")</f>
        <v>DIR</v>
      </c>
      <c r="J187" s="3" t="str">
        <f>_xlfn.IFNA(VLOOKUP($E187,Master!$J:$M,3,0),"")</f>
        <v>MFG</v>
      </c>
      <c r="M187" s="50">
        <v>1500000</v>
      </c>
      <c r="N187" s="50">
        <v>1500000</v>
      </c>
      <c r="O187" s="50">
        <v>1200000</v>
      </c>
      <c r="P187" s="50">
        <v>1200000</v>
      </c>
      <c r="Q187" s="50">
        <v>1200000</v>
      </c>
      <c r="R187" s="50">
        <v>1200000</v>
      </c>
      <c r="S187" s="50">
        <v>1200000</v>
      </c>
      <c r="T187" s="50">
        <v>1200000</v>
      </c>
      <c r="U187" s="50">
        <v>1200000</v>
      </c>
      <c r="V187" s="50">
        <v>1200000</v>
      </c>
      <c r="W187" s="50">
        <v>1200000</v>
      </c>
      <c r="X187" s="50">
        <v>1200000</v>
      </c>
      <c r="Y187" s="50">
        <v>900000</v>
      </c>
      <c r="AC187" s="26">
        <f t="shared" si="4"/>
        <v>5400000</v>
      </c>
      <c r="AD187" s="26">
        <f t="shared" si="5"/>
        <v>10500000</v>
      </c>
      <c r="AG187" s="53" t="s">
        <v>55</v>
      </c>
    </row>
    <row r="188" spans="1:33" ht="15" customHeight="1">
      <c r="A188" s="46" t="s">
        <v>91</v>
      </c>
      <c r="B188" s="3" t="str">
        <f>_xlfn.IFNA(VLOOKUP(C188,Master!$J:$K,2,0),"")</f>
        <v>B2220</v>
      </c>
      <c r="C188" s="46" t="s">
        <v>83</v>
      </c>
      <c r="D188" s="4" t="str">
        <f>_xlfn.IFNA(VLOOKUP(E188,Master!$J:$K,2,0),"")</f>
        <v>B5100</v>
      </c>
      <c r="E188" s="46" t="s">
        <v>211</v>
      </c>
      <c r="F188" s="4">
        <f>_xlfn.IFNA(VLOOKUP(G188,Master!B:C,2,0),"")</f>
        <v>7511111</v>
      </c>
      <c r="G188" s="46" t="s">
        <v>75</v>
      </c>
      <c r="H188" s="46" t="s">
        <v>533</v>
      </c>
      <c r="I188" s="3" t="str">
        <f>_xlfn.IFNA(VLOOKUP(E188,Master!$J:$M,4,0),"")</f>
        <v>IND</v>
      </c>
      <c r="J188" s="3" t="str">
        <f>_xlfn.IFNA(VLOOKUP($E188,Master!$J:$M,3,0),"")</f>
        <v>MFG</v>
      </c>
      <c r="M188" s="50">
        <v>22500</v>
      </c>
      <c r="N188" s="50">
        <v>22500</v>
      </c>
      <c r="O188" s="50">
        <v>22500</v>
      </c>
      <c r="P188" s="50">
        <v>22500</v>
      </c>
      <c r="Q188" s="50">
        <v>22500</v>
      </c>
      <c r="R188" s="50">
        <v>22500</v>
      </c>
      <c r="S188" s="50">
        <v>22500</v>
      </c>
      <c r="T188" s="50">
        <v>22500</v>
      </c>
      <c r="U188" s="50">
        <v>22500</v>
      </c>
      <c r="V188" s="50">
        <v>22500</v>
      </c>
      <c r="W188" s="50">
        <v>22500</v>
      </c>
      <c r="X188" s="50">
        <v>22500</v>
      </c>
      <c r="Y188" s="50">
        <v>22500</v>
      </c>
      <c r="Z188" s="50">
        <v>22500</v>
      </c>
      <c r="AA188" s="50">
        <v>22500</v>
      </c>
      <c r="AB188" s="50">
        <v>22500</v>
      </c>
      <c r="AC188" s="26">
        <f t="shared" si="4"/>
        <v>90000</v>
      </c>
      <c r="AD188" s="26">
        <f t="shared" si="5"/>
        <v>270000</v>
      </c>
      <c r="AE188" s="50">
        <v>270000</v>
      </c>
      <c r="AF188" s="50">
        <v>270000</v>
      </c>
      <c r="AG188" s="53" t="s">
        <v>55</v>
      </c>
    </row>
    <row r="189" spans="1:33" ht="15" customHeight="1">
      <c r="A189" s="46" t="s">
        <v>91</v>
      </c>
      <c r="B189" s="3" t="str">
        <f>_xlfn.IFNA(VLOOKUP(C189,Master!$J:$K,2,0),"")</f>
        <v>B2220</v>
      </c>
      <c r="C189" s="46" t="s">
        <v>83</v>
      </c>
      <c r="D189" s="4" t="str">
        <f>_xlfn.IFNA(VLOOKUP(E189,Master!$J:$K,2,0),"")</f>
        <v>B5100</v>
      </c>
      <c r="E189" s="46" t="s">
        <v>211</v>
      </c>
      <c r="F189" s="4">
        <f>_xlfn.IFNA(VLOOKUP(G189,Master!B:C,2,0),"")</f>
        <v>7511111</v>
      </c>
      <c r="G189" s="46" t="s">
        <v>75</v>
      </c>
      <c r="H189" s="46" t="s">
        <v>534</v>
      </c>
      <c r="I189" s="3" t="str">
        <f>_xlfn.IFNA(VLOOKUP(E189,Master!$J:$M,4,0),"")</f>
        <v>IND</v>
      </c>
      <c r="J189" s="3" t="str">
        <f>_xlfn.IFNA(VLOOKUP($E189,Master!$J:$M,3,0),"")</f>
        <v>MFG</v>
      </c>
      <c r="M189" s="50">
        <v>32500000</v>
      </c>
      <c r="N189" s="50">
        <v>32500000</v>
      </c>
      <c r="O189" s="50">
        <v>32500000</v>
      </c>
      <c r="P189" s="50">
        <v>32500000</v>
      </c>
      <c r="Q189" s="50">
        <v>40500000</v>
      </c>
      <c r="R189" s="50">
        <v>40500000</v>
      </c>
      <c r="S189" s="50">
        <v>40500000</v>
      </c>
      <c r="T189" s="50">
        <v>40500000</v>
      </c>
      <c r="U189" s="50">
        <v>40500000</v>
      </c>
      <c r="V189" s="50">
        <v>40500000</v>
      </c>
      <c r="W189" s="50">
        <v>40500000</v>
      </c>
      <c r="X189" s="50">
        <v>40500000</v>
      </c>
      <c r="Y189" s="50">
        <v>40500000</v>
      </c>
      <c r="Z189" s="50">
        <v>40500000</v>
      </c>
      <c r="AA189" s="50">
        <v>40500000</v>
      </c>
      <c r="AB189" s="50">
        <v>40500000</v>
      </c>
      <c r="AC189" s="26">
        <f t="shared" si="4"/>
        <v>130000000</v>
      </c>
      <c r="AD189" s="26">
        <f t="shared" si="5"/>
        <v>486000000</v>
      </c>
      <c r="AE189" s="50">
        <v>486000000</v>
      </c>
      <c r="AF189" s="50">
        <v>486000000</v>
      </c>
      <c r="AG189" s="53" t="s">
        <v>55</v>
      </c>
    </row>
    <row r="190" spans="1:33" ht="15" customHeight="1">
      <c r="A190" s="46" t="s">
        <v>91</v>
      </c>
      <c r="B190" s="3" t="str">
        <f>_xlfn.IFNA(VLOOKUP(C190,Master!$J:$K,2,0),"")</f>
        <v>B2220</v>
      </c>
      <c r="C190" s="46" t="s">
        <v>83</v>
      </c>
      <c r="D190" s="4" t="str">
        <f>_xlfn.IFNA(VLOOKUP(E190,Master!$J:$K,2,0),"")</f>
        <v>B5100</v>
      </c>
      <c r="E190" s="46" t="s">
        <v>211</v>
      </c>
      <c r="F190" s="4">
        <f>_xlfn.IFNA(VLOOKUP(G190,Master!B:C,2,0),"")</f>
        <v>7511111</v>
      </c>
      <c r="G190" s="46" t="s">
        <v>75</v>
      </c>
      <c r="H190" s="46" t="s">
        <v>535</v>
      </c>
      <c r="I190" s="3" t="str">
        <f>_xlfn.IFNA(VLOOKUP(E190,Master!$J:$M,4,0),"")</f>
        <v>IND</v>
      </c>
      <c r="J190" s="3" t="str">
        <f>_xlfn.IFNA(VLOOKUP($E190,Master!$J:$M,3,0),"")</f>
        <v>MFG</v>
      </c>
      <c r="M190" s="50">
        <v>12500000</v>
      </c>
      <c r="N190" s="50">
        <v>12500000</v>
      </c>
      <c r="O190" s="50">
        <v>12500000</v>
      </c>
      <c r="P190" s="50">
        <v>12500000</v>
      </c>
      <c r="Q190" s="50">
        <v>12500000</v>
      </c>
      <c r="R190" s="50">
        <v>12500000</v>
      </c>
      <c r="S190" s="50">
        <v>12500000</v>
      </c>
      <c r="T190" s="50">
        <v>12500000</v>
      </c>
      <c r="U190" s="50">
        <v>12500000</v>
      </c>
      <c r="V190" s="50">
        <v>12500000</v>
      </c>
      <c r="W190" s="50">
        <v>12500000</v>
      </c>
      <c r="X190" s="50">
        <v>12500000</v>
      </c>
      <c r="Y190" s="50">
        <v>12500000</v>
      </c>
      <c r="Z190" s="50">
        <v>14000000</v>
      </c>
      <c r="AA190" s="50">
        <v>14000000</v>
      </c>
      <c r="AB190" s="50">
        <v>14000000</v>
      </c>
      <c r="AC190" s="26">
        <f t="shared" si="4"/>
        <v>50000000</v>
      </c>
      <c r="AD190" s="26">
        <f t="shared" si="5"/>
        <v>154500000</v>
      </c>
      <c r="AE190" s="50">
        <v>168000000</v>
      </c>
      <c r="AF190" s="50">
        <v>168000000</v>
      </c>
      <c r="AG190" s="53" t="s">
        <v>55</v>
      </c>
    </row>
    <row r="191" spans="1:33" ht="15" customHeight="1">
      <c r="A191" s="46" t="s">
        <v>91</v>
      </c>
      <c r="B191" s="3" t="str">
        <f>_xlfn.IFNA(VLOOKUP(C191,Master!$J:$K,2,0),"")</f>
        <v>B2220</v>
      </c>
      <c r="C191" s="46" t="s">
        <v>83</v>
      </c>
      <c r="D191" s="4" t="str">
        <f>_xlfn.IFNA(VLOOKUP(E191,Master!$J:$K,2,0),"")</f>
        <v>B5100</v>
      </c>
      <c r="E191" s="46" t="s">
        <v>211</v>
      </c>
      <c r="F191" s="4">
        <f>_xlfn.IFNA(VLOOKUP(G191,Master!B:C,2,0),"")</f>
        <v>7511111</v>
      </c>
      <c r="G191" s="46" t="s">
        <v>75</v>
      </c>
      <c r="H191" s="46" t="s">
        <v>536</v>
      </c>
      <c r="I191" s="3" t="str">
        <f>_xlfn.IFNA(VLOOKUP(E191,Master!$J:$M,4,0),"")</f>
        <v>IND</v>
      </c>
      <c r="J191" s="3" t="str">
        <f>_xlfn.IFNA(VLOOKUP($E191,Master!$J:$M,3,0),"")</f>
        <v>MFG</v>
      </c>
      <c r="P191" s="50">
        <v>920000</v>
      </c>
      <c r="Q191" s="50">
        <v>460000</v>
      </c>
      <c r="AB191" s="50">
        <v>1440000</v>
      </c>
      <c r="AC191" s="26">
        <f t="shared" si="4"/>
        <v>920000</v>
      </c>
      <c r="AD191" s="26">
        <f t="shared" si="5"/>
        <v>1900000</v>
      </c>
      <c r="AE191" s="50">
        <v>1500000</v>
      </c>
      <c r="AF191" s="50">
        <v>1560000</v>
      </c>
      <c r="AG191" s="53" t="s">
        <v>55</v>
      </c>
    </row>
    <row r="192" spans="1:33" ht="15" customHeight="1">
      <c r="A192" s="46" t="s">
        <v>91</v>
      </c>
      <c r="B192" s="3" t="str">
        <f>_xlfn.IFNA(VLOOKUP(C192,Master!$J:$K,2,0),"")</f>
        <v>B2220</v>
      </c>
      <c r="C192" s="46" t="s">
        <v>83</v>
      </c>
      <c r="D192" s="4" t="str">
        <f>_xlfn.IFNA(VLOOKUP(E192,Master!$J:$K,2,0),"")</f>
        <v>B5101</v>
      </c>
      <c r="E192" s="46" t="s">
        <v>216</v>
      </c>
      <c r="F192" s="4">
        <f>_xlfn.IFNA(VLOOKUP(G192,Master!B:C,2,0),"")</f>
        <v>7511111</v>
      </c>
      <c r="G192" s="46" t="s">
        <v>75</v>
      </c>
      <c r="H192" s="46" t="s">
        <v>533</v>
      </c>
      <c r="I192" s="3" t="str">
        <f>_xlfn.IFNA(VLOOKUP(E192,Master!$J:$M,4,0),"")</f>
        <v>IND</v>
      </c>
      <c r="J192" s="3" t="str">
        <f>_xlfn.IFNA(VLOOKUP($E192,Master!$J:$M,3,0),"")</f>
        <v>MFG</v>
      </c>
      <c r="M192" s="50">
        <v>27000</v>
      </c>
      <c r="N192" s="50">
        <v>27000</v>
      </c>
      <c r="O192" s="50">
        <v>27000</v>
      </c>
      <c r="P192" s="50">
        <v>27000</v>
      </c>
      <c r="Q192" s="50">
        <v>27000</v>
      </c>
      <c r="R192" s="50">
        <v>27000</v>
      </c>
      <c r="S192" s="50">
        <v>27000</v>
      </c>
      <c r="T192" s="50">
        <v>27000</v>
      </c>
      <c r="U192" s="50">
        <v>27000</v>
      </c>
      <c r="V192" s="50">
        <v>27000</v>
      </c>
      <c r="W192" s="50">
        <v>27000</v>
      </c>
      <c r="X192" s="50">
        <v>27000</v>
      </c>
      <c r="Y192" s="50">
        <v>27000</v>
      </c>
      <c r="Z192" s="50">
        <v>27000</v>
      </c>
      <c r="AA192" s="50">
        <v>27000</v>
      </c>
      <c r="AB192" s="50">
        <v>27000</v>
      </c>
      <c r="AC192" s="26">
        <f t="shared" si="4"/>
        <v>108000</v>
      </c>
      <c r="AD192" s="26">
        <f t="shared" si="5"/>
        <v>324000</v>
      </c>
      <c r="AE192" s="50">
        <v>351000</v>
      </c>
      <c r="AF192" s="50">
        <v>378000</v>
      </c>
      <c r="AG192" s="53" t="s">
        <v>55</v>
      </c>
    </row>
    <row r="193" spans="1:33" ht="15" customHeight="1">
      <c r="A193" s="46" t="s">
        <v>91</v>
      </c>
      <c r="B193" s="3" t="str">
        <f>_xlfn.IFNA(VLOOKUP(C193,Master!$J:$K,2,0),"")</f>
        <v>B2220</v>
      </c>
      <c r="C193" s="46" t="s">
        <v>83</v>
      </c>
      <c r="D193" s="4" t="str">
        <f>_xlfn.IFNA(VLOOKUP(E193,Master!$J:$K,2,0),"")</f>
        <v>B5101</v>
      </c>
      <c r="E193" s="46" t="s">
        <v>216</v>
      </c>
      <c r="F193" s="4">
        <f>_xlfn.IFNA(VLOOKUP(G193,Master!B:C,2,0),"")</f>
        <v>7511111</v>
      </c>
      <c r="G193" s="46" t="s">
        <v>75</v>
      </c>
      <c r="H193" s="46" t="s">
        <v>534</v>
      </c>
      <c r="I193" s="3" t="str">
        <f>_xlfn.IFNA(VLOOKUP(E193,Master!$J:$M,4,0),"")</f>
        <v>IND</v>
      </c>
      <c r="J193" s="3" t="str">
        <f>_xlfn.IFNA(VLOOKUP($E193,Master!$J:$M,3,0),"")</f>
        <v>MFG</v>
      </c>
      <c r="M193" s="50">
        <v>5667750</v>
      </c>
      <c r="N193" s="50">
        <v>5950500</v>
      </c>
      <c r="O193" s="50">
        <v>5762000</v>
      </c>
      <c r="P193" s="50">
        <v>5479250</v>
      </c>
      <c r="Q193" s="50">
        <v>8196000</v>
      </c>
      <c r="R193" s="50">
        <v>8684000</v>
      </c>
      <c r="S193" s="50">
        <v>8562000</v>
      </c>
      <c r="T193" s="50">
        <v>9050000</v>
      </c>
      <c r="U193" s="50">
        <v>8928000</v>
      </c>
      <c r="V193" s="50">
        <v>8684000</v>
      </c>
      <c r="W193" s="50">
        <v>9050000</v>
      </c>
      <c r="X193" s="50">
        <v>8806000</v>
      </c>
      <c r="Y193" s="50">
        <v>8684000</v>
      </c>
      <c r="Z193" s="50">
        <v>8928000</v>
      </c>
      <c r="AA193" s="50">
        <v>8684000</v>
      </c>
      <c r="AB193" s="50">
        <v>8318000</v>
      </c>
      <c r="AC193" s="26">
        <f t="shared" si="4"/>
        <v>22859500</v>
      </c>
      <c r="AD193" s="26">
        <f t="shared" si="5"/>
        <v>104574000</v>
      </c>
      <c r="AE193" s="50">
        <v>107904000</v>
      </c>
      <c r="AF193" s="50">
        <v>113565000</v>
      </c>
      <c r="AG193" s="53" t="s">
        <v>55</v>
      </c>
    </row>
    <row r="194" spans="1:33" ht="15" customHeight="1">
      <c r="A194" s="46" t="s">
        <v>91</v>
      </c>
      <c r="B194" s="3" t="str">
        <f>_xlfn.IFNA(VLOOKUP(C194,Master!$J:$K,2,0),"")</f>
        <v>B2220</v>
      </c>
      <c r="C194" s="46" t="s">
        <v>83</v>
      </c>
      <c r="D194" s="4" t="str">
        <f>_xlfn.IFNA(VLOOKUP(E194,Master!$J:$K,2,0),"")</f>
        <v>B5101</v>
      </c>
      <c r="E194" s="46" t="s">
        <v>216</v>
      </c>
      <c r="F194" s="4">
        <f>_xlfn.IFNA(VLOOKUP(G194,Master!B:C,2,0),"")</f>
        <v>7511111</v>
      </c>
      <c r="G194" s="46" t="s">
        <v>75</v>
      </c>
      <c r="H194" s="46" t="s">
        <v>535</v>
      </c>
      <c r="I194" s="3" t="str">
        <f>_xlfn.IFNA(VLOOKUP(E194,Master!$J:$M,4,0),"")</f>
        <v>IND</v>
      </c>
      <c r="J194" s="3" t="str">
        <f>_xlfn.IFNA(VLOOKUP($E194,Master!$J:$M,3,0),"")</f>
        <v>MFG</v>
      </c>
      <c r="M194" s="50">
        <v>1800000</v>
      </c>
      <c r="N194" s="50">
        <v>1800000</v>
      </c>
      <c r="O194" s="50">
        <v>1800000</v>
      </c>
      <c r="P194" s="50">
        <v>1800000</v>
      </c>
      <c r="Q194" s="50">
        <v>2000000</v>
      </c>
      <c r="R194" s="50">
        <v>2000000</v>
      </c>
      <c r="S194" s="50">
        <v>2000000</v>
      </c>
      <c r="T194" s="50">
        <v>2000000</v>
      </c>
      <c r="U194" s="50">
        <v>2000000</v>
      </c>
      <c r="V194" s="50">
        <v>2000000</v>
      </c>
      <c r="W194" s="50">
        <v>2000000</v>
      </c>
      <c r="X194" s="50">
        <v>2000000</v>
      </c>
      <c r="Y194" s="50">
        <v>2000000</v>
      </c>
      <c r="Z194" s="50">
        <v>3750000</v>
      </c>
      <c r="AA194" s="50">
        <v>3750000</v>
      </c>
      <c r="AB194" s="50">
        <v>3750000</v>
      </c>
      <c r="AC194" s="26">
        <f t="shared" ref="AC194:AC257" si="6">SUM(K194:P194)</f>
        <v>7200000</v>
      </c>
      <c r="AD194" s="26">
        <f t="shared" ref="AD194:AD257" si="7">SUM(Q194:AB194)</f>
        <v>29250000</v>
      </c>
      <c r="AE194" s="50">
        <v>47700000</v>
      </c>
      <c r="AF194" s="50">
        <v>50400000</v>
      </c>
      <c r="AG194" s="53" t="s">
        <v>55</v>
      </c>
    </row>
    <row r="195" spans="1:33" ht="15" customHeight="1">
      <c r="A195" s="46" t="s">
        <v>91</v>
      </c>
      <c r="B195" s="3" t="str">
        <f>_xlfn.IFNA(VLOOKUP(C195,Master!$J:$K,2,0),"")</f>
        <v>B2220</v>
      </c>
      <c r="C195" s="46" t="s">
        <v>83</v>
      </c>
      <c r="D195" s="4" t="str">
        <f>_xlfn.IFNA(VLOOKUP(E195,Master!$J:$K,2,0),"")</f>
        <v>B5101</v>
      </c>
      <c r="E195" s="46" t="s">
        <v>216</v>
      </c>
      <c r="F195" s="4">
        <f>_xlfn.IFNA(VLOOKUP(G195,Master!B:C,2,0),"")</f>
        <v>7511111</v>
      </c>
      <c r="G195" s="46" t="s">
        <v>75</v>
      </c>
      <c r="H195" s="46" t="s">
        <v>536</v>
      </c>
      <c r="I195" s="3" t="str">
        <f>_xlfn.IFNA(VLOOKUP(E195,Master!$J:$M,4,0),"")</f>
        <v>IND</v>
      </c>
      <c r="J195" s="3" t="str">
        <f>_xlfn.IFNA(VLOOKUP($E195,Master!$J:$M,3,0),"")</f>
        <v>MFG</v>
      </c>
      <c r="P195" s="50">
        <v>1104000</v>
      </c>
      <c r="Q195" s="50">
        <v>552000</v>
      </c>
      <c r="AB195" s="50">
        <v>1728000</v>
      </c>
      <c r="AC195" s="26">
        <f t="shared" si="6"/>
        <v>1104000</v>
      </c>
      <c r="AD195" s="26">
        <f t="shared" si="7"/>
        <v>2280000</v>
      </c>
      <c r="AE195" s="50">
        <v>2100000</v>
      </c>
      <c r="AF195" s="50">
        <v>2184000</v>
      </c>
      <c r="AG195" s="53" t="s">
        <v>55</v>
      </c>
    </row>
    <row r="196" spans="1:33" ht="15" customHeight="1">
      <c r="A196" s="46" t="s">
        <v>91</v>
      </c>
      <c r="B196" s="3" t="str">
        <f>_xlfn.IFNA(VLOOKUP(C196,Master!$J:$K,2,0),"")</f>
        <v>B2220</v>
      </c>
      <c r="C196" s="46" t="s">
        <v>83</v>
      </c>
      <c r="D196" s="4" t="str">
        <f>_xlfn.IFNA(VLOOKUP(E196,Master!$J:$K,2,0),"")</f>
        <v>B5101</v>
      </c>
      <c r="E196" s="46" t="s">
        <v>216</v>
      </c>
      <c r="F196" s="4">
        <f>_xlfn.IFNA(VLOOKUP(G196,Master!B:C,2,0),"")</f>
        <v>7511111</v>
      </c>
      <c r="G196" s="46" t="s">
        <v>75</v>
      </c>
      <c r="H196" s="46" t="s">
        <v>537</v>
      </c>
      <c r="I196" s="3" t="str">
        <f>_xlfn.IFNA(VLOOKUP(E196,Master!$J:$M,4,0),"")</f>
        <v>IND</v>
      </c>
      <c r="J196" s="3" t="str">
        <f>_xlfn.IFNA(VLOOKUP($E196,Master!$J:$M,3,0),"")</f>
        <v>MFG</v>
      </c>
      <c r="M196" s="50">
        <v>260000</v>
      </c>
      <c r="N196" s="50">
        <v>260000</v>
      </c>
      <c r="O196" s="50">
        <v>260000</v>
      </c>
      <c r="P196" s="50">
        <v>260000</v>
      </c>
      <c r="Q196" s="50">
        <v>280000</v>
      </c>
      <c r="R196" s="50">
        <v>280000</v>
      </c>
      <c r="S196" s="50">
        <v>280000</v>
      </c>
      <c r="T196" s="50">
        <v>280000</v>
      </c>
      <c r="U196" s="50">
        <v>280000</v>
      </c>
      <c r="V196" s="50">
        <v>280000</v>
      </c>
      <c r="W196" s="50">
        <v>280000</v>
      </c>
      <c r="X196" s="50">
        <v>280000</v>
      </c>
      <c r="Y196" s="50">
        <v>280000</v>
      </c>
      <c r="Z196" s="50">
        <v>280000</v>
      </c>
      <c r="AA196" s="50">
        <v>280000</v>
      </c>
      <c r="AB196" s="50">
        <v>280000</v>
      </c>
      <c r="AC196" s="26">
        <f t="shared" si="6"/>
        <v>1040000</v>
      </c>
      <c r="AD196" s="26">
        <f t="shared" si="7"/>
        <v>3360000</v>
      </c>
      <c r="AE196" s="50">
        <v>3720000</v>
      </c>
      <c r="AF196" s="50">
        <v>4080000</v>
      </c>
      <c r="AG196" s="53" t="s">
        <v>55</v>
      </c>
    </row>
    <row r="197" spans="1:33" ht="15" customHeight="1">
      <c r="A197" s="46" t="s">
        <v>91</v>
      </c>
      <c r="B197" s="3" t="str">
        <f>_xlfn.IFNA(VLOOKUP(C197,Master!$J:$K,2,0),"")</f>
        <v>B2220</v>
      </c>
      <c r="C197" s="46" t="s">
        <v>83</v>
      </c>
      <c r="D197" s="4" t="str">
        <f>_xlfn.IFNA(VLOOKUP(E197,Master!$J:$K,2,0),"")</f>
        <v>B5101</v>
      </c>
      <c r="E197" s="46" t="s">
        <v>216</v>
      </c>
      <c r="F197" s="4">
        <f>_xlfn.IFNA(VLOOKUP(G197,Master!B:C,2,0),"")</f>
        <v>7511111</v>
      </c>
      <c r="G197" s="46" t="s">
        <v>75</v>
      </c>
      <c r="H197" s="46" t="s">
        <v>538</v>
      </c>
      <c r="I197" s="3" t="str">
        <f>_xlfn.IFNA(VLOOKUP(E197,Master!$J:$M,4,0),"")</f>
        <v>IND</v>
      </c>
      <c r="J197" s="3" t="str">
        <f>_xlfn.IFNA(VLOOKUP($E197,Master!$J:$M,3,0),"")</f>
        <v>MFG</v>
      </c>
      <c r="M197" s="50">
        <v>1500000</v>
      </c>
      <c r="N197" s="50">
        <v>1500000</v>
      </c>
      <c r="O197" s="50">
        <v>1500000</v>
      </c>
      <c r="P197" s="50">
        <v>1500000</v>
      </c>
      <c r="Q197" s="50">
        <v>1500000</v>
      </c>
      <c r="R197" s="50">
        <v>1500000</v>
      </c>
      <c r="S197" s="50">
        <v>1500000</v>
      </c>
      <c r="T197" s="50">
        <v>1500000</v>
      </c>
      <c r="U197" s="50">
        <v>1500000</v>
      </c>
      <c r="V197" s="50">
        <v>1500000</v>
      </c>
      <c r="W197" s="50">
        <v>1500000</v>
      </c>
      <c r="X197" s="50">
        <v>1500000</v>
      </c>
      <c r="Y197" s="50">
        <v>1500000</v>
      </c>
      <c r="Z197" s="50">
        <v>1500000</v>
      </c>
      <c r="AA197" s="50">
        <v>1500000</v>
      </c>
      <c r="AB197" s="50">
        <v>1500000</v>
      </c>
      <c r="AC197" s="26">
        <f t="shared" si="6"/>
        <v>6000000</v>
      </c>
      <c r="AD197" s="26">
        <f t="shared" si="7"/>
        <v>18000000</v>
      </c>
      <c r="AE197" s="50">
        <v>19800000</v>
      </c>
      <c r="AF197" s="50">
        <v>21600000</v>
      </c>
      <c r="AG197" s="53" t="s">
        <v>55</v>
      </c>
    </row>
    <row r="198" spans="1:33" ht="15" customHeight="1">
      <c r="A198" s="46" t="s">
        <v>91</v>
      </c>
      <c r="B198" s="3" t="str">
        <f>_xlfn.IFNA(VLOOKUP(C198,Master!$J:$K,2,0),"")</f>
        <v>B2220</v>
      </c>
      <c r="C198" s="46" t="s">
        <v>83</v>
      </c>
      <c r="D198" s="4" t="str">
        <f>_xlfn.IFNA(VLOOKUP(E198,Master!$J:$K,2,0),"")</f>
        <v>B5130</v>
      </c>
      <c r="E198" s="46" t="s">
        <v>247</v>
      </c>
      <c r="F198" s="4">
        <f>_xlfn.IFNA(VLOOKUP(G198,Master!B:C,2,0),"")</f>
        <v>7511111</v>
      </c>
      <c r="G198" s="46" t="s">
        <v>75</v>
      </c>
      <c r="H198" s="46" t="s">
        <v>533</v>
      </c>
      <c r="I198" s="3" t="str">
        <f>_xlfn.IFNA(VLOOKUP(E198,Master!$J:$M,4,0),"")</f>
        <v>IND</v>
      </c>
      <c r="J198" s="3" t="str">
        <f>_xlfn.IFNA(VLOOKUP($E198,Master!$J:$M,3,0),"")</f>
        <v>MFG</v>
      </c>
      <c r="M198" s="50">
        <v>54000</v>
      </c>
      <c r="N198" s="50">
        <v>54000</v>
      </c>
      <c r="O198" s="50">
        <v>54000</v>
      </c>
      <c r="P198" s="50">
        <v>54000</v>
      </c>
      <c r="Q198" s="50">
        <v>54000</v>
      </c>
      <c r="R198" s="50">
        <v>54000</v>
      </c>
      <c r="S198" s="50">
        <v>54000</v>
      </c>
      <c r="T198" s="50">
        <v>54000</v>
      </c>
      <c r="U198" s="50">
        <v>54000</v>
      </c>
      <c r="V198" s="50">
        <v>54000</v>
      </c>
      <c r="W198" s="50">
        <v>54000</v>
      </c>
      <c r="X198" s="50">
        <v>54000</v>
      </c>
      <c r="Y198" s="50">
        <v>54000</v>
      </c>
      <c r="Z198" s="50">
        <v>49500</v>
      </c>
      <c r="AA198" s="50">
        <v>49500</v>
      </c>
      <c r="AB198" s="50">
        <v>49500</v>
      </c>
      <c r="AC198" s="26">
        <f t="shared" si="6"/>
        <v>216000</v>
      </c>
      <c r="AD198" s="26">
        <f t="shared" si="7"/>
        <v>634500</v>
      </c>
      <c r="AE198" s="50">
        <v>580500</v>
      </c>
      <c r="AF198" s="50">
        <v>540000</v>
      </c>
      <c r="AG198" s="53" t="s">
        <v>55</v>
      </c>
    </row>
    <row r="199" spans="1:33" ht="15" customHeight="1">
      <c r="A199" s="46" t="s">
        <v>91</v>
      </c>
      <c r="B199" s="3" t="str">
        <f>_xlfn.IFNA(VLOOKUP(C199,Master!$J:$K,2,0),"")</f>
        <v>B2220</v>
      </c>
      <c r="C199" s="46" t="s">
        <v>83</v>
      </c>
      <c r="D199" s="4" t="str">
        <f>_xlfn.IFNA(VLOOKUP(E199,Master!$J:$K,2,0),"")</f>
        <v>B5130</v>
      </c>
      <c r="E199" s="46" t="s">
        <v>247</v>
      </c>
      <c r="F199" s="4">
        <f>_xlfn.IFNA(VLOOKUP(G199,Master!B:C,2,0),"")</f>
        <v>7511111</v>
      </c>
      <c r="G199" s="46" t="s">
        <v>75</v>
      </c>
      <c r="H199" s="46" t="s">
        <v>534</v>
      </c>
      <c r="I199" s="3" t="str">
        <f>_xlfn.IFNA(VLOOKUP(E199,Master!$J:$M,4,0),"")</f>
        <v>IND</v>
      </c>
      <c r="J199" s="3" t="str">
        <f>_xlfn.IFNA(VLOOKUP($E199,Master!$J:$M,3,0),"")</f>
        <v>MFG</v>
      </c>
      <c r="M199" s="50">
        <v>9241950</v>
      </c>
      <c r="N199" s="50">
        <v>9990900</v>
      </c>
      <c r="O199" s="50">
        <v>9491600</v>
      </c>
      <c r="P199" s="50">
        <v>8742650</v>
      </c>
      <c r="Q199" s="50">
        <v>10752000</v>
      </c>
      <c r="R199" s="50">
        <v>11808000</v>
      </c>
      <c r="S199" s="50">
        <v>11544000</v>
      </c>
      <c r="T199" s="50">
        <v>12600000</v>
      </c>
      <c r="U199" s="50">
        <v>12336000</v>
      </c>
      <c r="V199" s="50">
        <v>11808000</v>
      </c>
      <c r="W199" s="50">
        <v>12600000</v>
      </c>
      <c r="X199" s="50">
        <v>12072000</v>
      </c>
      <c r="Y199" s="50">
        <v>11808000</v>
      </c>
      <c r="Z199" s="50">
        <v>11856000</v>
      </c>
      <c r="AA199" s="50">
        <v>11368000</v>
      </c>
      <c r="AB199" s="50">
        <v>10636000</v>
      </c>
      <c r="AC199" s="26">
        <f t="shared" si="6"/>
        <v>37467100</v>
      </c>
      <c r="AD199" s="26">
        <f t="shared" si="7"/>
        <v>141188000</v>
      </c>
      <c r="AE199" s="50">
        <v>136941000</v>
      </c>
      <c r="AF199" s="50">
        <v>137535000</v>
      </c>
      <c r="AG199" s="53" t="s">
        <v>55</v>
      </c>
    </row>
    <row r="200" spans="1:33" ht="15" customHeight="1">
      <c r="A200" s="46" t="s">
        <v>91</v>
      </c>
      <c r="B200" s="3" t="str">
        <f>_xlfn.IFNA(VLOOKUP(C200,Master!$J:$K,2,0),"")</f>
        <v>B2220</v>
      </c>
      <c r="C200" s="46" t="s">
        <v>83</v>
      </c>
      <c r="D200" s="4" t="str">
        <f>_xlfn.IFNA(VLOOKUP(E200,Master!$J:$K,2,0),"")</f>
        <v>B5130</v>
      </c>
      <c r="E200" s="46" t="s">
        <v>247</v>
      </c>
      <c r="F200" s="4">
        <f>_xlfn.IFNA(VLOOKUP(G200,Master!B:C,2,0),"")</f>
        <v>7511111</v>
      </c>
      <c r="G200" s="46" t="s">
        <v>75</v>
      </c>
      <c r="H200" s="46" t="s">
        <v>535</v>
      </c>
      <c r="I200" s="3" t="str">
        <f>_xlfn.IFNA(VLOOKUP(E200,Master!$J:$M,4,0),"")</f>
        <v>IND</v>
      </c>
      <c r="J200" s="3" t="str">
        <f>_xlfn.IFNA(VLOOKUP($E200,Master!$J:$M,3,0),"")</f>
        <v>MFG</v>
      </c>
      <c r="M200" s="50">
        <v>5200000</v>
      </c>
      <c r="N200" s="50">
        <v>5200000</v>
      </c>
      <c r="O200" s="50">
        <v>5200000</v>
      </c>
      <c r="P200" s="50">
        <v>5200000</v>
      </c>
      <c r="Q200" s="50">
        <v>5200000</v>
      </c>
      <c r="R200" s="50">
        <v>5200000</v>
      </c>
      <c r="S200" s="50">
        <v>5200000</v>
      </c>
      <c r="T200" s="50">
        <v>5200000</v>
      </c>
      <c r="U200" s="50">
        <v>5200000</v>
      </c>
      <c r="V200" s="50">
        <v>5200000</v>
      </c>
      <c r="W200" s="50">
        <v>5200000</v>
      </c>
      <c r="X200" s="50">
        <v>5200000</v>
      </c>
      <c r="Y200" s="50">
        <v>5200000</v>
      </c>
      <c r="Z200" s="50">
        <v>7100000</v>
      </c>
      <c r="AA200" s="50">
        <v>7100000</v>
      </c>
      <c r="AB200" s="50">
        <v>7100000</v>
      </c>
      <c r="AC200" s="26">
        <f t="shared" si="6"/>
        <v>20800000</v>
      </c>
      <c r="AD200" s="26">
        <f t="shared" si="7"/>
        <v>68100000</v>
      </c>
      <c r="AE200" s="50">
        <v>85200000</v>
      </c>
      <c r="AF200" s="50">
        <v>85200000</v>
      </c>
      <c r="AG200" s="53" t="s">
        <v>55</v>
      </c>
    </row>
    <row r="201" spans="1:33" ht="15" customHeight="1">
      <c r="A201" s="46" t="s">
        <v>91</v>
      </c>
      <c r="B201" s="3" t="str">
        <f>_xlfn.IFNA(VLOOKUP(C201,Master!$J:$K,2,0),"")</f>
        <v>B2220</v>
      </c>
      <c r="C201" s="46" t="s">
        <v>83</v>
      </c>
      <c r="D201" s="4" t="str">
        <f>_xlfn.IFNA(VLOOKUP(E201,Master!$J:$K,2,0),"")</f>
        <v>B5130</v>
      </c>
      <c r="E201" s="46" t="s">
        <v>247</v>
      </c>
      <c r="F201" s="4">
        <f>_xlfn.IFNA(VLOOKUP(G201,Master!B:C,2,0),"")</f>
        <v>7511111</v>
      </c>
      <c r="G201" s="46" t="s">
        <v>75</v>
      </c>
      <c r="H201" s="46" t="s">
        <v>536</v>
      </c>
      <c r="I201" s="3" t="str">
        <f>_xlfn.IFNA(VLOOKUP(E201,Master!$J:$M,4,0),"")</f>
        <v>IND</v>
      </c>
      <c r="J201" s="3" t="str">
        <f>_xlfn.IFNA(VLOOKUP($E201,Master!$J:$M,3,0),"")</f>
        <v>MFG</v>
      </c>
      <c r="P201" s="50">
        <v>2208000</v>
      </c>
      <c r="Q201" s="50">
        <v>1104000</v>
      </c>
      <c r="AB201" s="50">
        <v>3168000</v>
      </c>
      <c r="AC201" s="26">
        <f t="shared" si="6"/>
        <v>2208000</v>
      </c>
      <c r="AD201" s="26">
        <f t="shared" si="7"/>
        <v>4272000</v>
      </c>
      <c r="AE201" s="50">
        <v>3000000</v>
      </c>
      <c r="AF201" s="50">
        <v>3120000</v>
      </c>
      <c r="AG201" s="53" t="s">
        <v>55</v>
      </c>
    </row>
    <row r="202" spans="1:33" ht="15" customHeight="1">
      <c r="A202" s="46" t="s">
        <v>91</v>
      </c>
      <c r="B202" s="3" t="str">
        <f>_xlfn.IFNA(VLOOKUP(C202,Master!$J:$K,2,0),"")</f>
        <v>B2220</v>
      </c>
      <c r="C202" s="46" t="s">
        <v>83</v>
      </c>
      <c r="D202" s="4" t="str">
        <f>_xlfn.IFNA(VLOOKUP(E202,Master!$J:$K,2,0),"")</f>
        <v>B5130</v>
      </c>
      <c r="E202" s="46" t="s">
        <v>247</v>
      </c>
      <c r="F202" s="4">
        <f>_xlfn.IFNA(VLOOKUP(G202,Master!B:C,2,0),"")</f>
        <v>7511111</v>
      </c>
      <c r="G202" s="46" t="s">
        <v>75</v>
      </c>
      <c r="H202" s="46" t="s">
        <v>537</v>
      </c>
      <c r="I202" s="3" t="str">
        <f>_xlfn.IFNA(VLOOKUP(E202,Master!$J:$M,4,0),"")</f>
        <v>IND</v>
      </c>
      <c r="J202" s="3" t="str">
        <f>_xlfn.IFNA(VLOOKUP($E202,Master!$J:$M,3,0),"")</f>
        <v>MFG</v>
      </c>
      <c r="M202" s="50">
        <v>520000</v>
      </c>
      <c r="N202" s="50">
        <v>520000</v>
      </c>
      <c r="O202" s="50">
        <v>520000</v>
      </c>
      <c r="P202" s="50">
        <v>520000</v>
      </c>
      <c r="Q202" s="50">
        <v>520000</v>
      </c>
      <c r="R202" s="50">
        <v>520000</v>
      </c>
      <c r="S202" s="50">
        <v>520000</v>
      </c>
      <c r="T202" s="50">
        <v>520000</v>
      </c>
      <c r="U202" s="50">
        <v>520000</v>
      </c>
      <c r="V202" s="50">
        <v>520000</v>
      </c>
      <c r="W202" s="50">
        <v>520000</v>
      </c>
      <c r="X202" s="50">
        <v>520000</v>
      </c>
      <c r="Y202" s="50">
        <v>520000</v>
      </c>
      <c r="Z202" s="50">
        <v>460000</v>
      </c>
      <c r="AA202" s="50">
        <v>460000</v>
      </c>
      <c r="AB202" s="50">
        <v>460000</v>
      </c>
      <c r="AC202" s="26">
        <f t="shared" si="6"/>
        <v>2080000</v>
      </c>
      <c r="AD202" s="26">
        <f t="shared" si="7"/>
        <v>6060000</v>
      </c>
      <c r="AE202" s="50">
        <v>5340000</v>
      </c>
      <c r="AF202" s="50">
        <v>4800000</v>
      </c>
      <c r="AG202" s="53" t="s">
        <v>55</v>
      </c>
    </row>
    <row r="203" spans="1:33" ht="15" customHeight="1">
      <c r="A203" s="46" t="s">
        <v>91</v>
      </c>
      <c r="B203" s="3" t="str">
        <f>_xlfn.IFNA(VLOOKUP(C203,Master!$J:$K,2,0),"")</f>
        <v>B2220</v>
      </c>
      <c r="C203" s="46" t="s">
        <v>83</v>
      </c>
      <c r="D203" s="4" t="str">
        <f>_xlfn.IFNA(VLOOKUP(E203,Master!$J:$K,2,0),"")</f>
        <v>B5130</v>
      </c>
      <c r="E203" s="46" t="s">
        <v>247</v>
      </c>
      <c r="F203" s="4">
        <f>_xlfn.IFNA(VLOOKUP(G203,Master!B:C,2,0),"")</f>
        <v>7511111</v>
      </c>
      <c r="G203" s="46" t="s">
        <v>75</v>
      </c>
      <c r="H203" s="46" t="s">
        <v>539</v>
      </c>
      <c r="I203" s="3" t="str">
        <f>_xlfn.IFNA(VLOOKUP(E203,Master!$J:$M,4,0),"")</f>
        <v>IND</v>
      </c>
      <c r="J203" s="3" t="str">
        <f>_xlfn.IFNA(VLOOKUP($E203,Master!$J:$M,3,0),"")</f>
        <v>MFG</v>
      </c>
      <c r="M203" s="50">
        <v>300000</v>
      </c>
      <c r="N203" s="50">
        <v>300000</v>
      </c>
      <c r="O203" s="50">
        <v>300000</v>
      </c>
      <c r="P203" s="50">
        <v>300000</v>
      </c>
      <c r="Q203" s="50">
        <v>300000</v>
      </c>
      <c r="R203" s="50">
        <v>300000</v>
      </c>
      <c r="S203" s="50">
        <v>300000</v>
      </c>
      <c r="T203" s="50">
        <v>300000</v>
      </c>
      <c r="U203" s="50">
        <v>300000</v>
      </c>
      <c r="V203" s="50">
        <v>300000</v>
      </c>
      <c r="W203" s="50">
        <v>300000</v>
      </c>
      <c r="X203" s="50">
        <v>300000</v>
      </c>
      <c r="Y203" s="50">
        <v>300000</v>
      </c>
      <c r="Z203" s="50">
        <v>300000</v>
      </c>
      <c r="AA203" s="50">
        <v>300000</v>
      </c>
      <c r="AB203" s="50">
        <v>300000</v>
      </c>
      <c r="AC203" s="26">
        <f t="shared" si="6"/>
        <v>1200000</v>
      </c>
      <c r="AD203" s="26">
        <f t="shared" si="7"/>
        <v>3600000</v>
      </c>
      <c r="AE203" s="50">
        <v>3600000</v>
      </c>
      <c r="AF203" s="50">
        <v>3600000</v>
      </c>
      <c r="AG203" s="53" t="s">
        <v>55</v>
      </c>
    </row>
    <row r="204" spans="1:33" ht="15" customHeight="1">
      <c r="A204" s="46" t="s">
        <v>91</v>
      </c>
      <c r="B204" s="3" t="str">
        <f>_xlfn.IFNA(VLOOKUP(C204,Master!$J:$K,2,0),"")</f>
        <v>B2220</v>
      </c>
      <c r="C204" s="46" t="s">
        <v>83</v>
      </c>
      <c r="D204" s="4" t="str">
        <f>_xlfn.IFNA(VLOOKUP(E204,Master!$J:$K,2,0),"")</f>
        <v>B5130</v>
      </c>
      <c r="E204" s="46" t="s">
        <v>247</v>
      </c>
      <c r="F204" s="4">
        <f>_xlfn.IFNA(VLOOKUP(G204,Master!B:C,2,0),"")</f>
        <v>7511111</v>
      </c>
      <c r="G204" s="46" t="s">
        <v>75</v>
      </c>
      <c r="H204" s="46" t="s">
        <v>538</v>
      </c>
      <c r="I204" s="3" t="str">
        <f>_xlfn.IFNA(VLOOKUP(E204,Master!$J:$M,4,0),"")</f>
        <v>IND</v>
      </c>
      <c r="J204" s="3" t="str">
        <f>_xlfn.IFNA(VLOOKUP($E204,Master!$J:$M,3,0),"")</f>
        <v>MFG</v>
      </c>
      <c r="M204" s="50">
        <v>3300000</v>
      </c>
      <c r="N204" s="50">
        <v>3300000</v>
      </c>
      <c r="O204" s="50">
        <v>3300000</v>
      </c>
      <c r="P204" s="50">
        <v>3300000</v>
      </c>
      <c r="Q204" s="50">
        <v>3300000</v>
      </c>
      <c r="R204" s="50">
        <v>3300000</v>
      </c>
      <c r="S204" s="50">
        <v>3300000</v>
      </c>
      <c r="T204" s="50">
        <v>3300000</v>
      </c>
      <c r="U204" s="50">
        <v>3300000</v>
      </c>
      <c r="V204" s="50">
        <v>3300000</v>
      </c>
      <c r="W204" s="50">
        <v>3300000</v>
      </c>
      <c r="X204" s="50">
        <v>3300000</v>
      </c>
      <c r="Y204" s="50">
        <v>3300000</v>
      </c>
      <c r="Z204" s="50">
        <v>3000000</v>
      </c>
      <c r="AA204" s="50">
        <v>3000000</v>
      </c>
      <c r="AB204" s="50">
        <v>3000000</v>
      </c>
      <c r="AC204" s="26">
        <f t="shared" si="6"/>
        <v>13200000</v>
      </c>
      <c r="AD204" s="26">
        <f t="shared" si="7"/>
        <v>38700000</v>
      </c>
      <c r="AE204" s="50">
        <v>35100000</v>
      </c>
      <c r="AF204" s="50">
        <v>32400000</v>
      </c>
      <c r="AG204" s="53" t="s">
        <v>55</v>
      </c>
    </row>
    <row r="205" spans="1:33" ht="15" customHeight="1">
      <c r="A205" s="46" t="s">
        <v>91</v>
      </c>
      <c r="B205" s="3" t="str">
        <f>_xlfn.IFNA(VLOOKUP(C205,Master!$J:$K,2,0),"")</f>
        <v>B2220</v>
      </c>
      <c r="C205" s="46" t="s">
        <v>83</v>
      </c>
      <c r="D205" s="4" t="str">
        <f>_xlfn.IFNA(VLOOKUP(E205,Master!$J:$K,2,0),"")</f>
        <v>B5200</v>
      </c>
      <c r="E205" s="46" t="s">
        <v>253</v>
      </c>
      <c r="F205" s="4">
        <f>_xlfn.IFNA(VLOOKUP(G205,Master!B:C,2,0),"")</f>
        <v>7511111</v>
      </c>
      <c r="G205" s="46" t="s">
        <v>75</v>
      </c>
      <c r="H205" s="46" t="s">
        <v>533</v>
      </c>
      <c r="I205" s="3" t="str">
        <f>_xlfn.IFNA(VLOOKUP(E205,Master!$J:$M,4,0),"")</f>
        <v>IND</v>
      </c>
      <c r="J205" s="3" t="str">
        <f>_xlfn.IFNA(VLOOKUP($E205,Master!$J:$M,3,0),"")</f>
        <v>MFG</v>
      </c>
      <c r="M205" s="50">
        <v>13500</v>
      </c>
      <c r="N205" s="50">
        <v>13500</v>
      </c>
      <c r="O205" s="50">
        <v>13500</v>
      </c>
      <c r="P205" s="50">
        <v>13500</v>
      </c>
      <c r="Q205" s="50">
        <v>13500</v>
      </c>
      <c r="R205" s="50">
        <v>13500</v>
      </c>
      <c r="S205" s="50">
        <v>13500</v>
      </c>
      <c r="T205" s="50">
        <v>13500</v>
      </c>
      <c r="U205" s="50">
        <v>13500</v>
      </c>
      <c r="V205" s="50">
        <v>13500</v>
      </c>
      <c r="W205" s="50">
        <v>13500</v>
      </c>
      <c r="X205" s="50">
        <v>13500</v>
      </c>
      <c r="Y205" s="50">
        <v>13500</v>
      </c>
      <c r="Z205" s="50">
        <v>13500</v>
      </c>
      <c r="AA205" s="50">
        <v>13500</v>
      </c>
      <c r="AB205" s="50">
        <v>13500</v>
      </c>
      <c r="AC205" s="26">
        <f t="shared" si="6"/>
        <v>54000</v>
      </c>
      <c r="AD205" s="26">
        <f t="shared" si="7"/>
        <v>162000</v>
      </c>
      <c r="AE205" s="50">
        <v>162000</v>
      </c>
      <c r="AF205" s="50">
        <v>162000</v>
      </c>
      <c r="AG205" s="53" t="s">
        <v>55</v>
      </c>
    </row>
    <row r="206" spans="1:33" ht="15" customHeight="1">
      <c r="A206" s="46" t="s">
        <v>91</v>
      </c>
      <c r="B206" s="3" t="str">
        <f>_xlfn.IFNA(VLOOKUP(C206,Master!$J:$K,2,0),"")</f>
        <v>B2220</v>
      </c>
      <c r="C206" s="46" t="s">
        <v>83</v>
      </c>
      <c r="D206" s="4" t="str">
        <f>_xlfn.IFNA(VLOOKUP(E206,Master!$J:$K,2,0),"")</f>
        <v>B5200</v>
      </c>
      <c r="E206" s="46" t="s">
        <v>253</v>
      </c>
      <c r="F206" s="4">
        <f>_xlfn.IFNA(VLOOKUP(G206,Master!B:C,2,0),"")</f>
        <v>7511111</v>
      </c>
      <c r="G206" s="46" t="s">
        <v>75</v>
      </c>
      <c r="H206" s="46" t="s">
        <v>534</v>
      </c>
      <c r="I206" s="3" t="str">
        <f>_xlfn.IFNA(VLOOKUP(E206,Master!$J:$M,4,0),"")</f>
        <v>IND</v>
      </c>
      <c r="J206" s="3" t="str">
        <f>_xlfn.IFNA(VLOOKUP($E206,Master!$J:$M,3,0),"")</f>
        <v>MFG</v>
      </c>
      <c r="M206" s="50">
        <v>1304100</v>
      </c>
      <c r="N206" s="50">
        <v>1474200</v>
      </c>
      <c r="O206" s="50">
        <v>1360800</v>
      </c>
      <c r="P206" s="50">
        <v>1190700</v>
      </c>
      <c r="Q206" s="50">
        <v>1020600</v>
      </c>
      <c r="R206" s="50">
        <v>1247400</v>
      </c>
      <c r="S206" s="50">
        <v>1190700</v>
      </c>
      <c r="T206" s="50">
        <v>1417500</v>
      </c>
      <c r="U206" s="50">
        <v>1360800</v>
      </c>
      <c r="V206" s="50">
        <v>1247400</v>
      </c>
      <c r="W206" s="50">
        <v>1417500</v>
      </c>
      <c r="X206" s="50">
        <v>1304100</v>
      </c>
      <c r="Y206" s="50">
        <v>1247400</v>
      </c>
      <c r="Z206" s="50">
        <v>1425600</v>
      </c>
      <c r="AA206" s="50">
        <v>1306800</v>
      </c>
      <c r="AB206" s="50">
        <v>1128600</v>
      </c>
      <c r="AC206" s="26">
        <f t="shared" si="6"/>
        <v>5329800</v>
      </c>
      <c r="AD206" s="26">
        <f t="shared" si="7"/>
        <v>15314400</v>
      </c>
      <c r="AE206" s="50">
        <v>15460800</v>
      </c>
      <c r="AF206" s="50">
        <v>16119900</v>
      </c>
      <c r="AG206" s="53" t="s">
        <v>55</v>
      </c>
    </row>
    <row r="207" spans="1:33" ht="15" customHeight="1">
      <c r="A207" s="46" t="s">
        <v>91</v>
      </c>
      <c r="B207" s="3" t="str">
        <f>_xlfn.IFNA(VLOOKUP(C207,Master!$J:$K,2,0),"")</f>
        <v>B2220</v>
      </c>
      <c r="C207" s="46" t="s">
        <v>83</v>
      </c>
      <c r="D207" s="4" t="str">
        <f>_xlfn.IFNA(VLOOKUP(E207,Master!$J:$K,2,0),"")</f>
        <v>B5200</v>
      </c>
      <c r="E207" s="46" t="s">
        <v>253</v>
      </c>
      <c r="F207" s="4">
        <f>_xlfn.IFNA(VLOOKUP(G207,Master!B:C,2,0),"")</f>
        <v>7511111</v>
      </c>
      <c r="G207" s="46" t="s">
        <v>75</v>
      </c>
      <c r="H207" s="46" t="s">
        <v>535</v>
      </c>
      <c r="I207" s="3" t="str">
        <f>_xlfn.IFNA(VLOOKUP(E207,Master!$J:$M,4,0),"")</f>
        <v>IND</v>
      </c>
      <c r="J207" s="3" t="str">
        <f>_xlfn.IFNA(VLOOKUP($E207,Master!$J:$M,3,0),"")</f>
        <v>MFG</v>
      </c>
      <c r="Z207" s="50">
        <v>850000</v>
      </c>
      <c r="AA207" s="50">
        <v>850000</v>
      </c>
      <c r="AB207" s="50">
        <v>850000</v>
      </c>
      <c r="AC207" s="26">
        <f t="shared" si="6"/>
        <v>0</v>
      </c>
      <c r="AD207" s="26">
        <f t="shared" si="7"/>
        <v>2550000</v>
      </c>
      <c r="AE207" s="50">
        <v>10200000</v>
      </c>
      <c r="AF207" s="50">
        <v>10200000</v>
      </c>
      <c r="AG207" s="53" t="s">
        <v>55</v>
      </c>
    </row>
    <row r="208" spans="1:33" ht="15" customHeight="1">
      <c r="A208" s="46" t="s">
        <v>91</v>
      </c>
      <c r="B208" s="3" t="str">
        <f>_xlfn.IFNA(VLOOKUP(C208,Master!$J:$K,2,0),"")</f>
        <v>B2220</v>
      </c>
      <c r="C208" s="46" t="s">
        <v>83</v>
      </c>
      <c r="D208" s="4" t="str">
        <f>_xlfn.IFNA(VLOOKUP(E208,Master!$J:$K,2,0),"")</f>
        <v>B5200</v>
      </c>
      <c r="E208" s="46" t="s">
        <v>253</v>
      </c>
      <c r="F208" s="4">
        <f>_xlfn.IFNA(VLOOKUP(G208,Master!B:C,2,0),"")</f>
        <v>7511111</v>
      </c>
      <c r="G208" s="46" t="s">
        <v>75</v>
      </c>
      <c r="H208" s="46" t="s">
        <v>536</v>
      </c>
      <c r="I208" s="3" t="str">
        <f>_xlfn.IFNA(VLOOKUP(E208,Master!$J:$M,4,0),"")</f>
        <v>IND</v>
      </c>
      <c r="J208" s="3" t="str">
        <f>_xlfn.IFNA(VLOOKUP($E208,Master!$J:$M,3,0),"")</f>
        <v>MFG</v>
      </c>
      <c r="P208" s="50">
        <v>552000</v>
      </c>
      <c r="Q208" s="50">
        <v>276000</v>
      </c>
      <c r="AB208" s="50">
        <v>864000</v>
      </c>
      <c r="AC208" s="26">
        <f t="shared" si="6"/>
        <v>552000</v>
      </c>
      <c r="AD208" s="26">
        <f t="shared" si="7"/>
        <v>1140000</v>
      </c>
      <c r="AE208" s="50">
        <v>900000</v>
      </c>
      <c r="AF208" s="50">
        <v>936000</v>
      </c>
      <c r="AG208" s="53" t="s">
        <v>55</v>
      </c>
    </row>
    <row r="209" spans="1:33" ht="15" customHeight="1">
      <c r="A209" s="46" t="s">
        <v>91</v>
      </c>
      <c r="B209" s="3" t="str">
        <f>_xlfn.IFNA(VLOOKUP(C209,Master!$J:$K,2,0),"")</f>
        <v>B2220</v>
      </c>
      <c r="C209" s="46" t="s">
        <v>83</v>
      </c>
      <c r="D209" s="4" t="str">
        <f>_xlfn.IFNA(VLOOKUP(E209,Master!$J:$K,2,0),"")</f>
        <v>B5200</v>
      </c>
      <c r="E209" s="46" t="s">
        <v>253</v>
      </c>
      <c r="F209" s="4">
        <f>_xlfn.IFNA(VLOOKUP(G209,Master!B:C,2,0),"")</f>
        <v>7511111</v>
      </c>
      <c r="G209" s="46" t="s">
        <v>75</v>
      </c>
      <c r="H209" s="46" t="s">
        <v>537</v>
      </c>
      <c r="I209" s="3" t="str">
        <f>_xlfn.IFNA(VLOOKUP(E209,Master!$J:$M,4,0),"")</f>
        <v>IND</v>
      </c>
      <c r="J209" s="3" t="str">
        <f>_xlfn.IFNA(VLOOKUP($E209,Master!$J:$M,3,0),"")</f>
        <v>MFG</v>
      </c>
      <c r="M209" s="50">
        <v>120000</v>
      </c>
      <c r="N209" s="50">
        <v>120000</v>
      </c>
      <c r="O209" s="50">
        <v>120000</v>
      </c>
      <c r="P209" s="50">
        <v>120000</v>
      </c>
      <c r="Q209" s="50">
        <v>120000</v>
      </c>
      <c r="R209" s="50">
        <v>120000</v>
      </c>
      <c r="S209" s="50">
        <v>120000</v>
      </c>
      <c r="T209" s="50">
        <v>120000</v>
      </c>
      <c r="U209" s="50">
        <v>120000</v>
      </c>
      <c r="V209" s="50">
        <v>120000</v>
      </c>
      <c r="W209" s="50">
        <v>120000</v>
      </c>
      <c r="X209" s="50">
        <v>120000</v>
      </c>
      <c r="Y209" s="50">
        <v>120000</v>
      </c>
      <c r="Z209" s="50">
        <v>120000</v>
      </c>
      <c r="AA209" s="50">
        <v>120000</v>
      </c>
      <c r="AB209" s="50">
        <v>120000</v>
      </c>
      <c r="AC209" s="26">
        <f t="shared" si="6"/>
        <v>480000</v>
      </c>
      <c r="AD209" s="26">
        <f t="shared" si="7"/>
        <v>1440000</v>
      </c>
      <c r="AE209" s="50">
        <v>1440000</v>
      </c>
      <c r="AF209" s="50">
        <v>1440000</v>
      </c>
      <c r="AG209" s="53" t="s">
        <v>55</v>
      </c>
    </row>
    <row r="210" spans="1:33" ht="15" customHeight="1">
      <c r="A210" s="46" t="s">
        <v>91</v>
      </c>
      <c r="B210" s="3" t="str">
        <f>_xlfn.IFNA(VLOOKUP(C210,Master!$J:$K,2,0),"")</f>
        <v>B2220</v>
      </c>
      <c r="C210" s="46" t="s">
        <v>83</v>
      </c>
      <c r="D210" s="4" t="str">
        <f>_xlfn.IFNA(VLOOKUP(E210,Master!$J:$K,2,0),"")</f>
        <v>B5200</v>
      </c>
      <c r="E210" s="46" t="s">
        <v>253</v>
      </c>
      <c r="F210" s="4">
        <f>_xlfn.IFNA(VLOOKUP(G210,Master!B:C,2,0),"")</f>
        <v>7511111</v>
      </c>
      <c r="G210" s="46" t="s">
        <v>75</v>
      </c>
      <c r="H210" s="46" t="s">
        <v>538</v>
      </c>
      <c r="I210" s="3" t="str">
        <f>_xlfn.IFNA(VLOOKUP(E210,Master!$J:$M,4,0),"")</f>
        <v>IND</v>
      </c>
      <c r="J210" s="3" t="str">
        <f>_xlfn.IFNA(VLOOKUP($E210,Master!$J:$M,3,0),"")</f>
        <v>MFG</v>
      </c>
      <c r="M210" s="50">
        <v>900000</v>
      </c>
      <c r="N210" s="50">
        <v>900000</v>
      </c>
      <c r="O210" s="50">
        <v>900000</v>
      </c>
      <c r="P210" s="50">
        <v>900000</v>
      </c>
      <c r="Q210" s="50">
        <v>900000</v>
      </c>
      <c r="R210" s="50">
        <v>900000</v>
      </c>
      <c r="S210" s="50">
        <v>900000</v>
      </c>
      <c r="T210" s="50">
        <v>900000</v>
      </c>
      <c r="U210" s="50">
        <v>900000</v>
      </c>
      <c r="V210" s="50">
        <v>900000</v>
      </c>
      <c r="W210" s="50">
        <v>900000</v>
      </c>
      <c r="X210" s="50">
        <v>900000</v>
      </c>
      <c r="Y210" s="50">
        <v>900000</v>
      </c>
      <c r="Z210" s="50">
        <v>900000</v>
      </c>
      <c r="AA210" s="50">
        <v>900000</v>
      </c>
      <c r="AB210" s="50">
        <v>900000</v>
      </c>
      <c r="AC210" s="26">
        <f t="shared" si="6"/>
        <v>3600000</v>
      </c>
      <c r="AD210" s="26">
        <f t="shared" si="7"/>
        <v>10800000</v>
      </c>
      <c r="AE210" s="50">
        <v>10800000</v>
      </c>
      <c r="AF210" s="50">
        <v>10800000</v>
      </c>
      <c r="AG210" s="53" t="s">
        <v>55</v>
      </c>
    </row>
    <row r="211" spans="1:33" ht="15" customHeight="1">
      <c r="A211" s="46" t="s">
        <v>91</v>
      </c>
      <c r="B211" s="3" t="str">
        <f>_xlfn.IFNA(VLOOKUP(C211,Master!$J:$K,2,0),"")</f>
        <v>B2220</v>
      </c>
      <c r="C211" s="46" t="s">
        <v>83</v>
      </c>
      <c r="D211" s="4" t="str">
        <f>_xlfn.IFNA(VLOOKUP(E211,Master!$J:$K,2,0),"")</f>
        <v>B5500</v>
      </c>
      <c r="E211" s="46" t="s">
        <v>236</v>
      </c>
      <c r="F211" s="4">
        <f>_xlfn.IFNA(VLOOKUP(G211,Master!B:C,2,0),"")</f>
        <v>7511111</v>
      </c>
      <c r="G211" s="46" t="s">
        <v>75</v>
      </c>
      <c r="H211" s="46" t="s">
        <v>533</v>
      </c>
      <c r="I211" s="3" t="str">
        <f>_xlfn.IFNA(VLOOKUP(E211,Master!$J:$M,4,0),"")</f>
        <v>IND</v>
      </c>
      <c r="J211" s="3" t="str">
        <f>_xlfn.IFNA(VLOOKUP($E211,Master!$J:$M,3,0),"")</f>
        <v>MFG</v>
      </c>
      <c r="M211" s="50">
        <v>45000</v>
      </c>
      <c r="N211" s="50">
        <v>49500</v>
      </c>
      <c r="O211" s="50">
        <v>49500</v>
      </c>
      <c r="P211" s="50">
        <v>49500</v>
      </c>
      <c r="Q211" s="50">
        <v>63000</v>
      </c>
      <c r="R211" s="50">
        <v>63000</v>
      </c>
      <c r="S211" s="50">
        <v>63000</v>
      </c>
      <c r="T211" s="50">
        <v>63000</v>
      </c>
      <c r="U211" s="50">
        <v>63000</v>
      </c>
      <c r="V211" s="50">
        <v>63000</v>
      </c>
      <c r="W211" s="50">
        <v>67500</v>
      </c>
      <c r="X211" s="50">
        <v>67500</v>
      </c>
      <c r="Y211" s="50">
        <v>67500</v>
      </c>
      <c r="Z211" s="50">
        <v>67500</v>
      </c>
      <c r="AA211" s="50">
        <v>67500</v>
      </c>
      <c r="AB211" s="50">
        <v>67500</v>
      </c>
      <c r="AC211" s="26">
        <f t="shared" si="6"/>
        <v>193500</v>
      </c>
      <c r="AD211" s="26">
        <f t="shared" si="7"/>
        <v>783000</v>
      </c>
      <c r="AE211" s="50">
        <v>783000</v>
      </c>
      <c r="AF211" s="50">
        <v>756000</v>
      </c>
      <c r="AG211" s="53" t="s">
        <v>55</v>
      </c>
    </row>
    <row r="212" spans="1:33" ht="15" customHeight="1">
      <c r="A212" s="46" t="s">
        <v>91</v>
      </c>
      <c r="B212" s="3" t="str">
        <f>_xlfn.IFNA(VLOOKUP(C212,Master!$J:$K,2,0),"")</f>
        <v>B2220</v>
      </c>
      <c r="C212" s="46" t="s">
        <v>83</v>
      </c>
      <c r="D212" s="4" t="str">
        <f>_xlfn.IFNA(VLOOKUP(E212,Master!$J:$K,2,0),"")</f>
        <v>B5500</v>
      </c>
      <c r="E212" s="46" t="s">
        <v>236</v>
      </c>
      <c r="F212" s="4">
        <f>_xlfn.IFNA(VLOOKUP(G212,Master!B:C,2,0),"")</f>
        <v>7511111</v>
      </c>
      <c r="G212" s="46" t="s">
        <v>75</v>
      </c>
      <c r="H212" s="46" t="s">
        <v>534</v>
      </c>
      <c r="I212" s="3" t="str">
        <f>_xlfn.IFNA(VLOOKUP(E212,Master!$J:$M,4,0),"")</f>
        <v>IND</v>
      </c>
      <c r="J212" s="3" t="str">
        <f>_xlfn.IFNA(VLOOKUP($E212,Master!$J:$M,3,0),"")</f>
        <v>MFG</v>
      </c>
      <c r="M212" s="50">
        <v>7401950</v>
      </c>
      <c r="N212" s="50">
        <v>8401000</v>
      </c>
      <c r="O212" s="50">
        <v>8024000</v>
      </c>
      <c r="P212" s="50">
        <v>7458500</v>
      </c>
      <c r="Q212" s="50">
        <v>11436000</v>
      </c>
      <c r="R212" s="50">
        <v>12644000</v>
      </c>
      <c r="S212" s="50">
        <v>12342000</v>
      </c>
      <c r="T212" s="50">
        <v>13550000</v>
      </c>
      <c r="U212" s="50">
        <v>13248000</v>
      </c>
      <c r="V212" s="50">
        <v>12644000</v>
      </c>
      <c r="W212" s="50">
        <v>14050000</v>
      </c>
      <c r="X212" s="50">
        <v>13406000</v>
      </c>
      <c r="Y212" s="50">
        <v>13084000</v>
      </c>
      <c r="Z212" s="50">
        <v>13728000</v>
      </c>
      <c r="AA212" s="50">
        <v>13084000</v>
      </c>
      <c r="AB212" s="50">
        <v>12118000</v>
      </c>
      <c r="AC212" s="26">
        <f t="shared" si="6"/>
        <v>31285450</v>
      </c>
      <c r="AD212" s="26">
        <f t="shared" si="7"/>
        <v>155334000</v>
      </c>
      <c r="AE212" s="50">
        <v>156372000</v>
      </c>
      <c r="AF212" s="50">
        <v>160485000</v>
      </c>
      <c r="AG212" s="53" t="s">
        <v>55</v>
      </c>
    </row>
    <row r="213" spans="1:33" ht="15" customHeight="1">
      <c r="A213" s="46" t="s">
        <v>91</v>
      </c>
      <c r="B213" s="3" t="str">
        <f>_xlfn.IFNA(VLOOKUP(C213,Master!$J:$K,2,0),"")</f>
        <v>B2220</v>
      </c>
      <c r="C213" s="46" t="s">
        <v>83</v>
      </c>
      <c r="D213" s="4" t="str">
        <f>_xlfn.IFNA(VLOOKUP(E213,Master!$J:$K,2,0),"")</f>
        <v>B5500</v>
      </c>
      <c r="E213" s="46" t="s">
        <v>236</v>
      </c>
      <c r="F213" s="4">
        <f>_xlfn.IFNA(VLOOKUP(G213,Master!B:C,2,0),"")</f>
        <v>7511111</v>
      </c>
      <c r="G213" s="46" t="s">
        <v>75</v>
      </c>
      <c r="H213" s="46" t="s">
        <v>535</v>
      </c>
      <c r="I213" s="3" t="str">
        <f>_xlfn.IFNA(VLOOKUP(E213,Master!$J:$M,4,0),"")</f>
        <v>IND</v>
      </c>
      <c r="J213" s="3" t="str">
        <f>_xlfn.IFNA(VLOOKUP($E213,Master!$J:$M,3,0),"")</f>
        <v>MFG</v>
      </c>
      <c r="M213" s="50">
        <v>2300000</v>
      </c>
      <c r="N213" s="50">
        <v>2300000</v>
      </c>
      <c r="O213" s="50">
        <v>2300000</v>
      </c>
      <c r="P213" s="50">
        <v>2300000</v>
      </c>
      <c r="Q213" s="50">
        <v>2600000</v>
      </c>
      <c r="R213" s="50">
        <v>2600000</v>
      </c>
      <c r="S213" s="50">
        <v>2600000</v>
      </c>
      <c r="T213" s="50">
        <v>2600000</v>
      </c>
      <c r="U213" s="50">
        <v>2600000</v>
      </c>
      <c r="V213" s="50">
        <v>2600000</v>
      </c>
      <c r="W213" s="50">
        <v>2600000</v>
      </c>
      <c r="X213" s="50">
        <v>2600000</v>
      </c>
      <c r="Y213" s="50">
        <v>2600000</v>
      </c>
      <c r="Z213" s="50">
        <v>4050000</v>
      </c>
      <c r="AA213" s="50">
        <v>4050000</v>
      </c>
      <c r="AB213" s="50">
        <v>4050000</v>
      </c>
      <c r="AC213" s="26">
        <f t="shared" si="6"/>
        <v>9200000</v>
      </c>
      <c r="AD213" s="26">
        <f t="shared" si="7"/>
        <v>35550000</v>
      </c>
      <c r="AE213" s="50">
        <v>46500000</v>
      </c>
      <c r="AF213" s="50">
        <v>45000000</v>
      </c>
      <c r="AG213" s="53" t="s">
        <v>55</v>
      </c>
    </row>
    <row r="214" spans="1:33" ht="15" customHeight="1">
      <c r="A214" s="46" t="s">
        <v>91</v>
      </c>
      <c r="B214" s="3" t="str">
        <f>_xlfn.IFNA(VLOOKUP(C214,Master!$J:$K,2,0),"")</f>
        <v>B2220</v>
      </c>
      <c r="C214" s="46" t="s">
        <v>83</v>
      </c>
      <c r="D214" s="4" t="str">
        <f>_xlfn.IFNA(VLOOKUP(E214,Master!$J:$K,2,0),"")</f>
        <v>B5500</v>
      </c>
      <c r="E214" s="46" t="s">
        <v>236</v>
      </c>
      <c r="F214" s="4">
        <f>_xlfn.IFNA(VLOOKUP(G214,Master!B:C,2,0),"")</f>
        <v>7511111</v>
      </c>
      <c r="G214" s="46" t="s">
        <v>75</v>
      </c>
      <c r="H214" s="46" t="s">
        <v>536</v>
      </c>
      <c r="I214" s="3" t="str">
        <f>_xlfn.IFNA(VLOOKUP(E214,Master!$J:$M,4,0),"")</f>
        <v>IND</v>
      </c>
      <c r="J214" s="3" t="str">
        <f>_xlfn.IFNA(VLOOKUP($E214,Master!$J:$M,3,0),"")</f>
        <v>MFG</v>
      </c>
      <c r="P214" s="50">
        <v>2024000</v>
      </c>
      <c r="Q214" s="50">
        <v>1288000</v>
      </c>
      <c r="AB214" s="50">
        <v>4320000</v>
      </c>
      <c r="AC214" s="26">
        <f t="shared" si="6"/>
        <v>2024000</v>
      </c>
      <c r="AD214" s="26">
        <f t="shared" si="7"/>
        <v>5608000</v>
      </c>
      <c r="AE214" s="50">
        <v>4200000</v>
      </c>
      <c r="AF214" s="50">
        <v>4368000</v>
      </c>
      <c r="AG214" s="53" t="s">
        <v>55</v>
      </c>
    </row>
    <row r="215" spans="1:33" ht="15" customHeight="1">
      <c r="A215" s="46" t="s">
        <v>91</v>
      </c>
      <c r="B215" s="3" t="str">
        <f>_xlfn.IFNA(VLOOKUP(C215,Master!$J:$K,2,0),"")</f>
        <v>B2220</v>
      </c>
      <c r="C215" s="46" t="s">
        <v>83</v>
      </c>
      <c r="D215" s="4" t="str">
        <f>_xlfn.IFNA(VLOOKUP(E215,Master!$J:$K,2,0),"")</f>
        <v>B5500</v>
      </c>
      <c r="E215" s="46" t="s">
        <v>236</v>
      </c>
      <c r="F215" s="4">
        <f>_xlfn.IFNA(VLOOKUP(G215,Master!B:C,2,0),"")</f>
        <v>7511111</v>
      </c>
      <c r="G215" s="46" t="s">
        <v>75</v>
      </c>
      <c r="H215" s="46" t="s">
        <v>537</v>
      </c>
      <c r="I215" s="3" t="str">
        <f>_xlfn.IFNA(VLOOKUP(E215,Master!$J:$M,4,0),"")</f>
        <v>IND</v>
      </c>
      <c r="J215" s="3" t="str">
        <f>_xlfn.IFNA(VLOOKUP($E215,Master!$J:$M,3,0),"")</f>
        <v>MFG</v>
      </c>
      <c r="M215" s="50">
        <v>560000</v>
      </c>
      <c r="N215" s="50">
        <v>620000</v>
      </c>
      <c r="O215" s="50">
        <v>620000</v>
      </c>
      <c r="P215" s="50">
        <v>620000</v>
      </c>
      <c r="Q215" s="50">
        <v>780000</v>
      </c>
      <c r="R215" s="50">
        <v>780000</v>
      </c>
      <c r="S215" s="50">
        <v>780000</v>
      </c>
      <c r="T215" s="50">
        <v>780000</v>
      </c>
      <c r="U215" s="50">
        <v>780000</v>
      </c>
      <c r="V215" s="50">
        <v>780000</v>
      </c>
      <c r="W215" s="50">
        <v>840000</v>
      </c>
      <c r="X215" s="50">
        <v>840000</v>
      </c>
      <c r="Y215" s="50">
        <v>840000</v>
      </c>
      <c r="Z215" s="50">
        <v>840000</v>
      </c>
      <c r="AA215" s="50">
        <v>840000</v>
      </c>
      <c r="AB215" s="50">
        <v>840000</v>
      </c>
      <c r="AC215" s="26">
        <f t="shared" si="6"/>
        <v>2420000</v>
      </c>
      <c r="AD215" s="26">
        <f t="shared" si="7"/>
        <v>9720000</v>
      </c>
      <c r="AE215" s="50">
        <v>9720000</v>
      </c>
      <c r="AF215" s="50">
        <v>9360000</v>
      </c>
      <c r="AG215" s="53" t="s">
        <v>55</v>
      </c>
    </row>
    <row r="216" spans="1:33" ht="15" customHeight="1">
      <c r="A216" s="46" t="s">
        <v>91</v>
      </c>
      <c r="B216" s="3" t="str">
        <f>_xlfn.IFNA(VLOOKUP(C216,Master!$J:$K,2,0),"")</f>
        <v>B2220</v>
      </c>
      <c r="C216" s="46" t="s">
        <v>83</v>
      </c>
      <c r="D216" s="4" t="str">
        <f>_xlfn.IFNA(VLOOKUP(E216,Master!$J:$K,2,0),"")</f>
        <v>B5500</v>
      </c>
      <c r="E216" s="46" t="s">
        <v>236</v>
      </c>
      <c r="F216" s="4">
        <f>_xlfn.IFNA(VLOOKUP(G216,Master!B:C,2,0),"")</f>
        <v>7511111</v>
      </c>
      <c r="G216" s="46" t="s">
        <v>75</v>
      </c>
      <c r="H216" s="46" t="s">
        <v>538</v>
      </c>
      <c r="I216" s="3" t="str">
        <f>_xlfn.IFNA(VLOOKUP(E216,Master!$J:$M,4,0),"")</f>
        <v>IND</v>
      </c>
      <c r="J216" s="3" t="str">
        <f>_xlfn.IFNA(VLOOKUP($E216,Master!$J:$M,3,0),"")</f>
        <v>MFG</v>
      </c>
      <c r="M216" s="50">
        <v>3000000</v>
      </c>
      <c r="N216" s="50">
        <v>3300000</v>
      </c>
      <c r="O216" s="50">
        <v>3300000</v>
      </c>
      <c r="P216" s="50">
        <v>3300000</v>
      </c>
      <c r="Q216" s="50">
        <v>4200000</v>
      </c>
      <c r="R216" s="50">
        <v>4200000</v>
      </c>
      <c r="S216" s="50">
        <v>4200000</v>
      </c>
      <c r="T216" s="50">
        <v>4200000</v>
      </c>
      <c r="U216" s="50">
        <v>4200000</v>
      </c>
      <c r="V216" s="50">
        <v>4200000</v>
      </c>
      <c r="W216" s="50">
        <v>4500000</v>
      </c>
      <c r="X216" s="50">
        <v>4500000</v>
      </c>
      <c r="Y216" s="50">
        <v>4500000</v>
      </c>
      <c r="Z216" s="50">
        <v>4500000</v>
      </c>
      <c r="AA216" s="50">
        <v>4500000</v>
      </c>
      <c r="AB216" s="50">
        <v>4500000</v>
      </c>
      <c r="AC216" s="26">
        <f t="shared" si="6"/>
        <v>12900000</v>
      </c>
      <c r="AD216" s="26">
        <f t="shared" si="7"/>
        <v>52200000</v>
      </c>
      <c r="AE216" s="50">
        <v>52200000</v>
      </c>
      <c r="AF216" s="50">
        <v>50400000</v>
      </c>
      <c r="AG216" s="53" t="s">
        <v>55</v>
      </c>
    </row>
    <row r="217" spans="1:33" ht="15" customHeight="1">
      <c r="A217" s="46" t="s">
        <v>91</v>
      </c>
      <c r="B217" s="3" t="str">
        <f>_xlfn.IFNA(VLOOKUP(C217,Master!$J:$K,2,0),"")</f>
        <v>B2220</v>
      </c>
      <c r="C217" s="46" t="s">
        <v>83</v>
      </c>
      <c r="D217" s="4" t="str">
        <f>_xlfn.IFNA(VLOOKUP(E217,Master!$J:$K,2,0),"")</f>
        <v>B5600</v>
      </c>
      <c r="E217" s="46" t="s">
        <v>241</v>
      </c>
      <c r="F217" s="4">
        <f>_xlfn.IFNA(VLOOKUP(G217,Master!B:C,2,0),"")</f>
        <v>7511111</v>
      </c>
      <c r="G217" s="46" t="s">
        <v>75</v>
      </c>
      <c r="H217" s="46" t="s">
        <v>533</v>
      </c>
      <c r="I217" s="3" t="str">
        <f>_xlfn.IFNA(VLOOKUP(E217,Master!$J:$M,4,0),"")</f>
        <v>IND</v>
      </c>
      <c r="J217" s="3" t="str">
        <f>_xlfn.IFNA(VLOOKUP($E217,Master!$J:$M,3,0),"")</f>
        <v>MFG</v>
      </c>
      <c r="M217" s="50">
        <v>49500</v>
      </c>
      <c r="N217" s="50">
        <v>49500</v>
      </c>
      <c r="O217" s="50">
        <v>49500</v>
      </c>
      <c r="P217" s="50">
        <v>49500</v>
      </c>
      <c r="Q217" s="50">
        <v>49500</v>
      </c>
      <c r="R217" s="50">
        <v>49500</v>
      </c>
      <c r="S217" s="50">
        <v>49500</v>
      </c>
      <c r="T217" s="50">
        <v>49500</v>
      </c>
      <c r="U217" s="50">
        <v>49500</v>
      </c>
      <c r="V217" s="50">
        <v>49500</v>
      </c>
      <c r="W217" s="50">
        <v>49500</v>
      </c>
      <c r="X217" s="50">
        <v>49500</v>
      </c>
      <c r="Y217" s="50">
        <v>49500</v>
      </c>
      <c r="Z217" s="50">
        <v>49500</v>
      </c>
      <c r="AA217" s="50">
        <v>49500</v>
      </c>
      <c r="AB217" s="50">
        <v>49500</v>
      </c>
      <c r="AC217" s="26">
        <f t="shared" si="6"/>
        <v>198000</v>
      </c>
      <c r="AD217" s="26">
        <f t="shared" si="7"/>
        <v>594000</v>
      </c>
      <c r="AE217" s="50">
        <v>594000</v>
      </c>
      <c r="AF217" s="50">
        <v>594000</v>
      </c>
      <c r="AG217" s="53" t="s">
        <v>55</v>
      </c>
    </row>
    <row r="218" spans="1:33" ht="15" customHeight="1">
      <c r="A218" s="46" t="s">
        <v>91</v>
      </c>
      <c r="B218" s="3" t="str">
        <f>_xlfn.IFNA(VLOOKUP(C218,Master!$J:$K,2,0),"")</f>
        <v>B2220</v>
      </c>
      <c r="C218" s="46" t="s">
        <v>83</v>
      </c>
      <c r="D218" s="4" t="str">
        <f>_xlfn.IFNA(VLOOKUP(E218,Master!$J:$K,2,0),"")</f>
        <v>B5600</v>
      </c>
      <c r="E218" s="46" t="s">
        <v>241</v>
      </c>
      <c r="F218" s="4">
        <f>_xlfn.IFNA(VLOOKUP(G218,Master!B:C,2,0),"")</f>
        <v>7511111</v>
      </c>
      <c r="G218" s="46" t="s">
        <v>75</v>
      </c>
      <c r="H218" s="46" t="s">
        <v>534</v>
      </c>
      <c r="I218" s="3" t="str">
        <f>_xlfn.IFNA(VLOOKUP(E218,Master!$J:$M,4,0),"")</f>
        <v>IND</v>
      </c>
      <c r="J218" s="3" t="str">
        <f>_xlfn.IFNA(VLOOKUP($E218,Master!$J:$M,3,0),"")</f>
        <v>MFG</v>
      </c>
      <c r="M218" s="50">
        <v>7835500</v>
      </c>
      <c r="N218" s="50">
        <v>8401000</v>
      </c>
      <c r="O218" s="50">
        <v>8024000</v>
      </c>
      <c r="P218" s="50">
        <v>7458500</v>
      </c>
      <c r="Q218" s="50">
        <v>9600000</v>
      </c>
      <c r="R218" s="50">
        <v>10400000</v>
      </c>
      <c r="S218" s="50">
        <v>10200000</v>
      </c>
      <c r="T218" s="50">
        <v>11000000</v>
      </c>
      <c r="U218" s="50">
        <v>10800000</v>
      </c>
      <c r="V218" s="50">
        <v>10400000</v>
      </c>
      <c r="W218" s="50">
        <v>11000000</v>
      </c>
      <c r="X218" s="50">
        <v>10600000</v>
      </c>
      <c r="Y218" s="50">
        <v>10400000</v>
      </c>
      <c r="Z218" s="50">
        <v>10800000</v>
      </c>
      <c r="AA218" s="50">
        <v>10400000</v>
      </c>
      <c r="AB218" s="50">
        <v>9800000</v>
      </c>
      <c r="AC218" s="26">
        <f t="shared" si="6"/>
        <v>31719000</v>
      </c>
      <c r="AD218" s="26">
        <f t="shared" si="7"/>
        <v>125400000</v>
      </c>
      <c r="AE218" s="50">
        <v>132138000</v>
      </c>
      <c r="AF218" s="50">
        <v>143400000</v>
      </c>
      <c r="AG218" s="53" t="s">
        <v>55</v>
      </c>
    </row>
    <row r="219" spans="1:33" ht="15" customHeight="1">
      <c r="A219" s="46" t="s">
        <v>91</v>
      </c>
      <c r="B219" s="3" t="str">
        <f>_xlfn.IFNA(VLOOKUP(C219,Master!$J:$K,2,0),"")</f>
        <v>B2220</v>
      </c>
      <c r="C219" s="46" t="s">
        <v>83</v>
      </c>
      <c r="D219" s="4" t="str">
        <f>_xlfn.IFNA(VLOOKUP(E219,Master!$J:$K,2,0),"")</f>
        <v>B5600</v>
      </c>
      <c r="E219" s="46" t="s">
        <v>241</v>
      </c>
      <c r="F219" s="4">
        <f>_xlfn.IFNA(VLOOKUP(G219,Master!B:C,2,0),"")</f>
        <v>7511111</v>
      </c>
      <c r="G219" s="46" t="s">
        <v>75</v>
      </c>
      <c r="H219" s="46" t="s">
        <v>535</v>
      </c>
      <c r="I219" s="3" t="str">
        <f>_xlfn.IFNA(VLOOKUP(E219,Master!$J:$M,4,0),"")</f>
        <v>IND</v>
      </c>
      <c r="J219" s="3" t="str">
        <f>_xlfn.IFNA(VLOOKUP($E219,Master!$J:$M,3,0),"")</f>
        <v>MFG</v>
      </c>
      <c r="M219" s="50">
        <v>3500000</v>
      </c>
      <c r="N219" s="50">
        <v>3500000</v>
      </c>
      <c r="O219" s="50">
        <v>3500000</v>
      </c>
      <c r="P219" s="50">
        <v>3500000</v>
      </c>
      <c r="Q219" s="50">
        <v>3500000</v>
      </c>
      <c r="R219" s="50">
        <v>3500000</v>
      </c>
      <c r="S219" s="50">
        <v>3500000</v>
      </c>
      <c r="T219" s="50">
        <v>3500000</v>
      </c>
      <c r="U219" s="50">
        <v>3500000</v>
      </c>
      <c r="V219" s="50">
        <v>3500000</v>
      </c>
      <c r="W219" s="50">
        <v>3500000</v>
      </c>
      <c r="X219" s="50">
        <v>3500000</v>
      </c>
      <c r="Y219" s="50">
        <v>3500000</v>
      </c>
      <c r="Z219" s="50">
        <v>6050000</v>
      </c>
      <c r="AA219" s="50">
        <v>6050000</v>
      </c>
      <c r="AB219" s="50">
        <v>6050000</v>
      </c>
      <c r="AC219" s="26">
        <f t="shared" si="6"/>
        <v>14000000</v>
      </c>
      <c r="AD219" s="26">
        <f t="shared" si="7"/>
        <v>49650000</v>
      </c>
      <c r="AE219" s="50">
        <v>72300000</v>
      </c>
      <c r="AF219" s="50">
        <v>71700000</v>
      </c>
      <c r="AG219" s="53" t="s">
        <v>55</v>
      </c>
    </row>
    <row r="220" spans="1:33" ht="15" customHeight="1">
      <c r="A220" s="46" t="s">
        <v>91</v>
      </c>
      <c r="B220" s="3" t="str">
        <f>_xlfn.IFNA(VLOOKUP(C220,Master!$J:$K,2,0),"")</f>
        <v>B2220</v>
      </c>
      <c r="C220" s="46" t="s">
        <v>83</v>
      </c>
      <c r="D220" s="4" t="str">
        <f>_xlfn.IFNA(VLOOKUP(E220,Master!$J:$K,2,0),"")</f>
        <v>B5600</v>
      </c>
      <c r="E220" s="46" t="s">
        <v>241</v>
      </c>
      <c r="F220" s="4">
        <f>_xlfn.IFNA(VLOOKUP(G220,Master!B:C,2,0),"")</f>
        <v>7511111</v>
      </c>
      <c r="G220" s="46" t="s">
        <v>75</v>
      </c>
      <c r="H220" s="46" t="s">
        <v>536</v>
      </c>
      <c r="I220" s="3" t="str">
        <f>_xlfn.IFNA(VLOOKUP(E220,Master!$J:$M,4,0),"")</f>
        <v>IND</v>
      </c>
      <c r="J220" s="3" t="str">
        <f>_xlfn.IFNA(VLOOKUP($E220,Master!$J:$M,3,0),"")</f>
        <v>MFG</v>
      </c>
      <c r="P220" s="50">
        <v>2024000</v>
      </c>
      <c r="Q220" s="50">
        <v>1012000</v>
      </c>
      <c r="AB220" s="50">
        <v>3168000</v>
      </c>
      <c r="AC220" s="26">
        <f t="shared" si="6"/>
        <v>2024000</v>
      </c>
      <c r="AD220" s="26">
        <f t="shared" si="7"/>
        <v>4180000</v>
      </c>
      <c r="AE220" s="50">
        <v>3300000</v>
      </c>
      <c r="AF220" s="50">
        <v>3432000</v>
      </c>
      <c r="AG220" s="53" t="s">
        <v>55</v>
      </c>
    </row>
    <row r="221" spans="1:33" ht="15" customHeight="1">
      <c r="A221" s="46" t="s">
        <v>91</v>
      </c>
      <c r="B221" s="3" t="str">
        <f>_xlfn.IFNA(VLOOKUP(C221,Master!$J:$K,2,0),"")</f>
        <v>B2220</v>
      </c>
      <c r="C221" s="46" t="s">
        <v>83</v>
      </c>
      <c r="D221" s="4" t="str">
        <f>_xlfn.IFNA(VLOOKUP(E221,Master!$J:$K,2,0),"")</f>
        <v>B5600</v>
      </c>
      <c r="E221" s="46" t="s">
        <v>241</v>
      </c>
      <c r="F221" s="4">
        <f>_xlfn.IFNA(VLOOKUP(G221,Master!B:C,2,0),"")</f>
        <v>7511111</v>
      </c>
      <c r="G221" s="46" t="s">
        <v>75</v>
      </c>
      <c r="H221" s="46" t="s">
        <v>537</v>
      </c>
      <c r="I221" s="3" t="str">
        <f>_xlfn.IFNA(VLOOKUP(E221,Master!$J:$M,4,0),"")</f>
        <v>IND</v>
      </c>
      <c r="J221" s="3" t="str">
        <f>_xlfn.IFNA(VLOOKUP($E221,Master!$J:$M,3,0),"")</f>
        <v>MFG</v>
      </c>
      <c r="M221" s="50">
        <v>540000</v>
      </c>
      <c r="N221" s="50">
        <v>540000</v>
      </c>
      <c r="O221" s="50">
        <v>540000</v>
      </c>
      <c r="P221" s="50">
        <v>540000</v>
      </c>
      <c r="Q221" s="50">
        <v>540000</v>
      </c>
      <c r="R221" s="50">
        <v>540000</v>
      </c>
      <c r="S221" s="50">
        <v>540000</v>
      </c>
      <c r="T221" s="50">
        <v>540000</v>
      </c>
      <c r="U221" s="50">
        <v>540000</v>
      </c>
      <c r="V221" s="50">
        <v>540000</v>
      </c>
      <c r="W221" s="50">
        <v>540000</v>
      </c>
      <c r="X221" s="50">
        <v>540000</v>
      </c>
      <c r="Y221" s="50">
        <v>540000</v>
      </c>
      <c r="Z221" s="50">
        <v>540000</v>
      </c>
      <c r="AA221" s="50">
        <v>540000</v>
      </c>
      <c r="AB221" s="50">
        <v>540000</v>
      </c>
      <c r="AC221" s="26">
        <f t="shared" si="6"/>
        <v>2160000</v>
      </c>
      <c r="AD221" s="26">
        <f t="shared" si="7"/>
        <v>6480000</v>
      </c>
      <c r="AE221" s="50">
        <v>6480000</v>
      </c>
      <c r="AF221" s="50">
        <v>6480000</v>
      </c>
      <c r="AG221" s="53" t="s">
        <v>55</v>
      </c>
    </row>
    <row r="222" spans="1:33" ht="15" customHeight="1">
      <c r="A222" s="46" t="s">
        <v>91</v>
      </c>
      <c r="B222" s="3" t="str">
        <f>_xlfn.IFNA(VLOOKUP(C222,Master!$J:$K,2,0),"")</f>
        <v>B2220</v>
      </c>
      <c r="C222" s="46" t="s">
        <v>83</v>
      </c>
      <c r="D222" s="4" t="str">
        <f>_xlfn.IFNA(VLOOKUP(E222,Master!$J:$K,2,0),"")</f>
        <v>B5600</v>
      </c>
      <c r="E222" s="46" t="s">
        <v>241</v>
      </c>
      <c r="F222" s="4">
        <f>_xlfn.IFNA(VLOOKUP(G222,Master!B:C,2,0),"")</f>
        <v>7511111</v>
      </c>
      <c r="G222" s="46" t="s">
        <v>75</v>
      </c>
      <c r="H222" s="46" t="s">
        <v>538</v>
      </c>
      <c r="I222" s="3" t="str">
        <f>_xlfn.IFNA(VLOOKUP(E222,Master!$J:$M,4,0),"")</f>
        <v>IND</v>
      </c>
      <c r="J222" s="3" t="str">
        <f>_xlfn.IFNA(VLOOKUP($E222,Master!$J:$M,3,0),"")</f>
        <v>MFG</v>
      </c>
      <c r="M222" s="50">
        <v>3000000</v>
      </c>
      <c r="N222" s="50">
        <v>3000000</v>
      </c>
      <c r="O222" s="50">
        <v>3000000</v>
      </c>
      <c r="P222" s="50">
        <v>3000000</v>
      </c>
      <c r="Q222" s="50">
        <v>3000000</v>
      </c>
      <c r="R222" s="50">
        <v>3000000</v>
      </c>
      <c r="S222" s="50">
        <v>3000000</v>
      </c>
      <c r="T222" s="50">
        <v>3000000</v>
      </c>
      <c r="U222" s="50">
        <v>3000000</v>
      </c>
      <c r="V222" s="50">
        <v>3000000</v>
      </c>
      <c r="W222" s="50">
        <v>3000000</v>
      </c>
      <c r="X222" s="50">
        <v>3000000</v>
      </c>
      <c r="Y222" s="50">
        <v>3000000</v>
      </c>
      <c r="Z222" s="50">
        <v>3000000</v>
      </c>
      <c r="AA222" s="50">
        <v>3000000</v>
      </c>
      <c r="AB222" s="50">
        <v>3000000</v>
      </c>
      <c r="AC222" s="26">
        <f t="shared" si="6"/>
        <v>12000000</v>
      </c>
      <c r="AD222" s="26">
        <f t="shared" si="7"/>
        <v>36000000</v>
      </c>
      <c r="AE222" s="50">
        <v>36000000</v>
      </c>
      <c r="AF222" s="50">
        <v>36000000</v>
      </c>
      <c r="AG222" s="53" t="s">
        <v>55</v>
      </c>
    </row>
    <row r="223" spans="1:33" ht="15" customHeight="1">
      <c r="A223" s="46" t="s">
        <v>91</v>
      </c>
      <c r="B223" s="3" t="str">
        <f>_xlfn.IFNA(VLOOKUP(C223,Master!$J:$K,2,0),"")</f>
        <v>B2220</v>
      </c>
      <c r="C223" s="46" t="s">
        <v>83</v>
      </c>
      <c r="D223" s="4" t="str">
        <f>_xlfn.IFNA(VLOOKUP(E223,Master!$J:$K,2,0),"")</f>
        <v>B5710</v>
      </c>
      <c r="E223" s="46" t="s">
        <v>265</v>
      </c>
      <c r="F223" s="4">
        <f>_xlfn.IFNA(VLOOKUP(G223,Master!B:C,2,0),"")</f>
        <v>7511111</v>
      </c>
      <c r="G223" s="46" t="s">
        <v>75</v>
      </c>
      <c r="H223" s="46" t="s">
        <v>533</v>
      </c>
      <c r="I223" s="3" t="str">
        <f>_xlfn.IFNA(VLOOKUP(E223,Master!$J:$M,4,0),"")</f>
        <v>IND</v>
      </c>
      <c r="J223" s="3" t="str">
        <f>_xlfn.IFNA(VLOOKUP($E223,Master!$J:$M,3,0),"")</f>
        <v>MFG</v>
      </c>
      <c r="M223" s="50">
        <v>31500</v>
      </c>
      <c r="N223" s="50">
        <v>31500</v>
      </c>
      <c r="O223" s="50">
        <v>31500</v>
      </c>
      <c r="P223" s="50">
        <v>31500</v>
      </c>
      <c r="Q223" s="50">
        <v>31500</v>
      </c>
      <c r="R223" s="50">
        <v>31500</v>
      </c>
      <c r="S223" s="50">
        <v>31500</v>
      </c>
      <c r="T223" s="50">
        <v>31500</v>
      </c>
      <c r="U223" s="50">
        <v>31500</v>
      </c>
      <c r="V223" s="50">
        <v>31500</v>
      </c>
      <c r="W223" s="50">
        <v>31500</v>
      </c>
      <c r="X223" s="50">
        <v>31500</v>
      </c>
      <c r="Y223" s="50">
        <v>31500</v>
      </c>
      <c r="Z223" s="50">
        <v>36000</v>
      </c>
      <c r="AA223" s="50">
        <v>36000</v>
      </c>
      <c r="AB223" s="50">
        <v>36000</v>
      </c>
      <c r="AC223" s="26">
        <f t="shared" si="6"/>
        <v>126000</v>
      </c>
      <c r="AD223" s="26">
        <f t="shared" si="7"/>
        <v>391500</v>
      </c>
      <c r="AE223" s="50">
        <v>391500</v>
      </c>
      <c r="AF223" s="50">
        <v>378000</v>
      </c>
      <c r="AG223" s="53" t="s">
        <v>55</v>
      </c>
    </row>
    <row r="224" spans="1:33" ht="15" customHeight="1">
      <c r="A224" s="46" t="s">
        <v>91</v>
      </c>
      <c r="B224" s="3" t="str">
        <f>_xlfn.IFNA(VLOOKUP(C224,Master!$J:$K,2,0),"")</f>
        <v>B2220</v>
      </c>
      <c r="C224" s="46" t="s">
        <v>83</v>
      </c>
      <c r="D224" s="4" t="str">
        <f>_xlfn.IFNA(VLOOKUP(E224,Master!$J:$K,2,0),"")</f>
        <v>B5710</v>
      </c>
      <c r="E224" s="46" t="s">
        <v>265</v>
      </c>
      <c r="F224" s="4">
        <f>_xlfn.IFNA(VLOOKUP(G224,Master!B:C,2,0),"")</f>
        <v>7511111</v>
      </c>
      <c r="G224" s="46" t="s">
        <v>75</v>
      </c>
      <c r="H224" s="46" t="s">
        <v>534</v>
      </c>
      <c r="I224" s="3" t="str">
        <f>_xlfn.IFNA(VLOOKUP(E224,Master!$J:$M,4,0),"")</f>
        <v>IND</v>
      </c>
      <c r="J224" s="3" t="str">
        <f>_xlfn.IFNA(VLOOKUP($E224,Master!$J:$M,3,0),"")</f>
        <v>MFG</v>
      </c>
      <c r="M224" s="50">
        <v>3042900</v>
      </c>
      <c r="N224" s="50">
        <v>3439800</v>
      </c>
      <c r="O224" s="50">
        <v>3175200</v>
      </c>
      <c r="P224" s="50">
        <v>2778300</v>
      </c>
      <c r="Q224" s="50">
        <v>2381400</v>
      </c>
      <c r="R224" s="50">
        <v>2910600</v>
      </c>
      <c r="S224" s="50">
        <v>2778300</v>
      </c>
      <c r="T224" s="50">
        <v>3307500</v>
      </c>
      <c r="U224" s="50">
        <v>3175200</v>
      </c>
      <c r="V224" s="50">
        <v>2910600</v>
      </c>
      <c r="W224" s="50">
        <v>3307500</v>
      </c>
      <c r="X224" s="50">
        <v>3042900</v>
      </c>
      <c r="Y224" s="50">
        <v>2910600</v>
      </c>
      <c r="Z224" s="50">
        <v>3801600</v>
      </c>
      <c r="AA224" s="50">
        <v>3484800</v>
      </c>
      <c r="AB224" s="50">
        <v>3009600</v>
      </c>
      <c r="AC224" s="26">
        <f t="shared" si="6"/>
        <v>12436200</v>
      </c>
      <c r="AD224" s="26">
        <f t="shared" si="7"/>
        <v>37020600</v>
      </c>
      <c r="AE224" s="50">
        <v>37263200</v>
      </c>
      <c r="AF224" s="50">
        <v>37613100</v>
      </c>
      <c r="AG224" s="53" t="s">
        <v>55</v>
      </c>
    </row>
    <row r="225" spans="1:33" ht="15" customHeight="1">
      <c r="A225" s="46" t="s">
        <v>91</v>
      </c>
      <c r="B225" s="3" t="str">
        <f>_xlfn.IFNA(VLOOKUP(C225,Master!$J:$K,2,0),"")</f>
        <v>B2220</v>
      </c>
      <c r="C225" s="46" t="s">
        <v>83</v>
      </c>
      <c r="D225" s="4" t="str">
        <f>_xlfn.IFNA(VLOOKUP(E225,Master!$J:$K,2,0),"")</f>
        <v>B5710</v>
      </c>
      <c r="E225" s="46" t="s">
        <v>265</v>
      </c>
      <c r="F225" s="4">
        <f>_xlfn.IFNA(VLOOKUP(G225,Master!B:C,2,0),"")</f>
        <v>7511111</v>
      </c>
      <c r="G225" s="46" t="s">
        <v>75</v>
      </c>
      <c r="H225" s="46" t="s">
        <v>535</v>
      </c>
      <c r="I225" s="3" t="str">
        <f>_xlfn.IFNA(VLOOKUP(E225,Master!$J:$M,4,0),"")</f>
        <v>IND</v>
      </c>
      <c r="J225" s="3" t="str">
        <f>_xlfn.IFNA(VLOOKUP($E225,Master!$J:$M,3,0),"")</f>
        <v>MFG</v>
      </c>
      <c r="M225" s="50">
        <v>350000</v>
      </c>
      <c r="N225" s="50">
        <v>350000</v>
      </c>
      <c r="O225" s="50">
        <v>350000</v>
      </c>
      <c r="P225" s="50">
        <v>350000</v>
      </c>
      <c r="Q225" s="50">
        <v>350000</v>
      </c>
      <c r="R225" s="50">
        <v>350000</v>
      </c>
      <c r="S225" s="50">
        <v>350000</v>
      </c>
      <c r="T225" s="50">
        <v>350000</v>
      </c>
      <c r="U225" s="50">
        <v>350000</v>
      </c>
      <c r="V225" s="50">
        <v>350000</v>
      </c>
      <c r="W225" s="50">
        <v>350000</v>
      </c>
      <c r="X225" s="50">
        <v>350000</v>
      </c>
      <c r="Y225" s="50">
        <v>350000</v>
      </c>
      <c r="Z225" s="50">
        <v>950000</v>
      </c>
      <c r="AA225" s="50">
        <v>950000</v>
      </c>
      <c r="AB225" s="50">
        <v>950000</v>
      </c>
      <c r="AC225" s="26">
        <f t="shared" si="6"/>
        <v>1400000</v>
      </c>
      <c r="AD225" s="26">
        <f t="shared" si="7"/>
        <v>6000000</v>
      </c>
      <c r="AE225" s="50">
        <v>11400000</v>
      </c>
      <c r="AF225" s="50">
        <v>11400000</v>
      </c>
      <c r="AG225" s="53" t="s">
        <v>55</v>
      </c>
    </row>
    <row r="226" spans="1:33" ht="15" customHeight="1">
      <c r="A226" s="46" t="s">
        <v>91</v>
      </c>
      <c r="B226" s="3" t="str">
        <f>_xlfn.IFNA(VLOOKUP(C226,Master!$J:$K,2,0),"")</f>
        <v>B2220</v>
      </c>
      <c r="C226" s="46" t="s">
        <v>83</v>
      </c>
      <c r="D226" s="4" t="str">
        <f>_xlfn.IFNA(VLOOKUP(E226,Master!$J:$K,2,0),"")</f>
        <v>B5710</v>
      </c>
      <c r="E226" s="46" t="s">
        <v>265</v>
      </c>
      <c r="F226" s="4">
        <f>_xlfn.IFNA(VLOOKUP(G226,Master!B:C,2,0),"")</f>
        <v>7511111</v>
      </c>
      <c r="G226" s="46" t="s">
        <v>75</v>
      </c>
      <c r="H226" s="46" t="s">
        <v>536</v>
      </c>
      <c r="I226" s="3" t="str">
        <f>_xlfn.IFNA(VLOOKUP(E226,Master!$J:$M,4,0),"")</f>
        <v>IND</v>
      </c>
      <c r="J226" s="3" t="str">
        <f>_xlfn.IFNA(VLOOKUP($E226,Master!$J:$M,3,0),"")</f>
        <v>MFG</v>
      </c>
      <c r="P226" s="50">
        <v>1288000</v>
      </c>
      <c r="Q226" s="50">
        <v>644000</v>
      </c>
      <c r="AB226" s="50">
        <v>2304000</v>
      </c>
      <c r="AC226" s="26">
        <f t="shared" si="6"/>
        <v>1288000</v>
      </c>
      <c r="AD226" s="26">
        <f t="shared" si="7"/>
        <v>2948000</v>
      </c>
      <c r="AE226" s="50">
        <v>2100000</v>
      </c>
      <c r="AF226" s="50">
        <v>2184000</v>
      </c>
      <c r="AG226" s="53" t="s">
        <v>55</v>
      </c>
    </row>
    <row r="227" spans="1:33" ht="15" customHeight="1">
      <c r="A227" s="46" t="s">
        <v>91</v>
      </c>
      <c r="B227" s="3" t="str">
        <f>_xlfn.IFNA(VLOOKUP(C227,Master!$J:$K,2,0),"")</f>
        <v>B2220</v>
      </c>
      <c r="C227" s="46" t="s">
        <v>83</v>
      </c>
      <c r="D227" s="4" t="str">
        <f>_xlfn.IFNA(VLOOKUP(E227,Master!$J:$K,2,0),"")</f>
        <v>B5710</v>
      </c>
      <c r="E227" s="46" t="s">
        <v>265</v>
      </c>
      <c r="F227" s="4">
        <f>_xlfn.IFNA(VLOOKUP(G227,Master!B:C,2,0),"")</f>
        <v>7511111</v>
      </c>
      <c r="G227" s="46" t="s">
        <v>75</v>
      </c>
      <c r="H227" s="46" t="s">
        <v>537</v>
      </c>
      <c r="I227" s="3" t="str">
        <f>_xlfn.IFNA(VLOOKUP(E227,Master!$J:$M,4,0),"")</f>
        <v>IND</v>
      </c>
      <c r="J227" s="3" t="str">
        <f>_xlfn.IFNA(VLOOKUP($E227,Master!$J:$M,3,0),"")</f>
        <v>MFG</v>
      </c>
      <c r="M227" s="50">
        <v>420000</v>
      </c>
      <c r="N227" s="50">
        <v>420000</v>
      </c>
      <c r="O227" s="50">
        <v>420000</v>
      </c>
      <c r="P227" s="50">
        <v>420000</v>
      </c>
      <c r="Q227" s="50">
        <v>420000</v>
      </c>
      <c r="R227" s="50">
        <v>420000</v>
      </c>
      <c r="S227" s="50">
        <v>420000</v>
      </c>
      <c r="T227" s="50">
        <v>420000</v>
      </c>
      <c r="U227" s="50">
        <v>420000</v>
      </c>
      <c r="V227" s="50">
        <v>420000</v>
      </c>
      <c r="W227" s="50">
        <v>420000</v>
      </c>
      <c r="X227" s="50">
        <v>420000</v>
      </c>
      <c r="Y227" s="50">
        <v>420000</v>
      </c>
      <c r="Z227" s="50">
        <v>480000</v>
      </c>
      <c r="AA227" s="50">
        <v>480000</v>
      </c>
      <c r="AB227" s="50">
        <v>480000</v>
      </c>
      <c r="AC227" s="26">
        <f t="shared" si="6"/>
        <v>1680000</v>
      </c>
      <c r="AD227" s="26">
        <f t="shared" si="7"/>
        <v>5220000</v>
      </c>
      <c r="AE227" s="50">
        <v>5220000</v>
      </c>
      <c r="AF227" s="50">
        <v>5040000</v>
      </c>
      <c r="AG227" s="53" t="s">
        <v>55</v>
      </c>
    </row>
    <row r="228" spans="1:33" ht="15" customHeight="1">
      <c r="A228" s="46" t="s">
        <v>91</v>
      </c>
      <c r="B228" s="3" t="str">
        <f>_xlfn.IFNA(VLOOKUP(C228,Master!$J:$K,2,0),"")</f>
        <v>B2220</v>
      </c>
      <c r="C228" s="46" t="s">
        <v>83</v>
      </c>
      <c r="D228" s="4" t="str">
        <f>_xlfn.IFNA(VLOOKUP(E228,Master!$J:$K,2,0),"")</f>
        <v>B5710</v>
      </c>
      <c r="E228" s="46" t="s">
        <v>265</v>
      </c>
      <c r="F228" s="4">
        <f>_xlfn.IFNA(VLOOKUP(G228,Master!B:C,2,0),"")</f>
        <v>7511111</v>
      </c>
      <c r="G228" s="46" t="s">
        <v>75</v>
      </c>
      <c r="H228" s="46" t="s">
        <v>538</v>
      </c>
      <c r="I228" s="3" t="str">
        <f>_xlfn.IFNA(VLOOKUP(E228,Master!$J:$M,4,0),"")</f>
        <v>IND</v>
      </c>
      <c r="J228" s="3" t="str">
        <f>_xlfn.IFNA(VLOOKUP($E228,Master!$J:$M,3,0),"")</f>
        <v>MFG</v>
      </c>
      <c r="M228" s="50">
        <v>2100000</v>
      </c>
      <c r="N228" s="50">
        <v>2100000</v>
      </c>
      <c r="O228" s="50">
        <v>2100000</v>
      </c>
      <c r="P228" s="50">
        <v>2100000</v>
      </c>
      <c r="Q228" s="50">
        <v>2100000</v>
      </c>
      <c r="R228" s="50">
        <v>2100000</v>
      </c>
      <c r="S228" s="50">
        <v>2100000</v>
      </c>
      <c r="T228" s="50">
        <v>2100000</v>
      </c>
      <c r="U228" s="50">
        <v>2100000</v>
      </c>
      <c r="V228" s="50">
        <v>2100000</v>
      </c>
      <c r="W228" s="50">
        <v>2100000</v>
      </c>
      <c r="X228" s="50">
        <v>2100000</v>
      </c>
      <c r="Y228" s="50">
        <v>2100000</v>
      </c>
      <c r="Z228" s="50">
        <v>2400000</v>
      </c>
      <c r="AA228" s="50">
        <v>2400000</v>
      </c>
      <c r="AB228" s="50">
        <v>2400000</v>
      </c>
      <c r="AC228" s="26">
        <f t="shared" si="6"/>
        <v>8400000</v>
      </c>
      <c r="AD228" s="26">
        <f t="shared" si="7"/>
        <v>26100000</v>
      </c>
      <c r="AE228" s="50">
        <v>26100000</v>
      </c>
      <c r="AF228" s="50">
        <v>25200000</v>
      </c>
      <c r="AG228" s="53" t="s">
        <v>55</v>
      </c>
    </row>
    <row r="229" spans="1:33" ht="15" customHeight="1">
      <c r="A229" s="46" t="s">
        <v>91</v>
      </c>
      <c r="B229" s="3" t="str">
        <f>_xlfn.IFNA(VLOOKUP(C229,Master!$J:$K,2,0),"")</f>
        <v>B2220</v>
      </c>
      <c r="C229" s="46" t="s">
        <v>83</v>
      </c>
      <c r="D229" s="4" t="str">
        <f>_xlfn.IFNA(VLOOKUP(E229,Master!$J:$K,2,0),"")</f>
        <v>B5800</v>
      </c>
      <c r="E229" s="46" t="s">
        <v>226</v>
      </c>
      <c r="F229" s="4">
        <f>_xlfn.IFNA(VLOOKUP(G229,Master!B:C,2,0),"")</f>
        <v>7511111</v>
      </c>
      <c r="G229" s="46" t="s">
        <v>75</v>
      </c>
      <c r="H229" s="46" t="s">
        <v>533</v>
      </c>
      <c r="I229" s="3" t="str">
        <f>_xlfn.IFNA(VLOOKUP(E229,Master!$J:$M,4,0),"")</f>
        <v>IND</v>
      </c>
      <c r="J229" s="3" t="str">
        <f>_xlfn.IFNA(VLOOKUP($E229,Master!$J:$M,3,0),"")</f>
        <v>MFG</v>
      </c>
      <c r="M229" s="50">
        <v>40500</v>
      </c>
      <c r="N229" s="50">
        <v>40500</v>
      </c>
      <c r="O229" s="50">
        <v>40500</v>
      </c>
      <c r="P229" s="50">
        <v>40500</v>
      </c>
      <c r="Q229" s="50">
        <v>40500</v>
      </c>
      <c r="R229" s="50">
        <v>40500</v>
      </c>
      <c r="S229" s="50">
        <v>40500</v>
      </c>
      <c r="T229" s="50">
        <v>40500</v>
      </c>
      <c r="U229" s="50">
        <v>40500</v>
      </c>
      <c r="V229" s="50">
        <v>40500</v>
      </c>
      <c r="W229" s="50">
        <v>40500</v>
      </c>
      <c r="X229" s="50">
        <v>40500</v>
      </c>
      <c r="Y229" s="50">
        <v>40500</v>
      </c>
      <c r="Z229" s="50">
        <v>40500</v>
      </c>
      <c r="AA229" s="50">
        <v>40500</v>
      </c>
      <c r="AB229" s="50">
        <v>40500</v>
      </c>
      <c r="AC229" s="26">
        <f t="shared" si="6"/>
        <v>162000</v>
      </c>
      <c r="AD229" s="26">
        <f t="shared" si="7"/>
        <v>486000</v>
      </c>
      <c r="AE229" s="50">
        <v>486000</v>
      </c>
      <c r="AF229" s="50">
        <v>441000</v>
      </c>
      <c r="AG229" s="53" t="s">
        <v>55</v>
      </c>
    </row>
    <row r="230" spans="1:33" ht="15" customHeight="1">
      <c r="A230" s="46" t="s">
        <v>91</v>
      </c>
      <c r="B230" s="3" t="str">
        <f>_xlfn.IFNA(VLOOKUP(C230,Master!$J:$K,2,0),"")</f>
        <v>B2220</v>
      </c>
      <c r="C230" s="46" t="s">
        <v>83</v>
      </c>
      <c r="D230" s="4" t="str">
        <f>_xlfn.IFNA(VLOOKUP(E230,Master!$J:$K,2,0),"")</f>
        <v>B5800</v>
      </c>
      <c r="E230" s="46" t="s">
        <v>226</v>
      </c>
      <c r="F230" s="4">
        <f>_xlfn.IFNA(VLOOKUP(G230,Master!B:C,2,0),"")</f>
        <v>7511111</v>
      </c>
      <c r="G230" s="46" t="s">
        <v>75</v>
      </c>
      <c r="H230" s="46" t="s">
        <v>534</v>
      </c>
      <c r="I230" s="3" t="str">
        <f>_xlfn.IFNA(VLOOKUP(E230,Master!$J:$M,4,0),"")</f>
        <v>IND</v>
      </c>
      <c r="J230" s="3" t="str">
        <f>_xlfn.IFNA(VLOOKUP($E230,Master!$J:$M,3,0),"")</f>
        <v>MFG</v>
      </c>
      <c r="M230" s="50">
        <v>17521300</v>
      </c>
      <c r="N230" s="50">
        <v>17980600</v>
      </c>
      <c r="O230" s="50">
        <v>17674400</v>
      </c>
      <c r="P230" s="50">
        <v>17215100</v>
      </c>
      <c r="Q230" s="50">
        <v>19416000</v>
      </c>
      <c r="R230" s="50">
        <v>20064000</v>
      </c>
      <c r="S230" s="50">
        <v>19902000</v>
      </c>
      <c r="T230" s="50">
        <v>20550000</v>
      </c>
      <c r="U230" s="50">
        <v>20388000</v>
      </c>
      <c r="V230" s="50">
        <v>20064000</v>
      </c>
      <c r="W230" s="50">
        <v>20550000</v>
      </c>
      <c r="X230" s="50">
        <v>20226000</v>
      </c>
      <c r="Y230" s="50">
        <v>20064000</v>
      </c>
      <c r="Z230" s="50">
        <v>20388000</v>
      </c>
      <c r="AA230" s="50">
        <v>20064000</v>
      </c>
      <c r="AB230" s="50">
        <v>19578000</v>
      </c>
      <c r="AC230" s="26">
        <f t="shared" si="6"/>
        <v>70391400</v>
      </c>
      <c r="AD230" s="26">
        <f t="shared" si="7"/>
        <v>241254000</v>
      </c>
      <c r="AE230" s="50">
        <v>241947000</v>
      </c>
      <c r="AF230" s="50">
        <v>240485000</v>
      </c>
      <c r="AG230" s="53" t="s">
        <v>55</v>
      </c>
    </row>
    <row r="231" spans="1:33" ht="15" customHeight="1">
      <c r="A231" s="46" t="s">
        <v>91</v>
      </c>
      <c r="B231" s="3" t="str">
        <f>_xlfn.IFNA(VLOOKUP(C231,Master!$J:$K,2,0),"")</f>
        <v>B2220</v>
      </c>
      <c r="C231" s="46" t="s">
        <v>83</v>
      </c>
      <c r="D231" s="4" t="str">
        <f>_xlfn.IFNA(VLOOKUP(E231,Master!$J:$K,2,0),"")</f>
        <v>B5800</v>
      </c>
      <c r="E231" s="46" t="s">
        <v>226</v>
      </c>
      <c r="F231" s="4">
        <f>_xlfn.IFNA(VLOOKUP(G231,Master!B:C,2,0),"")</f>
        <v>7511111</v>
      </c>
      <c r="G231" s="46" t="s">
        <v>75</v>
      </c>
      <c r="H231" s="46" t="s">
        <v>535</v>
      </c>
      <c r="I231" s="3" t="str">
        <f>_xlfn.IFNA(VLOOKUP(E231,Master!$J:$M,4,0),"")</f>
        <v>IND</v>
      </c>
      <c r="J231" s="3" t="str">
        <f>_xlfn.IFNA(VLOOKUP($E231,Master!$J:$M,3,0),"")</f>
        <v>MFG</v>
      </c>
      <c r="M231" s="50">
        <v>6350000</v>
      </c>
      <c r="N231" s="50">
        <v>6350000</v>
      </c>
      <c r="O231" s="50">
        <v>6350000</v>
      </c>
      <c r="P231" s="50">
        <v>6350000</v>
      </c>
      <c r="Q231" s="50">
        <v>6350000</v>
      </c>
      <c r="R231" s="50">
        <v>6350000</v>
      </c>
      <c r="S231" s="50">
        <v>6350000</v>
      </c>
      <c r="T231" s="50">
        <v>6350000</v>
      </c>
      <c r="U231" s="50">
        <v>6350000</v>
      </c>
      <c r="V231" s="50">
        <v>6350000</v>
      </c>
      <c r="W231" s="50">
        <v>6350000</v>
      </c>
      <c r="X231" s="50">
        <v>6350000</v>
      </c>
      <c r="Y231" s="50">
        <v>6350000</v>
      </c>
      <c r="Z231" s="50">
        <v>8650000</v>
      </c>
      <c r="AA231" s="50">
        <v>8650000</v>
      </c>
      <c r="AB231" s="50">
        <v>8650000</v>
      </c>
      <c r="AC231" s="26">
        <f t="shared" si="6"/>
        <v>25400000</v>
      </c>
      <c r="AD231" s="26">
        <f t="shared" si="7"/>
        <v>83100000</v>
      </c>
      <c r="AE231" s="50">
        <v>103800000</v>
      </c>
      <c r="AF231" s="50">
        <v>103800000</v>
      </c>
      <c r="AG231" s="53" t="s">
        <v>55</v>
      </c>
    </row>
    <row r="232" spans="1:33" ht="15" customHeight="1">
      <c r="A232" s="46" t="s">
        <v>91</v>
      </c>
      <c r="B232" s="3" t="str">
        <f>_xlfn.IFNA(VLOOKUP(C232,Master!$J:$K,2,0),"")</f>
        <v>B2220</v>
      </c>
      <c r="C232" s="46" t="s">
        <v>83</v>
      </c>
      <c r="D232" s="4" t="str">
        <f>_xlfn.IFNA(VLOOKUP(E232,Master!$J:$K,2,0),"")</f>
        <v>B5800</v>
      </c>
      <c r="E232" s="46" t="s">
        <v>226</v>
      </c>
      <c r="F232" s="4">
        <f>_xlfn.IFNA(VLOOKUP(G232,Master!B:C,2,0),"")</f>
        <v>7511111</v>
      </c>
      <c r="G232" s="46" t="s">
        <v>75</v>
      </c>
      <c r="H232" s="46" t="s">
        <v>536</v>
      </c>
      <c r="I232" s="3" t="str">
        <f>_xlfn.IFNA(VLOOKUP(E232,Master!$J:$M,4,0),"")</f>
        <v>IND</v>
      </c>
      <c r="J232" s="3" t="str">
        <f>_xlfn.IFNA(VLOOKUP($E232,Master!$J:$M,3,0),"")</f>
        <v>MFG</v>
      </c>
      <c r="P232" s="50">
        <v>1656000</v>
      </c>
      <c r="Q232" s="50">
        <v>828000</v>
      </c>
      <c r="AB232" s="50">
        <v>2592000</v>
      </c>
      <c r="AC232" s="26">
        <f t="shared" si="6"/>
        <v>1656000</v>
      </c>
      <c r="AD232" s="26">
        <f t="shared" si="7"/>
        <v>3420000</v>
      </c>
      <c r="AE232" s="50">
        <v>2700000</v>
      </c>
      <c r="AF232" s="50">
        <v>2496000</v>
      </c>
      <c r="AG232" s="53" t="s">
        <v>55</v>
      </c>
    </row>
    <row r="233" spans="1:33" ht="15" customHeight="1">
      <c r="A233" s="46" t="s">
        <v>91</v>
      </c>
      <c r="B233" s="3" t="str">
        <f>_xlfn.IFNA(VLOOKUP(C233,Master!$J:$K,2,0),"")</f>
        <v>B2220</v>
      </c>
      <c r="C233" s="46" t="s">
        <v>83</v>
      </c>
      <c r="D233" s="4" t="str">
        <f>_xlfn.IFNA(VLOOKUP(E233,Master!$J:$K,2,0),"")</f>
        <v>B5800</v>
      </c>
      <c r="E233" s="46" t="s">
        <v>226</v>
      </c>
      <c r="F233" s="4">
        <f>_xlfn.IFNA(VLOOKUP(G233,Master!B:C,2,0),"")</f>
        <v>7511111</v>
      </c>
      <c r="G233" s="46" t="s">
        <v>75</v>
      </c>
      <c r="H233" s="46" t="s">
        <v>537</v>
      </c>
      <c r="I233" s="3" t="str">
        <f>_xlfn.IFNA(VLOOKUP(E233,Master!$J:$M,4,0),"")</f>
        <v>IND</v>
      </c>
      <c r="J233" s="3" t="str">
        <f>_xlfn.IFNA(VLOOKUP($E233,Master!$J:$M,3,0),"")</f>
        <v>MFG</v>
      </c>
      <c r="M233" s="50">
        <v>380000</v>
      </c>
      <c r="N233" s="50">
        <v>380000</v>
      </c>
      <c r="O233" s="50">
        <v>380000</v>
      </c>
      <c r="P233" s="50">
        <v>380000</v>
      </c>
      <c r="Q233" s="50">
        <v>380000</v>
      </c>
      <c r="R233" s="50">
        <v>380000</v>
      </c>
      <c r="S233" s="50">
        <v>380000</v>
      </c>
      <c r="T233" s="50">
        <v>380000</v>
      </c>
      <c r="U233" s="50">
        <v>380000</v>
      </c>
      <c r="V233" s="50">
        <v>380000</v>
      </c>
      <c r="W233" s="50">
        <v>380000</v>
      </c>
      <c r="X233" s="50">
        <v>380000</v>
      </c>
      <c r="Y233" s="50">
        <v>380000</v>
      </c>
      <c r="Z233" s="50">
        <v>380000</v>
      </c>
      <c r="AA233" s="50">
        <v>380000</v>
      </c>
      <c r="AB233" s="50">
        <v>380000</v>
      </c>
      <c r="AC233" s="26">
        <f t="shared" si="6"/>
        <v>1520000</v>
      </c>
      <c r="AD233" s="26">
        <f t="shared" si="7"/>
        <v>4560000</v>
      </c>
      <c r="AE233" s="50">
        <v>4560000</v>
      </c>
      <c r="AF233" s="50">
        <v>3960000</v>
      </c>
      <c r="AG233" s="53" t="s">
        <v>55</v>
      </c>
    </row>
    <row r="234" spans="1:33" ht="15" customHeight="1">
      <c r="A234" s="46" t="s">
        <v>91</v>
      </c>
      <c r="B234" s="3" t="str">
        <f>_xlfn.IFNA(VLOOKUP(C234,Master!$J:$K,2,0),"")</f>
        <v>B2220</v>
      </c>
      <c r="C234" s="46" t="s">
        <v>83</v>
      </c>
      <c r="D234" s="4" t="str">
        <f>_xlfn.IFNA(VLOOKUP(E234,Master!$J:$K,2,0),"")</f>
        <v>B5800</v>
      </c>
      <c r="E234" s="46" t="s">
        <v>226</v>
      </c>
      <c r="F234" s="4">
        <f>_xlfn.IFNA(VLOOKUP(G234,Master!B:C,2,0),"")</f>
        <v>7511111</v>
      </c>
      <c r="G234" s="46" t="s">
        <v>75</v>
      </c>
      <c r="H234" s="46" t="s">
        <v>538</v>
      </c>
      <c r="I234" s="3" t="str">
        <f>_xlfn.IFNA(VLOOKUP(E234,Master!$J:$M,4,0),"")</f>
        <v>IND</v>
      </c>
      <c r="J234" s="3" t="str">
        <f>_xlfn.IFNA(VLOOKUP($E234,Master!$J:$M,3,0),"")</f>
        <v>MFG</v>
      </c>
      <c r="M234" s="50">
        <v>2400000</v>
      </c>
      <c r="N234" s="50">
        <v>2400000</v>
      </c>
      <c r="O234" s="50">
        <v>2400000</v>
      </c>
      <c r="P234" s="50">
        <v>2400000</v>
      </c>
      <c r="Q234" s="50">
        <v>2400000</v>
      </c>
      <c r="R234" s="50">
        <v>2400000</v>
      </c>
      <c r="S234" s="50">
        <v>2400000</v>
      </c>
      <c r="T234" s="50">
        <v>2400000</v>
      </c>
      <c r="U234" s="50">
        <v>2400000</v>
      </c>
      <c r="V234" s="50">
        <v>2400000</v>
      </c>
      <c r="W234" s="50">
        <v>2400000</v>
      </c>
      <c r="X234" s="50">
        <v>2400000</v>
      </c>
      <c r="Y234" s="50">
        <v>2400000</v>
      </c>
      <c r="Z234" s="50">
        <v>2400000</v>
      </c>
      <c r="AA234" s="50">
        <v>2400000</v>
      </c>
      <c r="AB234" s="50">
        <v>2400000</v>
      </c>
      <c r="AC234" s="26">
        <f t="shared" si="6"/>
        <v>9600000</v>
      </c>
      <c r="AD234" s="26">
        <f t="shared" si="7"/>
        <v>28800000</v>
      </c>
      <c r="AE234" s="50">
        <v>28800000</v>
      </c>
      <c r="AF234" s="50">
        <v>25800000</v>
      </c>
      <c r="AG234" s="53" t="s">
        <v>55</v>
      </c>
    </row>
    <row r="235" spans="1:33" ht="15" customHeight="1">
      <c r="A235" s="46" t="s">
        <v>91</v>
      </c>
      <c r="B235" s="3" t="str">
        <f>_xlfn.IFNA(VLOOKUP(C235,Master!$J:$K,2,0),"")</f>
        <v>B2220</v>
      </c>
      <c r="C235" s="46" t="s">
        <v>83</v>
      </c>
      <c r="D235" s="4" t="str">
        <f>_xlfn.IFNA(VLOOKUP(E235,Master!$J:$K,2,0),"")</f>
        <v>B5900</v>
      </c>
      <c r="E235" s="46" t="s">
        <v>231</v>
      </c>
      <c r="F235" s="4">
        <f>_xlfn.IFNA(VLOOKUP(G235,Master!B:C,2,0),"")</f>
        <v>7511111</v>
      </c>
      <c r="G235" s="46" t="s">
        <v>75</v>
      </c>
      <c r="H235" s="46" t="s">
        <v>533</v>
      </c>
      <c r="I235" s="3" t="str">
        <f>_xlfn.IFNA(VLOOKUP(E235,Master!$J:$M,4,0),"")</f>
        <v>IND</v>
      </c>
      <c r="J235" s="3" t="str">
        <f>_xlfn.IFNA(VLOOKUP($E235,Master!$J:$M,3,0),"")</f>
        <v>MFG</v>
      </c>
      <c r="M235" s="50">
        <v>54000</v>
      </c>
      <c r="N235" s="50">
        <v>54000</v>
      </c>
      <c r="O235" s="50">
        <v>54000</v>
      </c>
      <c r="P235" s="50">
        <v>54000</v>
      </c>
      <c r="Q235" s="50">
        <v>54000</v>
      </c>
      <c r="R235" s="50">
        <v>54000</v>
      </c>
      <c r="S235" s="50">
        <v>54000</v>
      </c>
      <c r="T235" s="50">
        <v>54000</v>
      </c>
      <c r="U235" s="50">
        <v>54000</v>
      </c>
      <c r="V235" s="50">
        <v>54000</v>
      </c>
      <c r="W235" s="50">
        <v>54000</v>
      </c>
      <c r="X235" s="50">
        <v>54000</v>
      </c>
      <c r="Y235" s="50">
        <v>54000</v>
      </c>
      <c r="Z235" s="50">
        <v>54000</v>
      </c>
      <c r="AA235" s="50">
        <v>54000</v>
      </c>
      <c r="AB235" s="50">
        <v>54000</v>
      </c>
      <c r="AC235" s="26">
        <f t="shared" si="6"/>
        <v>216000</v>
      </c>
      <c r="AD235" s="26">
        <f t="shared" si="7"/>
        <v>648000</v>
      </c>
      <c r="AE235" s="50">
        <v>648000</v>
      </c>
      <c r="AF235" s="50">
        <v>594000</v>
      </c>
      <c r="AG235" s="53" t="s">
        <v>55</v>
      </c>
    </row>
    <row r="236" spans="1:33" ht="15" customHeight="1">
      <c r="A236" s="46" t="s">
        <v>91</v>
      </c>
      <c r="B236" s="3" t="str">
        <f>_xlfn.IFNA(VLOOKUP(C236,Master!$J:$K,2,0),"")</f>
        <v>B2220</v>
      </c>
      <c r="C236" s="46" t="s">
        <v>83</v>
      </c>
      <c r="D236" s="4" t="str">
        <f>_xlfn.IFNA(VLOOKUP(E236,Master!$J:$K,2,0),"")</f>
        <v>B5900</v>
      </c>
      <c r="E236" s="46" t="s">
        <v>231</v>
      </c>
      <c r="F236" s="4">
        <f>_xlfn.IFNA(VLOOKUP(G236,Master!B:C,2,0),"")</f>
        <v>7511111</v>
      </c>
      <c r="G236" s="46" t="s">
        <v>75</v>
      </c>
      <c r="H236" s="46" t="s">
        <v>534</v>
      </c>
      <c r="I236" s="3" t="str">
        <f>_xlfn.IFNA(VLOOKUP(E236,Master!$J:$M,4,0),"")</f>
        <v>IND</v>
      </c>
      <c r="J236" s="3" t="str">
        <f>_xlfn.IFNA(VLOOKUP($E236,Master!$J:$M,3,0),"")</f>
        <v>MFG</v>
      </c>
      <c r="M236" s="50">
        <v>5701700</v>
      </c>
      <c r="N236" s="50">
        <v>6705400</v>
      </c>
      <c r="O236" s="50">
        <v>6189600</v>
      </c>
      <c r="P236" s="50">
        <v>5415900</v>
      </c>
      <c r="Q236" s="50">
        <v>4642200</v>
      </c>
      <c r="R236" s="50">
        <v>5673800</v>
      </c>
      <c r="S236" s="50">
        <v>5415900</v>
      </c>
      <c r="T236" s="50">
        <v>6447500</v>
      </c>
      <c r="U236" s="50">
        <v>6189600</v>
      </c>
      <c r="V236" s="50">
        <v>5673800</v>
      </c>
      <c r="W236" s="50">
        <v>6447500</v>
      </c>
      <c r="X236" s="50">
        <v>5931700</v>
      </c>
      <c r="Y236" s="50">
        <v>5673800</v>
      </c>
      <c r="Z236" s="50">
        <v>6487200</v>
      </c>
      <c r="AA236" s="50">
        <v>5946600</v>
      </c>
      <c r="AB236" s="50">
        <v>5135700</v>
      </c>
      <c r="AC236" s="26">
        <f t="shared" si="6"/>
        <v>24012600</v>
      </c>
      <c r="AD236" s="26">
        <f t="shared" si="7"/>
        <v>69665300</v>
      </c>
      <c r="AE236" s="50">
        <v>70357600</v>
      </c>
      <c r="AF236" s="50">
        <v>67979100</v>
      </c>
      <c r="AG236" s="53" t="s">
        <v>55</v>
      </c>
    </row>
    <row r="237" spans="1:33" ht="15" customHeight="1">
      <c r="A237" s="46" t="s">
        <v>91</v>
      </c>
      <c r="B237" s="3" t="str">
        <f>_xlfn.IFNA(VLOOKUP(C237,Master!$J:$K,2,0),"")</f>
        <v>B2220</v>
      </c>
      <c r="C237" s="46" t="s">
        <v>83</v>
      </c>
      <c r="D237" s="4" t="str">
        <f>_xlfn.IFNA(VLOOKUP(E237,Master!$J:$K,2,0),"")</f>
        <v>B5900</v>
      </c>
      <c r="E237" s="46" t="s">
        <v>231</v>
      </c>
      <c r="F237" s="4">
        <f>_xlfn.IFNA(VLOOKUP(G237,Master!B:C,2,0),"")</f>
        <v>7511111</v>
      </c>
      <c r="G237" s="46" t="s">
        <v>75</v>
      </c>
      <c r="H237" s="46" t="s">
        <v>535</v>
      </c>
      <c r="I237" s="3" t="str">
        <f>_xlfn.IFNA(VLOOKUP(E237,Master!$J:$M,4,0),"")</f>
        <v>IND</v>
      </c>
      <c r="J237" s="3" t="str">
        <f>_xlfn.IFNA(VLOOKUP($E237,Master!$J:$M,3,0),"")</f>
        <v>MFG</v>
      </c>
      <c r="M237" s="50">
        <v>2450000</v>
      </c>
      <c r="N237" s="50">
        <v>2450000</v>
      </c>
      <c r="O237" s="50">
        <v>2450000</v>
      </c>
      <c r="P237" s="50">
        <v>2450000</v>
      </c>
      <c r="Q237" s="50">
        <v>2450000</v>
      </c>
      <c r="R237" s="50">
        <v>2450000</v>
      </c>
      <c r="S237" s="50">
        <v>2450000</v>
      </c>
      <c r="T237" s="50">
        <v>2450000</v>
      </c>
      <c r="U237" s="50">
        <v>2450000</v>
      </c>
      <c r="V237" s="50">
        <v>2450000</v>
      </c>
      <c r="W237" s="50">
        <v>2450000</v>
      </c>
      <c r="X237" s="50">
        <v>2450000</v>
      </c>
      <c r="Y237" s="50">
        <v>2450000</v>
      </c>
      <c r="Z237" s="50">
        <v>3500000</v>
      </c>
      <c r="AA237" s="50">
        <v>3500000</v>
      </c>
      <c r="AB237" s="50">
        <v>3500000</v>
      </c>
      <c r="AC237" s="26">
        <f t="shared" si="6"/>
        <v>9800000</v>
      </c>
      <c r="AD237" s="26">
        <f t="shared" si="7"/>
        <v>32550000</v>
      </c>
      <c r="AE237" s="50">
        <v>42600000</v>
      </c>
      <c r="AF237" s="50">
        <v>42600000</v>
      </c>
      <c r="AG237" s="53" t="s">
        <v>55</v>
      </c>
    </row>
    <row r="238" spans="1:33" ht="15" customHeight="1">
      <c r="A238" s="46" t="s">
        <v>91</v>
      </c>
      <c r="B238" s="3" t="str">
        <f>_xlfn.IFNA(VLOOKUP(C238,Master!$J:$K,2,0),"")</f>
        <v>B2220</v>
      </c>
      <c r="C238" s="46" t="s">
        <v>83</v>
      </c>
      <c r="D238" s="4" t="str">
        <f>_xlfn.IFNA(VLOOKUP(E238,Master!$J:$K,2,0),"")</f>
        <v>B5900</v>
      </c>
      <c r="E238" s="46" t="s">
        <v>231</v>
      </c>
      <c r="F238" s="4">
        <f>_xlfn.IFNA(VLOOKUP(G238,Master!B:C,2,0),"")</f>
        <v>7511111</v>
      </c>
      <c r="G238" s="46" t="s">
        <v>75</v>
      </c>
      <c r="H238" s="46" t="s">
        <v>536</v>
      </c>
      <c r="I238" s="3" t="str">
        <f>_xlfn.IFNA(VLOOKUP(E238,Master!$J:$M,4,0),"")</f>
        <v>IND</v>
      </c>
      <c r="J238" s="3" t="str">
        <f>_xlfn.IFNA(VLOOKUP($E238,Master!$J:$M,3,0),"")</f>
        <v>MFG</v>
      </c>
      <c r="P238" s="50">
        <v>2208000</v>
      </c>
      <c r="Q238" s="50">
        <v>1104000</v>
      </c>
      <c r="AB238" s="50">
        <v>3456000</v>
      </c>
      <c r="AC238" s="26">
        <f t="shared" si="6"/>
        <v>2208000</v>
      </c>
      <c r="AD238" s="26">
        <f t="shared" si="7"/>
        <v>4560000</v>
      </c>
      <c r="AE238" s="50">
        <v>3600000</v>
      </c>
      <c r="AF238" s="50">
        <v>3432000</v>
      </c>
      <c r="AG238" s="53" t="s">
        <v>55</v>
      </c>
    </row>
    <row r="239" spans="1:33" ht="15" customHeight="1">
      <c r="A239" s="46" t="s">
        <v>91</v>
      </c>
      <c r="B239" s="3" t="str">
        <f>_xlfn.IFNA(VLOOKUP(C239,Master!$J:$K,2,0),"")</f>
        <v>B2220</v>
      </c>
      <c r="C239" s="46" t="s">
        <v>83</v>
      </c>
      <c r="D239" s="4" t="str">
        <f>_xlfn.IFNA(VLOOKUP(E239,Master!$J:$K,2,0),"")</f>
        <v>B5900</v>
      </c>
      <c r="E239" s="46" t="s">
        <v>231</v>
      </c>
      <c r="F239" s="4">
        <f>_xlfn.IFNA(VLOOKUP(G239,Master!B:C,2,0),"")</f>
        <v>7511111</v>
      </c>
      <c r="G239" s="46" t="s">
        <v>75</v>
      </c>
      <c r="H239" s="46" t="s">
        <v>537</v>
      </c>
      <c r="I239" s="3" t="str">
        <f>_xlfn.IFNA(VLOOKUP(E239,Master!$J:$M,4,0),"")</f>
        <v>IND</v>
      </c>
      <c r="J239" s="3" t="str">
        <f>_xlfn.IFNA(VLOOKUP($E239,Master!$J:$M,3,0),"")</f>
        <v>MFG</v>
      </c>
      <c r="M239" s="50">
        <v>660000</v>
      </c>
      <c r="N239" s="50">
        <v>660000</v>
      </c>
      <c r="O239" s="50">
        <v>660000</v>
      </c>
      <c r="P239" s="50">
        <v>660000</v>
      </c>
      <c r="Q239" s="50">
        <v>660000</v>
      </c>
      <c r="R239" s="50">
        <v>660000</v>
      </c>
      <c r="S239" s="50">
        <v>660000</v>
      </c>
      <c r="T239" s="50">
        <v>660000</v>
      </c>
      <c r="U239" s="50">
        <v>660000</v>
      </c>
      <c r="V239" s="50">
        <v>660000</v>
      </c>
      <c r="W239" s="50">
        <v>660000</v>
      </c>
      <c r="X239" s="50">
        <v>660000</v>
      </c>
      <c r="Y239" s="50">
        <v>660000</v>
      </c>
      <c r="Z239" s="50">
        <v>660000</v>
      </c>
      <c r="AA239" s="50">
        <v>660000</v>
      </c>
      <c r="AB239" s="50">
        <v>660000</v>
      </c>
      <c r="AC239" s="26">
        <f t="shared" si="6"/>
        <v>2640000</v>
      </c>
      <c r="AD239" s="26">
        <f t="shared" si="7"/>
        <v>7920000</v>
      </c>
      <c r="AE239" s="50">
        <v>7920000</v>
      </c>
      <c r="AF239" s="50">
        <v>7200000</v>
      </c>
      <c r="AG239" s="53" t="s">
        <v>55</v>
      </c>
    </row>
    <row r="240" spans="1:33" ht="15" customHeight="1">
      <c r="A240" s="46" t="s">
        <v>91</v>
      </c>
      <c r="B240" s="3" t="str">
        <f>_xlfn.IFNA(VLOOKUP(C240,Master!$J:$K,2,0),"")</f>
        <v>B2220</v>
      </c>
      <c r="C240" s="46" t="s">
        <v>83</v>
      </c>
      <c r="D240" s="4" t="str">
        <f>_xlfn.IFNA(VLOOKUP(E240,Master!$J:$K,2,0),"")</f>
        <v>B5900</v>
      </c>
      <c r="E240" s="46" t="s">
        <v>231</v>
      </c>
      <c r="F240" s="4">
        <f>_xlfn.IFNA(VLOOKUP(G240,Master!B:C,2,0),"")</f>
        <v>7511111</v>
      </c>
      <c r="G240" s="46" t="s">
        <v>75</v>
      </c>
      <c r="H240" s="46" t="s">
        <v>540</v>
      </c>
      <c r="I240" s="3" t="str">
        <f>_xlfn.IFNA(VLOOKUP(E240,Master!$J:$M,4,0),"")</f>
        <v>IND</v>
      </c>
      <c r="J240" s="3" t="str">
        <f>_xlfn.IFNA(VLOOKUP($E240,Master!$J:$M,3,0),"")</f>
        <v>MFG</v>
      </c>
      <c r="M240" s="50">
        <v>1150000</v>
      </c>
      <c r="N240" s="50">
        <v>1300000</v>
      </c>
      <c r="O240" s="50">
        <v>1200000</v>
      </c>
      <c r="P240" s="50">
        <v>1050000</v>
      </c>
      <c r="Q240" s="50">
        <v>900000</v>
      </c>
      <c r="R240" s="50">
        <v>1100000</v>
      </c>
      <c r="S240" s="50">
        <v>1050000</v>
      </c>
      <c r="T240" s="50">
        <v>1250000</v>
      </c>
      <c r="U240" s="50">
        <v>1200000</v>
      </c>
      <c r="V240" s="50">
        <v>1100000</v>
      </c>
      <c r="W240" s="50">
        <v>1250000</v>
      </c>
      <c r="X240" s="50">
        <v>1150000</v>
      </c>
      <c r="Y240" s="50">
        <v>1100000</v>
      </c>
      <c r="Z240" s="50">
        <v>1200000</v>
      </c>
      <c r="AA240" s="50">
        <v>1100000</v>
      </c>
      <c r="AB240" s="50">
        <v>950000</v>
      </c>
      <c r="AC240" s="26">
        <f t="shared" si="6"/>
        <v>4700000</v>
      </c>
      <c r="AD240" s="26">
        <f t="shared" si="7"/>
        <v>13350000</v>
      </c>
      <c r="AE240" s="50">
        <v>12850000</v>
      </c>
      <c r="AF240" s="50">
        <v>11475000</v>
      </c>
      <c r="AG240" s="53" t="s">
        <v>55</v>
      </c>
    </row>
    <row r="241" spans="1:33" ht="15" customHeight="1">
      <c r="A241" s="46" t="s">
        <v>91</v>
      </c>
      <c r="B241" s="3" t="str">
        <f>_xlfn.IFNA(VLOOKUP(C241,Master!$J:$K,2,0),"")</f>
        <v>B2220</v>
      </c>
      <c r="C241" s="46" t="s">
        <v>83</v>
      </c>
      <c r="D241" s="4" t="str">
        <f>_xlfn.IFNA(VLOOKUP(E241,Master!$J:$K,2,0),"")</f>
        <v>B5900</v>
      </c>
      <c r="E241" s="46" t="s">
        <v>231</v>
      </c>
      <c r="F241" s="4">
        <f>_xlfn.IFNA(VLOOKUP(G241,Master!B:C,2,0),"")</f>
        <v>7511111</v>
      </c>
      <c r="G241" s="46" t="s">
        <v>75</v>
      </c>
      <c r="H241" s="46" t="s">
        <v>538</v>
      </c>
      <c r="I241" s="3" t="str">
        <f>_xlfn.IFNA(VLOOKUP(E241,Master!$J:$M,4,0),"")</f>
        <v>IND</v>
      </c>
      <c r="J241" s="3" t="str">
        <f>_xlfn.IFNA(VLOOKUP($E241,Master!$J:$M,3,0),"")</f>
        <v>MFG</v>
      </c>
      <c r="M241" s="50">
        <v>3600000</v>
      </c>
      <c r="N241" s="50">
        <v>3600000</v>
      </c>
      <c r="O241" s="50">
        <v>3600000</v>
      </c>
      <c r="P241" s="50">
        <v>3600000</v>
      </c>
      <c r="Q241" s="50">
        <v>3600000</v>
      </c>
      <c r="R241" s="50">
        <v>3600000</v>
      </c>
      <c r="S241" s="50">
        <v>3600000</v>
      </c>
      <c r="T241" s="50">
        <v>3600000</v>
      </c>
      <c r="U241" s="50">
        <v>3600000</v>
      </c>
      <c r="V241" s="50">
        <v>3600000</v>
      </c>
      <c r="W241" s="50">
        <v>3600000</v>
      </c>
      <c r="X241" s="50">
        <v>3600000</v>
      </c>
      <c r="Y241" s="50">
        <v>3600000</v>
      </c>
      <c r="Z241" s="50">
        <v>3600000</v>
      </c>
      <c r="AA241" s="50">
        <v>3600000</v>
      </c>
      <c r="AB241" s="50">
        <v>3600000</v>
      </c>
      <c r="AC241" s="26">
        <f t="shared" si="6"/>
        <v>14400000</v>
      </c>
      <c r="AD241" s="26">
        <f t="shared" si="7"/>
        <v>43200000</v>
      </c>
      <c r="AE241" s="50">
        <v>43200000</v>
      </c>
      <c r="AF241" s="50">
        <v>39600000</v>
      </c>
      <c r="AG241" s="53" t="s">
        <v>55</v>
      </c>
    </row>
    <row r="242" spans="1:33" ht="15" customHeight="1">
      <c r="A242" s="46" t="s">
        <v>91</v>
      </c>
      <c r="B242" s="3" t="str">
        <f>_xlfn.IFNA(VLOOKUP(C242,Master!$J:$K,2,0),"")</f>
        <v>B2220</v>
      </c>
      <c r="C242" s="46" t="s">
        <v>83</v>
      </c>
      <c r="D242" s="4" t="str">
        <f>_xlfn.IFNA(VLOOKUP(E242,Master!$J:$K,2,0),"")</f>
        <v>B2210</v>
      </c>
      <c r="E242" s="46" t="s">
        <v>78</v>
      </c>
      <c r="F242" s="4">
        <f>_xlfn.IFNA(VLOOKUP(G242,Master!B:C,2,0),"")</f>
        <v>7511112</v>
      </c>
      <c r="G242" s="46" t="s">
        <v>80</v>
      </c>
      <c r="H242" s="46" t="s">
        <v>541</v>
      </c>
      <c r="I242" s="3" t="str">
        <f>_xlfn.IFNA(VLOOKUP(E242,Master!$J:$M,4,0),"")</f>
        <v>ADM</v>
      </c>
      <c r="J242" s="3" t="str">
        <f>_xlfn.IFNA(VLOOKUP($E242,Master!$J:$M,3,0),"")</f>
        <v>SGA</v>
      </c>
      <c r="M242" s="50">
        <v>18467900</v>
      </c>
      <c r="N242" s="50">
        <v>19854000</v>
      </c>
      <c r="O242" s="50">
        <v>19635900</v>
      </c>
      <c r="P242" s="50">
        <v>19843400</v>
      </c>
      <c r="Q242" s="50">
        <v>19760700</v>
      </c>
      <c r="R242" s="50">
        <v>18811500</v>
      </c>
      <c r="S242" s="50">
        <v>18739100</v>
      </c>
      <c r="T242" s="50">
        <v>17856200</v>
      </c>
      <c r="U242" s="50">
        <v>17785400</v>
      </c>
      <c r="V242" s="50">
        <v>17652300</v>
      </c>
      <c r="W242" s="50">
        <v>17844200</v>
      </c>
      <c r="X242" s="50">
        <v>17774800</v>
      </c>
      <c r="Y242" s="50">
        <v>16738400</v>
      </c>
      <c r="Z242" s="50">
        <v>18018900</v>
      </c>
      <c r="AA242" s="50">
        <v>17988100</v>
      </c>
      <c r="AB242" s="50">
        <v>18220200</v>
      </c>
      <c r="AC242" s="26">
        <f t="shared" si="6"/>
        <v>77801200</v>
      </c>
      <c r="AD242" s="26">
        <f t="shared" si="7"/>
        <v>217189800</v>
      </c>
      <c r="AE242" s="50">
        <v>236518500</v>
      </c>
      <c r="AF242" s="50">
        <v>212896900</v>
      </c>
      <c r="AG242" s="53" t="s">
        <v>55</v>
      </c>
    </row>
    <row r="243" spans="1:33" ht="15" customHeight="1">
      <c r="A243" s="46" t="s">
        <v>91</v>
      </c>
      <c r="B243" s="3" t="str">
        <f>_xlfn.IFNA(VLOOKUP(C243,Master!$J:$K,2,0),"")</f>
        <v>B2220</v>
      </c>
      <c r="C243" s="46" t="s">
        <v>83</v>
      </c>
      <c r="D243" s="4" t="str">
        <f>_xlfn.IFNA(VLOOKUP(E243,Master!$J:$K,2,0),"")</f>
        <v>B2220</v>
      </c>
      <c r="E243" s="46" t="s">
        <v>83</v>
      </c>
      <c r="F243" s="4">
        <f>_xlfn.IFNA(VLOOKUP(G243,Master!B:C,2,0),"")</f>
        <v>7511112</v>
      </c>
      <c r="G243" s="46" t="s">
        <v>80</v>
      </c>
      <c r="H243" s="46" t="s">
        <v>541</v>
      </c>
      <c r="I243" s="3" t="str">
        <f>_xlfn.IFNA(VLOOKUP(E243,Master!$J:$M,4,0),"")</f>
        <v>ADM</v>
      </c>
      <c r="J243" s="3" t="str">
        <f>_xlfn.IFNA(VLOOKUP($E243,Master!$J:$M,3,0),"")</f>
        <v>SGA</v>
      </c>
      <c r="M243" s="50">
        <v>7351700</v>
      </c>
      <c r="N243" s="50">
        <v>8928700</v>
      </c>
      <c r="O243" s="50">
        <v>13539900</v>
      </c>
      <c r="P243" s="50">
        <v>13183900</v>
      </c>
      <c r="Q243" s="50">
        <v>13516700</v>
      </c>
      <c r="R243" s="50">
        <v>14064600</v>
      </c>
      <c r="S243" s="50">
        <v>13914600</v>
      </c>
      <c r="T243" s="50">
        <v>14514800</v>
      </c>
      <c r="U243" s="50">
        <v>14364700</v>
      </c>
      <c r="V243" s="50">
        <v>14064600</v>
      </c>
      <c r="W243" s="50">
        <v>14603200</v>
      </c>
      <c r="X243" s="50">
        <v>14303100</v>
      </c>
      <c r="Y243" s="50">
        <v>14153000</v>
      </c>
      <c r="Z243" s="50">
        <v>15473000</v>
      </c>
      <c r="AA243" s="50">
        <v>15157900</v>
      </c>
      <c r="AB243" s="50">
        <v>14848800</v>
      </c>
      <c r="AC243" s="26">
        <f t="shared" si="6"/>
        <v>43004200</v>
      </c>
      <c r="AD243" s="26">
        <f t="shared" si="7"/>
        <v>172979000</v>
      </c>
      <c r="AE243" s="50">
        <v>183690800</v>
      </c>
      <c r="AF243" s="50">
        <v>194420600</v>
      </c>
      <c r="AG243" s="53" t="s">
        <v>55</v>
      </c>
    </row>
    <row r="244" spans="1:33" ht="15" customHeight="1">
      <c r="A244" s="46" t="s">
        <v>91</v>
      </c>
      <c r="B244" s="3" t="str">
        <f>_xlfn.IFNA(VLOOKUP(C244,Master!$J:$K,2,0),"")</f>
        <v>B2220</v>
      </c>
      <c r="C244" s="46" t="s">
        <v>83</v>
      </c>
      <c r="D244" s="4" t="str">
        <f>_xlfn.IFNA(VLOOKUP(E244,Master!$J:$K,2,0),"")</f>
        <v>B2230</v>
      </c>
      <c r="E244" s="46" t="s">
        <v>89</v>
      </c>
      <c r="F244" s="4">
        <f>_xlfn.IFNA(VLOOKUP(G244,Master!B:C,2,0),"")</f>
        <v>7511112</v>
      </c>
      <c r="G244" s="46" t="s">
        <v>80</v>
      </c>
      <c r="H244" s="46" t="s">
        <v>541</v>
      </c>
      <c r="I244" s="3" t="str">
        <f>_xlfn.IFNA(VLOOKUP(E244,Master!$J:$M,4,0),"")</f>
        <v>ADM</v>
      </c>
      <c r="J244" s="3" t="str">
        <f>_xlfn.IFNA(VLOOKUP($E244,Master!$J:$M,3,0),"")</f>
        <v>SGA</v>
      </c>
      <c r="M244" s="50">
        <v>5614000</v>
      </c>
      <c r="N244" s="50">
        <v>8582300</v>
      </c>
      <c r="O244" s="50">
        <v>8344500</v>
      </c>
      <c r="P244" s="50">
        <v>8047500</v>
      </c>
      <c r="Q244" s="50">
        <v>7660900</v>
      </c>
      <c r="R244" s="50">
        <v>8106700</v>
      </c>
      <c r="S244" s="50">
        <v>8142200</v>
      </c>
      <c r="T244" s="50">
        <v>8463400</v>
      </c>
      <c r="U244" s="50">
        <v>8344500</v>
      </c>
      <c r="V244" s="50">
        <v>8106700</v>
      </c>
      <c r="W244" s="50">
        <v>8463400</v>
      </c>
      <c r="X244" s="50">
        <v>8225600</v>
      </c>
      <c r="Y244" s="50">
        <v>8261100</v>
      </c>
      <c r="Z244" s="50">
        <v>8958700</v>
      </c>
      <c r="AA244" s="50">
        <v>8709000</v>
      </c>
      <c r="AB244" s="50">
        <v>8427900</v>
      </c>
      <c r="AC244" s="26">
        <f t="shared" si="6"/>
        <v>30588300</v>
      </c>
      <c r="AD244" s="26">
        <f t="shared" si="7"/>
        <v>99870100</v>
      </c>
      <c r="AE244" s="50">
        <v>105625500</v>
      </c>
      <c r="AF244" s="50">
        <v>113164200</v>
      </c>
      <c r="AG244" s="53" t="s">
        <v>55</v>
      </c>
    </row>
    <row r="245" spans="1:33" ht="15" customHeight="1">
      <c r="A245" s="46" t="s">
        <v>91</v>
      </c>
      <c r="B245" s="3" t="str">
        <f>_xlfn.IFNA(VLOOKUP(C245,Master!$J:$K,2,0),"")</f>
        <v>B2220</v>
      </c>
      <c r="C245" s="46" t="s">
        <v>83</v>
      </c>
      <c r="D245" s="4" t="str">
        <f>_xlfn.IFNA(VLOOKUP(E245,Master!$J:$K,2,0),"")</f>
        <v>B2300</v>
      </c>
      <c r="E245" s="46" t="s">
        <v>95</v>
      </c>
      <c r="F245" s="4">
        <f>_xlfn.IFNA(VLOOKUP(G245,Master!B:C,2,0),"")</f>
        <v>7511112</v>
      </c>
      <c r="G245" s="46" t="s">
        <v>80</v>
      </c>
      <c r="H245" s="46" t="s">
        <v>541</v>
      </c>
      <c r="I245" s="3" t="str">
        <f>_xlfn.IFNA(VLOOKUP(E245,Master!$J:$M,4,0),"")</f>
        <v>ADM</v>
      </c>
      <c r="J245" s="3" t="str">
        <f>_xlfn.IFNA(VLOOKUP($E245,Master!$J:$M,3,0),"")</f>
        <v>SGA</v>
      </c>
      <c r="M245" s="50">
        <v>14621700</v>
      </c>
      <c r="N245" s="50">
        <v>16748300</v>
      </c>
      <c r="O245" s="50">
        <v>17086800</v>
      </c>
      <c r="P245" s="50">
        <v>16994700</v>
      </c>
      <c r="Q245" s="50">
        <v>16473900</v>
      </c>
      <c r="R245" s="50">
        <v>16277800</v>
      </c>
      <c r="S245" s="50">
        <v>16207300</v>
      </c>
      <c r="T245" s="50">
        <v>16489300</v>
      </c>
      <c r="U245" s="50">
        <v>16418800</v>
      </c>
      <c r="V245" s="50">
        <v>16277800</v>
      </c>
      <c r="W245" s="50">
        <v>16489300</v>
      </c>
      <c r="X245" s="50">
        <v>16348300</v>
      </c>
      <c r="Y245" s="50">
        <v>16277800</v>
      </c>
      <c r="Z245" s="50">
        <v>17768100</v>
      </c>
      <c r="AA245" s="50">
        <v>18174500</v>
      </c>
      <c r="AB245" s="50">
        <v>17677300</v>
      </c>
      <c r="AC245" s="26">
        <f t="shared" si="6"/>
        <v>65451500</v>
      </c>
      <c r="AD245" s="26">
        <f t="shared" si="7"/>
        <v>200880200</v>
      </c>
      <c r="AE245" s="50">
        <v>224711200</v>
      </c>
      <c r="AF245" s="50">
        <v>238410100</v>
      </c>
      <c r="AG245" s="53" t="s">
        <v>55</v>
      </c>
    </row>
    <row r="246" spans="1:33" ht="15" customHeight="1">
      <c r="A246" s="46" t="s">
        <v>91</v>
      </c>
      <c r="B246" s="3" t="str">
        <f>_xlfn.IFNA(VLOOKUP(C246,Master!$J:$K,2,0),"")</f>
        <v>B2220</v>
      </c>
      <c r="C246" s="46" t="s">
        <v>83</v>
      </c>
      <c r="D246" s="4" t="str">
        <f>_xlfn.IFNA(VLOOKUP(E246,Master!$J:$K,2,0),"")</f>
        <v>B2400</v>
      </c>
      <c r="E246" s="46" t="s">
        <v>101</v>
      </c>
      <c r="F246" s="4">
        <f>_xlfn.IFNA(VLOOKUP(G246,Master!B:C,2,0),"")</f>
        <v>7511112</v>
      </c>
      <c r="G246" s="46" t="s">
        <v>80</v>
      </c>
      <c r="H246" s="46" t="s">
        <v>541</v>
      </c>
      <c r="I246" s="3" t="str">
        <f>_xlfn.IFNA(VLOOKUP(E246,Master!$J:$M,4,0),"")</f>
        <v>ADM</v>
      </c>
      <c r="J246" s="3" t="str">
        <f>_xlfn.IFNA(VLOOKUP($E246,Master!$J:$M,3,0),"")</f>
        <v>SGA</v>
      </c>
      <c r="M246" s="50">
        <v>6415800</v>
      </c>
      <c r="N246" s="50">
        <v>9617700</v>
      </c>
      <c r="O246" s="50">
        <v>9275400</v>
      </c>
      <c r="P246" s="50">
        <v>8872700</v>
      </c>
      <c r="Q246" s="50">
        <v>8476300</v>
      </c>
      <c r="R246" s="50">
        <v>8935100</v>
      </c>
      <c r="S246" s="50">
        <v>8862000</v>
      </c>
      <c r="T246" s="50">
        <v>9301700</v>
      </c>
      <c r="U246" s="50">
        <v>9179500</v>
      </c>
      <c r="V246" s="50">
        <v>8935100</v>
      </c>
      <c r="W246" s="50">
        <v>9350600</v>
      </c>
      <c r="X246" s="50">
        <v>9057300</v>
      </c>
      <c r="Y246" s="50">
        <v>8984100</v>
      </c>
      <c r="Z246" s="50">
        <v>9844000</v>
      </c>
      <c r="AA246" s="50">
        <v>9689900</v>
      </c>
      <c r="AB246" s="50">
        <v>9296100</v>
      </c>
      <c r="AC246" s="26">
        <f t="shared" si="6"/>
        <v>34181600</v>
      </c>
      <c r="AD246" s="26">
        <f t="shared" si="7"/>
        <v>109911700</v>
      </c>
      <c r="AE246" s="50">
        <v>116237800</v>
      </c>
      <c r="AF246" s="50">
        <v>122947600</v>
      </c>
      <c r="AG246" s="53" t="s">
        <v>55</v>
      </c>
    </row>
    <row r="247" spans="1:33" ht="15" customHeight="1">
      <c r="A247" s="46" t="s">
        <v>91</v>
      </c>
      <c r="B247" s="3" t="str">
        <f>_xlfn.IFNA(VLOOKUP(C247,Master!$J:$K,2,0),"")</f>
        <v>B2220</v>
      </c>
      <c r="C247" s="46" t="s">
        <v>83</v>
      </c>
      <c r="D247" s="4" t="str">
        <f>_xlfn.IFNA(VLOOKUP(E247,Master!$J:$K,2,0),"")</f>
        <v>B3110</v>
      </c>
      <c r="E247" s="46" t="s">
        <v>117</v>
      </c>
      <c r="F247" s="4">
        <f>_xlfn.IFNA(VLOOKUP(G247,Master!B:C,2,0),"")</f>
        <v>7511112</v>
      </c>
      <c r="G247" s="46" t="s">
        <v>80</v>
      </c>
      <c r="H247" s="46" t="s">
        <v>541</v>
      </c>
      <c r="I247" s="3" t="str">
        <f>_xlfn.IFNA(VLOOKUP(E247,Master!$J:$M,4,0),"")</f>
        <v>ADM</v>
      </c>
      <c r="J247" s="3" t="str">
        <f>_xlfn.IFNA(VLOOKUP($E247,Master!$J:$M,3,0),"")</f>
        <v>SGA</v>
      </c>
      <c r="M247" s="50">
        <v>9114100</v>
      </c>
      <c r="N247" s="50">
        <v>11865700</v>
      </c>
      <c r="O247" s="50">
        <v>11922000</v>
      </c>
      <c r="P247" s="50">
        <v>11484300</v>
      </c>
      <c r="Q247" s="50">
        <v>11325800</v>
      </c>
      <c r="R247" s="50">
        <v>11662300</v>
      </c>
      <c r="S247" s="50">
        <v>11565100</v>
      </c>
      <c r="T247" s="50">
        <v>11953800</v>
      </c>
      <c r="U247" s="50">
        <v>11856600</v>
      </c>
      <c r="V247" s="50">
        <v>11662300</v>
      </c>
      <c r="W247" s="50">
        <v>11953800</v>
      </c>
      <c r="X247" s="50">
        <v>11759500</v>
      </c>
      <c r="Y247" s="50">
        <v>11662300</v>
      </c>
      <c r="Z247" s="50">
        <v>12787100</v>
      </c>
      <c r="AA247" s="50">
        <v>12583100</v>
      </c>
      <c r="AB247" s="50">
        <v>12440500</v>
      </c>
      <c r="AC247" s="26">
        <f t="shared" si="6"/>
        <v>44386100</v>
      </c>
      <c r="AD247" s="26">
        <f t="shared" si="7"/>
        <v>143212200</v>
      </c>
      <c r="AE247" s="50">
        <v>152797400</v>
      </c>
      <c r="AF247" s="50">
        <v>162098400</v>
      </c>
      <c r="AG247" s="53" t="s">
        <v>55</v>
      </c>
    </row>
    <row r="248" spans="1:33" ht="15" customHeight="1">
      <c r="A248" s="46" t="s">
        <v>91</v>
      </c>
      <c r="B248" s="3" t="str">
        <f>_xlfn.IFNA(VLOOKUP(C248,Master!$J:$K,2,0),"")</f>
        <v>B2220</v>
      </c>
      <c r="C248" s="46" t="s">
        <v>83</v>
      </c>
      <c r="D248" s="4" t="str">
        <f>_xlfn.IFNA(VLOOKUP(E248,Master!$J:$K,2,0),"")</f>
        <v>B3120</v>
      </c>
      <c r="E248" s="46" t="s">
        <v>122</v>
      </c>
      <c r="F248" s="4">
        <f>_xlfn.IFNA(VLOOKUP(G248,Master!B:C,2,0),"")</f>
        <v>7511112</v>
      </c>
      <c r="G248" s="46" t="s">
        <v>80</v>
      </c>
      <c r="H248" s="46" t="s">
        <v>541</v>
      </c>
      <c r="I248" s="3" t="str">
        <f>_xlfn.IFNA(VLOOKUP(E248,Master!$J:$M,4,0),"")</f>
        <v>ADM</v>
      </c>
      <c r="J248" s="3" t="str">
        <f>_xlfn.IFNA(VLOOKUP($E248,Master!$J:$M,3,0),"")</f>
        <v>SGA</v>
      </c>
      <c r="M248" s="50">
        <v>1358200</v>
      </c>
      <c r="N248" s="50">
        <v>1452400</v>
      </c>
      <c r="O248" s="50">
        <v>1448500</v>
      </c>
      <c r="P248" s="50">
        <v>1457400</v>
      </c>
      <c r="Q248" s="50">
        <v>1447400</v>
      </c>
      <c r="R248" s="50">
        <v>1447800</v>
      </c>
      <c r="S248" s="50">
        <v>1445800</v>
      </c>
      <c r="T248" s="50">
        <v>1453800</v>
      </c>
      <c r="U248" s="50">
        <v>1451800</v>
      </c>
      <c r="V248" s="50">
        <v>1447800</v>
      </c>
      <c r="W248" s="50">
        <v>1453800</v>
      </c>
      <c r="X248" s="50">
        <v>1449800</v>
      </c>
      <c r="Y248" s="50">
        <v>1447800</v>
      </c>
      <c r="Z248" s="50">
        <v>1574800</v>
      </c>
      <c r="AA248" s="50">
        <v>1570600</v>
      </c>
      <c r="AB248" s="50">
        <v>1587700</v>
      </c>
      <c r="AC248" s="26">
        <f t="shared" si="6"/>
        <v>5716500</v>
      </c>
      <c r="AD248" s="26">
        <f t="shared" si="7"/>
        <v>17778900</v>
      </c>
      <c r="AE248" s="50">
        <v>19159100</v>
      </c>
      <c r="AF248" s="50">
        <v>20384400</v>
      </c>
      <c r="AG248" s="53" t="s">
        <v>55</v>
      </c>
    </row>
    <row r="249" spans="1:33" ht="15" customHeight="1">
      <c r="A249" s="46" t="s">
        <v>91</v>
      </c>
      <c r="B249" s="3" t="str">
        <f>_xlfn.IFNA(VLOOKUP(C249,Master!$J:$K,2,0),"")</f>
        <v>B2220</v>
      </c>
      <c r="C249" s="46" t="s">
        <v>83</v>
      </c>
      <c r="D249" s="4" t="str">
        <f>_xlfn.IFNA(VLOOKUP(E249,Master!$J:$K,2,0),"")</f>
        <v>B3130</v>
      </c>
      <c r="E249" s="46" t="s">
        <v>127</v>
      </c>
      <c r="F249" s="4">
        <f>_xlfn.IFNA(VLOOKUP(G249,Master!B:C,2,0),"")</f>
        <v>7511112</v>
      </c>
      <c r="G249" s="46" t="s">
        <v>80</v>
      </c>
      <c r="H249" s="46" t="s">
        <v>541</v>
      </c>
      <c r="I249" s="3" t="str">
        <f>_xlfn.IFNA(VLOOKUP(E249,Master!$J:$M,4,0),"")</f>
        <v>ADM</v>
      </c>
      <c r="J249" s="3" t="str">
        <f>_xlfn.IFNA(VLOOKUP($E249,Master!$J:$M,3,0),"")</f>
        <v>SGA</v>
      </c>
      <c r="M249" s="50">
        <v>17109700</v>
      </c>
      <c r="N249" s="50">
        <v>21475700</v>
      </c>
      <c r="O249" s="50">
        <v>22918400</v>
      </c>
      <c r="P249" s="50">
        <v>22616700</v>
      </c>
      <c r="Q249" s="50">
        <v>23899700</v>
      </c>
      <c r="R249" s="50">
        <v>24448500</v>
      </c>
      <c r="S249" s="50">
        <v>24285200</v>
      </c>
      <c r="T249" s="50">
        <v>24938400</v>
      </c>
      <c r="U249" s="50">
        <v>24775100</v>
      </c>
      <c r="V249" s="50">
        <v>24448500</v>
      </c>
      <c r="W249" s="50">
        <v>24938400</v>
      </c>
      <c r="X249" s="50">
        <v>24611800</v>
      </c>
      <c r="Y249" s="50">
        <v>24448500</v>
      </c>
      <c r="Z249" s="50">
        <v>26651100</v>
      </c>
      <c r="AA249" s="50">
        <v>26308200</v>
      </c>
      <c r="AB249" s="50">
        <v>26120900</v>
      </c>
      <c r="AC249" s="26">
        <f t="shared" si="6"/>
        <v>84120500</v>
      </c>
      <c r="AD249" s="26">
        <f t="shared" si="7"/>
        <v>299874300</v>
      </c>
      <c r="AE249" s="50">
        <v>319780300</v>
      </c>
      <c r="AF249" s="50">
        <v>339490800</v>
      </c>
      <c r="AG249" s="53" t="s">
        <v>55</v>
      </c>
    </row>
    <row r="250" spans="1:33" ht="15" customHeight="1">
      <c r="A250" s="46" t="s">
        <v>91</v>
      </c>
      <c r="B250" s="3" t="str">
        <f>_xlfn.IFNA(VLOOKUP(C250,Master!$J:$K,2,0),"")</f>
        <v>B2220</v>
      </c>
      <c r="C250" s="46" t="s">
        <v>83</v>
      </c>
      <c r="D250" s="4" t="str">
        <f>_xlfn.IFNA(VLOOKUP(E250,Master!$J:$K,2,0),"")</f>
        <v>B3150</v>
      </c>
      <c r="E250" s="46" t="s">
        <v>259</v>
      </c>
      <c r="F250" s="4">
        <f>_xlfn.IFNA(VLOOKUP(G250,Master!B:C,2,0),"")</f>
        <v>7511112</v>
      </c>
      <c r="G250" s="46" t="s">
        <v>80</v>
      </c>
      <c r="H250" s="46" t="s">
        <v>541</v>
      </c>
      <c r="I250" s="3" t="str">
        <f>_xlfn.IFNA(VLOOKUP(E250,Master!$J:$M,4,0),"")</f>
        <v>ADM</v>
      </c>
      <c r="J250" s="3" t="str">
        <f>_xlfn.IFNA(VLOOKUP($E250,Master!$J:$M,3,0),"")</f>
        <v>SGA</v>
      </c>
      <c r="M250" s="50">
        <v>16520500</v>
      </c>
      <c r="N250" s="50">
        <v>18501700</v>
      </c>
      <c r="O250" s="50">
        <v>18291700</v>
      </c>
      <c r="P250" s="50">
        <v>18140700</v>
      </c>
      <c r="Q250" s="50">
        <v>18117300</v>
      </c>
      <c r="R250" s="50">
        <v>18278000</v>
      </c>
      <c r="S250" s="50">
        <v>18173000</v>
      </c>
      <c r="T250" s="50">
        <v>18593000</v>
      </c>
      <c r="U250" s="50">
        <v>18488000</v>
      </c>
      <c r="V250" s="50">
        <v>18278000</v>
      </c>
      <c r="W250" s="50">
        <v>18695100</v>
      </c>
      <c r="X250" s="50">
        <v>18485000</v>
      </c>
      <c r="Y250" s="50">
        <v>18524200</v>
      </c>
      <c r="Z250" s="50">
        <v>19902100</v>
      </c>
      <c r="AA250" s="50">
        <v>19681600</v>
      </c>
      <c r="AB250" s="50">
        <v>19643100</v>
      </c>
      <c r="AC250" s="26">
        <f t="shared" si="6"/>
        <v>71454600</v>
      </c>
      <c r="AD250" s="26">
        <f t="shared" si="7"/>
        <v>224858400</v>
      </c>
      <c r="AE250" s="50">
        <v>240336300</v>
      </c>
      <c r="AF250" s="50">
        <v>255904300</v>
      </c>
      <c r="AG250" s="53" t="s">
        <v>55</v>
      </c>
    </row>
    <row r="251" spans="1:33" ht="15" customHeight="1">
      <c r="A251" s="46" t="s">
        <v>91</v>
      </c>
      <c r="B251" s="3" t="str">
        <f>_xlfn.IFNA(VLOOKUP(C251,Master!$J:$K,2,0),"")</f>
        <v>B2220</v>
      </c>
      <c r="C251" s="46" t="s">
        <v>83</v>
      </c>
      <c r="D251" s="4" t="str">
        <f>_xlfn.IFNA(VLOOKUP(E251,Master!$J:$K,2,0),"")</f>
        <v>B3160</v>
      </c>
      <c r="E251" s="46" t="s">
        <v>112</v>
      </c>
      <c r="F251" s="4">
        <f>_xlfn.IFNA(VLOOKUP(G251,Master!B:C,2,0),"")</f>
        <v>7511112</v>
      </c>
      <c r="G251" s="46" t="s">
        <v>80</v>
      </c>
      <c r="H251" s="46" t="s">
        <v>541</v>
      </c>
      <c r="I251" s="3" t="str">
        <f>_xlfn.IFNA(VLOOKUP(E251,Master!$J:$M,4,0),"")</f>
        <v>ADM</v>
      </c>
      <c r="J251" s="3" t="str">
        <f>_xlfn.IFNA(VLOOKUP($E251,Master!$J:$M,3,0),"")</f>
        <v>SGA</v>
      </c>
      <c r="M251" s="50">
        <v>9277200</v>
      </c>
      <c r="N251" s="50">
        <v>12666200</v>
      </c>
      <c r="O251" s="50">
        <v>12409900</v>
      </c>
      <c r="P251" s="50">
        <v>12129900</v>
      </c>
      <c r="Q251" s="50">
        <v>11511500</v>
      </c>
      <c r="R251" s="50">
        <v>12153600</v>
      </c>
      <c r="S251" s="50">
        <v>12025500</v>
      </c>
      <c r="T251" s="50">
        <v>12538000</v>
      </c>
      <c r="U251" s="50">
        <v>12409900</v>
      </c>
      <c r="V251" s="50">
        <v>12153600</v>
      </c>
      <c r="W251" s="50">
        <v>12538000</v>
      </c>
      <c r="X251" s="50">
        <v>12281800</v>
      </c>
      <c r="Y251" s="50">
        <v>12153600</v>
      </c>
      <c r="Z251" s="50">
        <v>13352700</v>
      </c>
      <c r="AA251" s="50">
        <v>13083600</v>
      </c>
      <c r="AB251" s="50">
        <v>12843500</v>
      </c>
      <c r="AC251" s="26">
        <f t="shared" si="6"/>
        <v>46483200</v>
      </c>
      <c r="AD251" s="26">
        <f t="shared" si="7"/>
        <v>149045300</v>
      </c>
      <c r="AE251" s="50">
        <v>158406300</v>
      </c>
      <c r="AF251" s="50">
        <v>167712300</v>
      </c>
      <c r="AG251" s="53" t="s">
        <v>55</v>
      </c>
    </row>
    <row r="252" spans="1:33" ht="15" customHeight="1">
      <c r="A252" s="46" t="s">
        <v>91</v>
      </c>
      <c r="B252" s="3" t="str">
        <f>_xlfn.IFNA(VLOOKUP(C252,Master!$J:$K,2,0),"")</f>
        <v>B2220</v>
      </c>
      <c r="C252" s="46" t="s">
        <v>83</v>
      </c>
      <c r="D252" s="4" t="str">
        <f>_xlfn.IFNA(VLOOKUP(E252,Master!$J:$K,2,0),"")</f>
        <v>B4101</v>
      </c>
      <c r="E252" s="46" t="s">
        <v>132</v>
      </c>
      <c r="F252" s="4">
        <f>_xlfn.IFNA(VLOOKUP(G252,Master!B:C,2,0),"")</f>
        <v>7511112</v>
      </c>
      <c r="G252" s="46" t="s">
        <v>80</v>
      </c>
      <c r="H252" s="46" t="s">
        <v>541</v>
      </c>
      <c r="I252" s="3" t="str">
        <f>_xlfn.IFNA(VLOOKUP(E252,Master!$J:$M,4,0),"")</f>
        <v>DIR</v>
      </c>
      <c r="J252" s="3" t="str">
        <f>_xlfn.IFNA(VLOOKUP($E252,Master!$J:$M,3,0),"")</f>
        <v>MFG</v>
      </c>
      <c r="M252" s="50">
        <v>7824200</v>
      </c>
      <c r="N252" s="50">
        <v>9287300</v>
      </c>
      <c r="O252" s="50">
        <v>8379300</v>
      </c>
      <c r="P252" s="50">
        <v>8720700</v>
      </c>
      <c r="Q252" s="50">
        <v>7805700</v>
      </c>
      <c r="R252" s="50">
        <v>8894800</v>
      </c>
      <c r="S252" s="50">
        <v>7810700</v>
      </c>
      <c r="T252" s="50">
        <v>8746800</v>
      </c>
      <c r="U252" s="50">
        <v>8423800</v>
      </c>
      <c r="V252" s="50">
        <v>8197900</v>
      </c>
      <c r="W252" s="50">
        <v>8366300</v>
      </c>
      <c r="X252" s="50">
        <v>8377600</v>
      </c>
      <c r="Y252" s="50">
        <v>8197900</v>
      </c>
      <c r="Z252" s="50">
        <v>9032400</v>
      </c>
      <c r="AA252" s="50">
        <v>8934300</v>
      </c>
      <c r="AB252" s="50">
        <v>8974900</v>
      </c>
      <c r="AC252" s="26">
        <f t="shared" si="6"/>
        <v>34211500</v>
      </c>
      <c r="AD252" s="26">
        <f t="shared" si="7"/>
        <v>101763100</v>
      </c>
      <c r="AE252" s="50">
        <v>115470000</v>
      </c>
      <c r="AF252" s="50">
        <v>114723600</v>
      </c>
      <c r="AG252" s="53" t="s">
        <v>55</v>
      </c>
    </row>
    <row r="253" spans="1:33" ht="15" customHeight="1">
      <c r="A253" s="46" t="s">
        <v>91</v>
      </c>
      <c r="B253" s="3" t="str">
        <f>_xlfn.IFNA(VLOOKUP(C253,Master!$J:$K,2,0),"")</f>
        <v>B2220</v>
      </c>
      <c r="C253" s="46" t="s">
        <v>83</v>
      </c>
      <c r="D253" s="4" t="str">
        <f>_xlfn.IFNA(VLOOKUP(E253,Master!$J:$K,2,0),"")</f>
        <v>B4102</v>
      </c>
      <c r="E253" s="46" t="s">
        <v>139</v>
      </c>
      <c r="F253" s="4">
        <f>_xlfn.IFNA(VLOOKUP(G253,Master!B:C,2,0),"")</f>
        <v>7511112</v>
      </c>
      <c r="G253" s="46" t="s">
        <v>80</v>
      </c>
      <c r="H253" s="46" t="s">
        <v>541</v>
      </c>
      <c r="I253" s="3" t="str">
        <f>_xlfn.IFNA(VLOOKUP(E253,Master!$J:$M,4,0),"")</f>
        <v>DIR</v>
      </c>
      <c r="J253" s="3" t="str">
        <f>_xlfn.IFNA(VLOOKUP($E253,Master!$J:$M,3,0),"")</f>
        <v>MFG</v>
      </c>
      <c r="M253" s="50">
        <v>20561000</v>
      </c>
      <c r="N253" s="50">
        <v>24217800</v>
      </c>
      <c r="O253" s="50">
        <v>22056400</v>
      </c>
      <c r="P253" s="50">
        <v>22766800</v>
      </c>
      <c r="Q253" s="50">
        <v>18844600</v>
      </c>
      <c r="R253" s="50">
        <v>21356000</v>
      </c>
      <c r="S253" s="50">
        <v>18973300</v>
      </c>
      <c r="T253" s="50">
        <v>21040800</v>
      </c>
      <c r="U253" s="50">
        <v>20382600</v>
      </c>
      <c r="V253" s="50">
        <v>19823100</v>
      </c>
      <c r="W253" s="50">
        <v>21378400</v>
      </c>
      <c r="X253" s="50">
        <v>21425400</v>
      </c>
      <c r="Y253" s="50">
        <v>20968100</v>
      </c>
      <c r="Z253" s="50">
        <v>23064900</v>
      </c>
      <c r="AA253" s="50">
        <v>22833400</v>
      </c>
      <c r="AB253" s="50">
        <v>22936100</v>
      </c>
      <c r="AC253" s="26">
        <f t="shared" si="6"/>
        <v>89602000</v>
      </c>
      <c r="AD253" s="26">
        <f t="shared" si="7"/>
        <v>253026700</v>
      </c>
      <c r="AE253" s="50">
        <v>286726000</v>
      </c>
      <c r="AF253" s="50">
        <v>266901400</v>
      </c>
      <c r="AG253" s="53" t="s">
        <v>55</v>
      </c>
    </row>
    <row r="254" spans="1:33" ht="15" customHeight="1">
      <c r="A254" s="46" t="s">
        <v>91</v>
      </c>
      <c r="B254" s="3" t="str">
        <f>_xlfn.IFNA(VLOOKUP(C254,Master!$J:$K,2,0),"")</f>
        <v>B2220</v>
      </c>
      <c r="C254" s="46" t="s">
        <v>83</v>
      </c>
      <c r="D254" s="4" t="str">
        <f>_xlfn.IFNA(VLOOKUP(E254,Master!$J:$K,2,0),"")</f>
        <v>B4103</v>
      </c>
      <c r="E254" s="46" t="s">
        <v>144</v>
      </c>
      <c r="F254" s="4">
        <f>_xlfn.IFNA(VLOOKUP(G254,Master!B:C,2,0),"")</f>
        <v>7511112</v>
      </c>
      <c r="G254" s="46" t="s">
        <v>80</v>
      </c>
      <c r="H254" s="46" t="s">
        <v>541</v>
      </c>
      <c r="I254" s="3" t="str">
        <f>_xlfn.IFNA(VLOOKUP(E254,Master!$J:$M,4,0),"")</f>
        <v>DIR</v>
      </c>
      <c r="J254" s="3" t="str">
        <f>_xlfn.IFNA(VLOOKUP($E254,Master!$J:$M,3,0),"")</f>
        <v>MFG</v>
      </c>
      <c r="M254" s="50">
        <v>12567300</v>
      </c>
      <c r="N254" s="50">
        <v>14741900</v>
      </c>
      <c r="O254" s="50">
        <v>13498300</v>
      </c>
      <c r="P254" s="50">
        <v>13928400</v>
      </c>
      <c r="Q254" s="50">
        <v>12617800</v>
      </c>
      <c r="R254" s="50">
        <v>14182400</v>
      </c>
      <c r="S254" s="50">
        <v>12686200</v>
      </c>
      <c r="T254" s="50">
        <v>13974400</v>
      </c>
      <c r="U254" s="50">
        <v>13564600</v>
      </c>
      <c r="V254" s="50">
        <v>13215300</v>
      </c>
      <c r="W254" s="50">
        <v>13444400</v>
      </c>
      <c r="X254" s="50">
        <v>13485900</v>
      </c>
      <c r="Y254" s="50">
        <v>13215300</v>
      </c>
      <c r="Z254" s="50">
        <v>14518400</v>
      </c>
      <c r="AA254" s="50">
        <v>14387000</v>
      </c>
      <c r="AB254" s="50">
        <v>14469500</v>
      </c>
      <c r="AC254" s="26">
        <f t="shared" si="6"/>
        <v>54735900</v>
      </c>
      <c r="AD254" s="26">
        <f t="shared" si="7"/>
        <v>163761200</v>
      </c>
      <c r="AE254" s="50">
        <v>184484700</v>
      </c>
      <c r="AF254" s="50">
        <v>205145300</v>
      </c>
      <c r="AG254" s="53" t="s">
        <v>55</v>
      </c>
    </row>
    <row r="255" spans="1:33" ht="15" customHeight="1">
      <c r="A255" s="46" t="s">
        <v>91</v>
      </c>
      <c r="B255" s="3" t="str">
        <f>_xlfn.IFNA(VLOOKUP(C255,Master!$J:$K,2,0),"")</f>
        <v>B2220</v>
      </c>
      <c r="C255" s="46" t="s">
        <v>83</v>
      </c>
      <c r="D255" s="4" t="str">
        <f>_xlfn.IFNA(VLOOKUP(E255,Master!$J:$K,2,0),"")</f>
        <v>B4105</v>
      </c>
      <c r="E255" s="46" t="s">
        <v>149</v>
      </c>
      <c r="F255" s="4">
        <f>_xlfn.IFNA(VLOOKUP(G255,Master!B:C,2,0),"")</f>
        <v>7511112</v>
      </c>
      <c r="G255" s="46" t="s">
        <v>80</v>
      </c>
      <c r="H255" s="46" t="s">
        <v>541</v>
      </c>
      <c r="I255" s="3" t="str">
        <f>_xlfn.IFNA(VLOOKUP(E255,Master!$J:$M,4,0),"")</f>
        <v>DIR</v>
      </c>
      <c r="J255" s="3" t="str">
        <f>_xlfn.IFNA(VLOOKUP($E255,Master!$J:$M,3,0),"")</f>
        <v>MFG</v>
      </c>
      <c r="M255" s="50">
        <v>16333900</v>
      </c>
      <c r="N255" s="50">
        <v>19192400</v>
      </c>
      <c r="O255" s="50">
        <v>17526000</v>
      </c>
      <c r="P255" s="50">
        <v>18037500</v>
      </c>
      <c r="Q255" s="50">
        <v>16350200</v>
      </c>
      <c r="R255" s="50">
        <v>18579900</v>
      </c>
      <c r="S255" s="50">
        <v>16509500</v>
      </c>
      <c r="T255" s="50">
        <v>18284600</v>
      </c>
      <c r="U255" s="50">
        <v>17757000</v>
      </c>
      <c r="V255" s="50">
        <v>17245800</v>
      </c>
      <c r="W255" s="50">
        <v>14896600</v>
      </c>
      <c r="X255" s="50">
        <v>14941300</v>
      </c>
      <c r="Y255" s="50">
        <v>14630600</v>
      </c>
      <c r="Z255" s="50">
        <v>16080400</v>
      </c>
      <c r="AA255" s="50">
        <v>15940200</v>
      </c>
      <c r="AB255" s="50">
        <v>15983000</v>
      </c>
      <c r="AC255" s="26">
        <f t="shared" si="6"/>
        <v>71089800</v>
      </c>
      <c r="AD255" s="26">
        <f t="shared" si="7"/>
        <v>197199100</v>
      </c>
      <c r="AE255" s="50">
        <v>195528300</v>
      </c>
      <c r="AF255" s="50">
        <v>202627600</v>
      </c>
      <c r="AG255" s="53" t="s">
        <v>55</v>
      </c>
    </row>
    <row r="256" spans="1:33" ht="15" customHeight="1">
      <c r="A256" s="46" t="s">
        <v>91</v>
      </c>
      <c r="B256" s="3" t="str">
        <f>_xlfn.IFNA(VLOOKUP(C256,Master!$J:$K,2,0),"")</f>
        <v>B2220</v>
      </c>
      <c r="C256" s="46" t="s">
        <v>83</v>
      </c>
      <c r="D256" s="4" t="str">
        <f>_xlfn.IFNA(VLOOKUP(E256,Master!$J:$K,2,0),"")</f>
        <v>B4110</v>
      </c>
      <c r="E256" s="46" t="s">
        <v>162</v>
      </c>
      <c r="F256" s="4">
        <f>_xlfn.IFNA(VLOOKUP(G256,Master!B:C,2,0),"")</f>
        <v>7511112</v>
      </c>
      <c r="G256" s="46" t="s">
        <v>80</v>
      </c>
      <c r="H256" s="46" t="s">
        <v>541</v>
      </c>
      <c r="I256" s="3" t="str">
        <f>_xlfn.IFNA(VLOOKUP(E256,Master!$J:$M,4,0),"")</f>
        <v>DIR</v>
      </c>
      <c r="J256" s="3" t="str">
        <f>_xlfn.IFNA(VLOOKUP($E256,Master!$J:$M,3,0),"")</f>
        <v>MFG</v>
      </c>
      <c r="M256" s="50">
        <v>24663800</v>
      </c>
      <c r="N256" s="50">
        <v>22849900</v>
      </c>
      <c r="O256" s="50">
        <v>26075500</v>
      </c>
      <c r="P256" s="50">
        <v>27188600</v>
      </c>
      <c r="Q256" s="50">
        <v>32064800</v>
      </c>
      <c r="R256" s="50">
        <v>30543600</v>
      </c>
      <c r="S256" s="50">
        <v>28895100</v>
      </c>
      <c r="T256" s="50">
        <v>26851800</v>
      </c>
      <c r="U256" s="50">
        <v>27538500</v>
      </c>
      <c r="V256" s="50">
        <v>29176600</v>
      </c>
      <c r="W256" s="50">
        <v>27200100</v>
      </c>
      <c r="X256" s="50">
        <v>29162500</v>
      </c>
      <c r="Y256" s="50">
        <v>28717800</v>
      </c>
      <c r="Z256" s="50">
        <v>31645300</v>
      </c>
      <c r="AA256" s="50">
        <v>31225100</v>
      </c>
      <c r="AB256" s="50">
        <v>34989800</v>
      </c>
      <c r="AC256" s="26">
        <f t="shared" si="6"/>
        <v>100777800</v>
      </c>
      <c r="AD256" s="26">
        <f t="shared" si="7"/>
        <v>358011000</v>
      </c>
      <c r="AE256" s="50">
        <v>380638200</v>
      </c>
      <c r="AF256" s="50">
        <v>397154300</v>
      </c>
      <c r="AG256" s="53" t="s">
        <v>55</v>
      </c>
    </row>
    <row r="257" spans="1:33" ht="15" customHeight="1">
      <c r="A257" s="46" t="s">
        <v>91</v>
      </c>
      <c r="B257" s="3" t="str">
        <f>_xlfn.IFNA(VLOOKUP(C257,Master!$J:$K,2,0),"")</f>
        <v>B2220</v>
      </c>
      <c r="C257" s="46" t="s">
        <v>83</v>
      </c>
      <c r="D257" s="4" t="str">
        <f>_xlfn.IFNA(VLOOKUP(E257,Master!$J:$K,2,0),"")</f>
        <v>B4114</v>
      </c>
      <c r="E257" s="46" t="s">
        <v>172</v>
      </c>
      <c r="F257" s="4">
        <f>_xlfn.IFNA(VLOOKUP(G257,Master!B:C,2,0),"")</f>
        <v>7511112</v>
      </c>
      <c r="G257" s="46" t="s">
        <v>80</v>
      </c>
      <c r="H257" s="46" t="s">
        <v>541</v>
      </c>
      <c r="I257" s="3" t="str">
        <f>_xlfn.IFNA(VLOOKUP(E257,Master!$J:$M,4,0),"")</f>
        <v>DIR</v>
      </c>
      <c r="J257" s="3" t="str">
        <f>_xlfn.IFNA(VLOOKUP($E257,Master!$J:$M,3,0),"")</f>
        <v>MFG</v>
      </c>
      <c r="M257" s="50">
        <v>12601800</v>
      </c>
      <c r="N257" s="50">
        <v>12174300</v>
      </c>
      <c r="O257" s="50">
        <v>13398600</v>
      </c>
      <c r="P257" s="50">
        <v>13802900</v>
      </c>
      <c r="Q257" s="50">
        <v>15515800</v>
      </c>
      <c r="R257" s="50">
        <v>14927600</v>
      </c>
      <c r="S257" s="50">
        <v>10948500</v>
      </c>
      <c r="T257" s="50">
        <v>7682500</v>
      </c>
      <c r="U257" s="50">
        <v>7793300</v>
      </c>
      <c r="V257" s="50">
        <v>8079100</v>
      </c>
      <c r="W257" s="50">
        <v>5287700</v>
      </c>
      <c r="X257" s="50">
        <v>5507200</v>
      </c>
      <c r="Y257" s="50">
        <v>5432100</v>
      </c>
      <c r="Z257" s="50">
        <v>5930400</v>
      </c>
      <c r="AA257" s="50">
        <v>5874800</v>
      </c>
      <c r="AB257" s="50">
        <v>6317500</v>
      </c>
      <c r="AC257" s="26">
        <f t="shared" si="6"/>
        <v>51977600</v>
      </c>
      <c r="AD257" s="26">
        <f t="shared" si="7"/>
        <v>99296500</v>
      </c>
      <c r="AE257" s="50">
        <v>73663100</v>
      </c>
      <c r="AF257" s="50">
        <v>78466100</v>
      </c>
      <c r="AG257" s="53" t="s">
        <v>55</v>
      </c>
    </row>
    <row r="258" spans="1:33" ht="15" customHeight="1">
      <c r="A258" s="46" t="s">
        <v>91</v>
      </c>
      <c r="B258" s="3" t="str">
        <f>_xlfn.IFNA(VLOOKUP(C258,Master!$J:$K,2,0),"")</f>
        <v>B2220</v>
      </c>
      <c r="C258" s="46" t="s">
        <v>83</v>
      </c>
      <c r="D258" s="4" t="str">
        <f>_xlfn.IFNA(VLOOKUP(E258,Master!$J:$K,2,0),"")</f>
        <v>B4115</v>
      </c>
      <c r="E258" s="46" t="s">
        <v>167</v>
      </c>
      <c r="F258" s="4">
        <f>_xlfn.IFNA(VLOOKUP(G258,Master!B:C,2,0),"")</f>
        <v>7511112</v>
      </c>
      <c r="G258" s="46" t="s">
        <v>80</v>
      </c>
      <c r="H258" s="46" t="s">
        <v>541</v>
      </c>
      <c r="I258" s="3" t="str">
        <f>_xlfn.IFNA(VLOOKUP(E258,Master!$J:$M,4,0),"")</f>
        <v>DIR</v>
      </c>
      <c r="J258" s="3" t="str">
        <f>_xlfn.IFNA(VLOOKUP($E258,Master!$J:$M,3,0),"")</f>
        <v>MFG</v>
      </c>
      <c r="M258" s="50">
        <v>7223400</v>
      </c>
      <c r="N258" s="50">
        <v>7814400</v>
      </c>
      <c r="O258" s="50">
        <v>7442300</v>
      </c>
      <c r="P258" s="50">
        <v>7350500</v>
      </c>
      <c r="Q258" s="50">
        <v>6943600</v>
      </c>
      <c r="R258" s="50">
        <v>7539700</v>
      </c>
      <c r="S258" s="50">
        <v>6903500</v>
      </c>
      <c r="T258" s="50">
        <v>6838100</v>
      </c>
      <c r="U258" s="50">
        <v>7076200</v>
      </c>
      <c r="V258" s="50">
        <v>7139100</v>
      </c>
      <c r="W258" s="50">
        <v>6372900</v>
      </c>
      <c r="X258" s="50">
        <v>6948300</v>
      </c>
      <c r="Y258" s="50">
        <v>7414800</v>
      </c>
      <c r="Z258" s="50">
        <v>7808700</v>
      </c>
      <c r="AA258" s="50">
        <v>7830600</v>
      </c>
      <c r="AB258" s="50">
        <v>8914100</v>
      </c>
      <c r="AC258" s="26">
        <f t="shared" ref="AC258:AC321" si="8">SUM(K258:P258)</f>
        <v>29830600</v>
      </c>
      <c r="AD258" s="26">
        <f t="shared" ref="AD258:AD321" si="9">SUM(Q258:AB258)</f>
        <v>87729600</v>
      </c>
      <c r="AE258" s="50">
        <v>98196100</v>
      </c>
      <c r="AF258" s="50">
        <v>109193200</v>
      </c>
      <c r="AG258" s="53" t="s">
        <v>55</v>
      </c>
    </row>
    <row r="259" spans="1:33" ht="15" customHeight="1">
      <c r="A259" s="46" t="s">
        <v>91</v>
      </c>
      <c r="B259" s="3" t="str">
        <f>_xlfn.IFNA(VLOOKUP(C259,Master!$J:$K,2,0),"")</f>
        <v>B2220</v>
      </c>
      <c r="C259" s="46" t="s">
        <v>83</v>
      </c>
      <c r="D259" s="4" t="str">
        <f>_xlfn.IFNA(VLOOKUP(E259,Master!$J:$K,2,0),"")</f>
        <v>B4120</v>
      </c>
      <c r="E259" s="46" t="s">
        <v>177</v>
      </c>
      <c r="F259" s="4">
        <f>_xlfn.IFNA(VLOOKUP(G259,Master!B:C,2,0),"")</f>
        <v>7511112</v>
      </c>
      <c r="G259" s="46" t="s">
        <v>80</v>
      </c>
      <c r="H259" s="46" t="s">
        <v>541</v>
      </c>
      <c r="I259" s="3" t="str">
        <f>_xlfn.IFNA(VLOOKUP(E259,Master!$J:$M,4,0),"")</f>
        <v>DIR</v>
      </c>
      <c r="J259" s="3" t="str">
        <f>_xlfn.IFNA(VLOOKUP($E259,Master!$J:$M,3,0),"")</f>
        <v>MFG</v>
      </c>
      <c r="M259" s="50">
        <v>38438900</v>
      </c>
      <c r="N259" s="50">
        <v>40750300</v>
      </c>
      <c r="O259" s="50">
        <v>39374100</v>
      </c>
      <c r="P259" s="50">
        <v>39670400</v>
      </c>
      <c r="Q259" s="50">
        <v>37410300</v>
      </c>
      <c r="R259" s="50">
        <v>35805300</v>
      </c>
      <c r="S259" s="50">
        <v>35606900</v>
      </c>
      <c r="T259" s="50">
        <v>33560200</v>
      </c>
      <c r="U259" s="50">
        <v>33545100</v>
      </c>
      <c r="V259" s="50">
        <v>33537000</v>
      </c>
      <c r="W259" s="50">
        <v>35718200</v>
      </c>
      <c r="X259" s="50">
        <v>35729000</v>
      </c>
      <c r="Y259" s="50">
        <v>35665400</v>
      </c>
      <c r="Z259" s="50">
        <v>38186900</v>
      </c>
      <c r="AA259" s="50">
        <v>38069100</v>
      </c>
      <c r="AB259" s="50">
        <v>38876800</v>
      </c>
      <c r="AC259" s="26">
        <f t="shared" si="8"/>
        <v>158233700</v>
      </c>
      <c r="AD259" s="26">
        <f t="shared" si="9"/>
        <v>431710200</v>
      </c>
      <c r="AE259" s="50">
        <v>424675700</v>
      </c>
      <c r="AF259" s="50">
        <v>445432100</v>
      </c>
      <c r="AG259" s="53" t="s">
        <v>55</v>
      </c>
    </row>
    <row r="260" spans="1:33" ht="15" customHeight="1">
      <c r="A260" s="46" t="s">
        <v>91</v>
      </c>
      <c r="B260" s="3" t="str">
        <f>_xlfn.IFNA(VLOOKUP(C260,Master!$J:$K,2,0),"")</f>
        <v>B2220</v>
      </c>
      <c r="C260" s="46" t="s">
        <v>83</v>
      </c>
      <c r="D260" s="4" t="str">
        <f>_xlfn.IFNA(VLOOKUP(E260,Master!$J:$K,2,0),"")</f>
        <v>B4121</v>
      </c>
      <c r="E260" s="46" t="s">
        <v>183</v>
      </c>
      <c r="F260" s="4">
        <f>_xlfn.IFNA(VLOOKUP(G260,Master!B:C,2,0),"")</f>
        <v>7511112</v>
      </c>
      <c r="G260" s="46" t="s">
        <v>80</v>
      </c>
      <c r="H260" s="46" t="s">
        <v>541</v>
      </c>
      <c r="I260" s="3" t="str">
        <f>_xlfn.IFNA(VLOOKUP(E260,Master!$J:$M,4,0),"")</f>
        <v>DIR</v>
      </c>
      <c r="J260" s="3" t="str">
        <f>_xlfn.IFNA(VLOOKUP($E260,Master!$J:$M,3,0),"")</f>
        <v>MFG</v>
      </c>
      <c r="M260" s="50">
        <v>2442400</v>
      </c>
      <c r="N260" s="50">
        <v>2616700</v>
      </c>
      <c r="O260" s="50">
        <v>2602400</v>
      </c>
      <c r="P260" s="50">
        <v>2625600</v>
      </c>
      <c r="AC260" s="26">
        <f t="shared" si="8"/>
        <v>10287100</v>
      </c>
      <c r="AD260" s="26">
        <f t="shared" si="9"/>
        <v>0</v>
      </c>
      <c r="AG260" s="53" t="s">
        <v>55</v>
      </c>
    </row>
    <row r="261" spans="1:33" ht="15" customHeight="1">
      <c r="A261" s="46" t="s">
        <v>91</v>
      </c>
      <c r="B261" s="3" t="str">
        <f>_xlfn.IFNA(VLOOKUP(C261,Master!$J:$K,2,0),"")</f>
        <v>B2220</v>
      </c>
      <c r="C261" s="46" t="s">
        <v>83</v>
      </c>
      <c r="D261" s="4" t="str">
        <f>_xlfn.IFNA(VLOOKUP(E261,Master!$J:$K,2,0),"")</f>
        <v>B4130</v>
      </c>
      <c r="E261" s="46" t="s">
        <v>158</v>
      </c>
      <c r="F261" s="4">
        <f>_xlfn.IFNA(VLOOKUP(G261,Master!B:C,2,0),"")</f>
        <v>7511112</v>
      </c>
      <c r="G261" s="46" t="s">
        <v>80</v>
      </c>
      <c r="H261" s="46" t="s">
        <v>541</v>
      </c>
      <c r="I261" s="3" t="str">
        <f>_xlfn.IFNA(VLOOKUP(E261,Master!$J:$M,4,0),"")</f>
        <v>DIR</v>
      </c>
      <c r="J261" s="3" t="str">
        <f>_xlfn.IFNA(VLOOKUP($E261,Master!$J:$M,3,0),"")</f>
        <v>MFG</v>
      </c>
      <c r="M261" s="50">
        <v>10528600</v>
      </c>
      <c r="N261" s="50">
        <v>12894500</v>
      </c>
      <c r="O261" s="50">
        <v>11216200</v>
      </c>
      <c r="P261" s="50">
        <v>11399000</v>
      </c>
      <c r="Q261" s="50">
        <v>8862900</v>
      </c>
      <c r="R261" s="50">
        <v>10195200</v>
      </c>
      <c r="S261" s="50">
        <v>8960100</v>
      </c>
      <c r="T261" s="50">
        <v>10318700</v>
      </c>
      <c r="U261" s="50">
        <v>10388000</v>
      </c>
      <c r="V261" s="50">
        <v>10412600</v>
      </c>
      <c r="W261" s="50">
        <v>9961600</v>
      </c>
      <c r="X261" s="50">
        <v>10022400</v>
      </c>
      <c r="Y261" s="50">
        <v>9972600</v>
      </c>
      <c r="Z261" s="50">
        <v>10631800</v>
      </c>
      <c r="AA261" s="50">
        <v>10686500</v>
      </c>
      <c r="AB261" s="50">
        <v>10835400</v>
      </c>
      <c r="AC261" s="26">
        <f t="shared" si="8"/>
        <v>46038300</v>
      </c>
      <c r="AD261" s="26">
        <f t="shared" si="9"/>
        <v>121247800</v>
      </c>
      <c r="AE261" s="50">
        <v>129910900</v>
      </c>
      <c r="AF261" s="50">
        <v>142537100</v>
      </c>
      <c r="AG261" s="53" t="s">
        <v>55</v>
      </c>
    </row>
    <row r="262" spans="1:33" ht="15" customHeight="1">
      <c r="A262" s="46" t="s">
        <v>91</v>
      </c>
      <c r="B262" s="3" t="str">
        <f>_xlfn.IFNA(VLOOKUP(C262,Master!$J:$K,2,0),"")</f>
        <v>B2220</v>
      </c>
      <c r="C262" s="46" t="s">
        <v>83</v>
      </c>
      <c r="D262" s="4" t="str">
        <f>_xlfn.IFNA(VLOOKUP(E262,Master!$J:$K,2,0),"")</f>
        <v>B4410</v>
      </c>
      <c r="E262" s="46" t="s">
        <v>188</v>
      </c>
      <c r="F262" s="4">
        <f>_xlfn.IFNA(VLOOKUP(G262,Master!B:C,2,0),"")</f>
        <v>7511112</v>
      </c>
      <c r="G262" s="46" t="s">
        <v>80</v>
      </c>
      <c r="H262" s="46" t="s">
        <v>541</v>
      </c>
      <c r="I262" s="3" t="str">
        <f>_xlfn.IFNA(VLOOKUP(E262,Master!$J:$M,4,0),"")</f>
        <v>DIR</v>
      </c>
      <c r="J262" s="3" t="str">
        <f>_xlfn.IFNA(VLOOKUP($E262,Master!$J:$M,3,0),"")</f>
        <v>MFG</v>
      </c>
      <c r="M262" s="50">
        <v>3424000</v>
      </c>
      <c r="N262" s="50">
        <v>3795200</v>
      </c>
      <c r="O262" s="50">
        <v>4366800</v>
      </c>
      <c r="P262" s="50">
        <v>4991100</v>
      </c>
      <c r="Q262" s="50">
        <v>3598600</v>
      </c>
      <c r="R262" s="50">
        <v>4554600</v>
      </c>
      <c r="S262" s="50">
        <v>4404700</v>
      </c>
      <c r="T262" s="50">
        <v>4330400</v>
      </c>
      <c r="U262" s="50">
        <v>5567800</v>
      </c>
      <c r="V262" s="50">
        <v>3452900</v>
      </c>
      <c r="W262" s="50">
        <v>6126400</v>
      </c>
      <c r="X262" s="50">
        <v>3066700</v>
      </c>
      <c r="Y262" s="50">
        <v>2886600</v>
      </c>
      <c r="AC262" s="26">
        <f t="shared" si="8"/>
        <v>16577100</v>
      </c>
      <c r="AD262" s="26">
        <f t="shared" si="9"/>
        <v>37988700</v>
      </c>
      <c r="AG262" s="53" t="s">
        <v>55</v>
      </c>
    </row>
    <row r="263" spans="1:33" ht="15" customHeight="1">
      <c r="A263" s="46" t="s">
        <v>91</v>
      </c>
      <c r="B263" s="3" t="str">
        <f>_xlfn.IFNA(VLOOKUP(C263,Master!$J:$K,2,0),"")</f>
        <v>B2220</v>
      </c>
      <c r="C263" s="46" t="s">
        <v>83</v>
      </c>
      <c r="D263" s="4" t="str">
        <f>_xlfn.IFNA(VLOOKUP(E263,Master!$J:$K,2,0),"")</f>
        <v>B4430</v>
      </c>
      <c r="E263" s="46" t="s">
        <v>193</v>
      </c>
      <c r="F263" s="4">
        <f>_xlfn.IFNA(VLOOKUP(G263,Master!B:C,2,0),"")</f>
        <v>7511112</v>
      </c>
      <c r="G263" s="46" t="s">
        <v>80</v>
      </c>
      <c r="H263" s="46" t="s">
        <v>541</v>
      </c>
      <c r="I263" s="3" t="str">
        <f>_xlfn.IFNA(VLOOKUP(E263,Master!$J:$M,4,0),"")</f>
        <v>DIR</v>
      </c>
      <c r="J263" s="3" t="str">
        <f>_xlfn.IFNA(VLOOKUP($E263,Master!$J:$M,3,0),"")</f>
        <v>MFG</v>
      </c>
      <c r="M263" s="50">
        <v>6607300</v>
      </c>
      <c r="N263" s="50">
        <v>7212700</v>
      </c>
      <c r="O263" s="50">
        <v>8401500</v>
      </c>
      <c r="P263" s="50">
        <v>9034700</v>
      </c>
      <c r="Q263" s="50">
        <v>6746100</v>
      </c>
      <c r="R263" s="50">
        <v>8127900</v>
      </c>
      <c r="S263" s="50">
        <v>7565100</v>
      </c>
      <c r="T263" s="50">
        <v>8420900</v>
      </c>
      <c r="U263" s="50">
        <v>9749900</v>
      </c>
      <c r="V263" s="50">
        <v>7448000</v>
      </c>
      <c r="W263" s="50">
        <v>9314800</v>
      </c>
      <c r="X263" s="50">
        <v>5406900</v>
      </c>
      <c r="Y263" s="50">
        <v>4947000</v>
      </c>
      <c r="AC263" s="26">
        <f t="shared" si="8"/>
        <v>31256200</v>
      </c>
      <c r="AD263" s="26">
        <f t="shared" si="9"/>
        <v>67726600</v>
      </c>
      <c r="AG263" s="53" t="s">
        <v>55</v>
      </c>
    </row>
    <row r="264" spans="1:33" ht="15" customHeight="1">
      <c r="A264" s="46" t="s">
        <v>91</v>
      </c>
      <c r="B264" s="3" t="str">
        <f>_xlfn.IFNA(VLOOKUP(C264,Master!$J:$K,2,0),"")</f>
        <v>B2220</v>
      </c>
      <c r="C264" s="46" t="s">
        <v>83</v>
      </c>
      <c r="D264" s="4" t="str">
        <f>_xlfn.IFNA(VLOOKUP(E264,Master!$J:$K,2,0),"")</f>
        <v>B4440</v>
      </c>
      <c r="E264" s="46" t="s">
        <v>198</v>
      </c>
      <c r="F264" s="4">
        <f>_xlfn.IFNA(VLOOKUP(G264,Master!B:C,2,0),"")</f>
        <v>7511112</v>
      </c>
      <c r="G264" s="46" t="s">
        <v>80</v>
      </c>
      <c r="H264" s="46" t="s">
        <v>541</v>
      </c>
      <c r="I264" s="3" t="str">
        <f>_xlfn.IFNA(VLOOKUP(E264,Master!$J:$M,4,0),"")</f>
        <v>DIR</v>
      </c>
      <c r="J264" s="3" t="str">
        <f>_xlfn.IFNA(VLOOKUP($E264,Master!$J:$M,3,0),"")</f>
        <v>MFG</v>
      </c>
      <c r="M264" s="50">
        <v>5949600</v>
      </c>
      <c r="N264" s="50">
        <v>6597900</v>
      </c>
      <c r="O264" s="50">
        <v>5207900</v>
      </c>
      <c r="P264" s="50">
        <v>5724000</v>
      </c>
      <c r="Q264" s="50">
        <v>5132000</v>
      </c>
      <c r="R264" s="50">
        <v>5889300</v>
      </c>
      <c r="S264" s="50">
        <v>5338300</v>
      </c>
      <c r="T264" s="50">
        <v>6284200</v>
      </c>
      <c r="U264" s="50">
        <v>6130300</v>
      </c>
      <c r="V264" s="50">
        <v>5074000</v>
      </c>
      <c r="W264" s="50">
        <v>4043900</v>
      </c>
      <c r="X264" s="50">
        <v>3960300</v>
      </c>
      <c r="Y264" s="50">
        <v>2623400</v>
      </c>
      <c r="AC264" s="26">
        <f t="shared" si="8"/>
        <v>23479400</v>
      </c>
      <c r="AD264" s="26">
        <f t="shared" si="9"/>
        <v>44475700</v>
      </c>
      <c r="AG264" s="53" t="s">
        <v>55</v>
      </c>
    </row>
    <row r="265" spans="1:33" ht="15" customHeight="1">
      <c r="A265" s="46" t="s">
        <v>91</v>
      </c>
      <c r="B265" s="3" t="str">
        <f>_xlfn.IFNA(VLOOKUP(C265,Master!$J:$K,2,0),"")</f>
        <v>B2220</v>
      </c>
      <c r="C265" s="46" t="s">
        <v>83</v>
      </c>
      <c r="D265" s="4" t="str">
        <f>_xlfn.IFNA(VLOOKUP(E265,Master!$J:$K,2,0),"")</f>
        <v>B5100</v>
      </c>
      <c r="E265" s="46" t="s">
        <v>211</v>
      </c>
      <c r="F265" s="4">
        <f>_xlfn.IFNA(VLOOKUP(G265,Master!B:C,2,0),"")</f>
        <v>7511112</v>
      </c>
      <c r="G265" s="46" t="s">
        <v>80</v>
      </c>
      <c r="H265" s="46" t="s">
        <v>541</v>
      </c>
      <c r="I265" s="3" t="str">
        <f>_xlfn.IFNA(VLOOKUP(E265,Master!$J:$M,4,0),"")</f>
        <v>IND</v>
      </c>
      <c r="J265" s="3" t="str">
        <f>_xlfn.IFNA(VLOOKUP($E265,Master!$J:$M,3,0),"")</f>
        <v>MFG</v>
      </c>
      <c r="M265" s="50">
        <v>14525100</v>
      </c>
      <c r="N265" s="50">
        <v>23951600</v>
      </c>
      <c r="O265" s="50">
        <v>23213800</v>
      </c>
      <c r="P265" s="50">
        <v>22181600</v>
      </c>
      <c r="Q265" s="50">
        <v>21037600</v>
      </c>
      <c r="R265" s="50">
        <v>22475900</v>
      </c>
      <c r="S265" s="50">
        <v>22107000</v>
      </c>
      <c r="T265" s="50">
        <v>23582700</v>
      </c>
      <c r="U265" s="50">
        <v>23213800</v>
      </c>
      <c r="V265" s="50">
        <v>22475900</v>
      </c>
      <c r="W265" s="50">
        <v>23582700</v>
      </c>
      <c r="X265" s="50">
        <v>22844900</v>
      </c>
      <c r="Y265" s="50">
        <v>22475900</v>
      </c>
      <c r="Z265" s="50">
        <v>24699000</v>
      </c>
      <c r="AA265" s="50">
        <v>23924200</v>
      </c>
      <c r="AB265" s="50">
        <v>22878800</v>
      </c>
      <c r="AC265" s="26">
        <f t="shared" si="8"/>
        <v>83872100</v>
      </c>
      <c r="AD265" s="26">
        <f t="shared" si="9"/>
        <v>275298400</v>
      </c>
      <c r="AE265" s="50">
        <v>288713800</v>
      </c>
      <c r="AF265" s="50">
        <v>304930100</v>
      </c>
      <c r="AG265" s="53" t="s">
        <v>55</v>
      </c>
    </row>
    <row r="266" spans="1:33" ht="15" customHeight="1">
      <c r="A266" s="46" t="s">
        <v>91</v>
      </c>
      <c r="B266" s="3" t="str">
        <f>_xlfn.IFNA(VLOOKUP(C266,Master!$J:$K,2,0),"")</f>
        <v>B2220</v>
      </c>
      <c r="C266" s="46" t="s">
        <v>83</v>
      </c>
      <c r="D266" s="4" t="str">
        <f>_xlfn.IFNA(VLOOKUP(E266,Master!$J:$K,2,0),"")</f>
        <v>B5101</v>
      </c>
      <c r="E266" s="46" t="s">
        <v>216</v>
      </c>
      <c r="F266" s="4">
        <f>_xlfn.IFNA(VLOOKUP(G266,Master!B:C,2,0),"")</f>
        <v>7511112</v>
      </c>
      <c r="G266" s="46" t="s">
        <v>80</v>
      </c>
      <c r="H266" s="46" t="s">
        <v>541</v>
      </c>
      <c r="I266" s="3" t="str">
        <f>_xlfn.IFNA(VLOOKUP(E266,Master!$J:$M,4,0),"")</f>
        <v>IND</v>
      </c>
      <c r="J266" s="3" t="str">
        <f>_xlfn.IFNA(VLOOKUP($E266,Master!$J:$M,3,0),"")</f>
        <v>MFG</v>
      </c>
      <c r="M266" s="50">
        <v>8240700</v>
      </c>
      <c r="N266" s="50">
        <v>11288400</v>
      </c>
      <c r="O266" s="50">
        <v>10534800</v>
      </c>
      <c r="P266" s="50">
        <v>11017500</v>
      </c>
      <c r="Q266" s="50">
        <v>9910600</v>
      </c>
      <c r="R266" s="50">
        <v>10361500</v>
      </c>
      <c r="S266" s="50">
        <v>10237600</v>
      </c>
      <c r="T266" s="50">
        <v>10516600</v>
      </c>
      <c r="U266" s="50">
        <v>10392700</v>
      </c>
      <c r="V266" s="50">
        <v>10144800</v>
      </c>
      <c r="W266" s="50">
        <v>10820600</v>
      </c>
      <c r="X266" s="50">
        <v>10463500</v>
      </c>
      <c r="Y266" s="50">
        <v>10448800</v>
      </c>
      <c r="Z266" s="50">
        <v>11379100</v>
      </c>
      <c r="AA266" s="50">
        <v>11235500</v>
      </c>
      <c r="AB266" s="50">
        <v>10748900</v>
      </c>
      <c r="AC266" s="26">
        <f t="shared" si="8"/>
        <v>41081400</v>
      </c>
      <c r="AD266" s="26">
        <f t="shared" si="9"/>
        <v>126660200</v>
      </c>
      <c r="AE266" s="50">
        <v>141364300</v>
      </c>
      <c r="AF266" s="50">
        <v>156555200</v>
      </c>
      <c r="AG266" s="53" t="s">
        <v>55</v>
      </c>
    </row>
    <row r="267" spans="1:33" ht="15" customHeight="1">
      <c r="A267" s="46" t="s">
        <v>91</v>
      </c>
      <c r="B267" s="3" t="str">
        <f>_xlfn.IFNA(VLOOKUP(C267,Master!$J:$K,2,0),"")</f>
        <v>B2220</v>
      </c>
      <c r="C267" s="46" t="s">
        <v>83</v>
      </c>
      <c r="D267" s="4" t="str">
        <f>_xlfn.IFNA(VLOOKUP(E267,Master!$J:$K,2,0),"")</f>
        <v>B5130</v>
      </c>
      <c r="E267" s="46" t="s">
        <v>247</v>
      </c>
      <c r="F267" s="4">
        <f>_xlfn.IFNA(VLOOKUP(G267,Master!B:C,2,0),"")</f>
        <v>7511112</v>
      </c>
      <c r="G267" s="46" t="s">
        <v>80</v>
      </c>
      <c r="H267" s="46" t="s">
        <v>541</v>
      </c>
      <c r="I267" s="3" t="str">
        <f>_xlfn.IFNA(VLOOKUP(E267,Master!$J:$M,4,0),"")</f>
        <v>IND</v>
      </c>
      <c r="J267" s="3" t="str">
        <f>_xlfn.IFNA(VLOOKUP($E267,Master!$J:$M,3,0),"")</f>
        <v>MFG</v>
      </c>
      <c r="M267" s="50">
        <v>17208900</v>
      </c>
      <c r="N267" s="50">
        <v>20523500</v>
      </c>
      <c r="O267" s="50">
        <v>20305400</v>
      </c>
      <c r="P267" s="50">
        <v>20157200</v>
      </c>
      <c r="Q267" s="50">
        <v>19529700</v>
      </c>
      <c r="R267" s="50">
        <v>19880800</v>
      </c>
      <c r="S267" s="50">
        <v>19793300</v>
      </c>
      <c r="T267" s="50">
        <v>20208000</v>
      </c>
      <c r="U267" s="50">
        <v>20094500</v>
      </c>
      <c r="V267" s="50">
        <v>19902300</v>
      </c>
      <c r="W267" s="50">
        <v>20264000</v>
      </c>
      <c r="X267" s="50">
        <v>20041500</v>
      </c>
      <c r="Y267" s="50">
        <v>19958300</v>
      </c>
      <c r="Z267" s="50">
        <v>19914000</v>
      </c>
      <c r="AA267" s="50">
        <v>19683700</v>
      </c>
      <c r="AB267" s="50">
        <v>19629500</v>
      </c>
      <c r="AC267" s="26">
        <f t="shared" si="8"/>
        <v>78195000</v>
      </c>
      <c r="AD267" s="26">
        <f t="shared" si="9"/>
        <v>238899600</v>
      </c>
      <c r="AE267" s="50">
        <v>233789000</v>
      </c>
      <c r="AF267" s="50">
        <v>233398000</v>
      </c>
      <c r="AG267" s="53" t="s">
        <v>55</v>
      </c>
    </row>
    <row r="268" spans="1:33" ht="15" customHeight="1">
      <c r="A268" s="46" t="s">
        <v>91</v>
      </c>
      <c r="B268" s="3" t="str">
        <f>_xlfn.IFNA(VLOOKUP(C268,Master!$J:$K,2,0),"")</f>
        <v>B2220</v>
      </c>
      <c r="C268" s="46" t="s">
        <v>83</v>
      </c>
      <c r="D268" s="4" t="str">
        <f>_xlfn.IFNA(VLOOKUP(E268,Master!$J:$K,2,0),"")</f>
        <v>B5200</v>
      </c>
      <c r="E268" s="46" t="s">
        <v>253</v>
      </c>
      <c r="F268" s="4">
        <f>_xlfn.IFNA(VLOOKUP(G268,Master!B:C,2,0),"")</f>
        <v>7511112</v>
      </c>
      <c r="G268" s="46" t="s">
        <v>80</v>
      </c>
      <c r="H268" s="46" t="s">
        <v>541</v>
      </c>
      <c r="I268" s="3" t="str">
        <f>_xlfn.IFNA(VLOOKUP(E268,Master!$J:$M,4,0),"")</f>
        <v>IND</v>
      </c>
      <c r="J268" s="3" t="str">
        <f>_xlfn.IFNA(VLOOKUP($E268,Master!$J:$M,3,0),"")</f>
        <v>MFG</v>
      </c>
      <c r="M268" s="50">
        <v>2803300</v>
      </c>
      <c r="N268" s="50">
        <v>2999000</v>
      </c>
      <c r="O268" s="50">
        <v>2987100</v>
      </c>
      <c r="P268" s="50">
        <v>3014000</v>
      </c>
      <c r="Q268" s="50">
        <v>2932600</v>
      </c>
      <c r="R268" s="50">
        <v>2873100</v>
      </c>
      <c r="S268" s="50">
        <v>2782400</v>
      </c>
      <c r="T268" s="50">
        <v>2891000</v>
      </c>
      <c r="U268" s="50">
        <v>2885000</v>
      </c>
      <c r="V268" s="50">
        <v>2817500</v>
      </c>
      <c r="W268" s="50">
        <v>2835300</v>
      </c>
      <c r="X268" s="50">
        <v>2823400</v>
      </c>
      <c r="Y268" s="50">
        <v>2873100</v>
      </c>
      <c r="Z268" s="50">
        <v>3144000</v>
      </c>
      <c r="AA268" s="50">
        <v>3131500</v>
      </c>
      <c r="AB268" s="50">
        <v>3182800</v>
      </c>
      <c r="AC268" s="26">
        <f t="shared" si="8"/>
        <v>11803400</v>
      </c>
      <c r="AD268" s="26">
        <f t="shared" si="9"/>
        <v>35171700</v>
      </c>
      <c r="AE268" s="50">
        <v>37295800</v>
      </c>
      <c r="AF268" s="50">
        <v>39405500</v>
      </c>
      <c r="AG268" s="53" t="s">
        <v>55</v>
      </c>
    </row>
    <row r="269" spans="1:33" ht="15" customHeight="1">
      <c r="A269" s="46" t="s">
        <v>91</v>
      </c>
      <c r="B269" s="3" t="str">
        <f>_xlfn.IFNA(VLOOKUP(C269,Master!$J:$K,2,0),"")</f>
        <v>B2220</v>
      </c>
      <c r="C269" s="46" t="s">
        <v>83</v>
      </c>
      <c r="D269" s="4" t="str">
        <f>_xlfn.IFNA(VLOOKUP(E269,Master!$J:$K,2,0),"")</f>
        <v>B5500</v>
      </c>
      <c r="E269" s="46" t="s">
        <v>236</v>
      </c>
      <c r="F269" s="4">
        <f>_xlfn.IFNA(VLOOKUP(G269,Master!B:C,2,0),"")</f>
        <v>7511112</v>
      </c>
      <c r="G269" s="46" t="s">
        <v>80</v>
      </c>
      <c r="H269" s="46" t="s">
        <v>541</v>
      </c>
      <c r="I269" s="3" t="str">
        <f>_xlfn.IFNA(VLOOKUP(E269,Master!$J:$M,4,0),"")</f>
        <v>IND</v>
      </c>
      <c r="J269" s="3" t="str">
        <f>_xlfn.IFNA(VLOOKUP($E269,Master!$J:$M,3,0),"")</f>
        <v>MFG</v>
      </c>
      <c r="M269" s="50">
        <v>12462400</v>
      </c>
      <c r="N269" s="50">
        <v>16455500</v>
      </c>
      <c r="O269" s="50">
        <v>15868500</v>
      </c>
      <c r="P269" s="50">
        <v>15725200</v>
      </c>
      <c r="Q269" s="50">
        <v>19719400</v>
      </c>
      <c r="R269" s="50">
        <v>18696000</v>
      </c>
      <c r="S269" s="50">
        <v>18588100</v>
      </c>
      <c r="T269" s="50">
        <v>19019700</v>
      </c>
      <c r="U269" s="50">
        <v>18911800</v>
      </c>
      <c r="V269" s="50">
        <v>18696000</v>
      </c>
      <c r="W269" s="50">
        <v>19872200</v>
      </c>
      <c r="X269" s="50">
        <v>19653300</v>
      </c>
      <c r="Y269" s="50">
        <v>19543900</v>
      </c>
      <c r="Z269" s="50">
        <v>21432700</v>
      </c>
      <c r="AA269" s="50">
        <v>20893700</v>
      </c>
      <c r="AB269" s="50">
        <v>20899400</v>
      </c>
      <c r="AC269" s="26">
        <f t="shared" si="8"/>
        <v>60511600</v>
      </c>
      <c r="AD269" s="26">
        <f t="shared" si="9"/>
        <v>235926200</v>
      </c>
      <c r="AE269" s="50">
        <v>244883900</v>
      </c>
      <c r="AF269" s="50">
        <v>251100800</v>
      </c>
      <c r="AG269" s="53" t="s">
        <v>55</v>
      </c>
    </row>
    <row r="270" spans="1:33" ht="15" customHeight="1">
      <c r="A270" s="46" t="s">
        <v>91</v>
      </c>
      <c r="B270" s="3" t="str">
        <f>_xlfn.IFNA(VLOOKUP(C270,Master!$J:$K,2,0),"")</f>
        <v>B2220</v>
      </c>
      <c r="C270" s="46" t="s">
        <v>83</v>
      </c>
      <c r="D270" s="4" t="str">
        <f>_xlfn.IFNA(VLOOKUP(E270,Master!$J:$K,2,0),"")</f>
        <v>B5600</v>
      </c>
      <c r="E270" s="46" t="s">
        <v>241</v>
      </c>
      <c r="F270" s="4">
        <f>_xlfn.IFNA(VLOOKUP(G270,Master!B:C,2,0),"")</f>
        <v>7511112</v>
      </c>
      <c r="G270" s="46" t="s">
        <v>80</v>
      </c>
      <c r="H270" s="46" t="s">
        <v>541</v>
      </c>
      <c r="I270" s="3" t="str">
        <f>_xlfn.IFNA(VLOOKUP(E270,Master!$J:$M,4,0),"")</f>
        <v>IND</v>
      </c>
      <c r="J270" s="3" t="str">
        <f>_xlfn.IFNA(VLOOKUP($E270,Master!$J:$M,3,0),"")</f>
        <v>MFG</v>
      </c>
      <c r="M270" s="50">
        <v>14906800</v>
      </c>
      <c r="N270" s="50">
        <v>18665700</v>
      </c>
      <c r="O270" s="50">
        <v>18400100</v>
      </c>
      <c r="P270" s="50">
        <v>18165800</v>
      </c>
      <c r="Q270" s="50">
        <v>17884100</v>
      </c>
      <c r="R270" s="50">
        <v>18333200</v>
      </c>
      <c r="S270" s="50">
        <v>18200400</v>
      </c>
      <c r="T270" s="50">
        <v>18731700</v>
      </c>
      <c r="U270" s="50">
        <v>18598900</v>
      </c>
      <c r="V270" s="50">
        <v>18333200</v>
      </c>
      <c r="W270" s="50">
        <v>18731700</v>
      </c>
      <c r="X270" s="50">
        <v>18466100</v>
      </c>
      <c r="Y270" s="50">
        <v>18333200</v>
      </c>
      <c r="Z270" s="50">
        <v>19985700</v>
      </c>
      <c r="AA270" s="50">
        <v>19706900</v>
      </c>
      <c r="AB270" s="50">
        <v>19545600</v>
      </c>
      <c r="AC270" s="26">
        <f t="shared" si="8"/>
        <v>70138400</v>
      </c>
      <c r="AD270" s="26">
        <f t="shared" si="9"/>
        <v>224850700</v>
      </c>
      <c r="AE270" s="50">
        <v>237747400</v>
      </c>
      <c r="AF270" s="50">
        <v>250972700</v>
      </c>
      <c r="AG270" s="53" t="s">
        <v>55</v>
      </c>
    </row>
    <row r="271" spans="1:33" ht="15" customHeight="1">
      <c r="A271" s="46" t="s">
        <v>91</v>
      </c>
      <c r="B271" s="3" t="str">
        <f>_xlfn.IFNA(VLOOKUP(C271,Master!$J:$K,2,0),"")</f>
        <v>B2220</v>
      </c>
      <c r="C271" s="46" t="s">
        <v>83</v>
      </c>
      <c r="D271" s="4" t="str">
        <f>_xlfn.IFNA(VLOOKUP(E271,Master!$J:$K,2,0),"")</f>
        <v>B5710</v>
      </c>
      <c r="E271" s="46" t="s">
        <v>265</v>
      </c>
      <c r="F271" s="4">
        <f>_xlfn.IFNA(VLOOKUP(G271,Master!B:C,2,0),"")</f>
        <v>7511112</v>
      </c>
      <c r="G271" s="46" t="s">
        <v>80</v>
      </c>
      <c r="H271" s="46" t="s">
        <v>541</v>
      </c>
      <c r="I271" s="3" t="str">
        <f>_xlfn.IFNA(VLOOKUP(E271,Master!$J:$M,4,0),"")</f>
        <v>IND</v>
      </c>
      <c r="J271" s="3" t="str">
        <f>_xlfn.IFNA(VLOOKUP($E271,Master!$J:$M,3,0),"")</f>
        <v>MFG</v>
      </c>
      <c r="M271" s="50">
        <v>7971800</v>
      </c>
      <c r="N271" s="50">
        <v>8514400</v>
      </c>
      <c r="O271" s="50">
        <v>8493000</v>
      </c>
      <c r="P271" s="50">
        <v>8565200</v>
      </c>
      <c r="Q271" s="50">
        <v>8398600</v>
      </c>
      <c r="R271" s="50">
        <v>8389300</v>
      </c>
      <c r="S271" s="50">
        <v>8378600</v>
      </c>
      <c r="T271" s="50">
        <v>8421500</v>
      </c>
      <c r="U271" s="50">
        <v>8410800</v>
      </c>
      <c r="V271" s="50">
        <v>8389300</v>
      </c>
      <c r="W271" s="50">
        <v>8421500</v>
      </c>
      <c r="X271" s="50">
        <v>8400000</v>
      </c>
      <c r="Y271" s="50">
        <v>8389300</v>
      </c>
      <c r="Z271" s="50">
        <v>10268300</v>
      </c>
      <c r="AA271" s="50">
        <v>10242600</v>
      </c>
      <c r="AB271" s="50">
        <v>10390900</v>
      </c>
      <c r="AC271" s="26">
        <f t="shared" si="8"/>
        <v>33544400</v>
      </c>
      <c r="AD271" s="26">
        <f t="shared" si="9"/>
        <v>106500700</v>
      </c>
      <c r="AE271" s="50">
        <v>113426300</v>
      </c>
      <c r="AF271" s="50">
        <v>111849600</v>
      </c>
      <c r="AG271" s="53" t="s">
        <v>55</v>
      </c>
    </row>
    <row r="272" spans="1:33" ht="15" customHeight="1">
      <c r="A272" s="46" t="s">
        <v>91</v>
      </c>
      <c r="B272" s="3" t="str">
        <f>_xlfn.IFNA(VLOOKUP(C272,Master!$J:$K,2,0),"")</f>
        <v>B2220</v>
      </c>
      <c r="C272" s="46" t="s">
        <v>83</v>
      </c>
      <c r="D272" s="4" t="str">
        <f>_xlfn.IFNA(VLOOKUP(E272,Master!$J:$K,2,0),"")</f>
        <v>B5800</v>
      </c>
      <c r="E272" s="46" t="s">
        <v>226</v>
      </c>
      <c r="F272" s="4">
        <f>_xlfn.IFNA(VLOOKUP(G272,Master!B:C,2,0),"")</f>
        <v>7511112</v>
      </c>
      <c r="G272" s="46" t="s">
        <v>80</v>
      </c>
      <c r="H272" s="46" t="s">
        <v>541</v>
      </c>
      <c r="I272" s="3" t="str">
        <f>_xlfn.IFNA(VLOOKUP(E272,Master!$J:$M,4,0),"")</f>
        <v>IND</v>
      </c>
      <c r="J272" s="3" t="str">
        <f>_xlfn.IFNA(VLOOKUP($E272,Master!$J:$M,3,0),"")</f>
        <v>MFG</v>
      </c>
      <c r="M272" s="50">
        <v>13527100</v>
      </c>
      <c r="N272" s="50">
        <v>17635300</v>
      </c>
      <c r="O272" s="50">
        <v>17329100</v>
      </c>
      <c r="P272" s="50">
        <v>17004000</v>
      </c>
      <c r="Q272" s="50">
        <v>16806000</v>
      </c>
      <c r="R272" s="50">
        <v>17351300</v>
      </c>
      <c r="S272" s="50">
        <v>17198200</v>
      </c>
      <c r="T272" s="50">
        <v>17810700</v>
      </c>
      <c r="U272" s="50">
        <v>17657500</v>
      </c>
      <c r="V272" s="50">
        <v>17351300</v>
      </c>
      <c r="W272" s="50">
        <v>17810700</v>
      </c>
      <c r="X272" s="50">
        <v>17504400</v>
      </c>
      <c r="Y272" s="50">
        <v>17351300</v>
      </c>
      <c r="Z272" s="50">
        <v>18939100</v>
      </c>
      <c r="AA272" s="50">
        <v>18617600</v>
      </c>
      <c r="AB272" s="50">
        <v>18345500</v>
      </c>
      <c r="AC272" s="26">
        <f t="shared" si="8"/>
        <v>65495500</v>
      </c>
      <c r="AD272" s="26">
        <f t="shared" si="9"/>
        <v>212743600</v>
      </c>
      <c r="AE272" s="50">
        <v>225615300</v>
      </c>
      <c r="AF272" s="50">
        <v>224384800</v>
      </c>
      <c r="AG272" s="53" t="s">
        <v>55</v>
      </c>
    </row>
    <row r="273" spans="1:33" ht="15" customHeight="1">
      <c r="A273" s="46" t="s">
        <v>91</v>
      </c>
      <c r="B273" s="3" t="str">
        <f>_xlfn.IFNA(VLOOKUP(C273,Master!$J:$K,2,0),"")</f>
        <v>B2220</v>
      </c>
      <c r="C273" s="46" t="s">
        <v>83</v>
      </c>
      <c r="D273" s="4" t="str">
        <f>_xlfn.IFNA(VLOOKUP(E273,Master!$J:$K,2,0),"")</f>
        <v>B5900</v>
      </c>
      <c r="E273" s="46" t="s">
        <v>231</v>
      </c>
      <c r="F273" s="4">
        <f>_xlfn.IFNA(VLOOKUP(G273,Master!B:C,2,0),"")</f>
        <v>7511112</v>
      </c>
      <c r="G273" s="46" t="s">
        <v>80</v>
      </c>
      <c r="H273" s="46" t="s">
        <v>541</v>
      </c>
      <c r="I273" s="3" t="str">
        <f>_xlfn.IFNA(VLOOKUP(E273,Master!$J:$M,4,0),"")</f>
        <v>IND</v>
      </c>
      <c r="J273" s="3" t="str">
        <f>_xlfn.IFNA(VLOOKUP($E273,Master!$J:$M,3,0),"")</f>
        <v>MFG</v>
      </c>
      <c r="M273" s="50">
        <v>14187500</v>
      </c>
      <c r="N273" s="50">
        <v>15184100</v>
      </c>
      <c r="O273" s="50">
        <v>15121800</v>
      </c>
      <c r="P273" s="50">
        <v>15207400</v>
      </c>
      <c r="Q273" s="50">
        <v>14742500</v>
      </c>
      <c r="R273" s="50">
        <v>14777600</v>
      </c>
      <c r="S273" s="50">
        <v>14746400</v>
      </c>
      <c r="T273" s="50">
        <v>14871000</v>
      </c>
      <c r="U273" s="50">
        <v>14839900</v>
      </c>
      <c r="V273" s="50">
        <v>14777600</v>
      </c>
      <c r="W273" s="50">
        <v>14871000</v>
      </c>
      <c r="X273" s="50">
        <v>14808700</v>
      </c>
      <c r="Y273" s="50">
        <v>14777600</v>
      </c>
      <c r="Z273" s="50">
        <v>15808700</v>
      </c>
      <c r="AA273" s="50">
        <v>15743800</v>
      </c>
      <c r="AB273" s="50">
        <v>15926700</v>
      </c>
      <c r="AC273" s="26">
        <f t="shared" si="8"/>
        <v>59700800</v>
      </c>
      <c r="AD273" s="26">
        <f t="shared" si="9"/>
        <v>180691500</v>
      </c>
      <c r="AE273" s="50">
        <v>192289500</v>
      </c>
      <c r="AF273" s="50">
        <v>188843900</v>
      </c>
      <c r="AG273" s="53" t="s">
        <v>55</v>
      </c>
    </row>
    <row r="274" spans="1:33" ht="15" customHeight="1">
      <c r="A274" s="46" t="s">
        <v>91</v>
      </c>
      <c r="B274" s="3" t="str">
        <f>_xlfn.IFNA(VLOOKUP(C274,Master!$J:$K,2,0),"")</f>
        <v>B2220</v>
      </c>
      <c r="C274" s="46" t="s">
        <v>83</v>
      </c>
      <c r="D274" s="4" t="str">
        <f>_xlfn.IFNA(VLOOKUP(E274,Master!$J:$K,2,0),"")</f>
        <v>B2210</v>
      </c>
      <c r="E274" s="46" t="s">
        <v>78</v>
      </c>
      <c r="F274" s="4">
        <f>_xlfn.IFNA(VLOOKUP(G274,Master!B:C,2,0),"")</f>
        <v>7511121</v>
      </c>
      <c r="G274" s="46" t="s">
        <v>86</v>
      </c>
      <c r="H274" s="46" t="s">
        <v>542</v>
      </c>
      <c r="I274" s="3" t="str">
        <f>_xlfn.IFNA(VLOOKUP(E274,Master!$J:$M,4,0),"")</f>
        <v>ADM</v>
      </c>
      <c r="J274" s="3" t="str">
        <f>_xlfn.IFNA(VLOOKUP($E274,Master!$J:$M,3,0),"")</f>
        <v>SGA</v>
      </c>
      <c r="M274" s="50">
        <v>1768000</v>
      </c>
      <c r="N274" s="50">
        <v>1886700</v>
      </c>
      <c r="O274" s="50">
        <v>1886700</v>
      </c>
      <c r="P274" s="50">
        <v>1886700</v>
      </c>
      <c r="Q274" s="50">
        <v>1906400</v>
      </c>
      <c r="R274" s="50">
        <v>1803000</v>
      </c>
      <c r="S274" s="50">
        <v>1803000</v>
      </c>
      <c r="T274" s="50">
        <v>1700700</v>
      </c>
      <c r="U274" s="50">
        <v>1700700</v>
      </c>
      <c r="V274" s="50">
        <v>1700700</v>
      </c>
      <c r="W274" s="50">
        <v>1710900</v>
      </c>
      <c r="X274" s="50">
        <v>1710900</v>
      </c>
      <c r="Y274" s="50">
        <v>1602300</v>
      </c>
      <c r="Z274" s="50">
        <v>1710000</v>
      </c>
      <c r="AA274" s="50">
        <v>1710000</v>
      </c>
      <c r="AB274" s="50">
        <v>1710000</v>
      </c>
      <c r="AC274" s="26">
        <f t="shared" si="8"/>
        <v>7428100</v>
      </c>
      <c r="AD274" s="26">
        <f t="shared" si="9"/>
        <v>20768600</v>
      </c>
      <c r="AE274" s="50">
        <v>22582800</v>
      </c>
      <c r="AF274" s="50">
        <v>20331200</v>
      </c>
      <c r="AG274" s="53" t="s">
        <v>55</v>
      </c>
    </row>
    <row r="275" spans="1:33" ht="15" customHeight="1">
      <c r="A275" s="46" t="s">
        <v>91</v>
      </c>
      <c r="B275" s="3" t="str">
        <f>_xlfn.IFNA(VLOOKUP(C275,Master!$J:$K,2,0),"")</f>
        <v>B2220</v>
      </c>
      <c r="C275" s="46" t="s">
        <v>83</v>
      </c>
      <c r="D275" s="4" t="str">
        <f>_xlfn.IFNA(VLOOKUP(E275,Master!$J:$K,2,0),"")</f>
        <v>B2220</v>
      </c>
      <c r="E275" s="46" t="s">
        <v>83</v>
      </c>
      <c r="F275" s="4">
        <f>_xlfn.IFNA(VLOOKUP(G275,Master!B:C,2,0),"")</f>
        <v>7511121</v>
      </c>
      <c r="G275" s="46" t="s">
        <v>86</v>
      </c>
      <c r="H275" s="46" t="s">
        <v>542</v>
      </c>
      <c r="I275" s="3" t="str">
        <f>_xlfn.IFNA(VLOOKUP(E275,Master!$J:$M,4,0),"")</f>
        <v>ADM</v>
      </c>
      <c r="J275" s="3" t="str">
        <f>_xlfn.IFNA(VLOOKUP($E275,Master!$J:$M,3,0),"")</f>
        <v>SGA</v>
      </c>
      <c r="M275" s="50">
        <v>697500</v>
      </c>
      <c r="N275" s="50">
        <v>745200</v>
      </c>
      <c r="O275" s="50">
        <v>1023700</v>
      </c>
      <c r="P275" s="50">
        <v>1023700</v>
      </c>
      <c r="Q275" s="50">
        <v>1109500</v>
      </c>
      <c r="R275" s="50">
        <v>1109500</v>
      </c>
      <c r="S275" s="50">
        <v>1109500</v>
      </c>
      <c r="T275" s="50">
        <v>1109500</v>
      </c>
      <c r="U275" s="50">
        <v>1109500</v>
      </c>
      <c r="V275" s="50">
        <v>1109500</v>
      </c>
      <c r="W275" s="50">
        <v>1118900</v>
      </c>
      <c r="X275" s="50">
        <v>1118900</v>
      </c>
      <c r="Y275" s="50">
        <v>1118900</v>
      </c>
      <c r="Z275" s="50">
        <v>1194000</v>
      </c>
      <c r="AA275" s="50">
        <v>1194000</v>
      </c>
      <c r="AB275" s="50">
        <v>1194000</v>
      </c>
      <c r="AC275" s="26">
        <f t="shared" si="8"/>
        <v>3490100</v>
      </c>
      <c r="AD275" s="26">
        <f t="shared" si="9"/>
        <v>13595700</v>
      </c>
      <c r="AE275" s="50">
        <v>14569800</v>
      </c>
      <c r="AF275" s="50">
        <v>15553800</v>
      </c>
      <c r="AG275" s="53" t="s">
        <v>55</v>
      </c>
    </row>
    <row r="276" spans="1:33" ht="15" customHeight="1">
      <c r="A276" s="46" t="s">
        <v>91</v>
      </c>
      <c r="B276" s="3" t="str">
        <f>_xlfn.IFNA(VLOOKUP(C276,Master!$J:$K,2,0),"")</f>
        <v>B2220</v>
      </c>
      <c r="C276" s="46" t="s">
        <v>83</v>
      </c>
      <c r="D276" s="4" t="str">
        <f>_xlfn.IFNA(VLOOKUP(E276,Master!$J:$K,2,0),"")</f>
        <v>B2230</v>
      </c>
      <c r="E276" s="46" t="s">
        <v>89</v>
      </c>
      <c r="F276" s="4">
        <f>_xlfn.IFNA(VLOOKUP(G276,Master!B:C,2,0),"")</f>
        <v>7511121</v>
      </c>
      <c r="G276" s="46" t="s">
        <v>86</v>
      </c>
      <c r="H276" s="46" t="s">
        <v>542</v>
      </c>
      <c r="I276" s="3" t="str">
        <f>_xlfn.IFNA(VLOOKUP(E276,Master!$J:$M,4,0),"")</f>
        <v>ADM</v>
      </c>
      <c r="J276" s="3" t="str">
        <f>_xlfn.IFNA(VLOOKUP($E276,Master!$J:$M,3,0),"")</f>
        <v>SGA</v>
      </c>
      <c r="M276" s="50">
        <v>548200</v>
      </c>
      <c r="N276" s="50">
        <v>585700</v>
      </c>
      <c r="O276" s="50">
        <v>585700</v>
      </c>
      <c r="P276" s="50">
        <v>585700</v>
      </c>
      <c r="Q276" s="50">
        <v>585700</v>
      </c>
      <c r="R276" s="50">
        <v>585700</v>
      </c>
      <c r="S276" s="50">
        <v>585700</v>
      </c>
      <c r="T276" s="50">
        <v>585700</v>
      </c>
      <c r="U276" s="50">
        <v>585700</v>
      </c>
      <c r="V276" s="50">
        <v>585700</v>
      </c>
      <c r="W276" s="50">
        <v>585700</v>
      </c>
      <c r="X276" s="50">
        <v>585700</v>
      </c>
      <c r="Y276" s="50">
        <v>585700</v>
      </c>
      <c r="Z276" s="50">
        <v>625800</v>
      </c>
      <c r="AA276" s="50">
        <v>625800</v>
      </c>
      <c r="AB276" s="50">
        <v>625800</v>
      </c>
      <c r="AC276" s="26">
        <f t="shared" si="8"/>
        <v>2305300</v>
      </c>
      <c r="AD276" s="26">
        <f t="shared" si="9"/>
        <v>7148700</v>
      </c>
      <c r="AE276" s="50">
        <v>7638300</v>
      </c>
      <c r="AF276" s="50">
        <v>8307600</v>
      </c>
      <c r="AG276" s="53" t="s">
        <v>55</v>
      </c>
    </row>
    <row r="277" spans="1:33" ht="15" customHeight="1">
      <c r="A277" s="46" t="s">
        <v>91</v>
      </c>
      <c r="B277" s="3" t="str">
        <f>_xlfn.IFNA(VLOOKUP(C277,Master!$J:$K,2,0),"")</f>
        <v>B2220</v>
      </c>
      <c r="C277" s="46" t="s">
        <v>83</v>
      </c>
      <c r="D277" s="4" t="str">
        <f>_xlfn.IFNA(VLOOKUP(E277,Master!$J:$K,2,0),"")</f>
        <v>B2300</v>
      </c>
      <c r="E277" s="46" t="s">
        <v>95</v>
      </c>
      <c r="F277" s="4">
        <f>_xlfn.IFNA(VLOOKUP(G277,Master!B:C,2,0),"")</f>
        <v>7511121</v>
      </c>
      <c r="G277" s="46" t="s">
        <v>86</v>
      </c>
      <c r="H277" s="46" t="s">
        <v>542</v>
      </c>
      <c r="I277" s="3" t="str">
        <f>_xlfn.IFNA(VLOOKUP(E277,Master!$J:$M,4,0),"")</f>
        <v>ADM</v>
      </c>
      <c r="J277" s="3" t="str">
        <f>_xlfn.IFNA(VLOOKUP($E277,Master!$J:$M,3,0),"")</f>
        <v>SGA</v>
      </c>
      <c r="M277" s="50">
        <v>1359400</v>
      </c>
      <c r="N277" s="50">
        <v>1452500</v>
      </c>
      <c r="O277" s="50">
        <v>1452500</v>
      </c>
      <c r="P277" s="50">
        <v>1452500</v>
      </c>
      <c r="Q277" s="50">
        <v>1515500</v>
      </c>
      <c r="R277" s="50">
        <v>1515500</v>
      </c>
      <c r="S277" s="50">
        <v>1515500</v>
      </c>
      <c r="T277" s="50">
        <v>1515500</v>
      </c>
      <c r="U277" s="50">
        <v>1515500</v>
      </c>
      <c r="V277" s="50">
        <v>1515500</v>
      </c>
      <c r="W277" s="50">
        <v>1515500</v>
      </c>
      <c r="X277" s="50">
        <v>1515500</v>
      </c>
      <c r="Y277" s="50">
        <v>1515500</v>
      </c>
      <c r="Z277" s="50">
        <v>1617400</v>
      </c>
      <c r="AA277" s="50">
        <v>1617400</v>
      </c>
      <c r="AB277" s="50">
        <v>1617400</v>
      </c>
      <c r="AC277" s="26">
        <f t="shared" si="8"/>
        <v>5716900</v>
      </c>
      <c r="AD277" s="26">
        <f t="shared" si="9"/>
        <v>18491700</v>
      </c>
      <c r="AE277" s="50">
        <v>20059800</v>
      </c>
      <c r="AF277" s="50">
        <v>21435600</v>
      </c>
      <c r="AG277" s="53" t="s">
        <v>55</v>
      </c>
    </row>
    <row r="278" spans="1:33" ht="15" customHeight="1">
      <c r="A278" s="46" t="s">
        <v>91</v>
      </c>
      <c r="B278" s="3" t="str">
        <f>_xlfn.IFNA(VLOOKUP(C278,Master!$J:$K,2,0),"")</f>
        <v>B2220</v>
      </c>
      <c r="C278" s="46" t="s">
        <v>83</v>
      </c>
      <c r="D278" s="4" t="str">
        <f>_xlfn.IFNA(VLOOKUP(E278,Master!$J:$K,2,0),"")</f>
        <v>B2400</v>
      </c>
      <c r="E278" s="46" t="s">
        <v>101</v>
      </c>
      <c r="F278" s="4">
        <f>_xlfn.IFNA(VLOOKUP(G278,Master!B:C,2,0),"")</f>
        <v>7511121</v>
      </c>
      <c r="G278" s="46" t="s">
        <v>86</v>
      </c>
      <c r="H278" s="46" t="s">
        <v>542</v>
      </c>
      <c r="I278" s="3" t="str">
        <f>_xlfn.IFNA(VLOOKUP(E278,Master!$J:$M,4,0),"")</f>
        <v>ADM</v>
      </c>
      <c r="J278" s="3" t="str">
        <f>_xlfn.IFNA(VLOOKUP($E278,Master!$J:$M,3,0),"")</f>
        <v>SGA</v>
      </c>
      <c r="M278" s="50">
        <v>585400</v>
      </c>
      <c r="N278" s="50">
        <v>625500</v>
      </c>
      <c r="O278" s="50">
        <v>625500</v>
      </c>
      <c r="P278" s="50">
        <v>625500</v>
      </c>
      <c r="Q278" s="50">
        <v>625500</v>
      </c>
      <c r="R278" s="50">
        <v>625500</v>
      </c>
      <c r="S278" s="50">
        <v>625500</v>
      </c>
      <c r="T278" s="50">
        <v>625500</v>
      </c>
      <c r="U278" s="50">
        <v>625500</v>
      </c>
      <c r="V278" s="50">
        <v>625500</v>
      </c>
      <c r="W278" s="50">
        <v>625500</v>
      </c>
      <c r="X278" s="50">
        <v>625500</v>
      </c>
      <c r="Y278" s="50">
        <v>625500</v>
      </c>
      <c r="Z278" s="50">
        <v>668400</v>
      </c>
      <c r="AA278" s="50">
        <v>668400</v>
      </c>
      <c r="AB278" s="50">
        <v>668400</v>
      </c>
      <c r="AC278" s="26">
        <f t="shared" si="8"/>
        <v>2461900</v>
      </c>
      <c r="AD278" s="26">
        <f t="shared" si="9"/>
        <v>7634700</v>
      </c>
      <c r="AE278" s="50">
        <v>8158500</v>
      </c>
      <c r="AF278" s="50">
        <v>8719200</v>
      </c>
      <c r="AG278" s="53" t="s">
        <v>55</v>
      </c>
    </row>
    <row r="279" spans="1:33" ht="15" customHeight="1">
      <c r="A279" s="46" t="s">
        <v>91</v>
      </c>
      <c r="B279" s="3" t="str">
        <f>_xlfn.IFNA(VLOOKUP(C279,Master!$J:$K,2,0),"")</f>
        <v>B2220</v>
      </c>
      <c r="C279" s="46" t="s">
        <v>83</v>
      </c>
      <c r="D279" s="4" t="str">
        <f>_xlfn.IFNA(VLOOKUP(E279,Master!$J:$K,2,0),"")</f>
        <v>B3110</v>
      </c>
      <c r="E279" s="46" t="s">
        <v>117</v>
      </c>
      <c r="F279" s="4">
        <f>_xlfn.IFNA(VLOOKUP(G279,Master!B:C,2,0),"")</f>
        <v>7511121</v>
      </c>
      <c r="G279" s="46" t="s">
        <v>86</v>
      </c>
      <c r="H279" s="46" t="s">
        <v>542</v>
      </c>
      <c r="I279" s="3" t="str">
        <f>_xlfn.IFNA(VLOOKUP(E279,Master!$J:$M,4,0),"")</f>
        <v>ADM</v>
      </c>
      <c r="J279" s="3" t="str">
        <f>_xlfn.IFNA(VLOOKUP($E279,Master!$J:$M,3,0),"")</f>
        <v>SGA</v>
      </c>
      <c r="M279" s="50">
        <v>883100</v>
      </c>
      <c r="N279" s="50">
        <v>943200</v>
      </c>
      <c r="O279" s="50">
        <v>943200</v>
      </c>
      <c r="P279" s="50">
        <v>943200</v>
      </c>
      <c r="Q279" s="50">
        <v>953000</v>
      </c>
      <c r="R279" s="50">
        <v>953000</v>
      </c>
      <c r="S279" s="50">
        <v>953000</v>
      </c>
      <c r="T279" s="50">
        <v>953000</v>
      </c>
      <c r="U279" s="50">
        <v>953000</v>
      </c>
      <c r="V279" s="50">
        <v>953000</v>
      </c>
      <c r="W279" s="50">
        <v>953000</v>
      </c>
      <c r="X279" s="50">
        <v>953000</v>
      </c>
      <c r="Y279" s="50">
        <v>953000</v>
      </c>
      <c r="Z279" s="50">
        <v>1017800</v>
      </c>
      <c r="AA279" s="50">
        <v>1017800</v>
      </c>
      <c r="AB279" s="50">
        <v>1017800</v>
      </c>
      <c r="AC279" s="26">
        <f t="shared" si="8"/>
        <v>3712700</v>
      </c>
      <c r="AD279" s="26">
        <f t="shared" si="9"/>
        <v>11630400</v>
      </c>
      <c r="AE279" s="50">
        <v>12423000</v>
      </c>
      <c r="AF279" s="50">
        <v>13273200</v>
      </c>
      <c r="AG279" s="53" t="s">
        <v>55</v>
      </c>
    </row>
    <row r="280" spans="1:33" ht="15" customHeight="1">
      <c r="A280" s="46" t="s">
        <v>91</v>
      </c>
      <c r="B280" s="3" t="str">
        <f>_xlfn.IFNA(VLOOKUP(C280,Master!$J:$K,2,0),"")</f>
        <v>B2220</v>
      </c>
      <c r="C280" s="46" t="s">
        <v>83</v>
      </c>
      <c r="D280" s="4" t="str">
        <f>_xlfn.IFNA(VLOOKUP(E280,Master!$J:$K,2,0),"")</f>
        <v>B3120</v>
      </c>
      <c r="E280" s="46" t="s">
        <v>122</v>
      </c>
      <c r="F280" s="4">
        <f>_xlfn.IFNA(VLOOKUP(G280,Master!B:C,2,0),"")</f>
        <v>7511121</v>
      </c>
      <c r="G280" s="46" t="s">
        <v>86</v>
      </c>
      <c r="H280" s="46" t="s">
        <v>542</v>
      </c>
      <c r="I280" s="3" t="str">
        <f>_xlfn.IFNA(VLOOKUP(E280,Master!$J:$M,4,0),"")</f>
        <v>ADM</v>
      </c>
      <c r="J280" s="3" t="str">
        <f>_xlfn.IFNA(VLOOKUP($E280,Master!$J:$M,3,0),"")</f>
        <v>SGA</v>
      </c>
      <c r="M280" s="50">
        <v>132700</v>
      </c>
      <c r="N280" s="50">
        <v>141700</v>
      </c>
      <c r="O280" s="50">
        <v>141700</v>
      </c>
      <c r="P280" s="50">
        <v>141700</v>
      </c>
      <c r="Q280" s="50">
        <v>141700</v>
      </c>
      <c r="R280" s="50">
        <v>141700</v>
      </c>
      <c r="S280" s="50">
        <v>141700</v>
      </c>
      <c r="T280" s="50">
        <v>141700</v>
      </c>
      <c r="U280" s="50">
        <v>141700</v>
      </c>
      <c r="V280" s="50">
        <v>141700</v>
      </c>
      <c r="W280" s="50">
        <v>141700</v>
      </c>
      <c r="X280" s="50">
        <v>141700</v>
      </c>
      <c r="Y280" s="50">
        <v>141700</v>
      </c>
      <c r="Z280" s="50">
        <v>151300</v>
      </c>
      <c r="AA280" s="50">
        <v>151300</v>
      </c>
      <c r="AB280" s="50">
        <v>151300</v>
      </c>
      <c r="AC280" s="26">
        <f t="shared" si="8"/>
        <v>557800</v>
      </c>
      <c r="AD280" s="26">
        <f t="shared" si="9"/>
        <v>1729200</v>
      </c>
      <c r="AE280" s="50">
        <v>1846500</v>
      </c>
      <c r="AF280" s="50">
        <v>1972200</v>
      </c>
      <c r="AG280" s="53" t="s">
        <v>55</v>
      </c>
    </row>
    <row r="281" spans="1:33" ht="15" customHeight="1">
      <c r="A281" s="46" t="s">
        <v>91</v>
      </c>
      <c r="B281" s="3" t="str">
        <f>_xlfn.IFNA(VLOOKUP(C281,Master!$J:$K,2,0),"")</f>
        <v>B2220</v>
      </c>
      <c r="C281" s="46" t="s">
        <v>83</v>
      </c>
      <c r="D281" s="4" t="str">
        <f>_xlfn.IFNA(VLOOKUP(E281,Master!$J:$K,2,0),"")</f>
        <v>B3130</v>
      </c>
      <c r="E281" s="46" t="s">
        <v>127</v>
      </c>
      <c r="F281" s="4">
        <f>_xlfn.IFNA(VLOOKUP(G281,Master!B:C,2,0),"")</f>
        <v>7511121</v>
      </c>
      <c r="G281" s="46" t="s">
        <v>86</v>
      </c>
      <c r="H281" s="46" t="s">
        <v>542</v>
      </c>
      <c r="I281" s="3" t="str">
        <f>_xlfn.IFNA(VLOOKUP(E281,Master!$J:$M,4,0),"")</f>
        <v>ADM</v>
      </c>
      <c r="J281" s="3" t="str">
        <f>_xlfn.IFNA(VLOOKUP($E281,Master!$J:$M,3,0),"")</f>
        <v>SGA</v>
      </c>
      <c r="M281" s="50">
        <v>1668600</v>
      </c>
      <c r="N281" s="50">
        <v>1782900</v>
      </c>
      <c r="O281" s="50">
        <v>1954500</v>
      </c>
      <c r="P281" s="50">
        <v>1954500</v>
      </c>
      <c r="Q281" s="50">
        <v>2136200</v>
      </c>
      <c r="R281" s="50">
        <v>2136200</v>
      </c>
      <c r="S281" s="50">
        <v>2136200</v>
      </c>
      <c r="T281" s="50">
        <v>2136200</v>
      </c>
      <c r="U281" s="50">
        <v>2136200</v>
      </c>
      <c r="V281" s="50">
        <v>2136200</v>
      </c>
      <c r="W281" s="50">
        <v>2136200</v>
      </c>
      <c r="X281" s="50">
        <v>2136200</v>
      </c>
      <c r="Y281" s="50">
        <v>2136200</v>
      </c>
      <c r="Z281" s="50">
        <v>2282200</v>
      </c>
      <c r="AA281" s="50">
        <v>2282200</v>
      </c>
      <c r="AB281" s="50">
        <v>2282200</v>
      </c>
      <c r="AC281" s="26">
        <f t="shared" si="8"/>
        <v>7360500</v>
      </c>
      <c r="AD281" s="26">
        <f t="shared" si="9"/>
        <v>26072400</v>
      </c>
      <c r="AE281" s="50">
        <v>27854400</v>
      </c>
      <c r="AF281" s="50">
        <v>29760600</v>
      </c>
      <c r="AG281" s="53" t="s">
        <v>55</v>
      </c>
    </row>
    <row r="282" spans="1:33" ht="15" customHeight="1">
      <c r="A282" s="46" t="s">
        <v>91</v>
      </c>
      <c r="B282" s="3" t="str">
        <f>_xlfn.IFNA(VLOOKUP(C282,Master!$J:$K,2,0),"")</f>
        <v>B2220</v>
      </c>
      <c r="C282" s="46" t="s">
        <v>83</v>
      </c>
      <c r="D282" s="4" t="str">
        <f>_xlfn.IFNA(VLOOKUP(E282,Master!$J:$K,2,0),"")</f>
        <v>B3150</v>
      </c>
      <c r="E282" s="46" t="s">
        <v>259</v>
      </c>
      <c r="F282" s="4">
        <f>_xlfn.IFNA(VLOOKUP(G282,Master!B:C,2,0),"")</f>
        <v>7511121</v>
      </c>
      <c r="G282" s="46" t="s">
        <v>86</v>
      </c>
      <c r="H282" s="46" t="s">
        <v>542</v>
      </c>
      <c r="I282" s="3" t="str">
        <f>_xlfn.IFNA(VLOOKUP(E282,Master!$J:$M,4,0),"")</f>
        <v>ADM</v>
      </c>
      <c r="J282" s="3" t="str">
        <f>_xlfn.IFNA(VLOOKUP($E282,Master!$J:$M,3,0),"")</f>
        <v>SGA</v>
      </c>
      <c r="M282" s="50">
        <v>2002800</v>
      </c>
      <c r="N282" s="50">
        <v>1988900</v>
      </c>
      <c r="O282" s="50">
        <v>1988900</v>
      </c>
      <c r="P282" s="50">
        <v>1988900</v>
      </c>
      <c r="Q282" s="50">
        <v>2006000</v>
      </c>
      <c r="R282" s="50">
        <v>2006000</v>
      </c>
      <c r="S282" s="50">
        <v>2006000</v>
      </c>
      <c r="T282" s="50">
        <v>2006000</v>
      </c>
      <c r="U282" s="50">
        <v>2006000</v>
      </c>
      <c r="V282" s="50">
        <v>2006000</v>
      </c>
      <c r="W282" s="50">
        <v>2014000</v>
      </c>
      <c r="X282" s="50">
        <v>2014000</v>
      </c>
      <c r="Y282" s="50">
        <v>2014000</v>
      </c>
      <c r="Z282" s="50">
        <v>2134100</v>
      </c>
      <c r="AA282" s="50">
        <v>2134100</v>
      </c>
      <c r="AB282" s="50">
        <v>2134100</v>
      </c>
      <c r="AC282" s="26">
        <f t="shared" si="8"/>
        <v>7969500</v>
      </c>
      <c r="AD282" s="26">
        <f t="shared" si="9"/>
        <v>24480300</v>
      </c>
      <c r="AE282" s="50">
        <v>26045700</v>
      </c>
      <c r="AF282" s="50">
        <v>27658800</v>
      </c>
      <c r="AG282" s="53" t="s">
        <v>55</v>
      </c>
    </row>
    <row r="283" spans="1:33" ht="15" customHeight="1">
      <c r="A283" s="46" t="s">
        <v>91</v>
      </c>
      <c r="B283" s="3" t="str">
        <f>_xlfn.IFNA(VLOOKUP(C283,Master!$J:$K,2,0),"")</f>
        <v>B2220</v>
      </c>
      <c r="C283" s="46" t="s">
        <v>83</v>
      </c>
      <c r="D283" s="4" t="str">
        <f>_xlfn.IFNA(VLOOKUP(E283,Master!$J:$K,2,0),"")</f>
        <v>B3160</v>
      </c>
      <c r="E283" s="46" t="s">
        <v>112</v>
      </c>
      <c r="F283" s="4">
        <f>_xlfn.IFNA(VLOOKUP(G283,Master!B:C,2,0),"")</f>
        <v>7511121</v>
      </c>
      <c r="G283" s="46" t="s">
        <v>86</v>
      </c>
      <c r="H283" s="46" t="s">
        <v>542</v>
      </c>
      <c r="I283" s="3" t="str">
        <f>_xlfn.IFNA(VLOOKUP(E283,Master!$J:$M,4,0),"")</f>
        <v>ADM</v>
      </c>
      <c r="J283" s="3" t="str">
        <f>_xlfn.IFNA(VLOOKUP($E283,Master!$J:$M,3,0),"")</f>
        <v>SGA</v>
      </c>
      <c r="M283" s="50">
        <v>877300</v>
      </c>
      <c r="N283" s="50">
        <v>936700</v>
      </c>
      <c r="O283" s="50">
        <v>936700</v>
      </c>
      <c r="P283" s="50">
        <v>936700</v>
      </c>
      <c r="Q283" s="50">
        <v>936700</v>
      </c>
      <c r="R283" s="50">
        <v>936700</v>
      </c>
      <c r="S283" s="50">
        <v>936700</v>
      </c>
      <c r="T283" s="50">
        <v>936700</v>
      </c>
      <c r="U283" s="50">
        <v>936700</v>
      </c>
      <c r="V283" s="50">
        <v>936700</v>
      </c>
      <c r="W283" s="50">
        <v>936700</v>
      </c>
      <c r="X283" s="50">
        <v>936700</v>
      </c>
      <c r="Y283" s="50">
        <v>936700</v>
      </c>
      <c r="Z283" s="50">
        <v>1000100</v>
      </c>
      <c r="AA283" s="50">
        <v>1000100</v>
      </c>
      <c r="AB283" s="50">
        <v>1000100</v>
      </c>
      <c r="AC283" s="26">
        <f t="shared" si="8"/>
        <v>3687400</v>
      </c>
      <c r="AD283" s="26">
        <f t="shared" si="9"/>
        <v>11430600</v>
      </c>
      <c r="AE283" s="50">
        <v>12204900</v>
      </c>
      <c r="AF283" s="50">
        <v>13033500</v>
      </c>
      <c r="AG283" s="53" t="s">
        <v>55</v>
      </c>
    </row>
    <row r="284" spans="1:33" ht="15" customHeight="1">
      <c r="A284" s="46" t="s">
        <v>91</v>
      </c>
      <c r="B284" s="3" t="str">
        <f>_xlfn.IFNA(VLOOKUP(C284,Master!$J:$K,2,0),"")</f>
        <v>B2220</v>
      </c>
      <c r="C284" s="46" t="s">
        <v>83</v>
      </c>
      <c r="D284" s="4" t="str">
        <f>_xlfn.IFNA(VLOOKUP(E284,Master!$J:$K,2,0),"")</f>
        <v>B4101</v>
      </c>
      <c r="E284" s="46" t="s">
        <v>132</v>
      </c>
      <c r="F284" s="4">
        <f>_xlfn.IFNA(VLOOKUP(G284,Master!B:C,2,0),"")</f>
        <v>7511121</v>
      </c>
      <c r="G284" s="46" t="s">
        <v>86</v>
      </c>
      <c r="H284" s="46" t="s">
        <v>542</v>
      </c>
      <c r="I284" s="3" t="str">
        <f>_xlfn.IFNA(VLOOKUP(E284,Master!$J:$M,4,0),"")</f>
        <v>DIR</v>
      </c>
      <c r="J284" s="3" t="str">
        <f>_xlfn.IFNA(VLOOKUP($E284,Master!$J:$M,3,0),"")</f>
        <v>MFG</v>
      </c>
      <c r="M284" s="50">
        <v>591700</v>
      </c>
      <c r="N284" s="50">
        <v>631500</v>
      </c>
      <c r="O284" s="50">
        <v>631500</v>
      </c>
      <c r="P284" s="50">
        <v>631500</v>
      </c>
      <c r="Q284" s="50">
        <v>631500</v>
      </c>
      <c r="R284" s="50">
        <v>631500</v>
      </c>
      <c r="S284" s="50">
        <v>631500</v>
      </c>
      <c r="T284" s="50">
        <v>631500</v>
      </c>
      <c r="U284" s="50">
        <v>631500</v>
      </c>
      <c r="V284" s="50">
        <v>631500</v>
      </c>
      <c r="W284" s="50">
        <v>631500</v>
      </c>
      <c r="X284" s="50">
        <v>631500</v>
      </c>
      <c r="Y284" s="50">
        <v>631500</v>
      </c>
      <c r="Z284" s="50">
        <v>673700</v>
      </c>
      <c r="AA284" s="50">
        <v>673700</v>
      </c>
      <c r="AB284" s="50">
        <v>673700</v>
      </c>
      <c r="AC284" s="26">
        <f t="shared" si="8"/>
        <v>2486200</v>
      </c>
      <c r="AD284" s="26">
        <f t="shared" si="9"/>
        <v>7704600</v>
      </c>
      <c r="AE284" s="50">
        <v>8220600</v>
      </c>
      <c r="AF284" s="50">
        <v>8168200</v>
      </c>
      <c r="AG284" s="53" t="s">
        <v>55</v>
      </c>
    </row>
    <row r="285" spans="1:33" ht="15" customHeight="1">
      <c r="A285" s="46" t="s">
        <v>91</v>
      </c>
      <c r="B285" s="3" t="str">
        <f>_xlfn.IFNA(VLOOKUP(C285,Master!$J:$K,2,0),"")</f>
        <v>B2220</v>
      </c>
      <c r="C285" s="46" t="s">
        <v>83</v>
      </c>
      <c r="D285" s="4" t="str">
        <f>_xlfn.IFNA(VLOOKUP(E285,Master!$J:$K,2,0),"")</f>
        <v>B4102</v>
      </c>
      <c r="E285" s="46" t="s">
        <v>139</v>
      </c>
      <c r="F285" s="4">
        <f>_xlfn.IFNA(VLOOKUP(G285,Master!B:C,2,0),"")</f>
        <v>7511121</v>
      </c>
      <c r="G285" s="46" t="s">
        <v>86</v>
      </c>
      <c r="H285" s="46" t="s">
        <v>542</v>
      </c>
      <c r="I285" s="3" t="str">
        <f>_xlfn.IFNA(VLOOKUP(E285,Master!$J:$M,4,0),"")</f>
        <v>DIR</v>
      </c>
      <c r="J285" s="3" t="str">
        <f>_xlfn.IFNA(VLOOKUP($E285,Master!$J:$M,3,0),"")</f>
        <v>MFG</v>
      </c>
      <c r="M285" s="50">
        <v>1461300</v>
      </c>
      <c r="N285" s="50">
        <v>1558800</v>
      </c>
      <c r="O285" s="50">
        <v>1558800</v>
      </c>
      <c r="P285" s="50">
        <v>1558800</v>
      </c>
      <c r="Q285" s="50">
        <v>1486400</v>
      </c>
      <c r="R285" s="50">
        <v>1486400</v>
      </c>
      <c r="S285" s="50">
        <v>1486400</v>
      </c>
      <c r="T285" s="50">
        <v>1486400</v>
      </c>
      <c r="U285" s="50">
        <v>1486400</v>
      </c>
      <c r="V285" s="50">
        <v>1486400</v>
      </c>
      <c r="W285" s="50">
        <v>1506500</v>
      </c>
      <c r="X285" s="50">
        <v>1506500</v>
      </c>
      <c r="Y285" s="50">
        <v>1506500</v>
      </c>
      <c r="Z285" s="50">
        <v>1607200</v>
      </c>
      <c r="AA285" s="50">
        <v>1607200</v>
      </c>
      <c r="AB285" s="50">
        <v>1607200</v>
      </c>
      <c r="AC285" s="26">
        <f t="shared" si="8"/>
        <v>6137700</v>
      </c>
      <c r="AD285" s="26">
        <f t="shared" si="9"/>
        <v>18259500</v>
      </c>
      <c r="AE285" s="50">
        <v>19485000</v>
      </c>
      <c r="AF285" s="50">
        <v>19653200</v>
      </c>
      <c r="AG285" s="53" t="s">
        <v>55</v>
      </c>
    </row>
    <row r="286" spans="1:33" ht="15" customHeight="1">
      <c r="A286" s="46" t="s">
        <v>91</v>
      </c>
      <c r="B286" s="3" t="str">
        <f>_xlfn.IFNA(VLOOKUP(C286,Master!$J:$K,2,0),"")</f>
        <v>B2220</v>
      </c>
      <c r="C286" s="46" t="s">
        <v>83</v>
      </c>
      <c r="D286" s="4" t="str">
        <f>_xlfn.IFNA(VLOOKUP(E286,Master!$J:$K,2,0),"")</f>
        <v>B4103</v>
      </c>
      <c r="E286" s="46" t="s">
        <v>144</v>
      </c>
      <c r="F286" s="4">
        <f>_xlfn.IFNA(VLOOKUP(G286,Master!B:C,2,0),"")</f>
        <v>7511121</v>
      </c>
      <c r="G286" s="46" t="s">
        <v>86</v>
      </c>
      <c r="H286" s="46" t="s">
        <v>542</v>
      </c>
      <c r="I286" s="3" t="str">
        <f>_xlfn.IFNA(VLOOKUP(E286,Master!$J:$M,4,0),"")</f>
        <v>DIR</v>
      </c>
      <c r="J286" s="3" t="str">
        <f>_xlfn.IFNA(VLOOKUP($E286,Master!$J:$M,3,0),"")</f>
        <v>MFG</v>
      </c>
      <c r="M286" s="50">
        <v>919500</v>
      </c>
      <c r="N286" s="50">
        <v>980800</v>
      </c>
      <c r="O286" s="50">
        <v>980800</v>
      </c>
      <c r="P286" s="50">
        <v>980800</v>
      </c>
      <c r="Q286" s="50">
        <v>980800</v>
      </c>
      <c r="R286" s="50">
        <v>980800</v>
      </c>
      <c r="S286" s="50">
        <v>980800</v>
      </c>
      <c r="T286" s="50">
        <v>980800</v>
      </c>
      <c r="U286" s="50">
        <v>980800</v>
      </c>
      <c r="V286" s="50">
        <v>980800</v>
      </c>
      <c r="W286" s="50">
        <v>980800</v>
      </c>
      <c r="X286" s="50">
        <v>980800</v>
      </c>
      <c r="Y286" s="50">
        <v>980800</v>
      </c>
      <c r="Z286" s="50">
        <v>1046400</v>
      </c>
      <c r="AA286" s="50">
        <v>1046400</v>
      </c>
      <c r="AB286" s="50">
        <v>1046400</v>
      </c>
      <c r="AC286" s="26">
        <f t="shared" si="8"/>
        <v>3861900</v>
      </c>
      <c r="AD286" s="26">
        <f t="shared" si="9"/>
        <v>11966400</v>
      </c>
      <c r="AE286" s="50">
        <v>12768000</v>
      </c>
      <c r="AF286" s="50">
        <v>13626600</v>
      </c>
      <c r="AG286" s="53" t="s">
        <v>55</v>
      </c>
    </row>
    <row r="287" spans="1:33" ht="15" customHeight="1">
      <c r="A287" s="46" t="s">
        <v>91</v>
      </c>
      <c r="B287" s="3" t="str">
        <f>_xlfn.IFNA(VLOOKUP(C287,Master!$J:$K,2,0),"")</f>
        <v>B2220</v>
      </c>
      <c r="C287" s="46" t="s">
        <v>83</v>
      </c>
      <c r="D287" s="4" t="str">
        <f>_xlfn.IFNA(VLOOKUP(E287,Master!$J:$K,2,0),"")</f>
        <v>B4105</v>
      </c>
      <c r="E287" s="46" t="s">
        <v>149</v>
      </c>
      <c r="F287" s="4">
        <f>_xlfn.IFNA(VLOOKUP(G287,Master!B:C,2,0),"")</f>
        <v>7511121</v>
      </c>
      <c r="G287" s="46" t="s">
        <v>86</v>
      </c>
      <c r="H287" s="46" t="s">
        <v>542</v>
      </c>
      <c r="I287" s="3" t="str">
        <f>_xlfn.IFNA(VLOOKUP(E287,Master!$J:$M,4,0),"")</f>
        <v>DIR</v>
      </c>
      <c r="J287" s="3" t="str">
        <f>_xlfn.IFNA(VLOOKUP($E287,Master!$J:$M,3,0),"")</f>
        <v>MFG</v>
      </c>
      <c r="M287" s="50">
        <v>1128200</v>
      </c>
      <c r="N287" s="50">
        <v>1203800</v>
      </c>
      <c r="O287" s="50">
        <v>1203800</v>
      </c>
      <c r="P287" s="50">
        <v>1203800</v>
      </c>
      <c r="Q287" s="50">
        <v>1203800</v>
      </c>
      <c r="R287" s="50">
        <v>1203800</v>
      </c>
      <c r="S287" s="50">
        <v>1203800</v>
      </c>
      <c r="T287" s="50">
        <v>1203800</v>
      </c>
      <c r="U287" s="50">
        <v>1203800</v>
      </c>
      <c r="V287" s="50">
        <v>1203800</v>
      </c>
      <c r="W287" s="50">
        <v>1032000</v>
      </c>
      <c r="X287" s="50">
        <v>1032000</v>
      </c>
      <c r="Y287" s="50">
        <v>1032000</v>
      </c>
      <c r="Z287" s="50">
        <v>1101100</v>
      </c>
      <c r="AA287" s="50">
        <v>1101100</v>
      </c>
      <c r="AB287" s="50">
        <v>1101100</v>
      </c>
      <c r="AC287" s="26">
        <f t="shared" si="8"/>
        <v>4739600</v>
      </c>
      <c r="AD287" s="26">
        <f t="shared" si="9"/>
        <v>13622100</v>
      </c>
      <c r="AE287" s="50">
        <v>13434900</v>
      </c>
      <c r="AF287" s="50">
        <v>14124300</v>
      </c>
      <c r="AG287" s="53" t="s">
        <v>55</v>
      </c>
    </row>
    <row r="288" spans="1:33" ht="15" customHeight="1">
      <c r="A288" s="46" t="s">
        <v>91</v>
      </c>
      <c r="B288" s="3" t="str">
        <f>_xlfn.IFNA(VLOOKUP(C288,Master!$J:$K,2,0),"")</f>
        <v>B2220</v>
      </c>
      <c r="C288" s="46" t="s">
        <v>83</v>
      </c>
      <c r="D288" s="4" t="str">
        <f>_xlfn.IFNA(VLOOKUP(E288,Master!$J:$K,2,0),"")</f>
        <v>B4110</v>
      </c>
      <c r="E288" s="46" t="s">
        <v>162</v>
      </c>
      <c r="F288" s="4">
        <f>_xlfn.IFNA(VLOOKUP(G288,Master!B:C,2,0),"")</f>
        <v>7511121</v>
      </c>
      <c r="G288" s="46" t="s">
        <v>86</v>
      </c>
      <c r="H288" s="46" t="s">
        <v>542</v>
      </c>
      <c r="I288" s="3" t="str">
        <f>_xlfn.IFNA(VLOOKUP(E288,Master!$J:$M,4,0),"")</f>
        <v>DIR</v>
      </c>
      <c r="J288" s="3" t="str">
        <f>_xlfn.IFNA(VLOOKUP($E288,Master!$J:$M,3,0),"")</f>
        <v>MFG</v>
      </c>
      <c r="M288" s="50">
        <v>2858300</v>
      </c>
      <c r="N288" s="50">
        <v>3018200</v>
      </c>
      <c r="O288" s="50">
        <v>3018200</v>
      </c>
      <c r="P288" s="50">
        <v>3018200</v>
      </c>
      <c r="Q288" s="50">
        <v>3018200</v>
      </c>
      <c r="R288" s="50">
        <v>3018200</v>
      </c>
      <c r="S288" s="50">
        <v>2970800</v>
      </c>
      <c r="T288" s="50">
        <v>1935700</v>
      </c>
      <c r="U288" s="50">
        <v>1935700</v>
      </c>
      <c r="V288" s="50">
        <v>1935700</v>
      </c>
      <c r="W288" s="50">
        <v>1935700</v>
      </c>
      <c r="X288" s="50">
        <v>1935700</v>
      </c>
      <c r="Y288" s="50">
        <v>1935700</v>
      </c>
      <c r="Z288" s="50">
        <v>2065600</v>
      </c>
      <c r="AA288" s="50">
        <v>2065600</v>
      </c>
      <c r="AB288" s="50">
        <v>2065600</v>
      </c>
      <c r="AC288" s="26">
        <f t="shared" si="8"/>
        <v>11912900</v>
      </c>
      <c r="AD288" s="26">
        <f t="shared" si="9"/>
        <v>26818200</v>
      </c>
      <c r="AE288" s="50">
        <v>24594200</v>
      </c>
      <c r="AF288" s="50">
        <v>25913700</v>
      </c>
      <c r="AG288" s="53" t="s">
        <v>55</v>
      </c>
    </row>
    <row r="289" spans="1:33" ht="15" customHeight="1">
      <c r="A289" s="46" t="s">
        <v>91</v>
      </c>
      <c r="B289" s="3" t="str">
        <f>_xlfn.IFNA(VLOOKUP(C289,Master!$J:$K,2,0),"")</f>
        <v>B2220</v>
      </c>
      <c r="C289" s="46" t="s">
        <v>83</v>
      </c>
      <c r="D289" s="4" t="str">
        <f>_xlfn.IFNA(VLOOKUP(E289,Master!$J:$K,2,0),"")</f>
        <v>B4114</v>
      </c>
      <c r="E289" s="46" t="s">
        <v>172</v>
      </c>
      <c r="F289" s="4">
        <f>_xlfn.IFNA(VLOOKUP(G289,Master!B:C,2,0),"")</f>
        <v>7511121</v>
      </c>
      <c r="G289" s="46" t="s">
        <v>86</v>
      </c>
      <c r="H289" s="46" t="s">
        <v>542</v>
      </c>
      <c r="I289" s="3" t="str">
        <f>_xlfn.IFNA(VLOOKUP(E289,Master!$J:$M,4,0),"")</f>
        <v>DIR</v>
      </c>
      <c r="J289" s="3" t="str">
        <f>_xlfn.IFNA(VLOOKUP($E289,Master!$J:$M,3,0),"")</f>
        <v>MFG</v>
      </c>
      <c r="M289" s="50">
        <v>836400</v>
      </c>
      <c r="N289" s="50">
        <v>890900</v>
      </c>
      <c r="O289" s="50">
        <v>890900</v>
      </c>
      <c r="P289" s="50">
        <v>890900</v>
      </c>
      <c r="Q289" s="50">
        <v>890900</v>
      </c>
      <c r="R289" s="50">
        <v>890900</v>
      </c>
      <c r="S289" s="50">
        <v>800000</v>
      </c>
      <c r="T289" s="50">
        <v>512100</v>
      </c>
      <c r="U289" s="50">
        <v>512100</v>
      </c>
      <c r="V289" s="50">
        <v>512100</v>
      </c>
      <c r="W289" s="50">
        <v>347400</v>
      </c>
      <c r="X289" s="50">
        <v>347400</v>
      </c>
      <c r="Y289" s="50">
        <v>347400</v>
      </c>
      <c r="Z289" s="50">
        <v>370800</v>
      </c>
      <c r="AA289" s="50">
        <v>370800</v>
      </c>
      <c r="AB289" s="50">
        <v>370800</v>
      </c>
      <c r="AC289" s="26">
        <f t="shared" si="8"/>
        <v>3509100</v>
      </c>
      <c r="AD289" s="26">
        <f t="shared" si="9"/>
        <v>6272700</v>
      </c>
      <c r="AE289" s="50">
        <v>4524900</v>
      </c>
      <c r="AF289" s="50">
        <v>4830900</v>
      </c>
      <c r="AG289" s="53" t="s">
        <v>55</v>
      </c>
    </row>
    <row r="290" spans="1:33" ht="15" customHeight="1">
      <c r="A290" s="46" t="s">
        <v>91</v>
      </c>
      <c r="B290" s="3" t="str">
        <f>_xlfn.IFNA(VLOOKUP(C290,Master!$J:$K,2,0),"")</f>
        <v>B2220</v>
      </c>
      <c r="C290" s="46" t="s">
        <v>83</v>
      </c>
      <c r="D290" s="4" t="str">
        <f>_xlfn.IFNA(VLOOKUP(E290,Master!$J:$K,2,0),"")</f>
        <v>B4115</v>
      </c>
      <c r="E290" s="46" t="s">
        <v>167</v>
      </c>
      <c r="F290" s="4">
        <f>_xlfn.IFNA(VLOOKUP(G290,Master!B:C,2,0),"")</f>
        <v>7511121</v>
      </c>
      <c r="G290" s="46" t="s">
        <v>86</v>
      </c>
      <c r="H290" s="46" t="s">
        <v>542</v>
      </c>
      <c r="I290" s="3" t="str">
        <f>_xlfn.IFNA(VLOOKUP(E290,Master!$J:$M,4,0),"")</f>
        <v>DIR</v>
      </c>
      <c r="J290" s="3" t="str">
        <f>_xlfn.IFNA(VLOOKUP($E290,Master!$J:$M,3,0),"")</f>
        <v>MFG</v>
      </c>
      <c r="M290" s="50">
        <v>516400</v>
      </c>
      <c r="N290" s="50">
        <v>550800</v>
      </c>
      <c r="O290" s="50">
        <v>550800</v>
      </c>
      <c r="P290" s="50">
        <v>550800</v>
      </c>
      <c r="Q290" s="50">
        <v>550800</v>
      </c>
      <c r="R290" s="50">
        <v>550800</v>
      </c>
      <c r="S290" s="50">
        <v>550800</v>
      </c>
      <c r="T290" s="50">
        <v>550800</v>
      </c>
      <c r="U290" s="50">
        <v>550800</v>
      </c>
      <c r="V290" s="50">
        <v>550800</v>
      </c>
      <c r="W290" s="50">
        <v>550800</v>
      </c>
      <c r="X290" s="50">
        <v>550800</v>
      </c>
      <c r="Y290" s="50">
        <v>550800</v>
      </c>
      <c r="Z290" s="50">
        <v>587500</v>
      </c>
      <c r="AA290" s="50">
        <v>587500</v>
      </c>
      <c r="AB290" s="50">
        <v>587500</v>
      </c>
      <c r="AC290" s="26">
        <f t="shared" si="8"/>
        <v>2168800</v>
      </c>
      <c r="AD290" s="26">
        <f t="shared" si="9"/>
        <v>6719700</v>
      </c>
      <c r="AE290" s="50">
        <v>7167600</v>
      </c>
      <c r="AF290" s="50">
        <v>7647000</v>
      </c>
      <c r="AG290" s="53" t="s">
        <v>55</v>
      </c>
    </row>
    <row r="291" spans="1:33" ht="15" customHeight="1">
      <c r="A291" s="46" t="s">
        <v>91</v>
      </c>
      <c r="B291" s="3" t="str">
        <f>_xlfn.IFNA(VLOOKUP(C291,Master!$J:$K,2,0),"")</f>
        <v>B2220</v>
      </c>
      <c r="C291" s="46" t="s">
        <v>83</v>
      </c>
      <c r="D291" s="4" t="str">
        <f>_xlfn.IFNA(VLOOKUP(E291,Master!$J:$K,2,0),"")</f>
        <v>B4120</v>
      </c>
      <c r="E291" s="46" t="s">
        <v>177</v>
      </c>
      <c r="F291" s="4">
        <f>_xlfn.IFNA(VLOOKUP(G291,Master!B:C,2,0),"")</f>
        <v>7511121</v>
      </c>
      <c r="G291" s="46" t="s">
        <v>86</v>
      </c>
      <c r="H291" s="46" t="s">
        <v>542</v>
      </c>
      <c r="I291" s="3" t="str">
        <f>_xlfn.IFNA(VLOOKUP(E291,Master!$J:$M,4,0),"")</f>
        <v>DIR</v>
      </c>
      <c r="J291" s="3" t="str">
        <f>_xlfn.IFNA(VLOOKUP($E291,Master!$J:$M,3,0),"")</f>
        <v>MFG</v>
      </c>
      <c r="M291" s="50">
        <v>5700000</v>
      </c>
      <c r="N291" s="50">
        <v>6001100</v>
      </c>
      <c r="O291" s="50">
        <v>5919900</v>
      </c>
      <c r="P291" s="50">
        <v>5919900</v>
      </c>
      <c r="Q291" s="50">
        <v>5438900</v>
      </c>
      <c r="R291" s="50">
        <v>5360900</v>
      </c>
      <c r="S291" s="50">
        <v>5360900</v>
      </c>
      <c r="T291" s="50">
        <v>5201000</v>
      </c>
      <c r="U291" s="50">
        <v>5201000</v>
      </c>
      <c r="V291" s="50">
        <v>5201000</v>
      </c>
      <c r="W291" s="50">
        <v>5312100</v>
      </c>
      <c r="X291" s="50">
        <v>5312100</v>
      </c>
      <c r="Y291" s="50">
        <v>5312100</v>
      </c>
      <c r="Z291" s="50">
        <v>5591800</v>
      </c>
      <c r="AA291" s="50">
        <v>5591800</v>
      </c>
      <c r="AB291" s="50">
        <v>5591800</v>
      </c>
      <c r="AC291" s="26">
        <f t="shared" si="8"/>
        <v>23540900</v>
      </c>
      <c r="AD291" s="26">
        <f t="shared" si="9"/>
        <v>64475400</v>
      </c>
      <c r="AE291" s="50">
        <v>65983700</v>
      </c>
      <c r="AF291" s="50">
        <v>69081000</v>
      </c>
      <c r="AG291" s="53" t="s">
        <v>55</v>
      </c>
    </row>
    <row r="292" spans="1:33" ht="15" customHeight="1">
      <c r="A292" s="46" t="s">
        <v>91</v>
      </c>
      <c r="B292" s="3" t="str">
        <f>_xlfn.IFNA(VLOOKUP(C292,Master!$J:$K,2,0),"")</f>
        <v>B2220</v>
      </c>
      <c r="C292" s="46" t="s">
        <v>83</v>
      </c>
      <c r="D292" s="4" t="str">
        <f>_xlfn.IFNA(VLOOKUP(E292,Master!$J:$K,2,0),"")</f>
        <v>B4121</v>
      </c>
      <c r="E292" s="46" t="s">
        <v>183</v>
      </c>
      <c r="F292" s="4">
        <f>_xlfn.IFNA(VLOOKUP(G292,Master!B:C,2,0),"")</f>
        <v>7511121</v>
      </c>
      <c r="G292" s="46" t="s">
        <v>86</v>
      </c>
      <c r="H292" s="46" t="s">
        <v>542</v>
      </c>
      <c r="I292" s="3" t="str">
        <f>_xlfn.IFNA(VLOOKUP(E292,Master!$J:$M,4,0),"")</f>
        <v>DIR</v>
      </c>
      <c r="J292" s="3" t="str">
        <f>_xlfn.IFNA(VLOOKUP($E292,Master!$J:$M,3,0),"")</f>
        <v>MFG</v>
      </c>
      <c r="M292" s="50">
        <v>250000</v>
      </c>
      <c r="N292" s="50">
        <v>266500</v>
      </c>
      <c r="O292" s="50">
        <v>266500</v>
      </c>
      <c r="P292" s="50">
        <v>266500</v>
      </c>
      <c r="AC292" s="26">
        <f t="shared" si="8"/>
        <v>1049500</v>
      </c>
      <c r="AD292" s="26">
        <f t="shared" si="9"/>
        <v>0</v>
      </c>
      <c r="AG292" s="53" t="s">
        <v>55</v>
      </c>
    </row>
    <row r="293" spans="1:33" ht="15" customHeight="1">
      <c r="A293" s="46" t="s">
        <v>91</v>
      </c>
      <c r="B293" s="3" t="str">
        <f>_xlfn.IFNA(VLOOKUP(C293,Master!$J:$K,2,0),"")</f>
        <v>B2220</v>
      </c>
      <c r="C293" s="46" t="s">
        <v>83</v>
      </c>
      <c r="D293" s="4" t="str">
        <f>_xlfn.IFNA(VLOOKUP(E293,Master!$J:$K,2,0),"")</f>
        <v>B4130</v>
      </c>
      <c r="E293" s="46" t="s">
        <v>158</v>
      </c>
      <c r="F293" s="4">
        <f>_xlfn.IFNA(VLOOKUP(G293,Master!B:C,2,0),"")</f>
        <v>7511121</v>
      </c>
      <c r="G293" s="46" t="s">
        <v>86</v>
      </c>
      <c r="H293" s="46" t="s">
        <v>542</v>
      </c>
      <c r="I293" s="3" t="str">
        <f>_xlfn.IFNA(VLOOKUP(E293,Master!$J:$M,4,0),"")</f>
        <v>DIR</v>
      </c>
      <c r="J293" s="3" t="str">
        <f>_xlfn.IFNA(VLOOKUP($E293,Master!$J:$M,3,0),"")</f>
        <v>MFG</v>
      </c>
      <c r="M293" s="50">
        <v>620400</v>
      </c>
      <c r="N293" s="50">
        <v>661500</v>
      </c>
      <c r="O293" s="50">
        <v>661500</v>
      </c>
      <c r="P293" s="50">
        <v>661500</v>
      </c>
      <c r="Q293" s="50">
        <v>661500</v>
      </c>
      <c r="R293" s="50">
        <v>661500</v>
      </c>
      <c r="S293" s="50">
        <v>661500</v>
      </c>
      <c r="T293" s="50">
        <v>661500</v>
      </c>
      <c r="U293" s="50">
        <v>661500</v>
      </c>
      <c r="V293" s="50">
        <v>661500</v>
      </c>
      <c r="W293" s="50">
        <v>661500</v>
      </c>
      <c r="X293" s="50">
        <v>661500</v>
      </c>
      <c r="Y293" s="50">
        <v>661500</v>
      </c>
      <c r="Z293" s="50">
        <v>705600</v>
      </c>
      <c r="AA293" s="50">
        <v>705600</v>
      </c>
      <c r="AB293" s="50">
        <v>705600</v>
      </c>
      <c r="AC293" s="26">
        <f t="shared" si="8"/>
        <v>2604900</v>
      </c>
      <c r="AD293" s="26">
        <f t="shared" si="9"/>
        <v>8070300</v>
      </c>
      <c r="AE293" s="50">
        <v>8129600</v>
      </c>
      <c r="AF293" s="50">
        <v>8300100</v>
      </c>
      <c r="AG293" s="53" t="s">
        <v>55</v>
      </c>
    </row>
    <row r="294" spans="1:33" ht="15" customHeight="1">
      <c r="A294" s="46" t="s">
        <v>91</v>
      </c>
      <c r="B294" s="3" t="str">
        <f>_xlfn.IFNA(VLOOKUP(C294,Master!$J:$K,2,0),"")</f>
        <v>B2220</v>
      </c>
      <c r="C294" s="46" t="s">
        <v>83</v>
      </c>
      <c r="D294" s="4" t="str">
        <f>_xlfn.IFNA(VLOOKUP(E294,Master!$J:$K,2,0),"")</f>
        <v>B4410</v>
      </c>
      <c r="E294" s="46" t="s">
        <v>188</v>
      </c>
      <c r="F294" s="4">
        <f>_xlfn.IFNA(VLOOKUP(G294,Master!B:C,2,0),"")</f>
        <v>7511121</v>
      </c>
      <c r="G294" s="46" t="s">
        <v>86</v>
      </c>
      <c r="H294" s="46" t="s">
        <v>542</v>
      </c>
      <c r="I294" s="3" t="str">
        <f>_xlfn.IFNA(VLOOKUP(E294,Master!$J:$M,4,0),"")</f>
        <v>DIR</v>
      </c>
      <c r="J294" s="3" t="str">
        <f>_xlfn.IFNA(VLOOKUP($E294,Master!$J:$M,3,0),"")</f>
        <v>MFG</v>
      </c>
      <c r="M294" s="50">
        <v>885400</v>
      </c>
      <c r="N294" s="50">
        <v>926900</v>
      </c>
      <c r="O294" s="50">
        <v>926900</v>
      </c>
      <c r="P294" s="50">
        <v>863900</v>
      </c>
      <c r="Q294" s="50">
        <v>800900</v>
      </c>
      <c r="R294" s="50">
        <v>800900</v>
      </c>
      <c r="S294" s="50">
        <v>800900</v>
      </c>
      <c r="T294" s="50">
        <v>800900</v>
      </c>
      <c r="U294" s="50">
        <v>800900</v>
      </c>
      <c r="V294" s="50">
        <v>737900</v>
      </c>
      <c r="W294" s="50">
        <v>737900</v>
      </c>
      <c r="X294" s="50">
        <v>296900</v>
      </c>
      <c r="Y294" s="50">
        <v>296900</v>
      </c>
      <c r="AC294" s="26">
        <f t="shared" si="8"/>
        <v>3603100</v>
      </c>
      <c r="AD294" s="26">
        <f t="shared" si="9"/>
        <v>6074100</v>
      </c>
      <c r="AG294" s="53" t="s">
        <v>55</v>
      </c>
    </row>
    <row r="295" spans="1:33" ht="15" customHeight="1">
      <c r="A295" s="46" t="s">
        <v>91</v>
      </c>
      <c r="B295" s="3" t="str">
        <f>_xlfn.IFNA(VLOOKUP(C295,Master!$J:$K,2,0),"")</f>
        <v>B2220</v>
      </c>
      <c r="C295" s="46" t="s">
        <v>83</v>
      </c>
      <c r="D295" s="4" t="str">
        <f>_xlfn.IFNA(VLOOKUP(E295,Master!$J:$K,2,0),"")</f>
        <v>B4430</v>
      </c>
      <c r="E295" s="46" t="s">
        <v>193</v>
      </c>
      <c r="F295" s="4">
        <f>_xlfn.IFNA(VLOOKUP(G295,Master!B:C,2,0),"")</f>
        <v>7511121</v>
      </c>
      <c r="G295" s="46" t="s">
        <v>86</v>
      </c>
      <c r="H295" s="46" t="s">
        <v>542</v>
      </c>
      <c r="I295" s="3" t="str">
        <f>_xlfn.IFNA(VLOOKUP(E295,Master!$J:$M,4,0),"")</f>
        <v>DIR</v>
      </c>
      <c r="J295" s="3" t="str">
        <f>_xlfn.IFNA(VLOOKUP($E295,Master!$J:$M,3,0),"")</f>
        <v>MFG</v>
      </c>
      <c r="M295" s="50">
        <v>1688700</v>
      </c>
      <c r="N295" s="50">
        <v>1766500</v>
      </c>
      <c r="O295" s="50">
        <v>1766500</v>
      </c>
      <c r="P295" s="50">
        <v>1766500</v>
      </c>
      <c r="Q295" s="50">
        <v>1766500</v>
      </c>
      <c r="R295" s="50">
        <v>1766500</v>
      </c>
      <c r="S295" s="50">
        <v>1766500</v>
      </c>
      <c r="T295" s="50">
        <v>1703500</v>
      </c>
      <c r="U295" s="50">
        <v>1388500</v>
      </c>
      <c r="V295" s="50">
        <v>1010500</v>
      </c>
      <c r="W295" s="50">
        <v>1010500</v>
      </c>
      <c r="X295" s="50">
        <v>1010500</v>
      </c>
      <c r="Y295" s="50">
        <v>506500</v>
      </c>
      <c r="AC295" s="26">
        <f t="shared" si="8"/>
        <v>6988200</v>
      </c>
      <c r="AD295" s="26">
        <f t="shared" si="9"/>
        <v>11929500</v>
      </c>
      <c r="AG295" s="53" t="s">
        <v>55</v>
      </c>
    </row>
    <row r="296" spans="1:33" ht="15" customHeight="1">
      <c r="A296" s="46" t="s">
        <v>91</v>
      </c>
      <c r="B296" s="3" t="str">
        <f>_xlfn.IFNA(VLOOKUP(C296,Master!$J:$K,2,0),"")</f>
        <v>B2220</v>
      </c>
      <c r="C296" s="46" t="s">
        <v>83</v>
      </c>
      <c r="D296" s="4" t="str">
        <f>_xlfn.IFNA(VLOOKUP(E296,Master!$J:$K,2,0),"")</f>
        <v>B4440</v>
      </c>
      <c r="E296" s="46" t="s">
        <v>198</v>
      </c>
      <c r="F296" s="4">
        <f>_xlfn.IFNA(VLOOKUP(G296,Master!B:C,2,0),"")</f>
        <v>7511121</v>
      </c>
      <c r="G296" s="46" t="s">
        <v>86</v>
      </c>
      <c r="H296" s="46" t="s">
        <v>542</v>
      </c>
      <c r="I296" s="3" t="str">
        <f>_xlfn.IFNA(VLOOKUP(E296,Master!$J:$M,4,0),"")</f>
        <v>DIR</v>
      </c>
      <c r="J296" s="3" t="str">
        <f>_xlfn.IFNA(VLOOKUP($E296,Master!$J:$M,3,0),"")</f>
        <v>MFG</v>
      </c>
      <c r="M296" s="50">
        <v>641800</v>
      </c>
      <c r="N296" s="50">
        <v>681300</v>
      </c>
      <c r="O296" s="50">
        <v>594300</v>
      </c>
      <c r="P296" s="50">
        <v>594300</v>
      </c>
      <c r="Q296" s="50">
        <v>531300</v>
      </c>
      <c r="R296" s="50">
        <v>531300</v>
      </c>
      <c r="S296" s="50">
        <v>531300</v>
      </c>
      <c r="T296" s="50">
        <v>531300</v>
      </c>
      <c r="U296" s="50">
        <v>531300</v>
      </c>
      <c r="V296" s="50">
        <v>468300</v>
      </c>
      <c r="W296" s="50">
        <v>468300</v>
      </c>
      <c r="X296" s="50">
        <v>468300</v>
      </c>
      <c r="Y296" s="50">
        <v>271300</v>
      </c>
      <c r="AC296" s="26">
        <f t="shared" si="8"/>
        <v>2511700</v>
      </c>
      <c r="AD296" s="26">
        <f t="shared" si="9"/>
        <v>4332700</v>
      </c>
      <c r="AG296" s="53" t="s">
        <v>55</v>
      </c>
    </row>
    <row r="297" spans="1:33" ht="15" customHeight="1">
      <c r="A297" s="46" t="s">
        <v>91</v>
      </c>
      <c r="B297" s="3" t="str">
        <f>_xlfn.IFNA(VLOOKUP(C297,Master!$J:$K,2,0),"")</f>
        <v>B2220</v>
      </c>
      <c r="C297" s="46" t="s">
        <v>83</v>
      </c>
      <c r="D297" s="4" t="str">
        <f>_xlfn.IFNA(VLOOKUP(E297,Master!$J:$K,2,0),"")</f>
        <v>B5100</v>
      </c>
      <c r="E297" s="46" t="s">
        <v>211</v>
      </c>
      <c r="F297" s="4">
        <f>_xlfn.IFNA(VLOOKUP(G297,Master!B:C,2,0),"")</f>
        <v>7511121</v>
      </c>
      <c r="G297" s="46" t="s">
        <v>86</v>
      </c>
      <c r="H297" s="46" t="s">
        <v>542</v>
      </c>
      <c r="I297" s="3" t="str">
        <f>_xlfn.IFNA(VLOOKUP(E297,Master!$J:$M,4,0),"")</f>
        <v>IND</v>
      </c>
      <c r="J297" s="3" t="str">
        <f>_xlfn.IFNA(VLOOKUP($E297,Master!$J:$M,3,0),"")</f>
        <v>MFG</v>
      </c>
      <c r="M297" s="50">
        <v>1379500</v>
      </c>
      <c r="N297" s="50">
        <v>1476000</v>
      </c>
      <c r="O297" s="50">
        <v>1476000</v>
      </c>
      <c r="P297" s="50">
        <v>1476000</v>
      </c>
      <c r="Q297" s="50">
        <v>1476000</v>
      </c>
      <c r="R297" s="50">
        <v>1476000</v>
      </c>
      <c r="S297" s="50">
        <v>1476000</v>
      </c>
      <c r="T297" s="50">
        <v>1476000</v>
      </c>
      <c r="U297" s="50">
        <v>1476000</v>
      </c>
      <c r="V297" s="50">
        <v>1476000</v>
      </c>
      <c r="W297" s="50">
        <v>1476000</v>
      </c>
      <c r="X297" s="50">
        <v>1476000</v>
      </c>
      <c r="Y297" s="50">
        <v>1476000</v>
      </c>
      <c r="Z297" s="50">
        <v>1579400</v>
      </c>
      <c r="AA297" s="50">
        <v>1579400</v>
      </c>
      <c r="AB297" s="50">
        <v>1579400</v>
      </c>
      <c r="AC297" s="26">
        <f t="shared" si="8"/>
        <v>5807500</v>
      </c>
      <c r="AD297" s="26">
        <f t="shared" si="9"/>
        <v>18022200</v>
      </c>
      <c r="AE297" s="50">
        <v>19284600</v>
      </c>
      <c r="AF297" s="50">
        <v>20634600</v>
      </c>
      <c r="AG297" s="53" t="s">
        <v>55</v>
      </c>
    </row>
    <row r="298" spans="1:33" ht="15" customHeight="1">
      <c r="A298" s="46" t="s">
        <v>91</v>
      </c>
      <c r="B298" s="3" t="str">
        <f>_xlfn.IFNA(VLOOKUP(C298,Master!$J:$K,2,0),"")</f>
        <v>B2220</v>
      </c>
      <c r="C298" s="46" t="s">
        <v>83</v>
      </c>
      <c r="D298" s="4" t="str">
        <f>_xlfn.IFNA(VLOOKUP(E298,Master!$J:$K,2,0),"")</f>
        <v>B5101</v>
      </c>
      <c r="E298" s="46" t="s">
        <v>216</v>
      </c>
      <c r="F298" s="4">
        <f>_xlfn.IFNA(VLOOKUP(G298,Master!B:C,2,0),"")</f>
        <v>7511121</v>
      </c>
      <c r="G298" s="46" t="s">
        <v>86</v>
      </c>
      <c r="H298" s="46" t="s">
        <v>542</v>
      </c>
      <c r="I298" s="3" t="str">
        <f>_xlfn.IFNA(VLOOKUP(E298,Master!$J:$M,4,0),"")</f>
        <v>IND</v>
      </c>
      <c r="J298" s="3" t="str">
        <f>_xlfn.IFNA(VLOOKUP($E298,Master!$J:$M,3,0),"")</f>
        <v>MFG</v>
      </c>
      <c r="M298" s="50">
        <v>710500</v>
      </c>
      <c r="N298" s="50">
        <v>759000</v>
      </c>
      <c r="O298" s="50">
        <v>759000</v>
      </c>
      <c r="P298" s="50">
        <v>759000</v>
      </c>
      <c r="Q298" s="50">
        <v>746500</v>
      </c>
      <c r="R298" s="50">
        <v>746500</v>
      </c>
      <c r="S298" s="50">
        <v>746500</v>
      </c>
      <c r="T298" s="50">
        <v>746500</v>
      </c>
      <c r="U298" s="50">
        <v>746500</v>
      </c>
      <c r="V298" s="50">
        <v>746500</v>
      </c>
      <c r="W298" s="50">
        <v>754400</v>
      </c>
      <c r="X298" s="50">
        <v>754400</v>
      </c>
      <c r="Y298" s="50">
        <v>754400</v>
      </c>
      <c r="Z298" s="50">
        <v>805700</v>
      </c>
      <c r="AA298" s="50">
        <v>805700</v>
      </c>
      <c r="AB298" s="50">
        <v>805700</v>
      </c>
      <c r="AC298" s="26">
        <f t="shared" si="8"/>
        <v>2987500</v>
      </c>
      <c r="AD298" s="26">
        <f t="shared" si="9"/>
        <v>9159300</v>
      </c>
      <c r="AE298" s="50">
        <v>10501500</v>
      </c>
      <c r="AF298" s="50">
        <v>11907300</v>
      </c>
      <c r="AG298" s="53" t="s">
        <v>55</v>
      </c>
    </row>
    <row r="299" spans="1:33" ht="15" customHeight="1">
      <c r="A299" s="46" t="s">
        <v>91</v>
      </c>
      <c r="B299" s="3" t="str">
        <f>_xlfn.IFNA(VLOOKUP(C299,Master!$J:$K,2,0),"")</f>
        <v>B2220</v>
      </c>
      <c r="C299" s="46" t="s">
        <v>83</v>
      </c>
      <c r="D299" s="4" t="str">
        <f>_xlfn.IFNA(VLOOKUP(E299,Master!$J:$K,2,0),"")</f>
        <v>B5130</v>
      </c>
      <c r="E299" s="46" t="s">
        <v>247</v>
      </c>
      <c r="F299" s="4">
        <f>_xlfn.IFNA(VLOOKUP(G299,Master!B:C,2,0),"")</f>
        <v>7511121</v>
      </c>
      <c r="G299" s="46" t="s">
        <v>86</v>
      </c>
      <c r="H299" s="46" t="s">
        <v>542</v>
      </c>
      <c r="I299" s="3" t="str">
        <f>_xlfn.IFNA(VLOOKUP(E299,Master!$J:$M,4,0),"")</f>
        <v>IND</v>
      </c>
      <c r="J299" s="3" t="str">
        <f>_xlfn.IFNA(VLOOKUP($E299,Master!$J:$M,3,0),"")</f>
        <v>MFG</v>
      </c>
      <c r="M299" s="50">
        <v>1638900</v>
      </c>
      <c r="N299" s="50">
        <v>1748300</v>
      </c>
      <c r="O299" s="50">
        <v>1748300</v>
      </c>
      <c r="P299" s="50">
        <v>1748300</v>
      </c>
      <c r="Q299" s="50">
        <v>1748300</v>
      </c>
      <c r="R299" s="50">
        <v>1748300</v>
      </c>
      <c r="S299" s="50">
        <v>1748300</v>
      </c>
      <c r="T299" s="50">
        <v>1748300</v>
      </c>
      <c r="U299" s="50">
        <v>1748300</v>
      </c>
      <c r="V299" s="50">
        <v>1748300</v>
      </c>
      <c r="W299" s="50">
        <v>1811300</v>
      </c>
      <c r="X299" s="50">
        <v>1811300</v>
      </c>
      <c r="Y299" s="50">
        <v>1811300</v>
      </c>
      <c r="Z299" s="50">
        <v>1798100</v>
      </c>
      <c r="AA299" s="50">
        <v>1798100</v>
      </c>
      <c r="AB299" s="50">
        <v>1798100</v>
      </c>
      <c r="AC299" s="26">
        <f t="shared" si="8"/>
        <v>6883800</v>
      </c>
      <c r="AD299" s="26">
        <f t="shared" si="9"/>
        <v>21318000</v>
      </c>
      <c r="AE299" s="50">
        <v>21949500</v>
      </c>
      <c r="AF299" s="50">
        <v>22502000</v>
      </c>
      <c r="AG299" s="53" t="s">
        <v>55</v>
      </c>
    </row>
    <row r="300" spans="1:33" ht="15" customHeight="1">
      <c r="A300" s="46" t="s">
        <v>91</v>
      </c>
      <c r="B300" s="3" t="str">
        <f>_xlfn.IFNA(VLOOKUP(C300,Master!$J:$K,2,0),"")</f>
        <v>B2220</v>
      </c>
      <c r="C300" s="46" t="s">
        <v>83</v>
      </c>
      <c r="D300" s="4" t="str">
        <f>_xlfn.IFNA(VLOOKUP(E300,Master!$J:$K,2,0),"")</f>
        <v>B5200</v>
      </c>
      <c r="E300" s="46" t="s">
        <v>253</v>
      </c>
      <c r="F300" s="4">
        <f>_xlfn.IFNA(VLOOKUP(G300,Master!B:C,2,0),"")</f>
        <v>7511121</v>
      </c>
      <c r="G300" s="46" t="s">
        <v>86</v>
      </c>
      <c r="H300" s="46" t="s">
        <v>542</v>
      </c>
      <c r="I300" s="3" t="str">
        <f>_xlfn.IFNA(VLOOKUP(E300,Master!$J:$M,4,0),"")</f>
        <v>IND</v>
      </c>
      <c r="J300" s="3" t="str">
        <f>_xlfn.IFNA(VLOOKUP($E300,Master!$J:$M,3,0),"")</f>
        <v>MFG</v>
      </c>
      <c r="M300" s="50">
        <v>246900</v>
      </c>
      <c r="N300" s="50">
        <v>263500</v>
      </c>
      <c r="O300" s="50">
        <v>263500</v>
      </c>
      <c r="P300" s="50">
        <v>263500</v>
      </c>
      <c r="Q300" s="50">
        <v>271900</v>
      </c>
      <c r="R300" s="50">
        <v>271900</v>
      </c>
      <c r="S300" s="50">
        <v>271900</v>
      </c>
      <c r="T300" s="50">
        <v>271900</v>
      </c>
      <c r="U300" s="50">
        <v>271900</v>
      </c>
      <c r="V300" s="50">
        <v>271900</v>
      </c>
      <c r="W300" s="50">
        <v>271900</v>
      </c>
      <c r="X300" s="50">
        <v>271900</v>
      </c>
      <c r="Y300" s="50">
        <v>271900</v>
      </c>
      <c r="Z300" s="50">
        <v>290000</v>
      </c>
      <c r="AA300" s="50">
        <v>290000</v>
      </c>
      <c r="AB300" s="50">
        <v>290000</v>
      </c>
      <c r="AC300" s="26">
        <f t="shared" si="8"/>
        <v>1037400</v>
      </c>
      <c r="AD300" s="26">
        <f t="shared" si="9"/>
        <v>3317100</v>
      </c>
      <c r="AE300" s="50">
        <v>3538200</v>
      </c>
      <c r="AF300" s="50">
        <v>3775500</v>
      </c>
      <c r="AG300" s="53" t="s">
        <v>55</v>
      </c>
    </row>
    <row r="301" spans="1:33" ht="15" customHeight="1">
      <c r="A301" s="46" t="s">
        <v>91</v>
      </c>
      <c r="B301" s="3" t="str">
        <f>_xlfn.IFNA(VLOOKUP(C301,Master!$J:$K,2,0),"")</f>
        <v>B2220</v>
      </c>
      <c r="C301" s="46" t="s">
        <v>83</v>
      </c>
      <c r="D301" s="4" t="str">
        <f>_xlfn.IFNA(VLOOKUP(E301,Master!$J:$K,2,0),"")</f>
        <v>B5500</v>
      </c>
      <c r="E301" s="46" t="s">
        <v>236</v>
      </c>
      <c r="F301" s="4">
        <f>_xlfn.IFNA(VLOOKUP(G301,Master!B:C,2,0),"")</f>
        <v>7511121</v>
      </c>
      <c r="G301" s="46" t="s">
        <v>86</v>
      </c>
      <c r="H301" s="46" t="s">
        <v>542</v>
      </c>
      <c r="I301" s="3" t="str">
        <f>_xlfn.IFNA(VLOOKUP(E301,Master!$J:$M,4,0),"")</f>
        <v>IND</v>
      </c>
      <c r="J301" s="3" t="str">
        <f>_xlfn.IFNA(VLOOKUP($E301,Master!$J:$M,3,0),"")</f>
        <v>MFG</v>
      </c>
      <c r="M301" s="50">
        <v>988400</v>
      </c>
      <c r="N301" s="50">
        <v>1121300</v>
      </c>
      <c r="O301" s="50">
        <v>1121300</v>
      </c>
      <c r="P301" s="50">
        <v>1121300</v>
      </c>
      <c r="Q301" s="50">
        <v>1472700</v>
      </c>
      <c r="R301" s="50">
        <v>1472700</v>
      </c>
      <c r="S301" s="50">
        <v>1472700</v>
      </c>
      <c r="T301" s="50">
        <v>1472700</v>
      </c>
      <c r="U301" s="50">
        <v>1472700</v>
      </c>
      <c r="V301" s="50">
        <v>1472700</v>
      </c>
      <c r="W301" s="50">
        <v>1561400</v>
      </c>
      <c r="X301" s="50">
        <v>1561400</v>
      </c>
      <c r="Y301" s="50">
        <v>1561400</v>
      </c>
      <c r="Z301" s="50">
        <v>1666400</v>
      </c>
      <c r="AA301" s="50">
        <v>1666400</v>
      </c>
      <c r="AB301" s="50">
        <v>1666400</v>
      </c>
      <c r="AC301" s="26">
        <f t="shared" si="8"/>
        <v>4352300</v>
      </c>
      <c r="AD301" s="26">
        <f t="shared" si="9"/>
        <v>18519600</v>
      </c>
      <c r="AE301" s="50">
        <v>19882500</v>
      </c>
      <c r="AF301" s="50">
        <v>20592900</v>
      </c>
      <c r="AG301" s="53" t="s">
        <v>55</v>
      </c>
    </row>
    <row r="302" spans="1:33" ht="15" customHeight="1">
      <c r="A302" s="46" t="s">
        <v>91</v>
      </c>
      <c r="B302" s="3" t="str">
        <f>_xlfn.IFNA(VLOOKUP(C302,Master!$J:$K,2,0),"")</f>
        <v>B2220</v>
      </c>
      <c r="C302" s="46" t="s">
        <v>83</v>
      </c>
      <c r="D302" s="4" t="str">
        <f>_xlfn.IFNA(VLOOKUP(E302,Master!$J:$K,2,0),"")</f>
        <v>B5600</v>
      </c>
      <c r="E302" s="46" t="s">
        <v>241</v>
      </c>
      <c r="F302" s="4">
        <f>_xlfn.IFNA(VLOOKUP(G302,Master!B:C,2,0),"")</f>
        <v>7511121</v>
      </c>
      <c r="G302" s="46" t="s">
        <v>86</v>
      </c>
      <c r="H302" s="46" t="s">
        <v>542</v>
      </c>
      <c r="I302" s="3" t="str">
        <f>_xlfn.IFNA(VLOOKUP(E302,Master!$J:$M,4,0),"")</f>
        <v>IND</v>
      </c>
      <c r="J302" s="3" t="str">
        <f>_xlfn.IFNA(VLOOKUP($E302,Master!$J:$M,3,0),"")</f>
        <v>MFG</v>
      </c>
      <c r="M302" s="50">
        <v>1265600</v>
      </c>
      <c r="N302" s="50">
        <v>1351100</v>
      </c>
      <c r="O302" s="50">
        <v>1351100</v>
      </c>
      <c r="P302" s="50">
        <v>1351100</v>
      </c>
      <c r="Q302" s="50">
        <v>1368100</v>
      </c>
      <c r="R302" s="50">
        <v>1368100</v>
      </c>
      <c r="S302" s="50">
        <v>1368100</v>
      </c>
      <c r="T302" s="50">
        <v>1368100</v>
      </c>
      <c r="U302" s="50">
        <v>1368100</v>
      </c>
      <c r="V302" s="50">
        <v>1368100</v>
      </c>
      <c r="W302" s="50">
        <v>1368100</v>
      </c>
      <c r="X302" s="50">
        <v>1368100</v>
      </c>
      <c r="Y302" s="50">
        <v>1368100</v>
      </c>
      <c r="Z302" s="50">
        <v>1460800</v>
      </c>
      <c r="AA302" s="50">
        <v>1460800</v>
      </c>
      <c r="AB302" s="50">
        <v>1460800</v>
      </c>
      <c r="AC302" s="26">
        <f t="shared" si="8"/>
        <v>5318900</v>
      </c>
      <c r="AD302" s="26">
        <f t="shared" si="9"/>
        <v>16695300</v>
      </c>
      <c r="AE302" s="50">
        <v>18053100</v>
      </c>
      <c r="AF302" s="50">
        <v>19552800</v>
      </c>
      <c r="AG302" s="53" t="s">
        <v>55</v>
      </c>
    </row>
    <row r="303" spans="1:33" ht="15" customHeight="1">
      <c r="A303" s="46" t="s">
        <v>91</v>
      </c>
      <c r="B303" s="3" t="str">
        <f>_xlfn.IFNA(VLOOKUP(C303,Master!$J:$K,2,0),"")</f>
        <v>B2220</v>
      </c>
      <c r="C303" s="46" t="s">
        <v>83</v>
      </c>
      <c r="D303" s="4" t="str">
        <f>_xlfn.IFNA(VLOOKUP(E303,Master!$J:$K,2,0),"")</f>
        <v>B5710</v>
      </c>
      <c r="E303" s="46" t="s">
        <v>265</v>
      </c>
      <c r="F303" s="4">
        <f>_xlfn.IFNA(VLOOKUP(G303,Master!B:C,2,0),"")</f>
        <v>7511121</v>
      </c>
      <c r="G303" s="46" t="s">
        <v>86</v>
      </c>
      <c r="H303" s="46" t="s">
        <v>542</v>
      </c>
      <c r="I303" s="3" t="str">
        <f>_xlfn.IFNA(VLOOKUP(E303,Master!$J:$M,4,0),"")</f>
        <v>IND</v>
      </c>
      <c r="J303" s="3" t="str">
        <f>_xlfn.IFNA(VLOOKUP($E303,Master!$J:$M,3,0),"")</f>
        <v>MFG</v>
      </c>
      <c r="M303" s="50">
        <v>806000</v>
      </c>
      <c r="N303" s="50">
        <v>854500</v>
      </c>
      <c r="O303" s="50">
        <v>854500</v>
      </c>
      <c r="P303" s="50">
        <v>854500</v>
      </c>
      <c r="Q303" s="50">
        <v>854500</v>
      </c>
      <c r="R303" s="50">
        <v>854500</v>
      </c>
      <c r="S303" s="50">
        <v>854500</v>
      </c>
      <c r="T303" s="50">
        <v>854500</v>
      </c>
      <c r="U303" s="50">
        <v>854500</v>
      </c>
      <c r="V303" s="50">
        <v>854500</v>
      </c>
      <c r="W303" s="50">
        <v>854500</v>
      </c>
      <c r="X303" s="50">
        <v>854500</v>
      </c>
      <c r="Y303" s="50">
        <v>854500</v>
      </c>
      <c r="Z303" s="50">
        <v>1039000</v>
      </c>
      <c r="AA303" s="50">
        <v>1039000</v>
      </c>
      <c r="AB303" s="50">
        <v>1039000</v>
      </c>
      <c r="AC303" s="26">
        <f t="shared" si="8"/>
        <v>3369500</v>
      </c>
      <c r="AD303" s="26">
        <f t="shared" si="9"/>
        <v>10807500</v>
      </c>
      <c r="AE303" s="50">
        <v>11397600</v>
      </c>
      <c r="AF303" s="50">
        <v>11653800</v>
      </c>
      <c r="AG303" s="53" t="s">
        <v>55</v>
      </c>
    </row>
    <row r="304" spans="1:33" ht="15" customHeight="1">
      <c r="A304" s="46" t="s">
        <v>91</v>
      </c>
      <c r="B304" s="3" t="str">
        <f>_xlfn.IFNA(VLOOKUP(C304,Master!$J:$K,2,0),"")</f>
        <v>B2220</v>
      </c>
      <c r="C304" s="46" t="s">
        <v>83</v>
      </c>
      <c r="D304" s="4" t="str">
        <f>_xlfn.IFNA(VLOOKUP(E304,Master!$J:$K,2,0),"")</f>
        <v>B5800</v>
      </c>
      <c r="E304" s="46" t="s">
        <v>226</v>
      </c>
      <c r="F304" s="4">
        <f>_xlfn.IFNA(VLOOKUP(G304,Master!B:C,2,0),"")</f>
        <v>7511121</v>
      </c>
      <c r="G304" s="46" t="s">
        <v>86</v>
      </c>
      <c r="H304" s="46" t="s">
        <v>542</v>
      </c>
      <c r="I304" s="3" t="str">
        <f>_xlfn.IFNA(VLOOKUP(E304,Master!$J:$M,4,0),"")</f>
        <v>IND</v>
      </c>
      <c r="J304" s="3" t="str">
        <f>_xlfn.IFNA(VLOOKUP($E304,Master!$J:$M,3,0),"")</f>
        <v>MFG</v>
      </c>
      <c r="M304" s="50">
        <v>1284300</v>
      </c>
      <c r="N304" s="50">
        <v>1371900</v>
      </c>
      <c r="O304" s="50">
        <v>1371900</v>
      </c>
      <c r="P304" s="50">
        <v>1371900</v>
      </c>
      <c r="Q304" s="50">
        <v>1380400</v>
      </c>
      <c r="R304" s="50">
        <v>1380400</v>
      </c>
      <c r="S304" s="50">
        <v>1380400</v>
      </c>
      <c r="T304" s="50">
        <v>1380400</v>
      </c>
      <c r="U304" s="50">
        <v>1380400</v>
      </c>
      <c r="V304" s="50">
        <v>1380400</v>
      </c>
      <c r="W304" s="50">
        <v>1380400</v>
      </c>
      <c r="X304" s="50">
        <v>1380400</v>
      </c>
      <c r="Y304" s="50">
        <v>1380400</v>
      </c>
      <c r="Z304" s="50">
        <v>1474800</v>
      </c>
      <c r="AA304" s="50">
        <v>1474800</v>
      </c>
      <c r="AB304" s="50">
        <v>1474800</v>
      </c>
      <c r="AC304" s="26">
        <f t="shared" si="8"/>
        <v>5400000</v>
      </c>
      <c r="AD304" s="26">
        <f t="shared" si="9"/>
        <v>16848000</v>
      </c>
      <c r="AE304" s="50">
        <v>18000300</v>
      </c>
      <c r="AF304" s="50">
        <v>18439600</v>
      </c>
      <c r="AG304" s="53" t="s">
        <v>55</v>
      </c>
    </row>
    <row r="305" spans="1:33" ht="15" customHeight="1">
      <c r="A305" s="46" t="s">
        <v>91</v>
      </c>
      <c r="B305" s="3" t="str">
        <f>_xlfn.IFNA(VLOOKUP(C305,Master!$J:$K,2,0),"")</f>
        <v>B2220</v>
      </c>
      <c r="C305" s="46" t="s">
        <v>83</v>
      </c>
      <c r="D305" s="4" t="str">
        <f>_xlfn.IFNA(VLOOKUP(E305,Master!$J:$K,2,0),"")</f>
        <v>B5900</v>
      </c>
      <c r="E305" s="46" t="s">
        <v>231</v>
      </c>
      <c r="F305" s="4">
        <f>_xlfn.IFNA(VLOOKUP(G305,Master!B:C,2,0),"")</f>
        <v>7511121</v>
      </c>
      <c r="G305" s="46" t="s">
        <v>86</v>
      </c>
      <c r="H305" s="46" t="s">
        <v>542</v>
      </c>
      <c r="I305" s="3" t="str">
        <f>_xlfn.IFNA(VLOOKUP(E305,Master!$J:$M,4,0),"")</f>
        <v>IND</v>
      </c>
      <c r="J305" s="3" t="str">
        <f>_xlfn.IFNA(VLOOKUP($E305,Master!$J:$M,3,0),"")</f>
        <v>MFG</v>
      </c>
      <c r="M305" s="50">
        <v>1631000</v>
      </c>
      <c r="N305" s="50">
        <v>1727900</v>
      </c>
      <c r="O305" s="50">
        <v>1727900</v>
      </c>
      <c r="P305" s="50">
        <v>1727900</v>
      </c>
      <c r="Q305" s="50">
        <v>1727900</v>
      </c>
      <c r="R305" s="50">
        <v>1727900</v>
      </c>
      <c r="S305" s="50">
        <v>1727900</v>
      </c>
      <c r="T305" s="50">
        <v>1727900</v>
      </c>
      <c r="U305" s="50">
        <v>1727900</v>
      </c>
      <c r="V305" s="50">
        <v>1727900</v>
      </c>
      <c r="W305" s="50">
        <v>1727900</v>
      </c>
      <c r="X305" s="50">
        <v>1727900</v>
      </c>
      <c r="Y305" s="50">
        <v>1727900</v>
      </c>
      <c r="Z305" s="50">
        <v>1635000</v>
      </c>
      <c r="AA305" s="50">
        <v>1635000</v>
      </c>
      <c r="AB305" s="50">
        <v>1635000</v>
      </c>
      <c r="AC305" s="26">
        <f t="shared" si="8"/>
        <v>6814700</v>
      </c>
      <c r="AD305" s="26">
        <f t="shared" si="9"/>
        <v>20456100</v>
      </c>
      <c r="AE305" s="50">
        <v>20096100</v>
      </c>
      <c r="AF305" s="50">
        <v>20665800</v>
      </c>
      <c r="AG305" s="53" t="s">
        <v>55</v>
      </c>
    </row>
    <row r="306" spans="1:33" ht="15" customHeight="1">
      <c r="A306" s="46" t="s">
        <v>91</v>
      </c>
      <c r="B306" s="3" t="str">
        <f>_xlfn.IFNA(VLOOKUP(C306,Master!$J:$K,2,0),"")</f>
        <v>B2220</v>
      </c>
      <c r="C306" s="46" t="s">
        <v>83</v>
      </c>
      <c r="D306" s="4" t="str">
        <f>_xlfn.IFNA(VLOOKUP(E306,Master!$J:$K,2,0),"")</f>
        <v>B2210</v>
      </c>
      <c r="E306" s="46" t="s">
        <v>78</v>
      </c>
      <c r="F306" s="4">
        <f>_xlfn.IFNA(VLOOKUP(G306,Master!B:C,2,0),"")</f>
        <v>7511122</v>
      </c>
      <c r="G306" s="46" t="s">
        <v>92</v>
      </c>
      <c r="H306" s="46" t="s">
        <v>543</v>
      </c>
      <c r="I306" s="3" t="str">
        <f>_xlfn.IFNA(VLOOKUP(E306,Master!$J:$M,4,0),"")</f>
        <v>ADM</v>
      </c>
      <c r="J306" s="3" t="str">
        <f>_xlfn.IFNA(VLOOKUP($E306,Master!$J:$M,3,0),"")</f>
        <v>SGA</v>
      </c>
      <c r="M306" s="50">
        <v>5819400</v>
      </c>
      <c r="N306" s="50">
        <v>6144500</v>
      </c>
      <c r="O306" s="50">
        <v>6144500</v>
      </c>
      <c r="P306" s="50">
        <v>6144500</v>
      </c>
      <c r="Q306" s="50">
        <v>6210800</v>
      </c>
      <c r="R306" s="50">
        <v>5863200</v>
      </c>
      <c r="S306" s="50">
        <v>5863200</v>
      </c>
      <c r="T306" s="50">
        <v>5519400</v>
      </c>
      <c r="U306" s="50">
        <v>5519400</v>
      </c>
      <c r="V306" s="50">
        <v>5519400</v>
      </c>
      <c r="W306" s="50">
        <v>5553800</v>
      </c>
      <c r="X306" s="50">
        <v>5553800</v>
      </c>
      <c r="Y306" s="50">
        <v>5188900</v>
      </c>
      <c r="Z306" s="50">
        <v>5472800</v>
      </c>
      <c r="AA306" s="50">
        <v>5472800</v>
      </c>
      <c r="AB306" s="50">
        <v>5472800</v>
      </c>
      <c r="AC306" s="26">
        <f t="shared" si="8"/>
        <v>24252900</v>
      </c>
      <c r="AD306" s="26">
        <f t="shared" si="9"/>
        <v>67210300</v>
      </c>
      <c r="AE306" s="50">
        <v>72276900</v>
      </c>
      <c r="AF306" s="50">
        <v>64641300</v>
      </c>
      <c r="AG306" s="53" t="s">
        <v>55</v>
      </c>
    </row>
    <row r="307" spans="1:33" ht="15" customHeight="1">
      <c r="A307" s="46" t="s">
        <v>91</v>
      </c>
      <c r="B307" s="3" t="str">
        <f>_xlfn.IFNA(VLOOKUP(C307,Master!$J:$K,2,0),"")</f>
        <v>B2220</v>
      </c>
      <c r="C307" s="46" t="s">
        <v>83</v>
      </c>
      <c r="D307" s="4" t="str">
        <f>_xlfn.IFNA(VLOOKUP(E307,Master!$J:$K,2,0),"")</f>
        <v>B2220</v>
      </c>
      <c r="E307" s="46" t="s">
        <v>83</v>
      </c>
      <c r="F307" s="4">
        <f>_xlfn.IFNA(VLOOKUP(G307,Master!B:C,2,0),"")</f>
        <v>7511122</v>
      </c>
      <c r="G307" s="46" t="s">
        <v>92</v>
      </c>
      <c r="H307" s="46" t="s">
        <v>543</v>
      </c>
      <c r="I307" s="3" t="str">
        <f>_xlfn.IFNA(VLOOKUP(E307,Master!$J:$M,4,0),"")</f>
        <v>ADM</v>
      </c>
      <c r="J307" s="3" t="str">
        <f>_xlfn.IFNA(VLOOKUP($E307,Master!$J:$M,3,0),"")</f>
        <v>SGA</v>
      </c>
      <c r="M307" s="50">
        <v>1815400</v>
      </c>
      <c r="N307" s="50">
        <v>1872500</v>
      </c>
      <c r="O307" s="50">
        <v>2352500</v>
      </c>
      <c r="P307" s="50">
        <v>2352500</v>
      </c>
      <c r="Q307" s="50">
        <v>2640900</v>
      </c>
      <c r="R307" s="50">
        <v>2640900</v>
      </c>
      <c r="S307" s="50">
        <v>2640900</v>
      </c>
      <c r="T307" s="50">
        <v>2640900</v>
      </c>
      <c r="U307" s="50">
        <v>2640900</v>
      </c>
      <c r="V307" s="50">
        <v>2640900</v>
      </c>
      <c r="W307" s="50">
        <v>2672500</v>
      </c>
      <c r="X307" s="50">
        <v>2672500</v>
      </c>
      <c r="Y307" s="50">
        <v>2672500</v>
      </c>
      <c r="Z307" s="50">
        <v>2754900</v>
      </c>
      <c r="AA307" s="50">
        <v>2754900</v>
      </c>
      <c r="AB307" s="50">
        <v>2754900</v>
      </c>
      <c r="AC307" s="26">
        <f t="shared" si="8"/>
        <v>8392900</v>
      </c>
      <c r="AD307" s="26">
        <f t="shared" si="9"/>
        <v>32127600</v>
      </c>
      <c r="AE307" s="50">
        <v>33323400</v>
      </c>
      <c r="AF307" s="50">
        <v>34400100</v>
      </c>
      <c r="AG307" s="53" t="s">
        <v>55</v>
      </c>
    </row>
    <row r="308" spans="1:33" ht="15" customHeight="1">
      <c r="A308" s="46" t="s">
        <v>91</v>
      </c>
      <c r="B308" s="3" t="str">
        <f>_xlfn.IFNA(VLOOKUP(C308,Master!$J:$K,2,0),"")</f>
        <v>B2220</v>
      </c>
      <c r="C308" s="46" t="s">
        <v>83</v>
      </c>
      <c r="D308" s="4" t="str">
        <f>_xlfn.IFNA(VLOOKUP(E308,Master!$J:$K,2,0),"")</f>
        <v>B2230</v>
      </c>
      <c r="E308" s="46" t="s">
        <v>89</v>
      </c>
      <c r="F308" s="4">
        <f>_xlfn.IFNA(VLOOKUP(G308,Master!B:C,2,0),"")</f>
        <v>7511122</v>
      </c>
      <c r="G308" s="46" t="s">
        <v>92</v>
      </c>
      <c r="H308" s="46" t="s">
        <v>543</v>
      </c>
      <c r="I308" s="3" t="str">
        <f>_xlfn.IFNA(VLOOKUP(E308,Master!$J:$M,4,0),"")</f>
        <v>ADM</v>
      </c>
      <c r="J308" s="3" t="str">
        <f>_xlfn.IFNA(VLOOKUP($E308,Master!$J:$M,3,0),"")</f>
        <v>SGA</v>
      </c>
      <c r="M308" s="50">
        <v>1535100</v>
      </c>
      <c r="N308" s="50">
        <v>1606000</v>
      </c>
      <c r="O308" s="50">
        <v>1606000</v>
      </c>
      <c r="P308" s="50">
        <v>1606000</v>
      </c>
      <c r="Q308" s="50">
        <v>1606000</v>
      </c>
      <c r="R308" s="50">
        <v>1606000</v>
      </c>
      <c r="S308" s="50">
        <v>1606000</v>
      </c>
      <c r="T308" s="50">
        <v>1606000</v>
      </c>
      <c r="U308" s="50">
        <v>1606000</v>
      </c>
      <c r="V308" s="50">
        <v>1606000</v>
      </c>
      <c r="W308" s="50">
        <v>1606000</v>
      </c>
      <c r="X308" s="50">
        <v>1606000</v>
      </c>
      <c r="Y308" s="50">
        <v>1606000</v>
      </c>
      <c r="Z308" s="50">
        <v>1666500</v>
      </c>
      <c r="AA308" s="50">
        <v>1666500</v>
      </c>
      <c r="AB308" s="50">
        <v>1666500</v>
      </c>
      <c r="AC308" s="26">
        <f t="shared" si="8"/>
        <v>6353100</v>
      </c>
      <c r="AD308" s="26">
        <f t="shared" si="9"/>
        <v>19453500</v>
      </c>
      <c r="AE308" s="50">
        <v>20140500</v>
      </c>
      <c r="AF308" s="50">
        <v>21192600</v>
      </c>
      <c r="AG308" s="53" t="s">
        <v>55</v>
      </c>
    </row>
    <row r="309" spans="1:33" ht="15" customHeight="1">
      <c r="A309" s="46" t="s">
        <v>91</v>
      </c>
      <c r="B309" s="3" t="str">
        <f>_xlfn.IFNA(VLOOKUP(C309,Master!$J:$K,2,0),"")</f>
        <v>B2220</v>
      </c>
      <c r="C309" s="46" t="s">
        <v>83</v>
      </c>
      <c r="D309" s="4" t="str">
        <f>_xlfn.IFNA(VLOOKUP(E309,Master!$J:$K,2,0),"")</f>
        <v>B2300</v>
      </c>
      <c r="E309" s="46" t="s">
        <v>95</v>
      </c>
      <c r="F309" s="4">
        <f>_xlfn.IFNA(VLOOKUP(G309,Master!B:C,2,0),"")</f>
        <v>7511122</v>
      </c>
      <c r="G309" s="46" t="s">
        <v>92</v>
      </c>
      <c r="H309" s="46" t="s">
        <v>543</v>
      </c>
      <c r="I309" s="3" t="str">
        <f>_xlfn.IFNA(VLOOKUP(E309,Master!$J:$M,4,0),"")</f>
        <v>ADM</v>
      </c>
      <c r="J309" s="3" t="str">
        <f>_xlfn.IFNA(VLOOKUP($E309,Master!$J:$M,3,0),"")</f>
        <v>SGA</v>
      </c>
      <c r="M309" s="50">
        <v>3299500</v>
      </c>
      <c r="N309" s="50">
        <v>3359700</v>
      </c>
      <c r="O309" s="50">
        <v>3359700</v>
      </c>
      <c r="P309" s="50">
        <v>3359700</v>
      </c>
      <c r="Q309" s="50">
        <v>3571400</v>
      </c>
      <c r="R309" s="50">
        <v>3571400</v>
      </c>
      <c r="S309" s="50">
        <v>3571400</v>
      </c>
      <c r="T309" s="50">
        <v>3571400</v>
      </c>
      <c r="U309" s="50">
        <v>3571400</v>
      </c>
      <c r="V309" s="50">
        <v>3571400</v>
      </c>
      <c r="W309" s="50">
        <v>3571400</v>
      </c>
      <c r="X309" s="50">
        <v>3571400</v>
      </c>
      <c r="Y309" s="50">
        <v>3571400</v>
      </c>
      <c r="Z309" s="50">
        <v>3643700</v>
      </c>
      <c r="AA309" s="50">
        <v>3643700</v>
      </c>
      <c r="AB309" s="50">
        <v>3643700</v>
      </c>
      <c r="AC309" s="26">
        <f t="shared" si="8"/>
        <v>13378600</v>
      </c>
      <c r="AD309" s="26">
        <f t="shared" si="9"/>
        <v>43073700</v>
      </c>
      <c r="AE309" s="50">
        <v>45045900</v>
      </c>
      <c r="AF309" s="50">
        <v>46135800</v>
      </c>
      <c r="AG309" s="53" t="s">
        <v>55</v>
      </c>
    </row>
    <row r="310" spans="1:33" ht="15" customHeight="1">
      <c r="A310" s="46" t="s">
        <v>91</v>
      </c>
      <c r="B310" s="3" t="str">
        <f>_xlfn.IFNA(VLOOKUP(C310,Master!$J:$K,2,0),"")</f>
        <v>B2220</v>
      </c>
      <c r="C310" s="46" t="s">
        <v>83</v>
      </c>
      <c r="D310" s="4" t="str">
        <f>_xlfn.IFNA(VLOOKUP(E310,Master!$J:$K,2,0),"")</f>
        <v>B2400</v>
      </c>
      <c r="E310" s="46" t="s">
        <v>101</v>
      </c>
      <c r="F310" s="4">
        <f>_xlfn.IFNA(VLOOKUP(G310,Master!B:C,2,0),"")</f>
        <v>7511122</v>
      </c>
      <c r="G310" s="46" t="s">
        <v>92</v>
      </c>
      <c r="H310" s="46" t="s">
        <v>543</v>
      </c>
      <c r="I310" s="3" t="str">
        <f>_xlfn.IFNA(VLOOKUP(E310,Master!$J:$M,4,0),"")</f>
        <v>ADM</v>
      </c>
      <c r="J310" s="3" t="str">
        <f>_xlfn.IFNA(VLOOKUP($E310,Master!$J:$M,3,0),"")</f>
        <v>SGA</v>
      </c>
      <c r="M310" s="50">
        <v>1664100</v>
      </c>
      <c r="N310" s="50">
        <v>1744000</v>
      </c>
      <c r="O310" s="50">
        <v>1744000</v>
      </c>
      <c r="P310" s="50">
        <v>1744000</v>
      </c>
      <c r="Q310" s="50">
        <v>1744000</v>
      </c>
      <c r="R310" s="50">
        <v>1744000</v>
      </c>
      <c r="S310" s="50">
        <v>1744000</v>
      </c>
      <c r="T310" s="50">
        <v>1744000</v>
      </c>
      <c r="U310" s="50">
        <v>1744000</v>
      </c>
      <c r="V310" s="50">
        <v>1744000</v>
      </c>
      <c r="W310" s="50">
        <v>1744000</v>
      </c>
      <c r="X310" s="50">
        <v>1744000</v>
      </c>
      <c r="Y310" s="50">
        <v>1744000</v>
      </c>
      <c r="Z310" s="50">
        <v>1829400</v>
      </c>
      <c r="AA310" s="50">
        <v>1829400</v>
      </c>
      <c r="AB310" s="50">
        <v>1829400</v>
      </c>
      <c r="AC310" s="26">
        <f t="shared" si="8"/>
        <v>6896100</v>
      </c>
      <c r="AD310" s="26">
        <f t="shared" si="9"/>
        <v>21184200</v>
      </c>
      <c r="AE310" s="50">
        <v>22156200</v>
      </c>
      <c r="AF310" s="50">
        <v>22834800</v>
      </c>
      <c r="AG310" s="53" t="s">
        <v>55</v>
      </c>
    </row>
    <row r="311" spans="1:33" ht="15" customHeight="1">
      <c r="A311" s="46" t="s">
        <v>91</v>
      </c>
      <c r="B311" s="3" t="str">
        <f>_xlfn.IFNA(VLOOKUP(C311,Master!$J:$K,2,0),"")</f>
        <v>B2220</v>
      </c>
      <c r="C311" s="46" t="s">
        <v>83</v>
      </c>
      <c r="D311" s="4" t="str">
        <f>_xlfn.IFNA(VLOOKUP(E311,Master!$J:$K,2,0),"")</f>
        <v>B3110</v>
      </c>
      <c r="E311" s="46" t="s">
        <v>117</v>
      </c>
      <c r="F311" s="4">
        <f>_xlfn.IFNA(VLOOKUP(G311,Master!B:C,2,0),"")</f>
        <v>7511122</v>
      </c>
      <c r="G311" s="46" t="s">
        <v>92</v>
      </c>
      <c r="H311" s="46" t="s">
        <v>543</v>
      </c>
      <c r="I311" s="3" t="str">
        <f>_xlfn.IFNA(VLOOKUP(E311,Master!$J:$M,4,0),"")</f>
        <v>ADM</v>
      </c>
      <c r="J311" s="3" t="str">
        <f>_xlfn.IFNA(VLOOKUP($E311,Master!$J:$M,3,0),"")</f>
        <v>SGA</v>
      </c>
      <c r="M311" s="50">
        <v>2598000</v>
      </c>
      <c r="N311" s="50">
        <v>2740500</v>
      </c>
      <c r="O311" s="50">
        <v>2740500</v>
      </c>
      <c r="P311" s="50">
        <v>2740500</v>
      </c>
      <c r="Q311" s="50">
        <v>2773200</v>
      </c>
      <c r="R311" s="50">
        <v>2773200</v>
      </c>
      <c r="S311" s="50">
        <v>2773200</v>
      </c>
      <c r="T311" s="50">
        <v>2773200</v>
      </c>
      <c r="U311" s="50">
        <v>2773200</v>
      </c>
      <c r="V311" s="50">
        <v>2773200</v>
      </c>
      <c r="W311" s="50">
        <v>2773200</v>
      </c>
      <c r="X311" s="50">
        <v>2773200</v>
      </c>
      <c r="Y311" s="50">
        <v>2773200</v>
      </c>
      <c r="Z311" s="50">
        <v>2903100</v>
      </c>
      <c r="AA311" s="50">
        <v>2903100</v>
      </c>
      <c r="AB311" s="50">
        <v>2903100</v>
      </c>
      <c r="AC311" s="26">
        <f t="shared" si="8"/>
        <v>10819500</v>
      </c>
      <c r="AD311" s="26">
        <f t="shared" si="9"/>
        <v>33668100</v>
      </c>
      <c r="AE311" s="50">
        <v>35230500</v>
      </c>
      <c r="AF311" s="50">
        <v>36831600</v>
      </c>
      <c r="AG311" s="53" t="s">
        <v>55</v>
      </c>
    </row>
    <row r="312" spans="1:33" ht="15" customHeight="1">
      <c r="A312" s="46" t="s">
        <v>91</v>
      </c>
      <c r="B312" s="3" t="str">
        <f>_xlfn.IFNA(VLOOKUP(C312,Master!$J:$K,2,0),"")</f>
        <v>B2220</v>
      </c>
      <c r="C312" s="46" t="s">
        <v>83</v>
      </c>
      <c r="D312" s="4" t="str">
        <f>_xlfn.IFNA(VLOOKUP(E312,Master!$J:$K,2,0),"")</f>
        <v>B3120</v>
      </c>
      <c r="E312" s="46" t="s">
        <v>122</v>
      </c>
      <c r="F312" s="4">
        <f>_xlfn.IFNA(VLOOKUP(G312,Master!B:C,2,0),"")</f>
        <v>7511122</v>
      </c>
      <c r="G312" s="46" t="s">
        <v>92</v>
      </c>
      <c r="H312" s="46" t="s">
        <v>543</v>
      </c>
      <c r="I312" s="3" t="str">
        <f>_xlfn.IFNA(VLOOKUP(E312,Master!$J:$M,4,0),"")</f>
        <v>ADM</v>
      </c>
      <c r="J312" s="3" t="str">
        <f>_xlfn.IFNA(VLOOKUP($E312,Master!$J:$M,3,0),"")</f>
        <v>SGA</v>
      </c>
      <c r="M312" s="50">
        <v>446000</v>
      </c>
      <c r="N312" s="50">
        <v>476200</v>
      </c>
      <c r="O312" s="50">
        <v>476200</v>
      </c>
      <c r="P312" s="50">
        <v>476200</v>
      </c>
      <c r="Q312" s="50">
        <v>476200</v>
      </c>
      <c r="R312" s="50">
        <v>476200</v>
      </c>
      <c r="S312" s="50">
        <v>476200</v>
      </c>
      <c r="T312" s="50">
        <v>476200</v>
      </c>
      <c r="U312" s="50">
        <v>476200</v>
      </c>
      <c r="V312" s="50">
        <v>476200</v>
      </c>
      <c r="W312" s="50">
        <v>476200</v>
      </c>
      <c r="X312" s="50">
        <v>476200</v>
      </c>
      <c r="Y312" s="50">
        <v>476200</v>
      </c>
      <c r="Z312" s="50">
        <v>480000</v>
      </c>
      <c r="AA312" s="50">
        <v>480000</v>
      </c>
      <c r="AB312" s="50">
        <v>480000</v>
      </c>
      <c r="AC312" s="26">
        <f t="shared" si="8"/>
        <v>1874600</v>
      </c>
      <c r="AD312" s="26">
        <f t="shared" si="9"/>
        <v>5725800</v>
      </c>
      <c r="AE312" s="50">
        <v>5760000</v>
      </c>
      <c r="AF312" s="50">
        <v>5760000</v>
      </c>
      <c r="AG312" s="53" t="s">
        <v>55</v>
      </c>
    </row>
    <row r="313" spans="1:33" ht="15" customHeight="1">
      <c r="A313" s="46" t="s">
        <v>91</v>
      </c>
      <c r="B313" s="3" t="str">
        <f>_xlfn.IFNA(VLOOKUP(C313,Master!$J:$K,2,0),"")</f>
        <v>B2220</v>
      </c>
      <c r="C313" s="46" t="s">
        <v>83</v>
      </c>
      <c r="D313" s="4" t="str">
        <f>_xlfn.IFNA(VLOOKUP(E313,Master!$J:$K,2,0),"")</f>
        <v>B3130</v>
      </c>
      <c r="E313" s="46" t="s">
        <v>127</v>
      </c>
      <c r="F313" s="4">
        <f>_xlfn.IFNA(VLOOKUP(G313,Master!B:C,2,0),"")</f>
        <v>7511122</v>
      </c>
      <c r="G313" s="46" t="s">
        <v>92</v>
      </c>
      <c r="H313" s="46" t="s">
        <v>543</v>
      </c>
      <c r="I313" s="3" t="str">
        <f>_xlfn.IFNA(VLOOKUP(E313,Master!$J:$M,4,0),"")</f>
        <v>ADM</v>
      </c>
      <c r="J313" s="3" t="str">
        <f>_xlfn.IFNA(VLOOKUP($E313,Master!$J:$M,3,0),"")</f>
        <v>SGA</v>
      </c>
      <c r="M313" s="50">
        <v>3954100</v>
      </c>
      <c r="N313" s="50">
        <v>4058000</v>
      </c>
      <c r="O313" s="50">
        <v>4634800</v>
      </c>
      <c r="P313" s="50">
        <v>4634800</v>
      </c>
      <c r="Q313" s="50">
        <v>5245600</v>
      </c>
      <c r="R313" s="50">
        <v>5245600</v>
      </c>
      <c r="S313" s="50">
        <v>5245600</v>
      </c>
      <c r="T313" s="50">
        <v>5245600</v>
      </c>
      <c r="U313" s="50">
        <v>5245600</v>
      </c>
      <c r="V313" s="50">
        <v>5245600</v>
      </c>
      <c r="W313" s="50">
        <v>5245600</v>
      </c>
      <c r="X313" s="50">
        <v>5245600</v>
      </c>
      <c r="Y313" s="50">
        <v>5245600</v>
      </c>
      <c r="Z313" s="50">
        <v>5435500</v>
      </c>
      <c r="AA313" s="50">
        <v>5435500</v>
      </c>
      <c r="AB313" s="50">
        <v>5435500</v>
      </c>
      <c r="AC313" s="26">
        <f t="shared" si="8"/>
        <v>17281700</v>
      </c>
      <c r="AD313" s="26">
        <f t="shared" si="9"/>
        <v>63516900</v>
      </c>
      <c r="AE313" s="50">
        <v>65838000</v>
      </c>
      <c r="AF313" s="50">
        <v>68325900</v>
      </c>
      <c r="AG313" s="53" t="s">
        <v>55</v>
      </c>
    </row>
    <row r="314" spans="1:33" ht="15" customHeight="1">
      <c r="A314" s="46" t="s">
        <v>91</v>
      </c>
      <c r="B314" s="3" t="str">
        <f>_xlfn.IFNA(VLOOKUP(C314,Master!$J:$K,2,0),"")</f>
        <v>B2220</v>
      </c>
      <c r="C314" s="46" t="s">
        <v>83</v>
      </c>
      <c r="D314" s="4" t="str">
        <f>_xlfn.IFNA(VLOOKUP(E314,Master!$J:$K,2,0),"")</f>
        <v>B3150</v>
      </c>
      <c r="E314" s="46" t="s">
        <v>259</v>
      </c>
      <c r="F314" s="4">
        <f>_xlfn.IFNA(VLOOKUP(G314,Master!B:C,2,0),"")</f>
        <v>7511122</v>
      </c>
      <c r="G314" s="46" t="s">
        <v>92</v>
      </c>
      <c r="H314" s="46" t="s">
        <v>543</v>
      </c>
      <c r="I314" s="3" t="str">
        <f>_xlfn.IFNA(VLOOKUP(E314,Master!$J:$M,4,0),"")</f>
        <v>ADM</v>
      </c>
      <c r="J314" s="3" t="str">
        <f>_xlfn.IFNA(VLOOKUP($E314,Master!$J:$M,3,0),"")</f>
        <v>SGA</v>
      </c>
      <c r="M314" s="50">
        <v>6001400</v>
      </c>
      <c r="N314" s="50">
        <v>5805100</v>
      </c>
      <c r="O314" s="50">
        <v>5805100</v>
      </c>
      <c r="P314" s="50">
        <v>5805100</v>
      </c>
      <c r="Q314" s="50">
        <v>5862500</v>
      </c>
      <c r="R314" s="50">
        <v>5862500</v>
      </c>
      <c r="S314" s="50">
        <v>5862500</v>
      </c>
      <c r="T314" s="50">
        <v>5862500</v>
      </c>
      <c r="U314" s="50">
        <v>5862500</v>
      </c>
      <c r="V314" s="50">
        <v>5862500</v>
      </c>
      <c r="W314" s="50">
        <v>5889400</v>
      </c>
      <c r="X314" s="50">
        <v>5889400</v>
      </c>
      <c r="Y314" s="50">
        <v>5889400</v>
      </c>
      <c r="Z314" s="50">
        <v>6131500</v>
      </c>
      <c r="AA314" s="50">
        <v>6131500</v>
      </c>
      <c r="AB314" s="50">
        <v>6131500</v>
      </c>
      <c r="AC314" s="26">
        <f t="shared" si="8"/>
        <v>23416700</v>
      </c>
      <c r="AD314" s="26">
        <f t="shared" si="9"/>
        <v>71237700</v>
      </c>
      <c r="AE314" s="50">
        <v>74527800</v>
      </c>
      <c r="AF314" s="50">
        <v>77852100</v>
      </c>
      <c r="AG314" s="53" t="s">
        <v>55</v>
      </c>
    </row>
    <row r="315" spans="1:33" ht="15" customHeight="1">
      <c r="A315" s="46" t="s">
        <v>91</v>
      </c>
      <c r="B315" s="3" t="str">
        <f>_xlfn.IFNA(VLOOKUP(C315,Master!$J:$K,2,0),"")</f>
        <v>B2220</v>
      </c>
      <c r="C315" s="46" t="s">
        <v>83</v>
      </c>
      <c r="D315" s="4" t="str">
        <f>_xlfn.IFNA(VLOOKUP(E315,Master!$J:$K,2,0),"")</f>
        <v>B3160</v>
      </c>
      <c r="E315" s="46" t="s">
        <v>112</v>
      </c>
      <c r="F315" s="4">
        <f>_xlfn.IFNA(VLOOKUP(G315,Master!B:C,2,0),"")</f>
        <v>7511122</v>
      </c>
      <c r="G315" s="46" t="s">
        <v>92</v>
      </c>
      <c r="H315" s="46" t="s">
        <v>543</v>
      </c>
      <c r="I315" s="3" t="str">
        <f>_xlfn.IFNA(VLOOKUP(E315,Master!$J:$M,4,0),"")</f>
        <v>ADM</v>
      </c>
      <c r="J315" s="3" t="str">
        <f>_xlfn.IFNA(VLOOKUP($E315,Master!$J:$M,3,0),"")</f>
        <v>SGA</v>
      </c>
      <c r="M315" s="50">
        <v>2728700</v>
      </c>
      <c r="N315" s="50">
        <v>2815100</v>
      </c>
      <c r="O315" s="50">
        <v>2815100</v>
      </c>
      <c r="P315" s="50">
        <v>2815100</v>
      </c>
      <c r="Q315" s="50">
        <v>2815100</v>
      </c>
      <c r="R315" s="50">
        <v>2815100</v>
      </c>
      <c r="S315" s="50">
        <v>2815100</v>
      </c>
      <c r="T315" s="50">
        <v>2815100</v>
      </c>
      <c r="U315" s="50">
        <v>2815100</v>
      </c>
      <c r="V315" s="50">
        <v>2815100</v>
      </c>
      <c r="W315" s="50">
        <v>2815100</v>
      </c>
      <c r="X315" s="50">
        <v>2815100</v>
      </c>
      <c r="Y315" s="50">
        <v>2815100</v>
      </c>
      <c r="Z315" s="50">
        <v>2907400</v>
      </c>
      <c r="AA315" s="50">
        <v>2907400</v>
      </c>
      <c r="AB315" s="50">
        <v>2907400</v>
      </c>
      <c r="AC315" s="26">
        <f t="shared" si="8"/>
        <v>11174000</v>
      </c>
      <c r="AD315" s="26">
        <f t="shared" si="9"/>
        <v>34058100</v>
      </c>
      <c r="AE315" s="50">
        <v>35111700</v>
      </c>
      <c r="AF315" s="50">
        <v>35994000</v>
      </c>
      <c r="AG315" s="53" t="s">
        <v>55</v>
      </c>
    </row>
    <row r="316" spans="1:33" ht="15" customHeight="1">
      <c r="A316" s="46" t="s">
        <v>91</v>
      </c>
      <c r="B316" s="3" t="str">
        <f>_xlfn.IFNA(VLOOKUP(C316,Master!$J:$K,2,0),"")</f>
        <v>B2220</v>
      </c>
      <c r="C316" s="46" t="s">
        <v>83</v>
      </c>
      <c r="D316" s="4" t="str">
        <f>_xlfn.IFNA(VLOOKUP(E316,Master!$J:$K,2,0),"")</f>
        <v>B4101</v>
      </c>
      <c r="E316" s="46" t="s">
        <v>132</v>
      </c>
      <c r="F316" s="4">
        <f>_xlfn.IFNA(VLOOKUP(G316,Master!B:C,2,0),"")</f>
        <v>7511122</v>
      </c>
      <c r="G316" s="46" t="s">
        <v>92</v>
      </c>
      <c r="H316" s="46" t="s">
        <v>543</v>
      </c>
      <c r="I316" s="3" t="str">
        <f>_xlfn.IFNA(VLOOKUP(E316,Master!$J:$M,4,0),"")</f>
        <v>DIR</v>
      </c>
      <c r="J316" s="3" t="str">
        <f>_xlfn.IFNA(VLOOKUP($E316,Master!$J:$M,3,0),"")</f>
        <v>MFG</v>
      </c>
      <c r="M316" s="50">
        <v>1988500</v>
      </c>
      <c r="N316" s="50">
        <v>2121700</v>
      </c>
      <c r="O316" s="50">
        <v>2121700</v>
      </c>
      <c r="P316" s="50">
        <v>2121700</v>
      </c>
      <c r="Q316" s="50">
        <v>2121700</v>
      </c>
      <c r="R316" s="50">
        <v>2121700</v>
      </c>
      <c r="S316" s="50">
        <v>2121700</v>
      </c>
      <c r="T316" s="50">
        <v>2121700</v>
      </c>
      <c r="U316" s="50">
        <v>2121700</v>
      </c>
      <c r="V316" s="50">
        <v>2121700</v>
      </c>
      <c r="W316" s="50">
        <v>2121700</v>
      </c>
      <c r="X316" s="50">
        <v>2121700</v>
      </c>
      <c r="Y316" s="50">
        <v>2121700</v>
      </c>
      <c r="Z316" s="50">
        <v>2264200</v>
      </c>
      <c r="AA316" s="50">
        <v>2264200</v>
      </c>
      <c r="AB316" s="50">
        <v>2264200</v>
      </c>
      <c r="AC316" s="26">
        <f t="shared" si="8"/>
        <v>8353600</v>
      </c>
      <c r="AD316" s="26">
        <f t="shared" si="9"/>
        <v>25887900</v>
      </c>
      <c r="AE316" s="50">
        <v>27514200</v>
      </c>
      <c r="AF316" s="50">
        <v>27093300</v>
      </c>
      <c r="AG316" s="53" t="s">
        <v>55</v>
      </c>
    </row>
    <row r="317" spans="1:33" ht="15" customHeight="1">
      <c r="A317" s="46" t="s">
        <v>91</v>
      </c>
      <c r="B317" s="3" t="str">
        <f>_xlfn.IFNA(VLOOKUP(C317,Master!$J:$K,2,0),"")</f>
        <v>B2220</v>
      </c>
      <c r="C317" s="46" t="s">
        <v>83</v>
      </c>
      <c r="D317" s="4" t="str">
        <f>_xlfn.IFNA(VLOOKUP(E317,Master!$J:$K,2,0),"")</f>
        <v>B4102</v>
      </c>
      <c r="E317" s="46" t="s">
        <v>139</v>
      </c>
      <c r="F317" s="4">
        <f>_xlfn.IFNA(VLOOKUP(G317,Master!B:C,2,0),"")</f>
        <v>7511122</v>
      </c>
      <c r="G317" s="46" t="s">
        <v>92</v>
      </c>
      <c r="H317" s="46" t="s">
        <v>543</v>
      </c>
      <c r="I317" s="3" t="str">
        <f>_xlfn.IFNA(VLOOKUP(E317,Master!$J:$M,4,0),"")</f>
        <v>DIR</v>
      </c>
      <c r="J317" s="3" t="str">
        <f>_xlfn.IFNA(VLOOKUP($E317,Master!$J:$M,3,0),"")</f>
        <v>MFG</v>
      </c>
      <c r="M317" s="50">
        <v>4910200</v>
      </c>
      <c r="N317" s="50">
        <v>5238200</v>
      </c>
      <c r="O317" s="50">
        <v>5238200</v>
      </c>
      <c r="P317" s="50">
        <v>5238200</v>
      </c>
      <c r="Q317" s="50">
        <v>4994900</v>
      </c>
      <c r="R317" s="50">
        <v>4994900</v>
      </c>
      <c r="S317" s="50">
        <v>4994900</v>
      </c>
      <c r="T317" s="50">
        <v>4994900</v>
      </c>
      <c r="U317" s="50">
        <v>4994900</v>
      </c>
      <c r="V317" s="50">
        <v>4994900</v>
      </c>
      <c r="W317" s="50">
        <v>5062300</v>
      </c>
      <c r="X317" s="50">
        <v>5062300</v>
      </c>
      <c r="Y317" s="50">
        <v>5062300</v>
      </c>
      <c r="Z317" s="50">
        <v>5400200</v>
      </c>
      <c r="AA317" s="50">
        <v>5400200</v>
      </c>
      <c r="AB317" s="50">
        <v>5400200</v>
      </c>
      <c r="AC317" s="26">
        <f t="shared" si="8"/>
        <v>20624800</v>
      </c>
      <c r="AD317" s="26">
        <f t="shared" si="9"/>
        <v>61356900</v>
      </c>
      <c r="AE317" s="50">
        <v>65446500</v>
      </c>
      <c r="AF317" s="50">
        <v>66028500</v>
      </c>
      <c r="AG317" s="53" t="s">
        <v>55</v>
      </c>
    </row>
    <row r="318" spans="1:33" ht="15" customHeight="1">
      <c r="A318" s="46" t="s">
        <v>91</v>
      </c>
      <c r="B318" s="3" t="str">
        <f>_xlfn.IFNA(VLOOKUP(C318,Master!$J:$K,2,0),"")</f>
        <v>B2220</v>
      </c>
      <c r="C318" s="46" t="s">
        <v>83</v>
      </c>
      <c r="D318" s="4" t="str">
        <f>_xlfn.IFNA(VLOOKUP(E318,Master!$J:$K,2,0),"")</f>
        <v>B4103</v>
      </c>
      <c r="E318" s="46" t="s">
        <v>144</v>
      </c>
      <c r="F318" s="4">
        <f>_xlfn.IFNA(VLOOKUP(G318,Master!B:C,2,0),"")</f>
        <v>7511122</v>
      </c>
      <c r="G318" s="46" t="s">
        <v>92</v>
      </c>
      <c r="H318" s="46" t="s">
        <v>543</v>
      </c>
      <c r="I318" s="3" t="str">
        <f>_xlfn.IFNA(VLOOKUP(E318,Master!$J:$M,4,0),"")</f>
        <v>DIR</v>
      </c>
      <c r="J318" s="3" t="str">
        <f>_xlfn.IFNA(VLOOKUP($E318,Master!$J:$M,3,0),"")</f>
        <v>MFG</v>
      </c>
      <c r="M318" s="50">
        <v>3089400</v>
      </c>
      <c r="N318" s="50">
        <v>3295700</v>
      </c>
      <c r="O318" s="50">
        <v>3295700</v>
      </c>
      <c r="P318" s="50">
        <v>3295700</v>
      </c>
      <c r="Q318" s="50">
        <v>3295700</v>
      </c>
      <c r="R318" s="50">
        <v>3295700</v>
      </c>
      <c r="S318" s="50">
        <v>3295700</v>
      </c>
      <c r="T318" s="50">
        <v>3295700</v>
      </c>
      <c r="U318" s="50">
        <v>3295700</v>
      </c>
      <c r="V318" s="50">
        <v>3295700</v>
      </c>
      <c r="W318" s="50">
        <v>3295700</v>
      </c>
      <c r="X318" s="50">
        <v>3295700</v>
      </c>
      <c r="Y318" s="50">
        <v>3295700</v>
      </c>
      <c r="Z318" s="50">
        <v>3514900</v>
      </c>
      <c r="AA318" s="50">
        <v>3514900</v>
      </c>
      <c r="AB318" s="50">
        <v>3514900</v>
      </c>
      <c r="AC318" s="26">
        <f t="shared" si="8"/>
        <v>12976500</v>
      </c>
      <c r="AD318" s="26">
        <f t="shared" si="9"/>
        <v>40206000</v>
      </c>
      <c r="AE318" s="50">
        <v>42788700</v>
      </c>
      <c r="AF318" s="50">
        <v>45271200</v>
      </c>
      <c r="AG318" s="53" t="s">
        <v>55</v>
      </c>
    </row>
    <row r="319" spans="1:33" ht="15" customHeight="1">
      <c r="A319" s="46" t="s">
        <v>91</v>
      </c>
      <c r="B319" s="3" t="str">
        <f>_xlfn.IFNA(VLOOKUP(C319,Master!$J:$K,2,0),"")</f>
        <v>B2220</v>
      </c>
      <c r="C319" s="46" t="s">
        <v>83</v>
      </c>
      <c r="D319" s="4" t="str">
        <f>_xlfn.IFNA(VLOOKUP(E319,Master!$J:$K,2,0),"")</f>
        <v>B4105</v>
      </c>
      <c r="E319" s="46" t="s">
        <v>149</v>
      </c>
      <c r="F319" s="4">
        <f>_xlfn.IFNA(VLOOKUP(G319,Master!B:C,2,0),"")</f>
        <v>7511122</v>
      </c>
      <c r="G319" s="46" t="s">
        <v>92</v>
      </c>
      <c r="H319" s="46" t="s">
        <v>543</v>
      </c>
      <c r="I319" s="3" t="str">
        <f>_xlfn.IFNA(VLOOKUP(E319,Master!$J:$M,4,0),"")</f>
        <v>DIR</v>
      </c>
      <c r="J319" s="3" t="str">
        <f>_xlfn.IFNA(VLOOKUP($E319,Master!$J:$M,3,0),"")</f>
        <v>MFG</v>
      </c>
      <c r="M319" s="50">
        <v>3790900</v>
      </c>
      <c r="N319" s="50">
        <v>4044300</v>
      </c>
      <c r="O319" s="50">
        <v>4044300</v>
      </c>
      <c r="P319" s="50">
        <v>4044300</v>
      </c>
      <c r="Q319" s="50">
        <v>4044300</v>
      </c>
      <c r="R319" s="50">
        <v>4044300</v>
      </c>
      <c r="S319" s="50">
        <v>4044300</v>
      </c>
      <c r="T319" s="50">
        <v>4044300</v>
      </c>
      <c r="U319" s="50">
        <v>4044300</v>
      </c>
      <c r="V319" s="50">
        <v>4044300</v>
      </c>
      <c r="W319" s="50">
        <v>3467200</v>
      </c>
      <c r="X319" s="50">
        <v>3467200</v>
      </c>
      <c r="Y319" s="50">
        <v>3467200</v>
      </c>
      <c r="Z319" s="50">
        <v>3700000</v>
      </c>
      <c r="AA319" s="50">
        <v>3700000</v>
      </c>
      <c r="AB319" s="50">
        <v>3700000</v>
      </c>
      <c r="AC319" s="26">
        <f t="shared" si="8"/>
        <v>15923800</v>
      </c>
      <c r="AD319" s="26">
        <f t="shared" si="9"/>
        <v>45767400</v>
      </c>
      <c r="AE319" s="50">
        <v>45073800</v>
      </c>
      <c r="AF319" s="50">
        <v>46986900</v>
      </c>
      <c r="AG319" s="53" t="s">
        <v>55</v>
      </c>
    </row>
    <row r="320" spans="1:33" ht="15" customHeight="1">
      <c r="A320" s="46" t="s">
        <v>91</v>
      </c>
      <c r="B320" s="3" t="str">
        <f>_xlfn.IFNA(VLOOKUP(C320,Master!$J:$K,2,0),"")</f>
        <v>B2220</v>
      </c>
      <c r="C320" s="46" t="s">
        <v>83</v>
      </c>
      <c r="D320" s="4" t="str">
        <f>_xlfn.IFNA(VLOOKUP(E320,Master!$J:$K,2,0),"")</f>
        <v>B4110</v>
      </c>
      <c r="E320" s="46" t="s">
        <v>162</v>
      </c>
      <c r="F320" s="4">
        <f>_xlfn.IFNA(VLOOKUP(G320,Master!B:C,2,0),"")</f>
        <v>7511122</v>
      </c>
      <c r="G320" s="46" t="s">
        <v>92</v>
      </c>
      <c r="H320" s="46" t="s">
        <v>543</v>
      </c>
      <c r="I320" s="3" t="str">
        <f>_xlfn.IFNA(VLOOKUP(E320,Master!$J:$M,4,0),"")</f>
        <v>DIR</v>
      </c>
      <c r="J320" s="3" t="str">
        <f>_xlfn.IFNA(VLOOKUP($E320,Master!$J:$M,3,0),"")</f>
        <v>MFG</v>
      </c>
      <c r="M320" s="50">
        <v>9604600</v>
      </c>
      <c r="N320" s="50">
        <v>10141400</v>
      </c>
      <c r="O320" s="50">
        <v>10141400</v>
      </c>
      <c r="P320" s="50">
        <v>10141400</v>
      </c>
      <c r="Q320" s="50">
        <v>10141400</v>
      </c>
      <c r="R320" s="50">
        <v>10141400</v>
      </c>
      <c r="S320" s="50">
        <v>9982200</v>
      </c>
      <c r="T320" s="50">
        <v>6504000</v>
      </c>
      <c r="U320" s="50">
        <v>6504000</v>
      </c>
      <c r="V320" s="50">
        <v>6504000</v>
      </c>
      <c r="W320" s="50">
        <v>6504000</v>
      </c>
      <c r="X320" s="50">
        <v>6504000</v>
      </c>
      <c r="Y320" s="50">
        <v>6504000</v>
      </c>
      <c r="Z320" s="50">
        <v>6941200</v>
      </c>
      <c r="AA320" s="50">
        <v>6941200</v>
      </c>
      <c r="AB320" s="50">
        <v>6941200</v>
      </c>
      <c r="AC320" s="26">
        <f t="shared" si="8"/>
        <v>40028800</v>
      </c>
      <c r="AD320" s="26">
        <f t="shared" si="9"/>
        <v>90112600</v>
      </c>
      <c r="AE320" s="50">
        <v>82630300</v>
      </c>
      <c r="AF320" s="50">
        <v>86806500</v>
      </c>
      <c r="AG320" s="53" t="s">
        <v>55</v>
      </c>
    </row>
    <row r="321" spans="1:33" ht="15" customHeight="1">
      <c r="A321" s="46" t="s">
        <v>91</v>
      </c>
      <c r="B321" s="3" t="str">
        <f>_xlfn.IFNA(VLOOKUP(C321,Master!$J:$K,2,0),"")</f>
        <v>B2220</v>
      </c>
      <c r="C321" s="46" t="s">
        <v>83</v>
      </c>
      <c r="D321" s="4" t="str">
        <f>_xlfn.IFNA(VLOOKUP(E321,Master!$J:$K,2,0),"")</f>
        <v>B4114</v>
      </c>
      <c r="E321" s="46" t="s">
        <v>172</v>
      </c>
      <c r="F321" s="4">
        <f>_xlfn.IFNA(VLOOKUP(G321,Master!B:C,2,0),"")</f>
        <v>7511122</v>
      </c>
      <c r="G321" s="46" t="s">
        <v>92</v>
      </c>
      <c r="H321" s="46" t="s">
        <v>543</v>
      </c>
      <c r="I321" s="3" t="str">
        <f>_xlfn.IFNA(VLOOKUP(E321,Master!$J:$M,4,0),"")</f>
        <v>DIR</v>
      </c>
      <c r="J321" s="3" t="str">
        <f>_xlfn.IFNA(VLOOKUP($E321,Master!$J:$M,3,0),"")</f>
        <v>MFG</v>
      </c>
      <c r="M321" s="50">
        <v>2772500</v>
      </c>
      <c r="N321" s="50">
        <v>2920300</v>
      </c>
      <c r="O321" s="50">
        <v>2920300</v>
      </c>
      <c r="P321" s="50">
        <v>2920300</v>
      </c>
      <c r="Q321" s="50">
        <v>2920300</v>
      </c>
      <c r="R321" s="50">
        <v>2920300</v>
      </c>
      <c r="S321" s="50">
        <v>2614900</v>
      </c>
      <c r="T321" s="50">
        <v>1647400</v>
      </c>
      <c r="U321" s="50">
        <v>1647400</v>
      </c>
      <c r="V321" s="50">
        <v>1647400</v>
      </c>
      <c r="W321" s="50">
        <v>1167400</v>
      </c>
      <c r="X321" s="50">
        <v>1167400</v>
      </c>
      <c r="Y321" s="50">
        <v>1167400</v>
      </c>
      <c r="Z321" s="50">
        <v>1246100</v>
      </c>
      <c r="AA321" s="50">
        <v>1246100</v>
      </c>
      <c r="AB321" s="50">
        <v>1246100</v>
      </c>
      <c r="AC321" s="26">
        <f t="shared" si="8"/>
        <v>11533400</v>
      </c>
      <c r="AD321" s="26">
        <f t="shared" si="9"/>
        <v>20638200</v>
      </c>
      <c r="AE321" s="50">
        <v>15205800</v>
      </c>
      <c r="AF321" s="50">
        <v>16141200</v>
      </c>
      <c r="AG321" s="53" t="s">
        <v>55</v>
      </c>
    </row>
    <row r="322" spans="1:33" ht="15" customHeight="1">
      <c r="A322" s="46" t="s">
        <v>91</v>
      </c>
      <c r="B322" s="3" t="str">
        <f>_xlfn.IFNA(VLOOKUP(C322,Master!$J:$K,2,0),"")</f>
        <v>B2220</v>
      </c>
      <c r="C322" s="46" t="s">
        <v>83</v>
      </c>
      <c r="D322" s="4" t="str">
        <f>_xlfn.IFNA(VLOOKUP(E322,Master!$J:$K,2,0),"")</f>
        <v>B4115</v>
      </c>
      <c r="E322" s="46" t="s">
        <v>167</v>
      </c>
      <c r="F322" s="4">
        <f>_xlfn.IFNA(VLOOKUP(G322,Master!B:C,2,0),"")</f>
        <v>7511122</v>
      </c>
      <c r="G322" s="46" t="s">
        <v>92</v>
      </c>
      <c r="H322" s="46" t="s">
        <v>543</v>
      </c>
      <c r="I322" s="3" t="str">
        <f>_xlfn.IFNA(VLOOKUP(E322,Master!$J:$M,4,0),"")</f>
        <v>DIR</v>
      </c>
      <c r="J322" s="3" t="str">
        <f>_xlfn.IFNA(VLOOKUP($E322,Master!$J:$M,3,0),"")</f>
        <v>MFG</v>
      </c>
      <c r="M322" s="50">
        <v>1735200</v>
      </c>
      <c r="N322" s="50">
        <v>1850500</v>
      </c>
      <c r="O322" s="50">
        <v>1850500</v>
      </c>
      <c r="P322" s="50">
        <v>1850500</v>
      </c>
      <c r="Q322" s="50">
        <v>1850500</v>
      </c>
      <c r="R322" s="50">
        <v>1850500</v>
      </c>
      <c r="S322" s="50">
        <v>1850500</v>
      </c>
      <c r="T322" s="50">
        <v>1850500</v>
      </c>
      <c r="U322" s="50">
        <v>1850500</v>
      </c>
      <c r="V322" s="50">
        <v>1850500</v>
      </c>
      <c r="W322" s="50">
        <v>1850500</v>
      </c>
      <c r="X322" s="50">
        <v>1850500</v>
      </c>
      <c r="Y322" s="50">
        <v>1850500</v>
      </c>
      <c r="Z322" s="50">
        <v>1974100</v>
      </c>
      <c r="AA322" s="50">
        <v>1974100</v>
      </c>
      <c r="AB322" s="50">
        <v>1974100</v>
      </c>
      <c r="AC322" s="26">
        <f t="shared" ref="AC322:AC385" si="10">SUM(K322:P322)</f>
        <v>7286700</v>
      </c>
      <c r="AD322" s="26">
        <f t="shared" ref="AD322:AD385" si="11">SUM(Q322:AB322)</f>
        <v>22576800</v>
      </c>
      <c r="AE322" s="50">
        <v>24085500</v>
      </c>
      <c r="AF322" s="50">
        <v>25698600</v>
      </c>
      <c r="AG322" s="53" t="s">
        <v>55</v>
      </c>
    </row>
    <row r="323" spans="1:33" ht="15" customHeight="1">
      <c r="A323" s="46" t="s">
        <v>91</v>
      </c>
      <c r="B323" s="3" t="str">
        <f>_xlfn.IFNA(VLOOKUP(C323,Master!$J:$K,2,0),"")</f>
        <v>B2220</v>
      </c>
      <c r="C323" s="46" t="s">
        <v>83</v>
      </c>
      <c r="D323" s="4" t="str">
        <f>_xlfn.IFNA(VLOOKUP(E323,Master!$J:$K,2,0),"")</f>
        <v>B4120</v>
      </c>
      <c r="E323" s="46" t="s">
        <v>177</v>
      </c>
      <c r="F323" s="4">
        <f>_xlfn.IFNA(VLOOKUP(G323,Master!B:C,2,0),"")</f>
        <v>7511122</v>
      </c>
      <c r="G323" s="46" t="s">
        <v>92</v>
      </c>
      <c r="H323" s="46" t="s">
        <v>543</v>
      </c>
      <c r="I323" s="3" t="str">
        <f>_xlfn.IFNA(VLOOKUP(E323,Master!$J:$M,4,0),"")</f>
        <v>DIR</v>
      </c>
      <c r="J323" s="3" t="str">
        <f>_xlfn.IFNA(VLOOKUP($E323,Master!$J:$M,3,0),"")</f>
        <v>MFG</v>
      </c>
      <c r="M323" s="50">
        <v>19124600</v>
      </c>
      <c r="N323" s="50">
        <v>20073600</v>
      </c>
      <c r="O323" s="50">
        <v>19805300</v>
      </c>
      <c r="P323" s="50">
        <v>19805300</v>
      </c>
      <c r="Q323" s="50">
        <v>18259100</v>
      </c>
      <c r="R323" s="50">
        <v>17997000</v>
      </c>
      <c r="S323" s="50">
        <v>17997000</v>
      </c>
      <c r="T323" s="50">
        <v>17477200</v>
      </c>
      <c r="U323" s="50">
        <v>17477200</v>
      </c>
      <c r="V323" s="50">
        <v>17477200</v>
      </c>
      <c r="W323" s="50">
        <v>17776900</v>
      </c>
      <c r="X323" s="50">
        <v>17776900</v>
      </c>
      <c r="Y323" s="50">
        <v>17776900</v>
      </c>
      <c r="Z323" s="50">
        <v>18676100</v>
      </c>
      <c r="AA323" s="50">
        <v>18676100</v>
      </c>
      <c r="AB323" s="50">
        <v>18676100</v>
      </c>
      <c r="AC323" s="26">
        <f t="shared" si="10"/>
        <v>78808800</v>
      </c>
      <c r="AD323" s="26">
        <f t="shared" si="11"/>
        <v>216043700</v>
      </c>
      <c r="AE323" s="50">
        <v>221376900</v>
      </c>
      <c r="AF323" s="50">
        <v>231620100</v>
      </c>
      <c r="AG323" s="53" t="s">
        <v>55</v>
      </c>
    </row>
    <row r="324" spans="1:33" ht="15" customHeight="1">
      <c r="A324" s="46" t="s">
        <v>91</v>
      </c>
      <c r="B324" s="3" t="str">
        <f>_xlfn.IFNA(VLOOKUP(C324,Master!$J:$K,2,0),"")</f>
        <v>B2220</v>
      </c>
      <c r="C324" s="46" t="s">
        <v>83</v>
      </c>
      <c r="D324" s="4" t="str">
        <f>_xlfn.IFNA(VLOOKUP(E324,Master!$J:$K,2,0),"")</f>
        <v>B4121</v>
      </c>
      <c r="E324" s="46" t="s">
        <v>183</v>
      </c>
      <c r="F324" s="4">
        <f>_xlfn.IFNA(VLOOKUP(G324,Master!B:C,2,0),"")</f>
        <v>7511122</v>
      </c>
      <c r="G324" s="46" t="s">
        <v>92</v>
      </c>
      <c r="H324" s="46" t="s">
        <v>543</v>
      </c>
      <c r="I324" s="3" t="str">
        <f>_xlfn.IFNA(VLOOKUP(E324,Master!$J:$M,4,0),"")</f>
        <v>DIR</v>
      </c>
      <c r="J324" s="3" t="str">
        <f>_xlfn.IFNA(VLOOKUP($E324,Master!$J:$M,3,0),"")</f>
        <v>MFG</v>
      </c>
      <c r="M324" s="50">
        <v>839800</v>
      </c>
      <c r="N324" s="50">
        <v>895700</v>
      </c>
      <c r="O324" s="50">
        <v>895700</v>
      </c>
      <c r="P324" s="50">
        <v>895700</v>
      </c>
      <c r="AC324" s="26">
        <f t="shared" si="10"/>
        <v>3526900</v>
      </c>
      <c r="AD324" s="26">
        <f t="shared" si="11"/>
        <v>0</v>
      </c>
      <c r="AG324" s="53" t="s">
        <v>55</v>
      </c>
    </row>
    <row r="325" spans="1:33" ht="15" customHeight="1">
      <c r="A325" s="46" t="s">
        <v>91</v>
      </c>
      <c r="B325" s="3" t="str">
        <f>_xlfn.IFNA(VLOOKUP(C325,Master!$J:$K,2,0),"")</f>
        <v>B2220</v>
      </c>
      <c r="C325" s="46" t="s">
        <v>83</v>
      </c>
      <c r="D325" s="4" t="str">
        <f>_xlfn.IFNA(VLOOKUP(E325,Master!$J:$K,2,0),"")</f>
        <v>B4130</v>
      </c>
      <c r="E325" s="46" t="s">
        <v>158</v>
      </c>
      <c r="F325" s="4">
        <f>_xlfn.IFNA(VLOOKUP(G325,Master!B:C,2,0),"")</f>
        <v>7511122</v>
      </c>
      <c r="G325" s="46" t="s">
        <v>92</v>
      </c>
      <c r="H325" s="46" t="s">
        <v>543</v>
      </c>
      <c r="I325" s="3" t="str">
        <f>_xlfn.IFNA(VLOOKUP(E325,Master!$J:$M,4,0),"")</f>
        <v>DIR</v>
      </c>
      <c r="J325" s="3" t="str">
        <f>_xlfn.IFNA(VLOOKUP($E325,Master!$J:$M,3,0),"")</f>
        <v>MFG</v>
      </c>
      <c r="M325" s="50">
        <v>2084000</v>
      </c>
      <c r="N325" s="50">
        <v>2222900</v>
      </c>
      <c r="O325" s="50">
        <v>2222900</v>
      </c>
      <c r="P325" s="50">
        <v>2222900</v>
      </c>
      <c r="Q325" s="50">
        <v>2222900</v>
      </c>
      <c r="R325" s="50">
        <v>2222900</v>
      </c>
      <c r="S325" s="50">
        <v>2222900</v>
      </c>
      <c r="T325" s="50">
        <v>2222900</v>
      </c>
      <c r="U325" s="50">
        <v>2222900</v>
      </c>
      <c r="V325" s="50">
        <v>2222900</v>
      </c>
      <c r="W325" s="50">
        <v>2222900</v>
      </c>
      <c r="X325" s="50">
        <v>2222900</v>
      </c>
      <c r="Y325" s="50">
        <v>2222900</v>
      </c>
      <c r="Z325" s="50">
        <v>2371300</v>
      </c>
      <c r="AA325" s="50">
        <v>2371300</v>
      </c>
      <c r="AB325" s="50">
        <v>2371300</v>
      </c>
      <c r="AC325" s="26">
        <f t="shared" si="10"/>
        <v>8752700</v>
      </c>
      <c r="AD325" s="26">
        <f t="shared" si="11"/>
        <v>27120000</v>
      </c>
      <c r="AE325" s="50">
        <v>27318700</v>
      </c>
      <c r="AF325" s="50">
        <v>27889200</v>
      </c>
      <c r="AG325" s="53" t="s">
        <v>55</v>
      </c>
    </row>
    <row r="326" spans="1:33" ht="15" customHeight="1">
      <c r="A326" s="46" t="s">
        <v>91</v>
      </c>
      <c r="B326" s="3" t="str">
        <f>_xlfn.IFNA(VLOOKUP(C326,Master!$J:$K,2,0),"")</f>
        <v>B2220</v>
      </c>
      <c r="C326" s="46" t="s">
        <v>83</v>
      </c>
      <c r="D326" s="4" t="str">
        <f>_xlfn.IFNA(VLOOKUP(E326,Master!$J:$K,2,0),"")</f>
        <v>B4410</v>
      </c>
      <c r="E326" s="46" t="s">
        <v>188</v>
      </c>
      <c r="F326" s="4">
        <f>_xlfn.IFNA(VLOOKUP(G326,Master!B:C,2,0),"")</f>
        <v>7511122</v>
      </c>
      <c r="G326" s="46" t="s">
        <v>92</v>
      </c>
      <c r="H326" s="46" t="s">
        <v>543</v>
      </c>
      <c r="I326" s="3" t="str">
        <f>_xlfn.IFNA(VLOOKUP(E326,Master!$J:$M,4,0),"")</f>
        <v>DIR</v>
      </c>
      <c r="J326" s="3" t="str">
        <f>_xlfn.IFNA(VLOOKUP($E326,Master!$J:$M,3,0),"")</f>
        <v>MFG</v>
      </c>
      <c r="M326" s="50">
        <v>2975300</v>
      </c>
      <c r="N326" s="50">
        <v>3114700</v>
      </c>
      <c r="O326" s="50">
        <v>3114700</v>
      </c>
      <c r="P326" s="50">
        <v>2903000</v>
      </c>
      <c r="Q326" s="50">
        <v>2691300</v>
      </c>
      <c r="R326" s="50">
        <v>2691300</v>
      </c>
      <c r="S326" s="50">
        <v>2691300</v>
      </c>
      <c r="T326" s="50">
        <v>2691300</v>
      </c>
      <c r="U326" s="50">
        <v>2691300</v>
      </c>
      <c r="V326" s="50">
        <v>2479600</v>
      </c>
      <c r="W326" s="50">
        <v>2479600</v>
      </c>
      <c r="X326" s="50">
        <v>997700</v>
      </c>
      <c r="Y326" s="50">
        <v>997700</v>
      </c>
      <c r="AC326" s="26">
        <f t="shared" si="10"/>
        <v>12107700</v>
      </c>
      <c r="AD326" s="26">
        <f t="shared" si="11"/>
        <v>20411100</v>
      </c>
      <c r="AG326" s="53" t="s">
        <v>55</v>
      </c>
    </row>
    <row r="327" spans="1:33" ht="15" customHeight="1">
      <c r="A327" s="46" t="s">
        <v>91</v>
      </c>
      <c r="B327" s="3" t="str">
        <f>_xlfn.IFNA(VLOOKUP(C327,Master!$J:$K,2,0),"")</f>
        <v>B2220</v>
      </c>
      <c r="C327" s="46" t="s">
        <v>83</v>
      </c>
      <c r="D327" s="4" t="str">
        <f>_xlfn.IFNA(VLOOKUP(E327,Master!$J:$K,2,0),"")</f>
        <v>B4430</v>
      </c>
      <c r="E327" s="46" t="s">
        <v>193</v>
      </c>
      <c r="F327" s="4">
        <f>_xlfn.IFNA(VLOOKUP(G327,Master!B:C,2,0),"")</f>
        <v>7511122</v>
      </c>
      <c r="G327" s="46" t="s">
        <v>92</v>
      </c>
      <c r="H327" s="46" t="s">
        <v>543</v>
      </c>
      <c r="I327" s="3" t="str">
        <f>_xlfn.IFNA(VLOOKUP(E327,Master!$J:$M,4,0),"")</f>
        <v>DIR</v>
      </c>
      <c r="J327" s="3" t="str">
        <f>_xlfn.IFNA(VLOOKUP($E327,Master!$J:$M,3,0),"")</f>
        <v>MFG</v>
      </c>
      <c r="M327" s="50">
        <v>5675000</v>
      </c>
      <c r="N327" s="50">
        <v>5935700</v>
      </c>
      <c r="O327" s="50">
        <v>5935700</v>
      </c>
      <c r="P327" s="50">
        <v>5935700</v>
      </c>
      <c r="Q327" s="50">
        <v>5935700</v>
      </c>
      <c r="R327" s="50">
        <v>5935700</v>
      </c>
      <c r="S327" s="50">
        <v>5935700</v>
      </c>
      <c r="T327" s="50">
        <v>5724000</v>
      </c>
      <c r="U327" s="50">
        <v>4665500</v>
      </c>
      <c r="V327" s="50">
        <v>3395300</v>
      </c>
      <c r="W327" s="50">
        <v>3395300</v>
      </c>
      <c r="X327" s="50">
        <v>3395300</v>
      </c>
      <c r="Y327" s="50">
        <v>1701700</v>
      </c>
      <c r="AC327" s="26">
        <f t="shared" si="10"/>
        <v>23482100</v>
      </c>
      <c r="AD327" s="26">
        <f t="shared" si="11"/>
        <v>40084200</v>
      </c>
      <c r="AG327" s="53" t="s">
        <v>55</v>
      </c>
    </row>
    <row r="328" spans="1:33" ht="15" customHeight="1">
      <c r="A328" s="46" t="s">
        <v>91</v>
      </c>
      <c r="B328" s="3" t="str">
        <f>_xlfn.IFNA(VLOOKUP(C328,Master!$J:$K,2,0),"")</f>
        <v>B2220</v>
      </c>
      <c r="C328" s="46" t="s">
        <v>83</v>
      </c>
      <c r="D328" s="4" t="str">
        <f>_xlfn.IFNA(VLOOKUP(E328,Master!$J:$K,2,0),"")</f>
        <v>B4440</v>
      </c>
      <c r="E328" s="46" t="s">
        <v>198</v>
      </c>
      <c r="F328" s="4">
        <f>_xlfn.IFNA(VLOOKUP(G328,Master!B:C,2,0),"")</f>
        <v>7511122</v>
      </c>
      <c r="G328" s="46" t="s">
        <v>92</v>
      </c>
      <c r="H328" s="46" t="s">
        <v>543</v>
      </c>
      <c r="I328" s="3" t="str">
        <f>_xlfn.IFNA(VLOOKUP(E328,Master!$J:$M,4,0),"")</f>
        <v>DIR</v>
      </c>
      <c r="J328" s="3" t="str">
        <f>_xlfn.IFNA(VLOOKUP($E328,Master!$J:$M,3,0),"")</f>
        <v>MFG</v>
      </c>
      <c r="M328" s="50">
        <v>2156800</v>
      </c>
      <c r="N328" s="50">
        <v>2265500</v>
      </c>
      <c r="O328" s="50">
        <v>1997200</v>
      </c>
      <c r="P328" s="50">
        <v>1997200</v>
      </c>
      <c r="Q328" s="50">
        <v>1785500</v>
      </c>
      <c r="R328" s="50">
        <v>1785500</v>
      </c>
      <c r="S328" s="50">
        <v>1785500</v>
      </c>
      <c r="T328" s="50">
        <v>1785500</v>
      </c>
      <c r="U328" s="50">
        <v>1785500</v>
      </c>
      <c r="V328" s="50">
        <v>1573800</v>
      </c>
      <c r="W328" s="50">
        <v>1573800</v>
      </c>
      <c r="X328" s="50">
        <v>1573800</v>
      </c>
      <c r="Y328" s="50">
        <v>911700</v>
      </c>
      <c r="AC328" s="26">
        <f t="shared" si="10"/>
        <v>8416700</v>
      </c>
      <c r="AD328" s="26">
        <f t="shared" si="11"/>
        <v>14560600</v>
      </c>
      <c r="AG328" s="53" t="s">
        <v>55</v>
      </c>
    </row>
    <row r="329" spans="1:33" ht="15" customHeight="1">
      <c r="A329" s="46" t="s">
        <v>91</v>
      </c>
      <c r="B329" s="3" t="str">
        <f>_xlfn.IFNA(VLOOKUP(C329,Master!$J:$K,2,0),"")</f>
        <v>B2220</v>
      </c>
      <c r="C329" s="46" t="s">
        <v>83</v>
      </c>
      <c r="D329" s="4" t="str">
        <f>_xlfn.IFNA(VLOOKUP(E329,Master!$J:$K,2,0),"")</f>
        <v>B5100</v>
      </c>
      <c r="E329" s="46" t="s">
        <v>211</v>
      </c>
      <c r="F329" s="4">
        <f>_xlfn.IFNA(VLOOKUP(G329,Master!B:C,2,0),"")</f>
        <v>7511122</v>
      </c>
      <c r="G329" s="46" t="s">
        <v>92</v>
      </c>
      <c r="H329" s="46" t="s">
        <v>543</v>
      </c>
      <c r="I329" s="3" t="str">
        <f>_xlfn.IFNA(VLOOKUP(E329,Master!$J:$M,4,0),"")</f>
        <v>IND</v>
      </c>
      <c r="J329" s="3" t="str">
        <f>_xlfn.IFNA(VLOOKUP($E329,Master!$J:$M,3,0),"")</f>
        <v>MFG</v>
      </c>
      <c r="M329" s="50">
        <v>2400000</v>
      </c>
      <c r="N329" s="50">
        <v>2400000</v>
      </c>
      <c r="O329" s="50">
        <v>2400000</v>
      </c>
      <c r="P329" s="50">
        <v>2400000</v>
      </c>
      <c r="Q329" s="50">
        <v>2400000</v>
      </c>
      <c r="R329" s="50">
        <v>2400000</v>
      </c>
      <c r="S329" s="50">
        <v>2400000</v>
      </c>
      <c r="T329" s="50">
        <v>2400000</v>
      </c>
      <c r="U329" s="50">
        <v>2400000</v>
      </c>
      <c r="V329" s="50">
        <v>2400000</v>
      </c>
      <c r="W329" s="50">
        <v>2400000</v>
      </c>
      <c r="X329" s="50">
        <v>2400000</v>
      </c>
      <c r="Y329" s="50">
        <v>2400000</v>
      </c>
      <c r="Z329" s="50">
        <v>2400000</v>
      </c>
      <c r="AA329" s="50">
        <v>2400000</v>
      </c>
      <c r="AB329" s="50">
        <v>2400000</v>
      </c>
      <c r="AC329" s="26">
        <f t="shared" si="10"/>
        <v>9600000</v>
      </c>
      <c r="AD329" s="26">
        <f t="shared" si="11"/>
        <v>28800000</v>
      </c>
      <c r="AE329" s="50">
        <v>28800000</v>
      </c>
      <c r="AF329" s="50">
        <v>28800000</v>
      </c>
      <c r="AG329" s="53" t="s">
        <v>55</v>
      </c>
    </row>
    <row r="330" spans="1:33" ht="15" customHeight="1">
      <c r="A330" s="46" t="s">
        <v>91</v>
      </c>
      <c r="B330" s="3" t="str">
        <f>_xlfn.IFNA(VLOOKUP(C330,Master!$J:$K,2,0),"")</f>
        <v>B2220</v>
      </c>
      <c r="C330" s="46" t="s">
        <v>83</v>
      </c>
      <c r="D330" s="4" t="str">
        <f>_xlfn.IFNA(VLOOKUP(E330,Master!$J:$K,2,0),"")</f>
        <v>B5101</v>
      </c>
      <c r="E330" s="46" t="s">
        <v>216</v>
      </c>
      <c r="F330" s="4">
        <f>_xlfn.IFNA(VLOOKUP(G330,Master!B:C,2,0),"")</f>
        <v>7511122</v>
      </c>
      <c r="G330" s="46" t="s">
        <v>92</v>
      </c>
      <c r="H330" s="46" t="s">
        <v>543</v>
      </c>
      <c r="I330" s="3" t="str">
        <f>_xlfn.IFNA(VLOOKUP(E330,Master!$J:$M,4,0),"")</f>
        <v>IND</v>
      </c>
      <c r="J330" s="3" t="str">
        <f>_xlfn.IFNA(VLOOKUP($E330,Master!$J:$M,3,0),"")</f>
        <v>MFG</v>
      </c>
      <c r="M330" s="50">
        <v>2096800</v>
      </c>
      <c r="N330" s="50">
        <v>2172500</v>
      </c>
      <c r="O330" s="50">
        <v>2172500</v>
      </c>
      <c r="P330" s="50">
        <v>2172500</v>
      </c>
      <c r="Q330" s="50">
        <v>2201800</v>
      </c>
      <c r="R330" s="50">
        <v>2201800</v>
      </c>
      <c r="S330" s="50">
        <v>2201800</v>
      </c>
      <c r="T330" s="50">
        <v>2201800</v>
      </c>
      <c r="U330" s="50">
        <v>2201800</v>
      </c>
      <c r="V330" s="50">
        <v>2201800</v>
      </c>
      <c r="W330" s="50">
        <v>2228500</v>
      </c>
      <c r="X330" s="50">
        <v>2228500</v>
      </c>
      <c r="Y330" s="50">
        <v>2228500</v>
      </c>
      <c r="Z330" s="50">
        <v>2313200</v>
      </c>
      <c r="AA330" s="50">
        <v>2313200</v>
      </c>
      <c r="AB330" s="50">
        <v>2313200</v>
      </c>
      <c r="AC330" s="26">
        <f t="shared" si="10"/>
        <v>8614300</v>
      </c>
      <c r="AD330" s="26">
        <f t="shared" si="11"/>
        <v>26835900</v>
      </c>
      <c r="AE330" s="50">
        <v>30276000</v>
      </c>
      <c r="AF330" s="50">
        <v>33854100</v>
      </c>
      <c r="AG330" s="53" t="s">
        <v>55</v>
      </c>
    </row>
    <row r="331" spans="1:33" ht="15" customHeight="1">
      <c r="A331" s="46" t="s">
        <v>91</v>
      </c>
      <c r="B331" s="3" t="str">
        <f>_xlfn.IFNA(VLOOKUP(C331,Master!$J:$K,2,0),"")</f>
        <v>B2220</v>
      </c>
      <c r="C331" s="46" t="s">
        <v>83</v>
      </c>
      <c r="D331" s="4" t="str">
        <f>_xlfn.IFNA(VLOOKUP(E331,Master!$J:$K,2,0),"")</f>
        <v>B5130</v>
      </c>
      <c r="E331" s="46" t="s">
        <v>247</v>
      </c>
      <c r="F331" s="4">
        <f>_xlfn.IFNA(VLOOKUP(G331,Master!B:C,2,0),"")</f>
        <v>7511122</v>
      </c>
      <c r="G331" s="46" t="s">
        <v>92</v>
      </c>
      <c r="H331" s="46" t="s">
        <v>543</v>
      </c>
      <c r="I331" s="3" t="str">
        <f>_xlfn.IFNA(VLOOKUP(E331,Master!$J:$M,4,0),"")</f>
        <v>IND</v>
      </c>
      <c r="J331" s="3" t="str">
        <f>_xlfn.IFNA(VLOOKUP($E331,Master!$J:$M,3,0),"")</f>
        <v>MFG</v>
      </c>
      <c r="M331" s="50">
        <v>4706700</v>
      </c>
      <c r="N331" s="50">
        <v>4897600</v>
      </c>
      <c r="O331" s="50">
        <v>4897600</v>
      </c>
      <c r="P331" s="50">
        <v>4897600</v>
      </c>
      <c r="Q331" s="50">
        <v>4897600</v>
      </c>
      <c r="R331" s="50">
        <v>4897600</v>
      </c>
      <c r="S331" s="50">
        <v>4897600</v>
      </c>
      <c r="T331" s="50">
        <v>4897600</v>
      </c>
      <c r="U331" s="50">
        <v>4897600</v>
      </c>
      <c r="V331" s="50">
        <v>4897600</v>
      </c>
      <c r="W331" s="50">
        <v>5109300</v>
      </c>
      <c r="X331" s="50">
        <v>5109300</v>
      </c>
      <c r="Y331" s="50">
        <v>5109300</v>
      </c>
      <c r="Z331" s="50">
        <v>4864800</v>
      </c>
      <c r="AA331" s="50">
        <v>4864800</v>
      </c>
      <c r="AB331" s="50">
        <v>4864800</v>
      </c>
      <c r="AC331" s="26">
        <f t="shared" si="10"/>
        <v>19399500</v>
      </c>
      <c r="AD331" s="26">
        <f t="shared" si="11"/>
        <v>59307900</v>
      </c>
      <c r="AE331" s="50">
        <v>58908300</v>
      </c>
      <c r="AF331" s="50">
        <v>57819300</v>
      </c>
      <c r="AG331" s="53" t="s">
        <v>55</v>
      </c>
    </row>
    <row r="332" spans="1:33" ht="15" customHeight="1">
      <c r="A332" s="46" t="s">
        <v>91</v>
      </c>
      <c r="B332" s="3" t="str">
        <f>_xlfn.IFNA(VLOOKUP(C332,Master!$J:$K,2,0),"")</f>
        <v>B2220</v>
      </c>
      <c r="C332" s="46" t="s">
        <v>83</v>
      </c>
      <c r="D332" s="4" t="str">
        <f>_xlfn.IFNA(VLOOKUP(E332,Master!$J:$K,2,0),"")</f>
        <v>B5200</v>
      </c>
      <c r="E332" s="46" t="s">
        <v>253</v>
      </c>
      <c r="F332" s="4">
        <f>_xlfn.IFNA(VLOOKUP(G332,Master!B:C,2,0),"")</f>
        <v>7511122</v>
      </c>
      <c r="G332" s="46" t="s">
        <v>92</v>
      </c>
      <c r="H332" s="46" t="s">
        <v>543</v>
      </c>
      <c r="I332" s="3" t="str">
        <f>_xlfn.IFNA(VLOOKUP(E332,Master!$J:$M,4,0),"")</f>
        <v>IND</v>
      </c>
      <c r="J332" s="3" t="str">
        <f>_xlfn.IFNA(VLOOKUP($E332,Master!$J:$M,3,0),"")</f>
        <v>MFG</v>
      </c>
      <c r="M332" s="50">
        <v>829800</v>
      </c>
      <c r="N332" s="50">
        <v>885000</v>
      </c>
      <c r="O332" s="50">
        <v>885000</v>
      </c>
      <c r="P332" s="50">
        <v>885000</v>
      </c>
      <c r="Q332" s="50">
        <v>913500</v>
      </c>
      <c r="R332" s="50">
        <v>913500</v>
      </c>
      <c r="S332" s="50">
        <v>913500</v>
      </c>
      <c r="T332" s="50">
        <v>913500</v>
      </c>
      <c r="U332" s="50">
        <v>913500</v>
      </c>
      <c r="V332" s="50">
        <v>913500</v>
      </c>
      <c r="W332" s="50">
        <v>913500</v>
      </c>
      <c r="X332" s="50">
        <v>913500</v>
      </c>
      <c r="Y332" s="50">
        <v>913500</v>
      </c>
      <c r="Z332" s="50">
        <v>974500</v>
      </c>
      <c r="AA332" s="50">
        <v>974500</v>
      </c>
      <c r="AB332" s="50">
        <v>974500</v>
      </c>
      <c r="AC332" s="26">
        <f t="shared" si="10"/>
        <v>3484800</v>
      </c>
      <c r="AD332" s="26">
        <f t="shared" si="11"/>
        <v>11145000</v>
      </c>
      <c r="AE332" s="50">
        <v>11890200</v>
      </c>
      <c r="AF332" s="50">
        <v>12688500</v>
      </c>
      <c r="AG332" s="53" t="s">
        <v>55</v>
      </c>
    </row>
    <row r="333" spans="1:33" ht="15" customHeight="1">
      <c r="A333" s="46" t="s">
        <v>91</v>
      </c>
      <c r="B333" s="3" t="str">
        <f>_xlfn.IFNA(VLOOKUP(C333,Master!$J:$K,2,0),"")</f>
        <v>B2220</v>
      </c>
      <c r="C333" s="46" t="s">
        <v>83</v>
      </c>
      <c r="D333" s="4" t="str">
        <f>_xlfn.IFNA(VLOOKUP(E333,Master!$J:$K,2,0),"")</f>
        <v>B5500</v>
      </c>
      <c r="E333" s="46" t="s">
        <v>236</v>
      </c>
      <c r="F333" s="4">
        <f>_xlfn.IFNA(VLOOKUP(G333,Master!B:C,2,0),"")</f>
        <v>7511122</v>
      </c>
      <c r="G333" s="46" t="s">
        <v>92</v>
      </c>
      <c r="H333" s="46" t="s">
        <v>543</v>
      </c>
      <c r="I333" s="3" t="str">
        <f>_xlfn.IFNA(VLOOKUP(E333,Master!$J:$M,4,0),"")</f>
        <v>IND</v>
      </c>
      <c r="J333" s="3" t="str">
        <f>_xlfn.IFNA(VLOOKUP($E333,Master!$J:$M,3,0),"")</f>
        <v>MFG</v>
      </c>
      <c r="M333" s="50">
        <v>3213700</v>
      </c>
      <c r="N333" s="50">
        <v>3620100</v>
      </c>
      <c r="O333" s="50">
        <v>3620100</v>
      </c>
      <c r="P333" s="50">
        <v>3620100</v>
      </c>
      <c r="Q333" s="50">
        <v>4614300</v>
      </c>
      <c r="R333" s="50">
        <v>4614300</v>
      </c>
      <c r="S333" s="50">
        <v>4614300</v>
      </c>
      <c r="T333" s="50">
        <v>4614300</v>
      </c>
      <c r="U333" s="50">
        <v>4614300</v>
      </c>
      <c r="V333" s="50">
        <v>4614300</v>
      </c>
      <c r="W333" s="50">
        <v>4912300</v>
      </c>
      <c r="X333" s="50">
        <v>4912300</v>
      </c>
      <c r="Y333" s="50">
        <v>4912300</v>
      </c>
      <c r="Z333" s="50">
        <v>5143100</v>
      </c>
      <c r="AA333" s="50">
        <v>5143100</v>
      </c>
      <c r="AB333" s="50">
        <v>5143100</v>
      </c>
      <c r="AC333" s="26">
        <f t="shared" si="10"/>
        <v>14074000</v>
      </c>
      <c r="AD333" s="26">
        <f t="shared" si="11"/>
        <v>57852000</v>
      </c>
      <c r="AE333" s="50">
        <v>60662100</v>
      </c>
      <c r="AF333" s="50">
        <v>61056000</v>
      </c>
      <c r="AG333" s="53" t="s">
        <v>55</v>
      </c>
    </row>
    <row r="334" spans="1:33" ht="15" customHeight="1">
      <c r="A334" s="46" t="s">
        <v>91</v>
      </c>
      <c r="B334" s="3" t="str">
        <f>_xlfn.IFNA(VLOOKUP(C334,Master!$J:$K,2,0),"")</f>
        <v>B2220</v>
      </c>
      <c r="C334" s="46" t="s">
        <v>83</v>
      </c>
      <c r="D334" s="4" t="str">
        <f>_xlfn.IFNA(VLOOKUP(E334,Master!$J:$K,2,0),"")</f>
        <v>B5600</v>
      </c>
      <c r="E334" s="46" t="s">
        <v>241</v>
      </c>
      <c r="F334" s="4">
        <f>_xlfn.IFNA(VLOOKUP(G334,Master!B:C,2,0),"")</f>
        <v>7511122</v>
      </c>
      <c r="G334" s="46" t="s">
        <v>92</v>
      </c>
      <c r="H334" s="46" t="s">
        <v>543</v>
      </c>
      <c r="I334" s="3" t="str">
        <f>_xlfn.IFNA(VLOOKUP(E334,Master!$J:$M,4,0),"")</f>
        <v>IND</v>
      </c>
      <c r="J334" s="3" t="str">
        <f>_xlfn.IFNA(VLOOKUP($E334,Master!$J:$M,3,0),"")</f>
        <v>MFG</v>
      </c>
      <c r="M334" s="50">
        <v>3726600</v>
      </c>
      <c r="N334" s="50">
        <v>3943900</v>
      </c>
      <c r="O334" s="50">
        <v>3943900</v>
      </c>
      <c r="P334" s="50">
        <v>3943900</v>
      </c>
      <c r="Q334" s="50">
        <v>4000900</v>
      </c>
      <c r="R334" s="50">
        <v>4000900</v>
      </c>
      <c r="S334" s="50">
        <v>4000900</v>
      </c>
      <c r="T334" s="50">
        <v>4000900</v>
      </c>
      <c r="U334" s="50">
        <v>4000900</v>
      </c>
      <c r="V334" s="50">
        <v>4000900</v>
      </c>
      <c r="W334" s="50">
        <v>4000900</v>
      </c>
      <c r="X334" s="50">
        <v>4000900</v>
      </c>
      <c r="Y334" s="50">
        <v>4000900</v>
      </c>
      <c r="Z334" s="50">
        <v>4237400</v>
      </c>
      <c r="AA334" s="50">
        <v>4237400</v>
      </c>
      <c r="AB334" s="50">
        <v>4237400</v>
      </c>
      <c r="AC334" s="26">
        <f t="shared" si="10"/>
        <v>15558300</v>
      </c>
      <c r="AD334" s="26">
        <f t="shared" si="11"/>
        <v>48720300</v>
      </c>
      <c r="AE334" s="50">
        <v>51922500</v>
      </c>
      <c r="AF334" s="50">
        <v>55531800</v>
      </c>
      <c r="AG334" s="53" t="s">
        <v>55</v>
      </c>
    </row>
    <row r="335" spans="1:33" ht="15" customHeight="1">
      <c r="A335" s="46" t="s">
        <v>91</v>
      </c>
      <c r="B335" s="3" t="str">
        <f>_xlfn.IFNA(VLOOKUP(C335,Master!$J:$K,2,0),"")</f>
        <v>B2220</v>
      </c>
      <c r="C335" s="46" t="s">
        <v>83</v>
      </c>
      <c r="D335" s="4" t="str">
        <f>_xlfn.IFNA(VLOOKUP(E335,Master!$J:$K,2,0),"")</f>
        <v>B5710</v>
      </c>
      <c r="E335" s="46" t="s">
        <v>265</v>
      </c>
      <c r="F335" s="4">
        <f>_xlfn.IFNA(VLOOKUP(G335,Master!B:C,2,0),"")</f>
        <v>7511122</v>
      </c>
      <c r="G335" s="46" t="s">
        <v>92</v>
      </c>
      <c r="H335" s="46" t="s">
        <v>543</v>
      </c>
      <c r="I335" s="3" t="str">
        <f>_xlfn.IFNA(VLOOKUP(E335,Master!$J:$M,4,0),"")</f>
        <v>IND</v>
      </c>
      <c r="J335" s="3" t="str">
        <f>_xlfn.IFNA(VLOOKUP($E335,Master!$J:$M,3,0),"")</f>
        <v>MFG</v>
      </c>
      <c r="M335" s="50">
        <v>2708500</v>
      </c>
      <c r="N335" s="50">
        <v>2871400</v>
      </c>
      <c r="O335" s="50">
        <v>2871400</v>
      </c>
      <c r="P335" s="50">
        <v>2871400</v>
      </c>
      <c r="Q335" s="50">
        <v>2871400</v>
      </c>
      <c r="R335" s="50">
        <v>2871400</v>
      </c>
      <c r="S335" s="50">
        <v>2871400</v>
      </c>
      <c r="T335" s="50">
        <v>2871400</v>
      </c>
      <c r="U335" s="50">
        <v>2871400</v>
      </c>
      <c r="V335" s="50">
        <v>2871400</v>
      </c>
      <c r="W335" s="50">
        <v>2871400</v>
      </c>
      <c r="X335" s="50">
        <v>2871400</v>
      </c>
      <c r="Y335" s="50">
        <v>2871400</v>
      </c>
      <c r="Z335" s="50">
        <v>3491200</v>
      </c>
      <c r="AA335" s="50">
        <v>3491200</v>
      </c>
      <c r="AB335" s="50">
        <v>3491200</v>
      </c>
      <c r="AC335" s="26">
        <f t="shared" si="10"/>
        <v>11322700</v>
      </c>
      <c r="AD335" s="26">
        <f t="shared" si="11"/>
        <v>36316200</v>
      </c>
      <c r="AE335" s="50">
        <v>38298000</v>
      </c>
      <c r="AF335" s="50">
        <v>39072000</v>
      </c>
      <c r="AG335" s="53" t="s">
        <v>55</v>
      </c>
    </row>
    <row r="336" spans="1:33" ht="15" customHeight="1">
      <c r="A336" s="46" t="s">
        <v>91</v>
      </c>
      <c r="B336" s="3" t="str">
        <f>_xlfn.IFNA(VLOOKUP(C336,Master!$J:$K,2,0),"")</f>
        <v>B2220</v>
      </c>
      <c r="C336" s="46" t="s">
        <v>83</v>
      </c>
      <c r="D336" s="4" t="str">
        <f>_xlfn.IFNA(VLOOKUP(E336,Master!$J:$K,2,0),"")</f>
        <v>B5800</v>
      </c>
      <c r="E336" s="46" t="s">
        <v>226</v>
      </c>
      <c r="F336" s="4">
        <f>_xlfn.IFNA(VLOOKUP(G336,Master!B:C,2,0),"")</f>
        <v>7511122</v>
      </c>
      <c r="G336" s="46" t="s">
        <v>92</v>
      </c>
      <c r="H336" s="46" t="s">
        <v>543</v>
      </c>
      <c r="I336" s="3" t="str">
        <f>_xlfn.IFNA(VLOOKUP(E336,Master!$J:$M,4,0),"")</f>
        <v>IND</v>
      </c>
      <c r="J336" s="3" t="str">
        <f>_xlfn.IFNA(VLOOKUP($E336,Master!$J:$M,3,0),"")</f>
        <v>MFG</v>
      </c>
      <c r="M336" s="50">
        <v>3522500</v>
      </c>
      <c r="N336" s="50">
        <v>3692500</v>
      </c>
      <c r="O336" s="50">
        <v>3692500</v>
      </c>
      <c r="P336" s="50">
        <v>3692500</v>
      </c>
      <c r="Q336" s="50">
        <v>3721100</v>
      </c>
      <c r="R336" s="50">
        <v>3721100</v>
      </c>
      <c r="S336" s="50">
        <v>3721100</v>
      </c>
      <c r="T336" s="50">
        <v>3721100</v>
      </c>
      <c r="U336" s="50">
        <v>3721100</v>
      </c>
      <c r="V336" s="50">
        <v>3721100</v>
      </c>
      <c r="W336" s="50">
        <v>3721100</v>
      </c>
      <c r="X336" s="50">
        <v>3721100</v>
      </c>
      <c r="Y336" s="50">
        <v>3721100</v>
      </c>
      <c r="Z336" s="50">
        <v>3874900</v>
      </c>
      <c r="AA336" s="50">
        <v>3874900</v>
      </c>
      <c r="AB336" s="50">
        <v>3874900</v>
      </c>
      <c r="AC336" s="26">
        <f t="shared" si="10"/>
        <v>14600000</v>
      </c>
      <c r="AD336" s="26">
        <f t="shared" si="11"/>
        <v>45114600</v>
      </c>
      <c r="AE336" s="50">
        <v>46870800</v>
      </c>
      <c r="AF336" s="50">
        <v>45717900</v>
      </c>
      <c r="AG336" s="53" t="s">
        <v>55</v>
      </c>
    </row>
    <row r="337" spans="1:33" ht="15" customHeight="1">
      <c r="A337" s="46" t="s">
        <v>91</v>
      </c>
      <c r="B337" s="3" t="str">
        <f>_xlfn.IFNA(VLOOKUP(C337,Master!$J:$K,2,0),"")</f>
        <v>B2220</v>
      </c>
      <c r="C337" s="46" t="s">
        <v>83</v>
      </c>
      <c r="D337" s="4" t="str">
        <f>_xlfn.IFNA(VLOOKUP(E337,Master!$J:$K,2,0),"")</f>
        <v>B5900</v>
      </c>
      <c r="E337" s="46" t="s">
        <v>231</v>
      </c>
      <c r="F337" s="4">
        <f>_xlfn.IFNA(VLOOKUP(G337,Master!B:C,2,0),"")</f>
        <v>7511122</v>
      </c>
      <c r="G337" s="46" t="s">
        <v>92</v>
      </c>
      <c r="H337" s="46" t="s">
        <v>543</v>
      </c>
      <c r="I337" s="3" t="str">
        <f>_xlfn.IFNA(VLOOKUP(E337,Master!$J:$M,4,0),"")</f>
        <v>IND</v>
      </c>
      <c r="J337" s="3" t="str">
        <f>_xlfn.IFNA(VLOOKUP($E337,Master!$J:$M,3,0),"")</f>
        <v>MFG</v>
      </c>
      <c r="M337" s="50">
        <v>5427800</v>
      </c>
      <c r="N337" s="50">
        <v>5717000</v>
      </c>
      <c r="O337" s="50">
        <v>5717000</v>
      </c>
      <c r="P337" s="50">
        <v>5717000</v>
      </c>
      <c r="Q337" s="50">
        <v>5717000</v>
      </c>
      <c r="R337" s="50">
        <v>5717000</v>
      </c>
      <c r="S337" s="50">
        <v>5717000</v>
      </c>
      <c r="T337" s="50">
        <v>5717000</v>
      </c>
      <c r="U337" s="50">
        <v>5717000</v>
      </c>
      <c r="V337" s="50">
        <v>5717000</v>
      </c>
      <c r="W337" s="50">
        <v>5717000</v>
      </c>
      <c r="X337" s="50">
        <v>5717000</v>
      </c>
      <c r="Y337" s="50">
        <v>5717000</v>
      </c>
      <c r="Z337" s="50">
        <v>5365800</v>
      </c>
      <c r="AA337" s="50">
        <v>5365800</v>
      </c>
      <c r="AB337" s="50">
        <v>5365800</v>
      </c>
      <c r="AC337" s="26">
        <f t="shared" si="10"/>
        <v>22578800</v>
      </c>
      <c r="AD337" s="26">
        <f t="shared" si="11"/>
        <v>67550400</v>
      </c>
      <c r="AE337" s="50">
        <v>65209500</v>
      </c>
      <c r="AF337" s="50">
        <v>66124800</v>
      </c>
      <c r="AG337" s="53" t="s">
        <v>55</v>
      </c>
    </row>
    <row r="338" spans="1:33" ht="15" customHeight="1">
      <c r="A338" s="46" t="s">
        <v>91</v>
      </c>
      <c r="B338" s="3" t="str">
        <f>_xlfn.IFNA(VLOOKUP(C338,Master!$J:$K,2,0),"")</f>
        <v>B2220</v>
      </c>
      <c r="C338" s="46" t="s">
        <v>83</v>
      </c>
      <c r="D338" s="4" t="str">
        <f>_xlfn.IFNA(VLOOKUP(E338,Master!$J:$K,2,0),"")</f>
        <v>B2210</v>
      </c>
      <c r="E338" s="46" t="s">
        <v>78</v>
      </c>
      <c r="F338" s="4">
        <f>_xlfn.IFNA(VLOOKUP(G338,Master!B:C,2,0),"")</f>
        <v>7511201</v>
      </c>
      <c r="G338" s="46" t="s">
        <v>97</v>
      </c>
      <c r="H338" s="46" t="s">
        <v>97</v>
      </c>
      <c r="I338" s="3" t="str">
        <f>_xlfn.IFNA(VLOOKUP(E338,Master!$J:$M,4,0),"")</f>
        <v>ADM</v>
      </c>
      <c r="J338" s="3" t="str">
        <f>_xlfn.IFNA(VLOOKUP($E338,Master!$J:$M,3,0),"")</f>
        <v>SGA</v>
      </c>
      <c r="M338" s="50">
        <v>18087600</v>
      </c>
      <c r="N338" s="50">
        <v>20534100</v>
      </c>
      <c r="O338" s="50">
        <v>18548100</v>
      </c>
      <c r="P338" s="50">
        <v>19037100</v>
      </c>
      <c r="Q338" s="50">
        <v>18403700</v>
      </c>
      <c r="R338" s="50">
        <v>18963100</v>
      </c>
      <c r="S338" s="50">
        <v>18403700</v>
      </c>
      <c r="T338" s="50">
        <v>18222100</v>
      </c>
      <c r="U338" s="50">
        <v>17662700</v>
      </c>
      <c r="V338" s="50">
        <v>16650100</v>
      </c>
      <c r="W338" s="50">
        <v>16916700</v>
      </c>
      <c r="X338" s="50">
        <v>16690100</v>
      </c>
      <c r="Y338" s="50">
        <v>16916700</v>
      </c>
      <c r="Z338" s="50">
        <v>17819200</v>
      </c>
      <c r="AA338" s="50">
        <v>18058500</v>
      </c>
      <c r="AB338" s="50">
        <v>17819200</v>
      </c>
      <c r="AC338" s="26">
        <f t="shared" si="10"/>
        <v>76206900</v>
      </c>
      <c r="AD338" s="26">
        <f t="shared" si="11"/>
        <v>212525800</v>
      </c>
      <c r="AE338" s="50">
        <v>222271100</v>
      </c>
      <c r="AF338" s="50">
        <v>207977100</v>
      </c>
      <c r="AG338" s="53" t="s">
        <v>55</v>
      </c>
    </row>
    <row r="339" spans="1:33" ht="15" customHeight="1">
      <c r="A339" s="46" t="s">
        <v>91</v>
      </c>
      <c r="B339" s="3" t="str">
        <f>_xlfn.IFNA(VLOOKUP(C339,Master!$J:$K,2,0),"")</f>
        <v>B2220</v>
      </c>
      <c r="C339" s="46" t="s">
        <v>83</v>
      </c>
      <c r="D339" s="4" t="str">
        <f>_xlfn.IFNA(VLOOKUP(E339,Master!$J:$K,2,0),"")</f>
        <v>B2220</v>
      </c>
      <c r="E339" s="46" t="s">
        <v>83</v>
      </c>
      <c r="F339" s="4">
        <f>_xlfn.IFNA(VLOOKUP(G339,Master!B:C,2,0),"")</f>
        <v>7511201</v>
      </c>
      <c r="G339" s="46" t="s">
        <v>97</v>
      </c>
      <c r="H339" s="46" t="s">
        <v>97</v>
      </c>
      <c r="I339" s="3" t="str">
        <f>_xlfn.IFNA(VLOOKUP(E339,Master!$J:$M,4,0),"")</f>
        <v>ADM</v>
      </c>
      <c r="J339" s="3" t="str">
        <f>_xlfn.IFNA(VLOOKUP($E339,Master!$J:$M,3,0),"")</f>
        <v>SGA</v>
      </c>
      <c r="M339" s="50">
        <v>2280800</v>
      </c>
      <c r="N339" s="50">
        <v>2432800</v>
      </c>
      <c r="O339" s="50">
        <v>2432800</v>
      </c>
      <c r="P339" s="50">
        <v>2432800</v>
      </c>
      <c r="Q339" s="50">
        <v>2432800</v>
      </c>
      <c r="R339" s="50">
        <v>2432800</v>
      </c>
      <c r="S339" s="50">
        <v>2432800</v>
      </c>
      <c r="T339" s="50">
        <v>2432800</v>
      </c>
      <c r="U339" s="50">
        <v>2432800</v>
      </c>
      <c r="V339" s="50">
        <v>2432800</v>
      </c>
      <c r="W339" s="50">
        <v>2457600</v>
      </c>
      <c r="X339" s="50">
        <v>2457600</v>
      </c>
      <c r="Y339" s="50">
        <v>2457600</v>
      </c>
      <c r="Z339" s="50">
        <v>2621600</v>
      </c>
      <c r="AA339" s="50">
        <v>2621600</v>
      </c>
      <c r="AB339" s="50">
        <v>2621600</v>
      </c>
      <c r="AC339" s="26">
        <f t="shared" si="10"/>
        <v>9579200</v>
      </c>
      <c r="AD339" s="26">
        <f t="shared" si="11"/>
        <v>29834400</v>
      </c>
      <c r="AE339" s="50">
        <v>31989600</v>
      </c>
      <c r="AF339" s="50">
        <v>34144800</v>
      </c>
      <c r="AG339" s="53" t="s">
        <v>55</v>
      </c>
    </row>
    <row r="340" spans="1:33" ht="15" customHeight="1">
      <c r="A340" s="46" t="s">
        <v>91</v>
      </c>
      <c r="B340" s="3" t="str">
        <f>_xlfn.IFNA(VLOOKUP(C340,Master!$J:$K,2,0),"")</f>
        <v>B2220</v>
      </c>
      <c r="C340" s="46" t="s">
        <v>83</v>
      </c>
      <c r="D340" s="4" t="str">
        <f>_xlfn.IFNA(VLOOKUP(E340,Master!$J:$K,2,0),"")</f>
        <v>B2230</v>
      </c>
      <c r="E340" s="46" t="s">
        <v>89</v>
      </c>
      <c r="F340" s="4">
        <f>_xlfn.IFNA(VLOOKUP(G340,Master!B:C,2,0),"")</f>
        <v>7511201</v>
      </c>
      <c r="G340" s="46" t="s">
        <v>97</v>
      </c>
      <c r="H340" s="46" t="s">
        <v>97</v>
      </c>
      <c r="I340" s="3" t="str">
        <f>_xlfn.IFNA(VLOOKUP(E340,Master!$J:$M,4,0),"")</f>
        <v>ADM</v>
      </c>
      <c r="J340" s="3" t="str">
        <f>_xlfn.IFNA(VLOOKUP($E340,Master!$J:$M,3,0),"")</f>
        <v>SGA</v>
      </c>
      <c r="M340" s="50">
        <v>1784000</v>
      </c>
      <c r="S340" s="50">
        <v>1904000</v>
      </c>
      <c r="Y340" s="50">
        <v>1904000</v>
      </c>
      <c r="AC340" s="26">
        <f t="shared" si="10"/>
        <v>1784000</v>
      </c>
      <c r="AD340" s="26">
        <f t="shared" si="11"/>
        <v>3808000</v>
      </c>
      <c r="AE340" s="50">
        <v>4070400</v>
      </c>
      <c r="AF340" s="50">
        <v>4528000</v>
      </c>
      <c r="AG340" s="53" t="s">
        <v>55</v>
      </c>
    </row>
    <row r="341" spans="1:33" ht="15" customHeight="1">
      <c r="A341" s="46" t="s">
        <v>91</v>
      </c>
      <c r="B341" s="3" t="str">
        <f>_xlfn.IFNA(VLOOKUP(C341,Master!$J:$K,2,0),"")</f>
        <v>B2220</v>
      </c>
      <c r="C341" s="46" t="s">
        <v>83</v>
      </c>
      <c r="D341" s="4" t="str">
        <f>_xlfn.IFNA(VLOOKUP(E341,Master!$J:$K,2,0),"")</f>
        <v>B2300</v>
      </c>
      <c r="E341" s="46" t="s">
        <v>95</v>
      </c>
      <c r="F341" s="4">
        <f>_xlfn.IFNA(VLOOKUP(G341,Master!B:C,2,0),"")</f>
        <v>7511201</v>
      </c>
      <c r="G341" s="46" t="s">
        <v>97</v>
      </c>
      <c r="H341" s="46" t="s">
        <v>97</v>
      </c>
      <c r="I341" s="3" t="str">
        <f>_xlfn.IFNA(VLOOKUP(E341,Master!$J:$M,4,0),"")</f>
        <v>ADM</v>
      </c>
      <c r="J341" s="3" t="str">
        <f>_xlfn.IFNA(VLOOKUP($E341,Master!$J:$M,3,0),"")</f>
        <v>SGA</v>
      </c>
      <c r="M341" s="50">
        <v>6728400</v>
      </c>
      <c r="N341" s="50">
        <v>8098000</v>
      </c>
      <c r="O341" s="50">
        <v>14011400</v>
      </c>
      <c r="P341" s="50">
        <v>14011400</v>
      </c>
      <c r="Q341" s="50">
        <v>10242400</v>
      </c>
      <c r="R341" s="50">
        <v>5081400</v>
      </c>
      <c r="S341" s="50">
        <v>5081400</v>
      </c>
      <c r="T341" s="50">
        <v>5081400</v>
      </c>
      <c r="U341" s="50">
        <v>5081400</v>
      </c>
      <c r="V341" s="50">
        <v>5081400</v>
      </c>
      <c r="W341" s="50">
        <v>5081400</v>
      </c>
      <c r="X341" s="50">
        <v>5081400</v>
      </c>
      <c r="Y341" s="50">
        <v>5081400</v>
      </c>
      <c r="Z341" s="50">
        <v>7596800</v>
      </c>
      <c r="AA341" s="50">
        <v>14434200</v>
      </c>
      <c r="AB341" s="50">
        <v>8736400</v>
      </c>
      <c r="AC341" s="26">
        <f t="shared" si="10"/>
        <v>42849200</v>
      </c>
      <c r="AD341" s="26">
        <f t="shared" si="11"/>
        <v>81661000</v>
      </c>
      <c r="AE341" s="50">
        <v>94202800</v>
      </c>
      <c r="AF341" s="50">
        <v>100637000</v>
      </c>
      <c r="AG341" s="53" t="s">
        <v>55</v>
      </c>
    </row>
    <row r="342" spans="1:33" ht="15" customHeight="1">
      <c r="A342" s="46" t="s">
        <v>91</v>
      </c>
      <c r="B342" s="3" t="str">
        <f>_xlfn.IFNA(VLOOKUP(C342,Master!$J:$K,2,0),"")</f>
        <v>B2220</v>
      </c>
      <c r="C342" s="46" t="s">
        <v>83</v>
      </c>
      <c r="D342" s="4" t="str">
        <f>_xlfn.IFNA(VLOOKUP(E342,Master!$J:$K,2,0),"")</f>
        <v>B2400</v>
      </c>
      <c r="E342" s="46" t="s">
        <v>101</v>
      </c>
      <c r="F342" s="4">
        <f>_xlfn.IFNA(VLOOKUP(G342,Master!B:C,2,0),"")</f>
        <v>7511201</v>
      </c>
      <c r="G342" s="46" t="s">
        <v>97</v>
      </c>
      <c r="H342" s="46" t="s">
        <v>97</v>
      </c>
      <c r="I342" s="3" t="str">
        <f>_xlfn.IFNA(VLOOKUP(E342,Master!$J:$M,4,0),"")</f>
        <v>ADM</v>
      </c>
      <c r="J342" s="3" t="str">
        <f>_xlfn.IFNA(VLOOKUP($E342,Master!$J:$M,3,0),"")</f>
        <v>SGA</v>
      </c>
      <c r="M342" s="50">
        <v>5581000</v>
      </c>
      <c r="N342" s="50">
        <v>5965000</v>
      </c>
      <c r="O342" s="50">
        <v>4757000</v>
      </c>
      <c r="P342" s="50">
        <v>3574000</v>
      </c>
      <c r="Q342" s="50">
        <v>3574000</v>
      </c>
      <c r="R342" s="50">
        <v>3574000</v>
      </c>
      <c r="S342" s="50">
        <v>4178000</v>
      </c>
      <c r="T342" s="50">
        <v>3574000</v>
      </c>
      <c r="U342" s="50">
        <v>3574000</v>
      </c>
      <c r="V342" s="50">
        <v>3574000</v>
      </c>
      <c r="W342" s="50">
        <v>4178000</v>
      </c>
      <c r="X342" s="50">
        <v>3574000</v>
      </c>
      <c r="Y342" s="50">
        <v>4178000</v>
      </c>
      <c r="Z342" s="50">
        <v>3816000</v>
      </c>
      <c r="AA342" s="50">
        <v>5079000</v>
      </c>
      <c r="AB342" s="50">
        <v>3816000</v>
      </c>
      <c r="AC342" s="26">
        <f t="shared" si="10"/>
        <v>19877000</v>
      </c>
      <c r="AD342" s="26">
        <f t="shared" si="11"/>
        <v>46689000</v>
      </c>
      <c r="AE342" s="50">
        <v>49843000</v>
      </c>
      <c r="AF342" s="50">
        <v>53202000</v>
      </c>
      <c r="AG342" s="53" t="s">
        <v>55</v>
      </c>
    </row>
    <row r="343" spans="1:33" ht="15" customHeight="1">
      <c r="A343" s="46" t="s">
        <v>91</v>
      </c>
      <c r="B343" s="3" t="str">
        <f>_xlfn.IFNA(VLOOKUP(C343,Master!$J:$K,2,0),"")</f>
        <v>B2220</v>
      </c>
      <c r="C343" s="46" t="s">
        <v>83</v>
      </c>
      <c r="D343" s="4" t="str">
        <f>_xlfn.IFNA(VLOOKUP(E343,Master!$J:$K,2,0),"")</f>
        <v>B3110</v>
      </c>
      <c r="E343" s="46" t="s">
        <v>117</v>
      </c>
      <c r="F343" s="4">
        <f>_xlfn.IFNA(VLOOKUP(G343,Master!B:C,2,0),"")</f>
        <v>7511201</v>
      </c>
      <c r="G343" s="46" t="s">
        <v>97</v>
      </c>
      <c r="H343" s="46" t="s">
        <v>97</v>
      </c>
      <c r="I343" s="3" t="str">
        <f>_xlfn.IFNA(VLOOKUP(E343,Master!$J:$M,4,0),"")</f>
        <v>ADM</v>
      </c>
      <c r="J343" s="3" t="str">
        <f>_xlfn.IFNA(VLOOKUP($E343,Master!$J:$M,3,0),"")</f>
        <v>SGA</v>
      </c>
      <c r="M343" s="50">
        <v>5431400</v>
      </c>
      <c r="N343" s="50">
        <v>5798600</v>
      </c>
      <c r="O343" s="50">
        <v>8889800</v>
      </c>
      <c r="P343" s="50">
        <v>5798600</v>
      </c>
      <c r="Q343" s="50">
        <v>6982400</v>
      </c>
      <c r="R343" s="50">
        <v>6982400</v>
      </c>
      <c r="S343" s="50">
        <v>6982400</v>
      </c>
      <c r="T343" s="50">
        <v>6982400</v>
      </c>
      <c r="U343" s="50">
        <v>6982400</v>
      </c>
      <c r="V343" s="50">
        <v>6982400</v>
      </c>
      <c r="W343" s="50">
        <v>6982400</v>
      </c>
      <c r="X343" s="50">
        <v>6982400</v>
      </c>
      <c r="Y343" s="50">
        <v>6982400</v>
      </c>
      <c r="Z343" s="50">
        <v>7457800</v>
      </c>
      <c r="AA343" s="50">
        <v>7457800</v>
      </c>
      <c r="AB343" s="50">
        <v>7457800</v>
      </c>
      <c r="AC343" s="26">
        <f t="shared" si="10"/>
        <v>25918400</v>
      </c>
      <c r="AD343" s="26">
        <f t="shared" si="11"/>
        <v>85215000</v>
      </c>
      <c r="AE343" s="50">
        <v>91006800</v>
      </c>
      <c r="AF343" s="50">
        <v>97156500</v>
      </c>
      <c r="AG343" s="53" t="s">
        <v>55</v>
      </c>
    </row>
    <row r="344" spans="1:33" ht="15" customHeight="1">
      <c r="A344" s="46" t="s">
        <v>91</v>
      </c>
      <c r="B344" s="3" t="str">
        <f>_xlfn.IFNA(VLOOKUP(C344,Master!$J:$K,2,0),"")</f>
        <v>B2220</v>
      </c>
      <c r="C344" s="46" t="s">
        <v>83</v>
      </c>
      <c r="D344" s="4" t="str">
        <f>_xlfn.IFNA(VLOOKUP(E344,Master!$J:$K,2,0),"")</f>
        <v>B3120</v>
      </c>
      <c r="E344" s="46" t="s">
        <v>122</v>
      </c>
      <c r="F344" s="4">
        <f>_xlfn.IFNA(VLOOKUP(G344,Master!B:C,2,0),"")</f>
        <v>7511201</v>
      </c>
      <c r="G344" s="46" t="s">
        <v>97</v>
      </c>
      <c r="H344" s="46" t="s">
        <v>97</v>
      </c>
      <c r="I344" s="3" t="str">
        <f>_xlfn.IFNA(VLOOKUP(E344,Master!$J:$M,4,0),"")</f>
        <v>ADM</v>
      </c>
      <c r="J344" s="3" t="str">
        <f>_xlfn.IFNA(VLOOKUP($E344,Master!$J:$M,3,0),"")</f>
        <v>SGA</v>
      </c>
      <c r="M344" s="50">
        <v>1025600</v>
      </c>
      <c r="N344" s="50">
        <v>1096000</v>
      </c>
      <c r="O344" s="50">
        <v>1096000</v>
      </c>
      <c r="P344" s="50">
        <v>1096000</v>
      </c>
      <c r="Q344" s="50">
        <v>1137100</v>
      </c>
      <c r="R344" s="50">
        <v>1137100</v>
      </c>
      <c r="S344" s="50">
        <v>1137100</v>
      </c>
      <c r="T344" s="50">
        <v>1137100</v>
      </c>
      <c r="U344" s="50">
        <v>1137100</v>
      </c>
      <c r="V344" s="50">
        <v>1137100</v>
      </c>
      <c r="W344" s="50">
        <v>1137100</v>
      </c>
      <c r="X344" s="50">
        <v>1137100</v>
      </c>
      <c r="Y344" s="50">
        <v>1137100</v>
      </c>
      <c r="Z344" s="50">
        <v>1215200</v>
      </c>
      <c r="AA344" s="50">
        <v>1215200</v>
      </c>
      <c r="AB344" s="50">
        <v>1215200</v>
      </c>
      <c r="AC344" s="26">
        <f t="shared" si="10"/>
        <v>4313600</v>
      </c>
      <c r="AD344" s="26">
        <f t="shared" si="11"/>
        <v>13879500</v>
      </c>
      <c r="AE344" s="50">
        <v>14831400</v>
      </c>
      <c r="AF344" s="50">
        <v>15842100</v>
      </c>
      <c r="AG344" s="53" t="s">
        <v>55</v>
      </c>
    </row>
    <row r="345" spans="1:33" ht="15" customHeight="1">
      <c r="A345" s="46" t="s">
        <v>91</v>
      </c>
      <c r="B345" s="3" t="str">
        <f>_xlfn.IFNA(VLOOKUP(C345,Master!$J:$K,2,0),"")</f>
        <v>B2220</v>
      </c>
      <c r="C345" s="46" t="s">
        <v>83</v>
      </c>
      <c r="D345" s="4" t="str">
        <f>_xlfn.IFNA(VLOOKUP(E345,Master!$J:$K,2,0),"")</f>
        <v>B3130</v>
      </c>
      <c r="E345" s="46" t="s">
        <v>127</v>
      </c>
      <c r="F345" s="4">
        <f>_xlfn.IFNA(VLOOKUP(G345,Master!B:C,2,0),"")</f>
        <v>7511201</v>
      </c>
      <c r="G345" s="46" t="s">
        <v>97</v>
      </c>
      <c r="H345" s="46" t="s">
        <v>97</v>
      </c>
      <c r="I345" s="3" t="str">
        <f>_xlfn.IFNA(VLOOKUP(E345,Master!$J:$M,4,0),"")</f>
        <v>ADM</v>
      </c>
      <c r="J345" s="3" t="str">
        <f>_xlfn.IFNA(VLOOKUP($E345,Master!$J:$M,3,0),"")</f>
        <v>SGA</v>
      </c>
      <c r="M345" s="50">
        <v>5891200</v>
      </c>
      <c r="N345" s="50">
        <v>6288000</v>
      </c>
      <c r="O345" s="50">
        <v>7612800</v>
      </c>
      <c r="P345" s="50">
        <v>7612800</v>
      </c>
      <c r="Q345" s="50">
        <v>9017600</v>
      </c>
      <c r="R345" s="50">
        <v>9017600</v>
      </c>
      <c r="S345" s="50">
        <v>9017600</v>
      </c>
      <c r="T345" s="50">
        <v>9017600</v>
      </c>
      <c r="U345" s="50">
        <v>9017600</v>
      </c>
      <c r="V345" s="50">
        <v>9017600</v>
      </c>
      <c r="W345" s="50">
        <v>9017600</v>
      </c>
      <c r="X345" s="50">
        <v>9017600</v>
      </c>
      <c r="Y345" s="50">
        <v>9017600</v>
      </c>
      <c r="Z345" s="50">
        <v>9620800</v>
      </c>
      <c r="AA345" s="50">
        <v>9620800</v>
      </c>
      <c r="AB345" s="50">
        <v>9620800</v>
      </c>
      <c r="AC345" s="26">
        <f t="shared" si="10"/>
        <v>27404800</v>
      </c>
      <c r="AD345" s="26">
        <f t="shared" si="11"/>
        <v>110020800</v>
      </c>
      <c r="AE345" s="50">
        <v>117412800</v>
      </c>
      <c r="AF345" s="50">
        <v>125400000</v>
      </c>
      <c r="AG345" s="53" t="s">
        <v>55</v>
      </c>
    </row>
    <row r="346" spans="1:33" ht="15" customHeight="1">
      <c r="A346" s="46" t="s">
        <v>91</v>
      </c>
      <c r="B346" s="3" t="str">
        <f>_xlfn.IFNA(VLOOKUP(C346,Master!$J:$K,2,0),"")</f>
        <v>B2220</v>
      </c>
      <c r="C346" s="46" t="s">
        <v>83</v>
      </c>
      <c r="D346" s="4" t="str">
        <f>_xlfn.IFNA(VLOOKUP(E346,Master!$J:$K,2,0),"")</f>
        <v>B3150</v>
      </c>
      <c r="E346" s="46" t="s">
        <v>259</v>
      </c>
      <c r="F346" s="4">
        <f>_xlfn.IFNA(VLOOKUP(G346,Master!B:C,2,0),"")</f>
        <v>7511201</v>
      </c>
      <c r="G346" s="46" t="s">
        <v>97</v>
      </c>
      <c r="H346" s="46" t="s">
        <v>97</v>
      </c>
      <c r="I346" s="3" t="str">
        <f>_xlfn.IFNA(VLOOKUP(E346,Master!$J:$M,4,0),"")</f>
        <v>ADM</v>
      </c>
      <c r="J346" s="3" t="str">
        <f>_xlfn.IFNA(VLOOKUP($E346,Master!$J:$M,3,0),"")</f>
        <v>SGA</v>
      </c>
      <c r="M346" s="50">
        <v>23355000</v>
      </c>
      <c r="N346" s="50">
        <v>24933000</v>
      </c>
      <c r="O346" s="50">
        <v>24933000</v>
      </c>
      <c r="P346" s="50">
        <v>24933000</v>
      </c>
      <c r="Q346" s="50">
        <v>27607000</v>
      </c>
      <c r="R346" s="50">
        <v>25421000</v>
      </c>
      <c r="S346" s="50">
        <v>25421000</v>
      </c>
      <c r="T346" s="50">
        <v>25421000</v>
      </c>
      <c r="U346" s="50">
        <v>25421000</v>
      </c>
      <c r="V346" s="50">
        <v>25421000</v>
      </c>
      <c r="W346" s="50">
        <v>25772000</v>
      </c>
      <c r="X346" s="50">
        <v>25772000</v>
      </c>
      <c r="Y346" s="50">
        <v>27550000</v>
      </c>
      <c r="Z346" s="50">
        <v>27492000</v>
      </c>
      <c r="AA346" s="50">
        <v>27492000</v>
      </c>
      <c r="AB346" s="50">
        <v>27927000</v>
      </c>
      <c r="AC346" s="26">
        <f t="shared" si="10"/>
        <v>98154000</v>
      </c>
      <c r="AD346" s="26">
        <f t="shared" si="11"/>
        <v>316717000</v>
      </c>
      <c r="AE346" s="50">
        <v>339436000</v>
      </c>
      <c r="AF346" s="50">
        <v>361977000</v>
      </c>
      <c r="AG346" s="53" t="s">
        <v>55</v>
      </c>
    </row>
    <row r="347" spans="1:33" ht="15" customHeight="1">
      <c r="A347" s="46" t="s">
        <v>91</v>
      </c>
      <c r="B347" s="3" t="str">
        <f>_xlfn.IFNA(VLOOKUP(C347,Master!$J:$K,2,0),"")</f>
        <v>B2220</v>
      </c>
      <c r="C347" s="46" t="s">
        <v>83</v>
      </c>
      <c r="D347" s="4" t="str">
        <f>_xlfn.IFNA(VLOOKUP(E347,Master!$J:$K,2,0),"")</f>
        <v>B3160</v>
      </c>
      <c r="E347" s="46" t="s">
        <v>112</v>
      </c>
      <c r="F347" s="4">
        <f>_xlfn.IFNA(VLOOKUP(G347,Master!B:C,2,0),"")</f>
        <v>7511201</v>
      </c>
      <c r="G347" s="46" t="s">
        <v>97</v>
      </c>
      <c r="H347" s="46" t="s">
        <v>97</v>
      </c>
      <c r="I347" s="3" t="str">
        <f>_xlfn.IFNA(VLOOKUP(E347,Master!$J:$M,4,0),"")</f>
        <v>ADM</v>
      </c>
      <c r="J347" s="3" t="str">
        <f>_xlfn.IFNA(VLOOKUP($E347,Master!$J:$M,3,0),"")</f>
        <v>SGA</v>
      </c>
      <c r="M347" s="50">
        <v>5157200</v>
      </c>
      <c r="N347" s="50">
        <v>5508000</v>
      </c>
      <c r="O347" s="50">
        <v>5508000</v>
      </c>
      <c r="P347" s="50">
        <v>5508000</v>
      </c>
      <c r="Q347" s="50">
        <v>3265200</v>
      </c>
      <c r="R347" s="50">
        <v>5508000</v>
      </c>
      <c r="S347" s="50">
        <v>5508000</v>
      </c>
      <c r="T347" s="50">
        <v>5508000</v>
      </c>
      <c r="U347" s="50">
        <v>5508000</v>
      </c>
      <c r="V347" s="50">
        <v>5508000</v>
      </c>
      <c r="W347" s="50">
        <v>5508000</v>
      </c>
      <c r="X347" s="50">
        <v>5508000</v>
      </c>
      <c r="Y347" s="50">
        <v>5508000</v>
      </c>
      <c r="Z347" s="50">
        <v>5878400</v>
      </c>
      <c r="AA347" s="50">
        <v>5878400</v>
      </c>
      <c r="AB347" s="50">
        <v>5878400</v>
      </c>
      <c r="AC347" s="26">
        <f t="shared" si="10"/>
        <v>21681200</v>
      </c>
      <c r="AD347" s="26">
        <f t="shared" si="11"/>
        <v>64964400</v>
      </c>
      <c r="AE347" s="50">
        <v>69349600</v>
      </c>
      <c r="AF347" s="50">
        <v>74075200</v>
      </c>
      <c r="AG347" s="53" t="s">
        <v>55</v>
      </c>
    </row>
    <row r="348" spans="1:33" ht="15" customHeight="1">
      <c r="A348" s="46" t="s">
        <v>91</v>
      </c>
      <c r="B348" s="3" t="str">
        <f>_xlfn.IFNA(VLOOKUP(C348,Master!$J:$K,2,0),"")</f>
        <v>B2220</v>
      </c>
      <c r="C348" s="46" t="s">
        <v>83</v>
      </c>
      <c r="D348" s="4" t="str">
        <f>_xlfn.IFNA(VLOOKUP(E348,Master!$J:$K,2,0),"")</f>
        <v>B4101</v>
      </c>
      <c r="E348" s="46" t="s">
        <v>132</v>
      </c>
      <c r="F348" s="4">
        <f>_xlfn.IFNA(VLOOKUP(G348,Master!B:C,2,0),"")</f>
        <v>7511201</v>
      </c>
      <c r="G348" s="46" t="s">
        <v>97</v>
      </c>
      <c r="H348" s="46" t="s">
        <v>97</v>
      </c>
      <c r="I348" s="3" t="str">
        <f>_xlfn.IFNA(VLOOKUP(E348,Master!$J:$M,4,0),"")</f>
        <v>DIR</v>
      </c>
      <c r="J348" s="3" t="str">
        <f>_xlfn.IFNA(VLOOKUP($E348,Master!$J:$M,3,0),"")</f>
        <v>MFG</v>
      </c>
      <c r="M348" s="50">
        <v>25581000</v>
      </c>
      <c r="N348" s="50">
        <v>38709600</v>
      </c>
      <c r="O348" s="50">
        <v>27798000</v>
      </c>
      <c r="P348" s="50">
        <v>31333700</v>
      </c>
      <c r="Q348" s="50">
        <v>21031200</v>
      </c>
      <c r="R348" s="50">
        <v>34442400</v>
      </c>
      <c r="S348" s="50">
        <v>21214300</v>
      </c>
      <c r="T348" s="50">
        <v>32187100</v>
      </c>
      <c r="U348" s="50">
        <v>28346400</v>
      </c>
      <c r="V348" s="50">
        <v>25847300</v>
      </c>
      <c r="W348" s="50">
        <v>27493200</v>
      </c>
      <c r="X348" s="50">
        <v>27919900</v>
      </c>
      <c r="Y348" s="50">
        <v>25847300</v>
      </c>
      <c r="Z348" s="50">
        <v>30522800</v>
      </c>
      <c r="AA348" s="50">
        <v>29611400</v>
      </c>
      <c r="AB348" s="50">
        <v>28830600</v>
      </c>
      <c r="AC348" s="26">
        <f t="shared" si="10"/>
        <v>123422300</v>
      </c>
      <c r="AD348" s="26">
        <f t="shared" si="11"/>
        <v>333293900</v>
      </c>
      <c r="AE348" s="50">
        <v>440746800</v>
      </c>
      <c r="AF348" s="50">
        <v>490097200</v>
      </c>
      <c r="AG348" s="53" t="s">
        <v>55</v>
      </c>
    </row>
    <row r="349" spans="1:33" ht="15" customHeight="1">
      <c r="A349" s="46" t="s">
        <v>91</v>
      </c>
      <c r="B349" s="3" t="str">
        <f>_xlfn.IFNA(VLOOKUP(C349,Master!$J:$K,2,0),"")</f>
        <v>B2220</v>
      </c>
      <c r="C349" s="46" t="s">
        <v>83</v>
      </c>
      <c r="D349" s="4" t="str">
        <f>_xlfn.IFNA(VLOOKUP(E349,Master!$J:$K,2,0),"")</f>
        <v>B4102</v>
      </c>
      <c r="E349" s="46" t="s">
        <v>139</v>
      </c>
      <c r="F349" s="4">
        <f>_xlfn.IFNA(VLOOKUP(G349,Master!B:C,2,0),"")</f>
        <v>7511201</v>
      </c>
      <c r="G349" s="46" t="s">
        <v>97</v>
      </c>
      <c r="H349" s="46" t="s">
        <v>97</v>
      </c>
      <c r="I349" s="3" t="str">
        <f>_xlfn.IFNA(VLOOKUP(E349,Master!$J:$M,4,0),"")</f>
        <v>DIR</v>
      </c>
      <c r="J349" s="3" t="str">
        <f>_xlfn.IFNA(VLOOKUP($E349,Master!$J:$M,3,0),"")</f>
        <v>MFG</v>
      </c>
      <c r="M349" s="50">
        <v>75881100</v>
      </c>
      <c r="N349" s="50">
        <v>108541200</v>
      </c>
      <c r="O349" s="50">
        <v>82818100</v>
      </c>
      <c r="P349" s="50">
        <v>90036300</v>
      </c>
      <c r="Q349" s="50">
        <v>59832700</v>
      </c>
      <c r="R349" s="50">
        <v>90436000</v>
      </c>
      <c r="S349" s="50">
        <v>61486800</v>
      </c>
      <c r="T349" s="50">
        <v>85237100</v>
      </c>
      <c r="U349" s="50">
        <v>77556700</v>
      </c>
      <c r="V349" s="50">
        <v>71530400</v>
      </c>
      <c r="W349" s="50">
        <v>79765000</v>
      </c>
      <c r="X349" s="50">
        <v>81279100</v>
      </c>
      <c r="Y349" s="50">
        <v>76106400</v>
      </c>
      <c r="Z349" s="50">
        <v>87938900</v>
      </c>
      <c r="AA349" s="50">
        <v>86054400</v>
      </c>
      <c r="AB349" s="50">
        <v>84169500</v>
      </c>
      <c r="AC349" s="26">
        <f t="shared" si="10"/>
        <v>357276700</v>
      </c>
      <c r="AD349" s="26">
        <f t="shared" si="11"/>
        <v>941393000</v>
      </c>
      <c r="AE349" s="50">
        <v>1187364900</v>
      </c>
      <c r="AF349" s="50">
        <v>1077230300</v>
      </c>
      <c r="AG349" s="53" t="s">
        <v>55</v>
      </c>
    </row>
    <row r="350" spans="1:33" ht="15" customHeight="1">
      <c r="A350" s="46" t="s">
        <v>91</v>
      </c>
      <c r="B350" s="3" t="str">
        <f>_xlfn.IFNA(VLOOKUP(C350,Master!$J:$K,2,0),"")</f>
        <v>B2220</v>
      </c>
      <c r="C350" s="46" t="s">
        <v>83</v>
      </c>
      <c r="D350" s="4" t="str">
        <f>_xlfn.IFNA(VLOOKUP(E350,Master!$J:$K,2,0),"")</f>
        <v>B4103</v>
      </c>
      <c r="E350" s="46" t="s">
        <v>144</v>
      </c>
      <c r="F350" s="4">
        <f>_xlfn.IFNA(VLOOKUP(G350,Master!B:C,2,0),"")</f>
        <v>7511201</v>
      </c>
      <c r="G350" s="46" t="s">
        <v>97</v>
      </c>
      <c r="H350" s="46" t="s">
        <v>97</v>
      </c>
      <c r="I350" s="3" t="str">
        <f>_xlfn.IFNA(VLOOKUP(E350,Master!$J:$M,4,0),"")</f>
        <v>DIR</v>
      </c>
      <c r="J350" s="3" t="str">
        <f>_xlfn.IFNA(VLOOKUP($E350,Master!$J:$M,3,0),"")</f>
        <v>MFG</v>
      </c>
      <c r="M350" s="50">
        <v>44486000</v>
      </c>
      <c r="N350" s="50">
        <v>63655300</v>
      </c>
      <c r="O350" s="50">
        <v>48785900</v>
      </c>
      <c r="P350" s="50">
        <v>52952200</v>
      </c>
      <c r="Q350" s="50">
        <v>38410000</v>
      </c>
      <c r="R350" s="50">
        <v>57691200</v>
      </c>
      <c r="S350" s="50">
        <v>39471700</v>
      </c>
      <c r="T350" s="50">
        <v>54423200</v>
      </c>
      <c r="U350" s="50">
        <v>49602900</v>
      </c>
      <c r="V350" s="50">
        <v>45763000</v>
      </c>
      <c r="W350" s="50">
        <v>47887200</v>
      </c>
      <c r="X350" s="50">
        <v>48867200</v>
      </c>
      <c r="Y350" s="50">
        <v>45763000</v>
      </c>
      <c r="Z350" s="50">
        <v>52867700</v>
      </c>
      <c r="AA350" s="50">
        <v>51733500</v>
      </c>
      <c r="AB350" s="50">
        <v>50600000</v>
      </c>
      <c r="AC350" s="26">
        <f t="shared" si="10"/>
        <v>209879400</v>
      </c>
      <c r="AD350" s="26">
        <f t="shared" si="11"/>
        <v>583080600</v>
      </c>
      <c r="AE350" s="50">
        <v>741118700</v>
      </c>
      <c r="AF350" s="50">
        <v>896975700</v>
      </c>
      <c r="AG350" s="53" t="s">
        <v>55</v>
      </c>
    </row>
    <row r="351" spans="1:33" ht="15" customHeight="1">
      <c r="A351" s="46" t="s">
        <v>91</v>
      </c>
      <c r="B351" s="3" t="str">
        <f>_xlfn.IFNA(VLOOKUP(C351,Master!$J:$K,2,0),"")</f>
        <v>B2220</v>
      </c>
      <c r="C351" s="46" t="s">
        <v>83</v>
      </c>
      <c r="D351" s="4" t="str">
        <f>_xlfn.IFNA(VLOOKUP(E351,Master!$J:$K,2,0),"")</f>
        <v>B4105</v>
      </c>
      <c r="E351" s="46" t="s">
        <v>149</v>
      </c>
      <c r="F351" s="4">
        <f>_xlfn.IFNA(VLOOKUP(G351,Master!B:C,2,0),"")</f>
        <v>7511201</v>
      </c>
      <c r="G351" s="46" t="s">
        <v>97</v>
      </c>
      <c r="H351" s="46" t="s">
        <v>97</v>
      </c>
      <c r="I351" s="3" t="str">
        <f>_xlfn.IFNA(VLOOKUP(E351,Master!$J:$M,4,0),"")</f>
        <v>DIR</v>
      </c>
      <c r="J351" s="3" t="str">
        <f>_xlfn.IFNA(VLOOKUP($E351,Master!$J:$M,3,0),"")</f>
        <v>MFG</v>
      </c>
      <c r="M351" s="50">
        <v>65173700</v>
      </c>
      <c r="N351" s="50">
        <v>90844400</v>
      </c>
      <c r="O351" s="50">
        <v>70990100</v>
      </c>
      <c r="P351" s="50">
        <v>76137200</v>
      </c>
      <c r="Q351" s="50">
        <v>57477900</v>
      </c>
      <c r="R351" s="50">
        <v>84686200</v>
      </c>
      <c r="S351" s="50">
        <v>59500100</v>
      </c>
      <c r="T351" s="50">
        <v>79998300</v>
      </c>
      <c r="U351" s="50">
        <v>73839200</v>
      </c>
      <c r="V351" s="50">
        <v>68232500</v>
      </c>
      <c r="W351" s="50">
        <v>59158400</v>
      </c>
      <c r="X351" s="50">
        <v>60288800</v>
      </c>
      <c r="Y351" s="50">
        <v>56747300</v>
      </c>
      <c r="Z351" s="50">
        <v>65177900</v>
      </c>
      <c r="AA351" s="50">
        <v>64051900</v>
      </c>
      <c r="AB351" s="50">
        <v>62603600</v>
      </c>
      <c r="AC351" s="26">
        <f t="shared" si="10"/>
        <v>303145400</v>
      </c>
      <c r="AD351" s="26">
        <f t="shared" si="11"/>
        <v>791762100</v>
      </c>
      <c r="AE351" s="50">
        <v>794156600</v>
      </c>
      <c r="AF351" s="50">
        <v>824770700</v>
      </c>
      <c r="AG351" s="53" t="s">
        <v>55</v>
      </c>
    </row>
    <row r="352" spans="1:33" ht="15" customHeight="1">
      <c r="A352" s="46" t="s">
        <v>91</v>
      </c>
      <c r="B352" s="3" t="str">
        <f>_xlfn.IFNA(VLOOKUP(C352,Master!$J:$K,2,0),"")</f>
        <v>B2220</v>
      </c>
      <c r="C352" s="46" t="s">
        <v>83</v>
      </c>
      <c r="D352" s="4" t="str">
        <f>_xlfn.IFNA(VLOOKUP(E352,Master!$J:$K,2,0),"")</f>
        <v>B4110</v>
      </c>
      <c r="E352" s="46" t="s">
        <v>162</v>
      </c>
      <c r="F352" s="4">
        <f>_xlfn.IFNA(VLOOKUP(G352,Master!B:C,2,0),"")</f>
        <v>7511201</v>
      </c>
      <c r="G352" s="46" t="s">
        <v>97</v>
      </c>
      <c r="H352" s="46" t="s">
        <v>97</v>
      </c>
      <c r="I352" s="3" t="str">
        <f>_xlfn.IFNA(VLOOKUP(E352,Master!$J:$M,4,0),"")</f>
        <v>DIR</v>
      </c>
      <c r="J352" s="3" t="str">
        <f>_xlfn.IFNA(VLOOKUP($E352,Master!$J:$M,3,0),"")</f>
        <v>MFG</v>
      </c>
      <c r="M352" s="50">
        <v>79612000</v>
      </c>
      <c r="N352" s="50">
        <v>41868900</v>
      </c>
      <c r="O352" s="50">
        <v>82644800</v>
      </c>
      <c r="P352" s="50">
        <v>94733300</v>
      </c>
      <c r="Q352" s="50">
        <v>157926000</v>
      </c>
      <c r="R352" s="50">
        <v>138743900</v>
      </c>
      <c r="S352" s="50">
        <v>124321400</v>
      </c>
      <c r="T352" s="50">
        <v>97647200</v>
      </c>
      <c r="U352" s="50">
        <v>106642600</v>
      </c>
      <c r="V352" s="50">
        <v>127897100</v>
      </c>
      <c r="W352" s="50">
        <v>101942700</v>
      </c>
      <c r="X352" s="50">
        <v>127196800</v>
      </c>
      <c r="Y352" s="50">
        <v>122238700</v>
      </c>
      <c r="Z352" s="50">
        <v>140612300</v>
      </c>
      <c r="AA352" s="50">
        <v>136522700</v>
      </c>
      <c r="AB352" s="50">
        <v>179410900</v>
      </c>
      <c r="AC352" s="26">
        <f t="shared" si="10"/>
        <v>298859000</v>
      </c>
      <c r="AD352" s="26">
        <f t="shared" si="11"/>
        <v>1561102300</v>
      </c>
      <c r="AE352" s="50">
        <v>1791319200</v>
      </c>
      <c r="AF352" s="50">
        <v>1873852200</v>
      </c>
      <c r="AG352" s="53" t="s">
        <v>55</v>
      </c>
    </row>
    <row r="353" spans="1:33" ht="15" customHeight="1">
      <c r="A353" s="46" t="s">
        <v>91</v>
      </c>
      <c r="B353" s="3" t="str">
        <f>_xlfn.IFNA(VLOOKUP(C353,Master!$J:$K,2,0),"")</f>
        <v>B2220</v>
      </c>
      <c r="C353" s="46" t="s">
        <v>83</v>
      </c>
      <c r="D353" s="4" t="str">
        <f>_xlfn.IFNA(VLOOKUP(E353,Master!$J:$K,2,0),"")</f>
        <v>B4114</v>
      </c>
      <c r="E353" s="46" t="s">
        <v>172</v>
      </c>
      <c r="F353" s="4">
        <f>_xlfn.IFNA(VLOOKUP(G353,Master!B:C,2,0),"")</f>
        <v>7511201</v>
      </c>
      <c r="G353" s="46" t="s">
        <v>97</v>
      </c>
      <c r="H353" s="46" t="s">
        <v>97</v>
      </c>
      <c r="I353" s="3" t="str">
        <f>_xlfn.IFNA(VLOOKUP(E353,Master!$J:$M,4,0),"")</f>
        <v>DIR</v>
      </c>
      <c r="J353" s="3" t="str">
        <f>_xlfn.IFNA(VLOOKUP($E353,Master!$J:$M,3,0),"")</f>
        <v>MFG</v>
      </c>
      <c r="M353" s="50">
        <v>62167000</v>
      </c>
      <c r="N353" s="50">
        <v>50374800</v>
      </c>
      <c r="O353" s="50">
        <v>65887300</v>
      </c>
      <c r="P353" s="50">
        <v>70205200</v>
      </c>
      <c r="Q353" s="50">
        <v>92594000</v>
      </c>
      <c r="R353" s="50">
        <v>85157400</v>
      </c>
      <c r="S353" s="50">
        <v>60672800</v>
      </c>
      <c r="T353" s="50">
        <v>33795000</v>
      </c>
      <c r="U353" s="50">
        <v>35279400</v>
      </c>
      <c r="V353" s="50">
        <v>39039900</v>
      </c>
      <c r="W353" s="50">
        <v>23612300</v>
      </c>
      <c r="X353" s="50">
        <v>26496600</v>
      </c>
      <c r="Y353" s="50">
        <v>25658100</v>
      </c>
      <c r="Z353" s="50">
        <v>28691900</v>
      </c>
      <c r="AA353" s="50">
        <v>28190500</v>
      </c>
      <c r="AB353" s="50">
        <v>33062000</v>
      </c>
      <c r="AC353" s="26">
        <f t="shared" si="10"/>
        <v>248634300</v>
      </c>
      <c r="AD353" s="26">
        <f t="shared" si="11"/>
        <v>512249900</v>
      </c>
      <c r="AE353" s="50">
        <v>368306100</v>
      </c>
      <c r="AF353" s="50">
        <v>392134800</v>
      </c>
      <c r="AG353" s="53" t="s">
        <v>55</v>
      </c>
    </row>
    <row r="354" spans="1:33" ht="15" customHeight="1">
      <c r="A354" s="46" t="s">
        <v>91</v>
      </c>
      <c r="B354" s="3" t="str">
        <f>_xlfn.IFNA(VLOOKUP(C354,Master!$J:$K,2,0),"")</f>
        <v>B2220</v>
      </c>
      <c r="C354" s="46" t="s">
        <v>83</v>
      </c>
      <c r="D354" s="4" t="str">
        <f>_xlfn.IFNA(VLOOKUP(E354,Master!$J:$K,2,0),"")</f>
        <v>B4115</v>
      </c>
      <c r="E354" s="46" t="s">
        <v>167</v>
      </c>
      <c r="F354" s="4">
        <f>_xlfn.IFNA(VLOOKUP(G354,Master!B:C,2,0),"")</f>
        <v>7511201</v>
      </c>
      <c r="G354" s="46" t="s">
        <v>97</v>
      </c>
      <c r="H354" s="46" t="s">
        <v>97</v>
      </c>
      <c r="I354" s="3" t="str">
        <f>_xlfn.IFNA(VLOOKUP(E354,Master!$J:$M,4,0),"")</f>
        <v>DIR</v>
      </c>
      <c r="J354" s="3" t="str">
        <f>_xlfn.IFNA(VLOOKUP($E354,Master!$J:$M,3,0),"")</f>
        <v>MFG</v>
      </c>
      <c r="M354" s="50">
        <v>27307600</v>
      </c>
      <c r="N354" s="50">
        <v>30278400</v>
      </c>
      <c r="O354" s="50">
        <v>25975900</v>
      </c>
      <c r="P354" s="50">
        <v>24169600</v>
      </c>
      <c r="Q354" s="50">
        <v>20132700</v>
      </c>
      <c r="R354" s="50">
        <v>27463300</v>
      </c>
      <c r="S354" s="50">
        <v>19760900</v>
      </c>
      <c r="T354" s="50">
        <v>18379900</v>
      </c>
      <c r="U354" s="50">
        <v>21460700</v>
      </c>
      <c r="V354" s="50">
        <v>22523100</v>
      </c>
      <c r="W354" s="50">
        <v>12642900</v>
      </c>
      <c r="X354" s="50">
        <v>20026500</v>
      </c>
      <c r="Y354" s="50">
        <v>25922900</v>
      </c>
      <c r="Z354" s="50">
        <v>26204800</v>
      </c>
      <c r="AA354" s="50">
        <v>26772000</v>
      </c>
      <c r="AB354" s="50">
        <v>38853200</v>
      </c>
      <c r="AC354" s="26">
        <f t="shared" si="10"/>
        <v>107731500</v>
      </c>
      <c r="AD354" s="26">
        <f t="shared" si="11"/>
        <v>280142900</v>
      </c>
      <c r="AE354" s="50">
        <v>358917500</v>
      </c>
      <c r="AF354" s="50">
        <v>438865300</v>
      </c>
      <c r="AG354" s="53" t="s">
        <v>55</v>
      </c>
    </row>
    <row r="355" spans="1:33" ht="15" customHeight="1">
      <c r="A355" s="46" t="s">
        <v>91</v>
      </c>
      <c r="B355" s="3" t="str">
        <f>_xlfn.IFNA(VLOOKUP(C355,Master!$J:$K,2,0),"")</f>
        <v>B2220</v>
      </c>
      <c r="C355" s="46" t="s">
        <v>83</v>
      </c>
      <c r="D355" s="4" t="str">
        <f>_xlfn.IFNA(VLOOKUP(E355,Master!$J:$K,2,0),"")</f>
        <v>B4120</v>
      </c>
      <c r="E355" s="46" t="s">
        <v>177</v>
      </c>
      <c r="F355" s="4">
        <f>_xlfn.IFNA(VLOOKUP(G355,Master!B:C,2,0),"")</f>
        <v>7511201</v>
      </c>
      <c r="G355" s="46" t="s">
        <v>97</v>
      </c>
      <c r="H355" s="46" t="s">
        <v>97</v>
      </c>
      <c r="I355" s="3" t="str">
        <f>_xlfn.IFNA(VLOOKUP(E355,Master!$J:$M,4,0),"")</f>
        <v>DIR</v>
      </c>
      <c r="J355" s="3" t="str">
        <f>_xlfn.IFNA(VLOOKUP($E355,Master!$J:$M,3,0),"")</f>
        <v>MFG</v>
      </c>
      <c r="M355" s="50">
        <v>97297500</v>
      </c>
      <c r="N355" s="50">
        <v>100563600</v>
      </c>
      <c r="O355" s="50">
        <v>101125700</v>
      </c>
      <c r="P355" s="50">
        <v>101732400</v>
      </c>
      <c r="Q355" s="50">
        <v>87388300</v>
      </c>
      <c r="R355" s="50">
        <v>83294400</v>
      </c>
      <c r="S355" s="50">
        <v>81492000</v>
      </c>
      <c r="T355" s="50">
        <v>86142000</v>
      </c>
      <c r="U355" s="50">
        <v>86553600</v>
      </c>
      <c r="V355" s="50">
        <v>87649400</v>
      </c>
      <c r="W355" s="50">
        <v>93162000</v>
      </c>
      <c r="X355" s="50">
        <v>94538300</v>
      </c>
      <c r="Y355" s="50">
        <v>94374700</v>
      </c>
      <c r="Z355" s="50">
        <v>101100800</v>
      </c>
      <c r="AA355" s="50">
        <v>100937600</v>
      </c>
      <c r="AB355" s="50">
        <v>105345100</v>
      </c>
      <c r="AC355" s="26">
        <f t="shared" si="10"/>
        <v>400719200</v>
      </c>
      <c r="AD355" s="26">
        <f t="shared" si="11"/>
        <v>1101978200</v>
      </c>
      <c r="AE355" s="50">
        <v>1123083000</v>
      </c>
      <c r="AF355" s="50">
        <v>1179761700</v>
      </c>
      <c r="AG355" s="53" t="s">
        <v>55</v>
      </c>
    </row>
    <row r="356" spans="1:33" ht="15" customHeight="1">
      <c r="A356" s="46" t="s">
        <v>91</v>
      </c>
      <c r="B356" s="3" t="str">
        <f>_xlfn.IFNA(VLOOKUP(C356,Master!$J:$K,2,0),"")</f>
        <v>B2220</v>
      </c>
      <c r="C356" s="46" t="s">
        <v>83</v>
      </c>
      <c r="D356" s="4" t="str">
        <f>_xlfn.IFNA(VLOOKUP(E356,Master!$J:$K,2,0),"")</f>
        <v>B4130</v>
      </c>
      <c r="E356" s="46" t="s">
        <v>158</v>
      </c>
      <c r="F356" s="4">
        <f>_xlfn.IFNA(VLOOKUP(G356,Master!B:C,2,0),"")</f>
        <v>7511201</v>
      </c>
      <c r="G356" s="46" t="s">
        <v>97</v>
      </c>
      <c r="H356" s="46" t="s">
        <v>97</v>
      </c>
      <c r="I356" s="3" t="str">
        <f>_xlfn.IFNA(VLOOKUP(E356,Master!$J:$M,4,0),"")</f>
        <v>DIR</v>
      </c>
      <c r="J356" s="3" t="str">
        <f>_xlfn.IFNA(VLOOKUP($E356,Master!$J:$M,3,0),"")</f>
        <v>MFG</v>
      </c>
      <c r="M356" s="50">
        <v>55416500</v>
      </c>
      <c r="N356" s="50">
        <v>79417300</v>
      </c>
      <c r="O356" s="50">
        <v>59052000</v>
      </c>
      <c r="P356" s="50">
        <v>60520600</v>
      </c>
      <c r="Q356" s="50">
        <v>30388000</v>
      </c>
      <c r="R356" s="50">
        <v>46795000</v>
      </c>
      <c r="S356" s="50">
        <v>31728700</v>
      </c>
      <c r="T356" s="50">
        <v>47816500</v>
      </c>
      <c r="U356" s="50">
        <v>48837600</v>
      </c>
      <c r="V356" s="50">
        <v>49476000</v>
      </c>
      <c r="W356" s="50">
        <v>43411200</v>
      </c>
      <c r="X356" s="50">
        <v>44496700</v>
      </c>
      <c r="Y356" s="50">
        <v>44049600</v>
      </c>
      <c r="Z356" s="50">
        <v>46390000</v>
      </c>
      <c r="AA356" s="50">
        <v>47411800</v>
      </c>
      <c r="AB356" s="50">
        <v>47752400</v>
      </c>
      <c r="AC356" s="26">
        <f t="shared" si="10"/>
        <v>254406400</v>
      </c>
      <c r="AD356" s="26">
        <f t="shared" si="11"/>
        <v>528553500</v>
      </c>
      <c r="AE356" s="50">
        <v>678264400</v>
      </c>
      <c r="AF356" s="50">
        <v>852526600</v>
      </c>
      <c r="AG356" s="53" t="s">
        <v>55</v>
      </c>
    </row>
    <row r="357" spans="1:33" ht="15" customHeight="1">
      <c r="A357" s="46" t="s">
        <v>91</v>
      </c>
      <c r="B357" s="3" t="str">
        <f>_xlfn.IFNA(VLOOKUP(C357,Master!$J:$K,2,0),"")</f>
        <v>B2220</v>
      </c>
      <c r="C357" s="46" t="s">
        <v>83</v>
      </c>
      <c r="D357" s="4" t="str">
        <f>_xlfn.IFNA(VLOOKUP(E357,Master!$J:$K,2,0),"")</f>
        <v>B4410</v>
      </c>
      <c r="E357" s="46" t="s">
        <v>188</v>
      </c>
      <c r="F357" s="4">
        <f>_xlfn.IFNA(VLOOKUP(G357,Master!B:C,2,0),"")</f>
        <v>7511201</v>
      </c>
      <c r="G357" s="46" t="s">
        <v>97</v>
      </c>
      <c r="H357" s="46" t="s">
        <v>97</v>
      </c>
      <c r="I357" s="3" t="str">
        <f>_xlfn.IFNA(VLOOKUP(E357,Master!$J:$M,4,0),"")</f>
        <v>DIR</v>
      </c>
      <c r="J357" s="3" t="str">
        <f>_xlfn.IFNA(VLOOKUP($E357,Master!$J:$M,3,0),"")</f>
        <v>MFG</v>
      </c>
      <c r="M357" s="50">
        <v>2013000</v>
      </c>
      <c r="N357" s="50">
        <v>4012400</v>
      </c>
      <c r="O357" s="50">
        <v>11206200</v>
      </c>
      <c r="P357" s="50">
        <v>19259700</v>
      </c>
      <c r="Q357" s="50">
        <v>3267400</v>
      </c>
      <c r="R357" s="50">
        <v>15046500</v>
      </c>
      <c r="S357" s="50">
        <v>13269700</v>
      </c>
      <c r="T357" s="50">
        <v>12066000</v>
      </c>
      <c r="U357" s="50">
        <v>27399100</v>
      </c>
      <c r="V357" s="50">
        <v>2149500</v>
      </c>
      <c r="W357" s="50">
        <v>34908000</v>
      </c>
      <c r="X357" s="50">
        <v>2149500</v>
      </c>
      <c r="AC357" s="26">
        <f t="shared" si="10"/>
        <v>36491300</v>
      </c>
      <c r="AD357" s="26">
        <f t="shared" si="11"/>
        <v>110255700</v>
      </c>
      <c r="AG357" s="53" t="s">
        <v>55</v>
      </c>
    </row>
    <row r="358" spans="1:33" ht="15" customHeight="1">
      <c r="A358" s="46" t="s">
        <v>91</v>
      </c>
      <c r="B358" s="3" t="str">
        <f>_xlfn.IFNA(VLOOKUP(C358,Master!$J:$K,2,0),"")</f>
        <v>B2220</v>
      </c>
      <c r="C358" s="46" t="s">
        <v>83</v>
      </c>
      <c r="D358" s="4" t="str">
        <f>_xlfn.IFNA(VLOOKUP(E358,Master!$J:$K,2,0),"")</f>
        <v>B4430</v>
      </c>
      <c r="E358" s="46" t="s">
        <v>193</v>
      </c>
      <c r="F358" s="4">
        <f>_xlfn.IFNA(VLOOKUP(G358,Master!B:C,2,0),"")</f>
        <v>7511201</v>
      </c>
      <c r="G358" s="46" t="s">
        <v>97</v>
      </c>
      <c r="H358" s="46" t="s">
        <v>97</v>
      </c>
      <c r="I358" s="3" t="str">
        <f>_xlfn.IFNA(VLOOKUP(E358,Master!$J:$M,4,0),"")</f>
        <v>DIR</v>
      </c>
      <c r="J358" s="3" t="str">
        <f>_xlfn.IFNA(VLOOKUP($E358,Master!$J:$M,3,0),"")</f>
        <v>MFG</v>
      </c>
      <c r="M358" s="50">
        <v>10630500</v>
      </c>
      <c r="N358" s="50">
        <v>13539900</v>
      </c>
      <c r="O358" s="50">
        <v>28497300</v>
      </c>
      <c r="P358" s="50">
        <v>35829300</v>
      </c>
      <c r="Q358" s="50">
        <v>8505400</v>
      </c>
      <c r="R358" s="50">
        <v>25417600</v>
      </c>
      <c r="S358" s="50">
        <v>18623400</v>
      </c>
      <c r="T358" s="50">
        <v>29279400</v>
      </c>
      <c r="U358" s="50">
        <v>49271300</v>
      </c>
      <c r="V358" s="50">
        <v>25320100</v>
      </c>
      <c r="W358" s="50">
        <v>47902400</v>
      </c>
      <c r="AC358" s="26">
        <f t="shared" si="10"/>
        <v>88497000</v>
      </c>
      <c r="AD358" s="26">
        <f t="shared" si="11"/>
        <v>204319600</v>
      </c>
      <c r="AG358" s="53" t="s">
        <v>55</v>
      </c>
    </row>
    <row r="359" spans="1:33" ht="15" customHeight="1">
      <c r="A359" s="46" t="s">
        <v>91</v>
      </c>
      <c r="B359" s="3" t="str">
        <f>_xlfn.IFNA(VLOOKUP(C359,Master!$J:$K,2,0),"")</f>
        <v>B2220</v>
      </c>
      <c r="C359" s="46" t="s">
        <v>83</v>
      </c>
      <c r="D359" s="4" t="str">
        <f>_xlfn.IFNA(VLOOKUP(E359,Master!$J:$K,2,0),"")</f>
        <v>B4440</v>
      </c>
      <c r="E359" s="46" t="s">
        <v>198</v>
      </c>
      <c r="F359" s="4">
        <f>_xlfn.IFNA(VLOOKUP(G359,Master!B:C,2,0),"")</f>
        <v>7511201</v>
      </c>
      <c r="G359" s="46" t="s">
        <v>97</v>
      </c>
      <c r="H359" s="46" t="s">
        <v>97</v>
      </c>
      <c r="I359" s="3" t="str">
        <f>_xlfn.IFNA(VLOOKUP(E359,Master!$J:$M,4,0),"")</f>
        <v>DIR</v>
      </c>
      <c r="J359" s="3" t="str">
        <f>_xlfn.IFNA(VLOOKUP($E359,Master!$J:$M,3,0),"")</f>
        <v>MFG</v>
      </c>
      <c r="M359" s="50">
        <v>10311500</v>
      </c>
      <c r="N359" s="50">
        <v>13962000</v>
      </c>
      <c r="O359" s="50">
        <v>13908900</v>
      </c>
      <c r="P359" s="50">
        <v>19825200</v>
      </c>
      <c r="Q359" s="50">
        <v>13870000</v>
      </c>
      <c r="R359" s="50">
        <v>23194800</v>
      </c>
      <c r="S359" s="50">
        <v>16494900</v>
      </c>
      <c r="T359" s="50">
        <v>27778900</v>
      </c>
      <c r="U359" s="50">
        <v>25976500</v>
      </c>
      <c r="V359" s="50">
        <v>13830700</v>
      </c>
      <c r="W359" s="50">
        <v>839200</v>
      </c>
      <c r="AC359" s="26">
        <f t="shared" si="10"/>
        <v>58007600</v>
      </c>
      <c r="AD359" s="26">
        <f t="shared" si="11"/>
        <v>121985000</v>
      </c>
      <c r="AG359" s="53" t="s">
        <v>55</v>
      </c>
    </row>
    <row r="360" spans="1:33" ht="15" customHeight="1">
      <c r="A360" s="46" t="s">
        <v>91</v>
      </c>
      <c r="B360" s="3" t="str">
        <f>_xlfn.IFNA(VLOOKUP(C360,Master!$J:$K,2,0),"")</f>
        <v>B2220</v>
      </c>
      <c r="C360" s="46" t="s">
        <v>83</v>
      </c>
      <c r="D360" s="4" t="str">
        <f>_xlfn.IFNA(VLOOKUP(E360,Master!$J:$K,2,0),"")</f>
        <v>B5101</v>
      </c>
      <c r="E360" s="46" t="s">
        <v>216</v>
      </c>
      <c r="F360" s="4">
        <f>_xlfn.IFNA(VLOOKUP(G360,Master!B:C,2,0),"")</f>
        <v>7511201</v>
      </c>
      <c r="G360" s="46" t="s">
        <v>97</v>
      </c>
      <c r="H360" s="46" t="s">
        <v>97</v>
      </c>
      <c r="I360" s="3" t="str">
        <f>_xlfn.IFNA(VLOOKUP(E360,Master!$J:$M,4,0),"")</f>
        <v>IND</v>
      </c>
      <c r="J360" s="3" t="str">
        <f>_xlfn.IFNA(VLOOKUP($E360,Master!$J:$M,3,0),"")</f>
        <v>MFG</v>
      </c>
      <c r="M360" s="50">
        <v>14670000</v>
      </c>
      <c r="N360" s="50">
        <v>12528000</v>
      </c>
      <c r="O360" s="50">
        <v>6264000</v>
      </c>
      <c r="P360" s="50">
        <v>15660000</v>
      </c>
      <c r="Q360" s="50">
        <v>8019000</v>
      </c>
      <c r="R360" s="50">
        <v>8019000</v>
      </c>
      <c r="S360" s="50">
        <v>8019000</v>
      </c>
      <c r="T360" s="50">
        <v>5346000</v>
      </c>
      <c r="U360" s="50">
        <v>5346000</v>
      </c>
      <c r="V360" s="50">
        <v>5346000</v>
      </c>
      <c r="W360" s="50">
        <v>8194500</v>
      </c>
      <c r="X360" s="50">
        <v>6847100</v>
      </c>
      <c r="Y360" s="50">
        <v>8194500</v>
      </c>
      <c r="Z360" s="50">
        <v>7309600</v>
      </c>
      <c r="AA360" s="50">
        <v>8748000</v>
      </c>
      <c r="AB360" s="50">
        <v>5832000</v>
      </c>
      <c r="AC360" s="26">
        <f t="shared" si="10"/>
        <v>49122000</v>
      </c>
      <c r="AD360" s="26">
        <f t="shared" si="11"/>
        <v>85220700</v>
      </c>
      <c r="AE360" s="50">
        <v>89442800</v>
      </c>
      <c r="AF360" s="50">
        <v>95236800</v>
      </c>
      <c r="AG360" s="53" t="s">
        <v>55</v>
      </c>
    </row>
    <row r="361" spans="1:33" ht="15" customHeight="1">
      <c r="A361" s="46" t="s">
        <v>91</v>
      </c>
      <c r="B361" s="3" t="str">
        <f>_xlfn.IFNA(VLOOKUP(C361,Master!$J:$K,2,0),"")</f>
        <v>B2220</v>
      </c>
      <c r="C361" s="46" t="s">
        <v>83</v>
      </c>
      <c r="D361" s="4" t="str">
        <f>_xlfn.IFNA(VLOOKUP(E361,Master!$J:$K,2,0),"")</f>
        <v>B5130</v>
      </c>
      <c r="E361" s="46" t="s">
        <v>247</v>
      </c>
      <c r="F361" s="4">
        <f>_xlfn.IFNA(VLOOKUP(G361,Master!B:C,2,0),"")</f>
        <v>7511201</v>
      </c>
      <c r="G361" s="46" t="s">
        <v>97</v>
      </c>
      <c r="H361" s="46" t="s">
        <v>97</v>
      </c>
      <c r="I361" s="3" t="str">
        <f>_xlfn.IFNA(VLOOKUP(E361,Master!$J:$M,4,0),"")</f>
        <v>IND</v>
      </c>
      <c r="J361" s="3" t="str">
        <f>_xlfn.IFNA(VLOOKUP($E361,Master!$J:$M,3,0),"")</f>
        <v>MFG</v>
      </c>
      <c r="M361" s="50">
        <v>20677200</v>
      </c>
      <c r="N361" s="50">
        <v>22066400</v>
      </c>
      <c r="O361" s="50">
        <v>22066400</v>
      </c>
      <c r="P361" s="50">
        <v>22066400</v>
      </c>
      <c r="Q361" s="50">
        <v>19465900</v>
      </c>
      <c r="R361" s="50">
        <v>19519900</v>
      </c>
      <c r="S361" s="50">
        <v>19785400</v>
      </c>
      <c r="T361" s="50">
        <v>19519900</v>
      </c>
      <c r="U361" s="50">
        <v>19465900</v>
      </c>
      <c r="V361" s="50">
        <v>19785400</v>
      </c>
      <c r="W361" s="50">
        <v>19519900</v>
      </c>
      <c r="X361" s="50">
        <v>19465900</v>
      </c>
      <c r="Y361" s="50">
        <v>19785400</v>
      </c>
      <c r="Z361" s="50">
        <v>15710200</v>
      </c>
      <c r="AA361" s="50">
        <v>15653200</v>
      </c>
      <c r="AB361" s="50">
        <v>15993700</v>
      </c>
      <c r="AC361" s="26">
        <f t="shared" si="10"/>
        <v>86876400</v>
      </c>
      <c r="AD361" s="26">
        <f t="shared" si="11"/>
        <v>223670700</v>
      </c>
      <c r="AE361" s="50">
        <v>162628600</v>
      </c>
      <c r="AF361" s="50">
        <v>121897300</v>
      </c>
      <c r="AG361" s="53" t="s">
        <v>55</v>
      </c>
    </row>
    <row r="362" spans="1:33" ht="15" customHeight="1">
      <c r="A362" s="46" t="s">
        <v>91</v>
      </c>
      <c r="B362" s="3" t="str">
        <f>_xlfn.IFNA(VLOOKUP(C362,Master!$J:$K,2,0),"")</f>
        <v>B2220</v>
      </c>
      <c r="C362" s="46" t="s">
        <v>83</v>
      </c>
      <c r="D362" s="4" t="str">
        <f>_xlfn.IFNA(VLOOKUP(E362,Master!$J:$K,2,0),"")</f>
        <v>B5200</v>
      </c>
      <c r="E362" s="46" t="s">
        <v>253</v>
      </c>
      <c r="F362" s="4">
        <f>_xlfn.IFNA(VLOOKUP(G362,Master!B:C,2,0),"")</f>
        <v>7511201</v>
      </c>
      <c r="G362" s="46" t="s">
        <v>97</v>
      </c>
      <c r="H362" s="46" t="s">
        <v>97</v>
      </c>
      <c r="I362" s="3" t="str">
        <f>_xlfn.IFNA(VLOOKUP(E362,Master!$J:$M,4,0),"")</f>
        <v>IND</v>
      </c>
      <c r="J362" s="3" t="str">
        <f>_xlfn.IFNA(VLOOKUP($E362,Master!$J:$M,3,0),"")</f>
        <v>MFG</v>
      </c>
      <c r="M362" s="50">
        <v>4951200</v>
      </c>
      <c r="N362" s="50">
        <v>5283200</v>
      </c>
      <c r="O362" s="50">
        <v>5283200</v>
      </c>
      <c r="P362" s="50">
        <v>5283200</v>
      </c>
      <c r="Q362" s="50">
        <v>3818800</v>
      </c>
      <c r="R362" s="50">
        <v>3066800</v>
      </c>
      <c r="S362" s="50">
        <v>2020800</v>
      </c>
      <c r="T362" s="50">
        <v>3066800</v>
      </c>
      <c r="U362" s="50">
        <v>3066800</v>
      </c>
      <c r="V362" s="50">
        <v>2380400</v>
      </c>
      <c r="W362" s="50">
        <v>2380400</v>
      </c>
      <c r="X362" s="50">
        <v>2380400</v>
      </c>
      <c r="Y362" s="50">
        <v>3066800</v>
      </c>
      <c r="Z362" s="50">
        <v>3268800</v>
      </c>
      <c r="AA362" s="50">
        <v>3268800</v>
      </c>
      <c r="AB362" s="50">
        <v>3268800</v>
      </c>
      <c r="AC362" s="26">
        <f t="shared" si="10"/>
        <v>20800800</v>
      </c>
      <c r="AD362" s="26">
        <f t="shared" si="11"/>
        <v>35054400</v>
      </c>
      <c r="AE362" s="50">
        <v>28521600</v>
      </c>
      <c r="AF362" s="50">
        <v>26764800</v>
      </c>
      <c r="AG362" s="53" t="s">
        <v>55</v>
      </c>
    </row>
    <row r="363" spans="1:33" ht="15" customHeight="1">
      <c r="A363" s="46" t="s">
        <v>91</v>
      </c>
      <c r="B363" s="3" t="str">
        <f>_xlfn.IFNA(VLOOKUP(C363,Master!$J:$K,2,0),"")</f>
        <v>B2220</v>
      </c>
      <c r="C363" s="46" t="s">
        <v>83</v>
      </c>
      <c r="D363" s="4" t="str">
        <f>_xlfn.IFNA(VLOOKUP(E363,Master!$J:$K,2,0),"")</f>
        <v>B5500</v>
      </c>
      <c r="E363" s="46" t="s">
        <v>236</v>
      </c>
      <c r="F363" s="4">
        <f>_xlfn.IFNA(VLOOKUP(G363,Master!B:C,2,0),"")</f>
        <v>7511201</v>
      </c>
      <c r="G363" s="46" t="s">
        <v>97</v>
      </c>
      <c r="H363" s="46" t="s">
        <v>97</v>
      </c>
      <c r="I363" s="3" t="str">
        <f>_xlfn.IFNA(VLOOKUP(E363,Master!$J:$M,4,0),"")</f>
        <v>IND</v>
      </c>
      <c r="J363" s="3" t="str">
        <f>_xlfn.IFNA(VLOOKUP($E363,Master!$J:$M,3,0),"")</f>
        <v>MFG</v>
      </c>
      <c r="M363" s="50">
        <v>33936000</v>
      </c>
      <c r="N363" s="50">
        <v>40945600</v>
      </c>
      <c r="O363" s="50">
        <v>36233600</v>
      </c>
      <c r="P363" s="50">
        <v>36233600</v>
      </c>
      <c r="Q363" s="50">
        <v>48904800</v>
      </c>
      <c r="R363" s="50">
        <v>32248000</v>
      </c>
      <c r="S363" s="50">
        <v>32248000</v>
      </c>
      <c r="T363" s="50">
        <v>32248000</v>
      </c>
      <c r="U363" s="50">
        <v>32248000</v>
      </c>
      <c r="V363" s="50">
        <v>32248000</v>
      </c>
      <c r="W363" s="50">
        <v>32248000</v>
      </c>
      <c r="X363" s="50">
        <v>32248000</v>
      </c>
      <c r="Y363" s="50">
        <v>32248000</v>
      </c>
      <c r="Z363" s="50">
        <v>38038400</v>
      </c>
      <c r="AA363" s="50">
        <v>34224000</v>
      </c>
      <c r="AB363" s="50">
        <v>34224000</v>
      </c>
      <c r="AC363" s="26">
        <f t="shared" si="10"/>
        <v>147348800</v>
      </c>
      <c r="AD363" s="26">
        <f t="shared" si="11"/>
        <v>413375200</v>
      </c>
      <c r="AE363" s="50">
        <v>358164800</v>
      </c>
      <c r="AF363" s="50">
        <v>345075200</v>
      </c>
      <c r="AG363" s="53" t="s">
        <v>55</v>
      </c>
    </row>
    <row r="364" spans="1:33" ht="15" customHeight="1">
      <c r="A364" s="46" t="s">
        <v>91</v>
      </c>
      <c r="B364" s="3" t="str">
        <f>_xlfn.IFNA(VLOOKUP(C364,Master!$J:$K,2,0),"")</f>
        <v>B2220</v>
      </c>
      <c r="C364" s="46" t="s">
        <v>83</v>
      </c>
      <c r="D364" s="4" t="str">
        <f>_xlfn.IFNA(VLOOKUP(E364,Master!$J:$K,2,0),"")</f>
        <v>B5600</v>
      </c>
      <c r="E364" s="46" t="s">
        <v>241</v>
      </c>
      <c r="F364" s="4">
        <f>_xlfn.IFNA(VLOOKUP(G364,Master!B:C,2,0),"")</f>
        <v>7511201</v>
      </c>
      <c r="G364" s="46" t="s">
        <v>97</v>
      </c>
      <c r="H364" s="46" t="s">
        <v>97</v>
      </c>
      <c r="I364" s="3" t="str">
        <f>_xlfn.IFNA(VLOOKUP(E364,Master!$J:$M,4,0),"")</f>
        <v>IND</v>
      </c>
      <c r="J364" s="3" t="str">
        <f>_xlfn.IFNA(VLOOKUP($E364,Master!$J:$M,3,0),"")</f>
        <v>MFG</v>
      </c>
      <c r="M364" s="50">
        <v>29849600</v>
      </c>
      <c r="N364" s="50">
        <v>31865600</v>
      </c>
      <c r="O364" s="50">
        <v>31865600</v>
      </c>
      <c r="P364" s="50">
        <v>31865600</v>
      </c>
      <c r="Q364" s="50">
        <v>32396800</v>
      </c>
      <c r="R364" s="50">
        <v>32396800</v>
      </c>
      <c r="S364" s="50">
        <v>32396800</v>
      </c>
      <c r="T364" s="50">
        <v>32396800</v>
      </c>
      <c r="U364" s="50">
        <v>32396800</v>
      </c>
      <c r="V364" s="50">
        <v>32396800</v>
      </c>
      <c r="W364" s="50">
        <v>32396800</v>
      </c>
      <c r="X364" s="50">
        <v>32396800</v>
      </c>
      <c r="Y364" s="50">
        <v>32396800</v>
      </c>
      <c r="Z364" s="50">
        <v>34566400</v>
      </c>
      <c r="AA364" s="50">
        <v>34566400</v>
      </c>
      <c r="AB364" s="50">
        <v>34566400</v>
      </c>
      <c r="AC364" s="26">
        <f t="shared" si="10"/>
        <v>125446400</v>
      </c>
      <c r="AD364" s="26">
        <f t="shared" si="11"/>
        <v>395270400</v>
      </c>
      <c r="AE364" s="50">
        <v>371788800</v>
      </c>
      <c r="AF364" s="50">
        <v>344544000</v>
      </c>
      <c r="AG364" s="53" t="s">
        <v>55</v>
      </c>
    </row>
    <row r="365" spans="1:33" ht="15" customHeight="1">
      <c r="A365" s="46" t="s">
        <v>91</v>
      </c>
      <c r="B365" s="3" t="str">
        <f>_xlfn.IFNA(VLOOKUP(C365,Master!$J:$K,2,0),"")</f>
        <v>B2220</v>
      </c>
      <c r="C365" s="46" t="s">
        <v>83</v>
      </c>
      <c r="D365" s="4" t="str">
        <f>_xlfn.IFNA(VLOOKUP(E365,Master!$J:$K,2,0),"")</f>
        <v>B5710</v>
      </c>
      <c r="E365" s="46" t="s">
        <v>265</v>
      </c>
      <c r="F365" s="4">
        <f>_xlfn.IFNA(VLOOKUP(G365,Master!B:C,2,0),"")</f>
        <v>7511201</v>
      </c>
      <c r="G365" s="46" t="s">
        <v>97</v>
      </c>
      <c r="H365" s="46" t="s">
        <v>97</v>
      </c>
      <c r="I365" s="3" t="str">
        <f>_xlfn.IFNA(VLOOKUP(E365,Master!$J:$M,4,0),"")</f>
        <v>IND</v>
      </c>
      <c r="J365" s="3" t="str">
        <f>_xlfn.IFNA(VLOOKUP($E365,Master!$J:$M,3,0),"")</f>
        <v>MFG</v>
      </c>
      <c r="M365" s="50">
        <v>22270800</v>
      </c>
      <c r="N365" s="50">
        <v>23781000</v>
      </c>
      <c r="O365" s="50">
        <v>23781000</v>
      </c>
      <c r="P365" s="50">
        <v>23781000</v>
      </c>
      <c r="Q365" s="50">
        <v>22767200</v>
      </c>
      <c r="R365" s="50">
        <v>22767200</v>
      </c>
      <c r="S365" s="50">
        <v>22767200</v>
      </c>
      <c r="T365" s="50">
        <v>22767200</v>
      </c>
      <c r="U365" s="50">
        <v>22767200</v>
      </c>
      <c r="V365" s="50">
        <v>22767200</v>
      </c>
      <c r="W365" s="50">
        <v>22767200</v>
      </c>
      <c r="X365" s="50">
        <v>22767200</v>
      </c>
      <c r="Y365" s="50">
        <v>22767200</v>
      </c>
      <c r="Z365" s="50">
        <v>24291800</v>
      </c>
      <c r="AA365" s="50">
        <v>24291800</v>
      </c>
      <c r="AB365" s="50">
        <v>24291800</v>
      </c>
      <c r="AC365" s="26">
        <f t="shared" si="10"/>
        <v>93613800</v>
      </c>
      <c r="AD365" s="26">
        <f t="shared" si="11"/>
        <v>277780200</v>
      </c>
      <c r="AE365" s="50">
        <v>300443400</v>
      </c>
      <c r="AF365" s="50">
        <v>260860800</v>
      </c>
      <c r="AG365" s="53" t="s">
        <v>55</v>
      </c>
    </row>
    <row r="366" spans="1:33" ht="15" customHeight="1">
      <c r="A366" s="46" t="s">
        <v>91</v>
      </c>
      <c r="B366" s="3" t="str">
        <f>_xlfn.IFNA(VLOOKUP(C366,Master!$J:$K,2,0),"")</f>
        <v>B2220</v>
      </c>
      <c r="C366" s="46" t="s">
        <v>83</v>
      </c>
      <c r="D366" s="4" t="str">
        <f>_xlfn.IFNA(VLOOKUP(E366,Master!$J:$K,2,0),"")</f>
        <v>B5800</v>
      </c>
      <c r="E366" s="46" t="s">
        <v>226</v>
      </c>
      <c r="F366" s="4">
        <f>_xlfn.IFNA(VLOOKUP(G366,Master!B:C,2,0),"")</f>
        <v>7511201</v>
      </c>
      <c r="G366" s="46" t="s">
        <v>97</v>
      </c>
      <c r="H366" s="46" t="s">
        <v>97</v>
      </c>
      <c r="I366" s="3" t="str">
        <f>_xlfn.IFNA(VLOOKUP(E366,Master!$J:$M,4,0),"")</f>
        <v>IND</v>
      </c>
      <c r="J366" s="3" t="str">
        <f>_xlfn.IFNA(VLOOKUP($E366,Master!$J:$M,3,0),"")</f>
        <v>MFG</v>
      </c>
      <c r="M366" s="50">
        <v>7119200</v>
      </c>
      <c r="N366" s="50">
        <v>7599200</v>
      </c>
      <c r="O366" s="50">
        <v>7599200</v>
      </c>
      <c r="P366" s="50">
        <v>7599200</v>
      </c>
      <c r="Q366" s="50">
        <v>10689000</v>
      </c>
      <c r="R366" s="50">
        <v>10689000</v>
      </c>
      <c r="S366" s="50">
        <v>10689000</v>
      </c>
      <c r="T366" s="50">
        <v>10689000</v>
      </c>
      <c r="U366" s="50">
        <v>10689000</v>
      </c>
      <c r="V366" s="50">
        <v>10689000</v>
      </c>
      <c r="W366" s="50">
        <v>10689000</v>
      </c>
      <c r="X366" s="50">
        <v>10689000</v>
      </c>
      <c r="Y366" s="50">
        <v>10689000</v>
      </c>
      <c r="Z366" s="50">
        <v>11418000</v>
      </c>
      <c r="AA366" s="50">
        <v>11418000</v>
      </c>
      <c r="AB366" s="50">
        <v>11418000</v>
      </c>
      <c r="AC366" s="26">
        <f t="shared" si="10"/>
        <v>29916800</v>
      </c>
      <c r="AD366" s="26">
        <f t="shared" si="11"/>
        <v>130455000</v>
      </c>
      <c r="AE366" s="50">
        <v>135295800</v>
      </c>
      <c r="AF366" s="50">
        <v>126436500</v>
      </c>
      <c r="AG366" s="53" t="s">
        <v>55</v>
      </c>
    </row>
    <row r="367" spans="1:33" ht="15" customHeight="1">
      <c r="A367" s="46" t="s">
        <v>91</v>
      </c>
      <c r="B367" s="3" t="str">
        <f>_xlfn.IFNA(VLOOKUP(C367,Master!$J:$K,2,0),"")</f>
        <v>B2220</v>
      </c>
      <c r="C367" s="46" t="s">
        <v>83</v>
      </c>
      <c r="D367" s="4" t="str">
        <f>_xlfn.IFNA(VLOOKUP(E367,Master!$J:$K,2,0),"")</f>
        <v>B5900</v>
      </c>
      <c r="E367" s="46" t="s">
        <v>231</v>
      </c>
      <c r="F367" s="4">
        <f>_xlfn.IFNA(VLOOKUP(G367,Master!B:C,2,0),"")</f>
        <v>7511201</v>
      </c>
      <c r="G367" s="46" t="s">
        <v>97</v>
      </c>
      <c r="H367" s="46" t="s">
        <v>97</v>
      </c>
      <c r="I367" s="3" t="str">
        <f>_xlfn.IFNA(VLOOKUP(E367,Master!$J:$M,4,0),"")</f>
        <v>IND</v>
      </c>
      <c r="J367" s="3" t="str">
        <f>_xlfn.IFNA(VLOOKUP($E367,Master!$J:$M,3,0),"")</f>
        <v>MFG</v>
      </c>
      <c r="M367" s="50">
        <v>23002400</v>
      </c>
      <c r="N367" s="50">
        <v>24542000</v>
      </c>
      <c r="O367" s="50">
        <v>24542000</v>
      </c>
      <c r="P367" s="50">
        <v>24542000</v>
      </c>
      <c r="Q367" s="50">
        <v>21064600</v>
      </c>
      <c r="R367" s="50">
        <v>21064600</v>
      </c>
      <c r="S367" s="50">
        <v>21064600</v>
      </c>
      <c r="T367" s="50">
        <v>21064600</v>
      </c>
      <c r="U367" s="50">
        <v>21064600</v>
      </c>
      <c r="V367" s="50">
        <v>21064600</v>
      </c>
      <c r="W367" s="50">
        <v>21064600</v>
      </c>
      <c r="X367" s="50">
        <v>21064600</v>
      </c>
      <c r="Y367" s="50">
        <v>21064600</v>
      </c>
      <c r="Z367" s="50">
        <v>23784900</v>
      </c>
      <c r="AA367" s="50">
        <v>23784900</v>
      </c>
      <c r="AB367" s="50">
        <v>23784900</v>
      </c>
      <c r="AC367" s="26">
        <f t="shared" si="10"/>
        <v>96628400</v>
      </c>
      <c r="AD367" s="26">
        <f t="shared" si="11"/>
        <v>260936100</v>
      </c>
      <c r="AE367" s="50">
        <v>274231800</v>
      </c>
      <c r="AF367" s="50">
        <v>268900200</v>
      </c>
      <c r="AG367" s="53" t="s">
        <v>55</v>
      </c>
    </row>
    <row r="368" spans="1:33" ht="15" customHeight="1">
      <c r="A368" s="46" t="s">
        <v>91</v>
      </c>
      <c r="B368" s="3" t="str">
        <f>_xlfn.IFNA(VLOOKUP(C368,Master!$J:$K,2,0),"")</f>
        <v>B2220</v>
      </c>
      <c r="C368" s="46" t="s">
        <v>83</v>
      </c>
      <c r="D368" s="4" t="str">
        <f>_xlfn.IFNA(VLOOKUP(E368,Master!$J:$K,2,0),"")</f>
        <v>B2210</v>
      </c>
      <c r="E368" s="46" t="s">
        <v>78</v>
      </c>
      <c r="F368" s="4">
        <f>_xlfn.IFNA(VLOOKUP(G368,Master!B:C,2,0),"")</f>
        <v>7512111</v>
      </c>
      <c r="G368" s="46" t="s">
        <v>103</v>
      </c>
      <c r="H368" s="46" t="s">
        <v>544</v>
      </c>
      <c r="I368" s="3" t="str">
        <f>_xlfn.IFNA(VLOOKUP(E368,Master!$J:$M,4,0),"")</f>
        <v>ADM</v>
      </c>
      <c r="J368" s="3" t="str">
        <f>_xlfn.IFNA(VLOOKUP($E368,Master!$J:$M,3,0),"")</f>
        <v>SGA</v>
      </c>
      <c r="M368" s="50">
        <v>2809400</v>
      </c>
      <c r="N368" s="50">
        <v>2946000</v>
      </c>
      <c r="O368" s="50">
        <v>2946000</v>
      </c>
      <c r="P368" s="50">
        <v>2946000</v>
      </c>
      <c r="Q368" s="50">
        <v>2968400</v>
      </c>
      <c r="R368" s="50">
        <v>2794600</v>
      </c>
      <c r="S368" s="50">
        <v>2794600</v>
      </c>
      <c r="T368" s="50">
        <v>2622700</v>
      </c>
      <c r="U368" s="50">
        <v>2622700</v>
      </c>
      <c r="V368" s="50">
        <v>2622700</v>
      </c>
      <c r="W368" s="50">
        <v>2635400</v>
      </c>
      <c r="X368" s="50">
        <v>2635400</v>
      </c>
      <c r="Y368" s="50">
        <v>2452900</v>
      </c>
      <c r="Z368" s="50">
        <v>2522200</v>
      </c>
      <c r="AA368" s="50">
        <v>2522200</v>
      </c>
      <c r="AB368" s="50">
        <v>2522200</v>
      </c>
      <c r="AC368" s="26">
        <f t="shared" si="10"/>
        <v>11647400</v>
      </c>
      <c r="AD368" s="26">
        <f t="shared" si="11"/>
        <v>31716000</v>
      </c>
      <c r="AE368" s="50">
        <v>32689200</v>
      </c>
      <c r="AF368" s="50">
        <v>28425200</v>
      </c>
      <c r="AG368" s="53" t="s">
        <v>55</v>
      </c>
    </row>
    <row r="369" spans="1:33" ht="15" customHeight="1">
      <c r="A369" s="46" t="s">
        <v>91</v>
      </c>
      <c r="B369" s="3" t="str">
        <f>_xlfn.IFNA(VLOOKUP(C369,Master!$J:$K,2,0),"")</f>
        <v>B2220</v>
      </c>
      <c r="C369" s="46" t="s">
        <v>83</v>
      </c>
      <c r="D369" s="4" t="str">
        <f>_xlfn.IFNA(VLOOKUP(E369,Master!$J:$K,2,0),"")</f>
        <v>B2220</v>
      </c>
      <c r="E369" s="46" t="s">
        <v>83</v>
      </c>
      <c r="F369" s="4">
        <f>_xlfn.IFNA(VLOOKUP(G369,Master!B:C,2,0),"")</f>
        <v>7512111</v>
      </c>
      <c r="G369" s="46" t="s">
        <v>103</v>
      </c>
      <c r="H369" s="46" t="s">
        <v>544</v>
      </c>
      <c r="I369" s="3" t="str">
        <f>_xlfn.IFNA(VLOOKUP(E369,Master!$J:$M,4,0),"")</f>
        <v>ADM</v>
      </c>
      <c r="J369" s="3" t="str">
        <f>_xlfn.IFNA(VLOOKUP($E369,Master!$J:$M,3,0),"")</f>
        <v>SGA</v>
      </c>
      <c r="M369" s="50">
        <v>810100</v>
      </c>
      <c r="N369" s="50">
        <v>838700</v>
      </c>
      <c r="O369" s="50">
        <v>1029900</v>
      </c>
      <c r="P369" s="50">
        <v>1029900</v>
      </c>
      <c r="Q369" s="50">
        <v>1174100</v>
      </c>
      <c r="R369" s="50">
        <v>1174100</v>
      </c>
      <c r="S369" s="50">
        <v>1174100</v>
      </c>
      <c r="T369" s="50">
        <v>1174100</v>
      </c>
      <c r="U369" s="50">
        <v>1174100</v>
      </c>
      <c r="V369" s="50">
        <v>1174100</v>
      </c>
      <c r="W369" s="50">
        <v>1189900</v>
      </c>
      <c r="X369" s="50">
        <v>1189900</v>
      </c>
      <c r="Y369" s="50">
        <v>1189900</v>
      </c>
      <c r="Z369" s="50">
        <v>1229400</v>
      </c>
      <c r="AA369" s="50">
        <v>1229400</v>
      </c>
      <c r="AB369" s="50">
        <v>1229400</v>
      </c>
      <c r="AC369" s="26">
        <f t="shared" si="10"/>
        <v>3708600</v>
      </c>
      <c r="AD369" s="26">
        <f t="shared" si="11"/>
        <v>14302500</v>
      </c>
      <c r="AE369" s="50">
        <v>14846100</v>
      </c>
      <c r="AF369" s="50">
        <v>15225300</v>
      </c>
      <c r="AG369" s="53" t="s">
        <v>55</v>
      </c>
    </row>
    <row r="370" spans="1:33" ht="15" customHeight="1">
      <c r="A370" s="46" t="s">
        <v>91</v>
      </c>
      <c r="B370" s="3" t="str">
        <f>_xlfn.IFNA(VLOOKUP(C370,Master!$J:$K,2,0),"")</f>
        <v>B2220</v>
      </c>
      <c r="C370" s="46" t="s">
        <v>83</v>
      </c>
      <c r="D370" s="4" t="str">
        <f>_xlfn.IFNA(VLOOKUP(E370,Master!$J:$K,2,0),"")</f>
        <v>B2230</v>
      </c>
      <c r="E370" s="46" t="s">
        <v>89</v>
      </c>
      <c r="F370" s="4">
        <f>_xlfn.IFNA(VLOOKUP(G370,Master!B:C,2,0),"")</f>
        <v>7512111</v>
      </c>
      <c r="G370" s="46" t="s">
        <v>103</v>
      </c>
      <c r="H370" s="46" t="s">
        <v>544</v>
      </c>
      <c r="I370" s="3" t="str">
        <f>_xlfn.IFNA(VLOOKUP(E370,Master!$J:$M,4,0),"")</f>
        <v>ADM</v>
      </c>
      <c r="J370" s="3" t="str">
        <f>_xlfn.IFNA(VLOOKUP($E370,Master!$J:$M,3,0),"")</f>
        <v>SGA</v>
      </c>
      <c r="M370" s="50">
        <v>692800</v>
      </c>
      <c r="N370" s="50">
        <v>713600</v>
      </c>
      <c r="O370" s="50">
        <v>713600</v>
      </c>
      <c r="P370" s="50">
        <v>713600</v>
      </c>
      <c r="Q370" s="50">
        <v>713600</v>
      </c>
      <c r="R370" s="50">
        <v>713600</v>
      </c>
      <c r="S370" s="50">
        <v>713600</v>
      </c>
      <c r="T370" s="50">
        <v>713600</v>
      </c>
      <c r="U370" s="50">
        <v>713600</v>
      </c>
      <c r="V370" s="50">
        <v>713600</v>
      </c>
      <c r="W370" s="50">
        <v>713600</v>
      </c>
      <c r="X370" s="50">
        <v>713600</v>
      </c>
      <c r="Y370" s="50">
        <v>713600</v>
      </c>
      <c r="Z370" s="50">
        <v>732500</v>
      </c>
      <c r="AA370" s="50">
        <v>732500</v>
      </c>
      <c r="AB370" s="50">
        <v>732500</v>
      </c>
      <c r="AC370" s="26">
        <f t="shared" si="10"/>
        <v>2833600</v>
      </c>
      <c r="AD370" s="26">
        <f t="shared" si="11"/>
        <v>8619900</v>
      </c>
      <c r="AE370" s="50">
        <v>8822100</v>
      </c>
      <c r="AF370" s="50">
        <v>8952600</v>
      </c>
      <c r="AG370" s="53" t="s">
        <v>55</v>
      </c>
    </row>
    <row r="371" spans="1:33" ht="15" customHeight="1">
      <c r="A371" s="46" t="s">
        <v>91</v>
      </c>
      <c r="B371" s="3" t="str">
        <f>_xlfn.IFNA(VLOOKUP(C371,Master!$J:$K,2,0),"")</f>
        <v>B2220</v>
      </c>
      <c r="C371" s="46" t="s">
        <v>83</v>
      </c>
      <c r="D371" s="4" t="str">
        <f>_xlfn.IFNA(VLOOKUP(E371,Master!$J:$K,2,0),"")</f>
        <v>B2300</v>
      </c>
      <c r="E371" s="46" t="s">
        <v>95</v>
      </c>
      <c r="F371" s="4">
        <f>_xlfn.IFNA(VLOOKUP(G371,Master!B:C,2,0),"")</f>
        <v>7512111</v>
      </c>
      <c r="G371" s="46" t="s">
        <v>103</v>
      </c>
      <c r="H371" s="46" t="s">
        <v>544</v>
      </c>
      <c r="I371" s="3" t="str">
        <f>_xlfn.IFNA(VLOOKUP(E371,Master!$J:$M,4,0),"")</f>
        <v>ADM</v>
      </c>
      <c r="J371" s="3" t="str">
        <f>_xlfn.IFNA(VLOOKUP($E371,Master!$J:$M,3,0),"")</f>
        <v>SGA</v>
      </c>
      <c r="M371" s="50">
        <v>1405800</v>
      </c>
      <c r="N371" s="50">
        <v>1436000</v>
      </c>
      <c r="O371" s="50">
        <v>1436000</v>
      </c>
      <c r="P371" s="50">
        <v>1436000</v>
      </c>
      <c r="Q371" s="50">
        <v>1541900</v>
      </c>
      <c r="R371" s="50">
        <v>1541900</v>
      </c>
      <c r="S371" s="50">
        <v>1541900</v>
      </c>
      <c r="T371" s="50">
        <v>1541900</v>
      </c>
      <c r="U371" s="50">
        <v>1541900</v>
      </c>
      <c r="V371" s="50">
        <v>1541900</v>
      </c>
      <c r="W371" s="50">
        <v>1541900</v>
      </c>
      <c r="X371" s="50">
        <v>1541900</v>
      </c>
      <c r="Y371" s="50">
        <v>1541900</v>
      </c>
      <c r="Z371" s="50">
        <v>1571900</v>
      </c>
      <c r="AA371" s="50">
        <v>1571900</v>
      </c>
      <c r="AB371" s="50">
        <v>1571900</v>
      </c>
      <c r="AC371" s="26">
        <f t="shared" si="10"/>
        <v>5713800</v>
      </c>
      <c r="AD371" s="26">
        <f t="shared" si="11"/>
        <v>18592800</v>
      </c>
      <c r="AE371" s="50">
        <v>19483500</v>
      </c>
      <c r="AF371" s="50">
        <v>19829700</v>
      </c>
      <c r="AG371" s="53" t="s">
        <v>55</v>
      </c>
    </row>
    <row r="372" spans="1:33" ht="15" customHeight="1">
      <c r="A372" s="46" t="s">
        <v>91</v>
      </c>
      <c r="B372" s="3" t="str">
        <f>_xlfn.IFNA(VLOOKUP(C372,Master!$J:$K,2,0),"")</f>
        <v>B2220</v>
      </c>
      <c r="C372" s="46" t="s">
        <v>83</v>
      </c>
      <c r="D372" s="4" t="str">
        <f>_xlfn.IFNA(VLOOKUP(E372,Master!$J:$K,2,0),"")</f>
        <v>B2400</v>
      </c>
      <c r="E372" s="46" t="s">
        <v>101</v>
      </c>
      <c r="F372" s="4">
        <f>_xlfn.IFNA(VLOOKUP(G372,Master!B:C,2,0),"")</f>
        <v>7512111</v>
      </c>
      <c r="G372" s="46" t="s">
        <v>103</v>
      </c>
      <c r="H372" s="46" t="s">
        <v>544</v>
      </c>
      <c r="I372" s="3" t="str">
        <f>_xlfn.IFNA(VLOOKUP(E372,Master!$J:$M,4,0),"")</f>
        <v>ADM</v>
      </c>
      <c r="J372" s="3" t="str">
        <f>_xlfn.IFNA(VLOOKUP($E372,Master!$J:$M,3,0),"")</f>
        <v>SGA</v>
      </c>
      <c r="M372" s="50">
        <v>762200</v>
      </c>
      <c r="N372" s="50">
        <v>764800</v>
      </c>
      <c r="O372" s="50">
        <v>764800</v>
      </c>
      <c r="P372" s="50">
        <v>764800</v>
      </c>
      <c r="Q372" s="50">
        <v>764800</v>
      </c>
      <c r="R372" s="50">
        <v>764800</v>
      </c>
      <c r="S372" s="50">
        <v>764800</v>
      </c>
      <c r="T372" s="50">
        <v>764800</v>
      </c>
      <c r="U372" s="50">
        <v>764800</v>
      </c>
      <c r="V372" s="50">
        <v>764800</v>
      </c>
      <c r="W372" s="50">
        <v>764800</v>
      </c>
      <c r="X372" s="50">
        <v>764800</v>
      </c>
      <c r="Y372" s="50">
        <v>764800</v>
      </c>
      <c r="Z372" s="50">
        <v>764800</v>
      </c>
      <c r="AA372" s="50">
        <v>764800</v>
      </c>
      <c r="AB372" s="50">
        <v>764800</v>
      </c>
      <c r="AC372" s="26">
        <f t="shared" si="10"/>
        <v>3056600</v>
      </c>
      <c r="AD372" s="26">
        <f t="shared" si="11"/>
        <v>9177600</v>
      </c>
      <c r="AE372" s="50">
        <v>9177600</v>
      </c>
      <c r="AF372" s="50">
        <v>9177600</v>
      </c>
      <c r="AG372" s="53" t="s">
        <v>55</v>
      </c>
    </row>
    <row r="373" spans="1:33" ht="15" customHeight="1">
      <c r="A373" s="46" t="s">
        <v>91</v>
      </c>
      <c r="B373" s="3" t="str">
        <f>_xlfn.IFNA(VLOOKUP(C373,Master!$J:$K,2,0),"")</f>
        <v>B2220</v>
      </c>
      <c r="C373" s="46" t="s">
        <v>83</v>
      </c>
      <c r="D373" s="4" t="str">
        <f>_xlfn.IFNA(VLOOKUP(E373,Master!$J:$K,2,0),"")</f>
        <v>B3110</v>
      </c>
      <c r="E373" s="46" t="s">
        <v>117</v>
      </c>
      <c r="F373" s="4">
        <f>_xlfn.IFNA(VLOOKUP(G373,Master!B:C,2,0),"")</f>
        <v>7512111</v>
      </c>
      <c r="G373" s="46" t="s">
        <v>103</v>
      </c>
      <c r="H373" s="46" t="s">
        <v>544</v>
      </c>
      <c r="I373" s="3" t="str">
        <f>_xlfn.IFNA(VLOOKUP(E373,Master!$J:$M,4,0),"")</f>
        <v>ADM</v>
      </c>
      <c r="J373" s="3" t="str">
        <f>_xlfn.IFNA(VLOOKUP($E373,Master!$J:$M,3,0),"")</f>
        <v>SGA</v>
      </c>
      <c r="M373" s="50">
        <v>1220100</v>
      </c>
      <c r="N373" s="50">
        <v>1273300</v>
      </c>
      <c r="O373" s="50">
        <v>1273300</v>
      </c>
      <c r="P373" s="50">
        <v>1273300</v>
      </c>
      <c r="Q373" s="50">
        <v>1289600</v>
      </c>
      <c r="R373" s="50">
        <v>1289600</v>
      </c>
      <c r="S373" s="50">
        <v>1289600</v>
      </c>
      <c r="T373" s="50">
        <v>1289600</v>
      </c>
      <c r="U373" s="50">
        <v>1289600</v>
      </c>
      <c r="V373" s="50">
        <v>1289600</v>
      </c>
      <c r="W373" s="50">
        <v>1289600</v>
      </c>
      <c r="X373" s="50">
        <v>1289600</v>
      </c>
      <c r="Y373" s="50">
        <v>1289600</v>
      </c>
      <c r="Z373" s="50">
        <v>1312200</v>
      </c>
      <c r="AA373" s="50">
        <v>1312200</v>
      </c>
      <c r="AB373" s="50">
        <v>1312200</v>
      </c>
      <c r="AC373" s="26">
        <f t="shared" si="10"/>
        <v>5040000</v>
      </c>
      <c r="AD373" s="26">
        <f t="shared" si="11"/>
        <v>15543000</v>
      </c>
      <c r="AE373" s="50">
        <v>15779400</v>
      </c>
      <c r="AF373" s="50">
        <v>15914100</v>
      </c>
      <c r="AG373" s="53" t="s">
        <v>55</v>
      </c>
    </row>
    <row r="374" spans="1:33" ht="15" customHeight="1">
      <c r="A374" s="46" t="s">
        <v>91</v>
      </c>
      <c r="B374" s="3" t="str">
        <f>_xlfn.IFNA(VLOOKUP(C374,Master!$J:$K,2,0),"")</f>
        <v>B2220</v>
      </c>
      <c r="C374" s="46" t="s">
        <v>83</v>
      </c>
      <c r="D374" s="4" t="str">
        <f>_xlfn.IFNA(VLOOKUP(E374,Master!$J:$K,2,0),"")</f>
        <v>B3120</v>
      </c>
      <c r="E374" s="46" t="s">
        <v>122</v>
      </c>
      <c r="F374" s="4">
        <f>_xlfn.IFNA(VLOOKUP(G374,Master!B:C,2,0),"")</f>
        <v>7512111</v>
      </c>
      <c r="G374" s="46" t="s">
        <v>103</v>
      </c>
      <c r="H374" s="46" t="s">
        <v>544</v>
      </c>
      <c r="I374" s="3" t="str">
        <f>_xlfn.IFNA(VLOOKUP(E374,Master!$J:$M,4,0),"")</f>
        <v>ADM</v>
      </c>
      <c r="J374" s="3" t="str">
        <f>_xlfn.IFNA(VLOOKUP($E374,Master!$J:$M,3,0),"")</f>
        <v>SGA</v>
      </c>
      <c r="M374" s="50">
        <v>191200</v>
      </c>
      <c r="N374" s="50">
        <v>191200</v>
      </c>
      <c r="O374" s="50">
        <v>191200</v>
      </c>
      <c r="P374" s="50">
        <v>191200</v>
      </c>
      <c r="Q374" s="50">
        <v>191200</v>
      </c>
      <c r="R374" s="50">
        <v>191200</v>
      </c>
      <c r="S374" s="50">
        <v>191200</v>
      </c>
      <c r="T374" s="50">
        <v>191200</v>
      </c>
      <c r="U374" s="50">
        <v>191200</v>
      </c>
      <c r="V374" s="50">
        <v>191200</v>
      </c>
      <c r="W374" s="50">
        <v>191200</v>
      </c>
      <c r="X374" s="50">
        <v>191200</v>
      </c>
      <c r="Y374" s="50">
        <v>191200</v>
      </c>
      <c r="Z374" s="50">
        <v>191200</v>
      </c>
      <c r="AA374" s="50">
        <v>191200</v>
      </c>
      <c r="AB374" s="50">
        <v>191200</v>
      </c>
      <c r="AC374" s="26">
        <f t="shared" si="10"/>
        <v>764800</v>
      </c>
      <c r="AD374" s="26">
        <f t="shared" si="11"/>
        <v>2294400</v>
      </c>
      <c r="AE374" s="50">
        <v>2294400</v>
      </c>
      <c r="AF374" s="50">
        <v>2294400</v>
      </c>
      <c r="AG374" s="53" t="s">
        <v>55</v>
      </c>
    </row>
    <row r="375" spans="1:33" ht="15" customHeight="1">
      <c r="A375" s="46" t="s">
        <v>91</v>
      </c>
      <c r="B375" s="3" t="str">
        <f>_xlfn.IFNA(VLOOKUP(C375,Master!$J:$K,2,0),"")</f>
        <v>B2220</v>
      </c>
      <c r="C375" s="46" t="s">
        <v>83</v>
      </c>
      <c r="D375" s="4" t="str">
        <f>_xlfn.IFNA(VLOOKUP(E375,Master!$J:$K,2,0),"")</f>
        <v>B3130</v>
      </c>
      <c r="E375" s="46" t="s">
        <v>127</v>
      </c>
      <c r="F375" s="4">
        <f>_xlfn.IFNA(VLOOKUP(G375,Master!B:C,2,0),"")</f>
        <v>7512111</v>
      </c>
      <c r="G375" s="46" t="s">
        <v>103</v>
      </c>
      <c r="H375" s="46" t="s">
        <v>544</v>
      </c>
      <c r="I375" s="3" t="str">
        <f>_xlfn.IFNA(VLOOKUP(E375,Master!$J:$M,4,0),"")</f>
        <v>ADM</v>
      </c>
      <c r="J375" s="3" t="str">
        <f>_xlfn.IFNA(VLOOKUP($E375,Master!$J:$M,3,0),"")</f>
        <v>SGA</v>
      </c>
      <c r="M375" s="50">
        <v>1733100</v>
      </c>
      <c r="N375" s="50">
        <v>1785100</v>
      </c>
      <c r="O375" s="50">
        <v>2073500</v>
      </c>
      <c r="P375" s="50">
        <v>2073500</v>
      </c>
      <c r="Q375" s="50">
        <v>2375400</v>
      </c>
      <c r="R375" s="50">
        <v>2375400</v>
      </c>
      <c r="S375" s="50">
        <v>2375400</v>
      </c>
      <c r="T375" s="50">
        <v>2375400</v>
      </c>
      <c r="U375" s="50">
        <v>2375400</v>
      </c>
      <c r="V375" s="50">
        <v>2375400</v>
      </c>
      <c r="W375" s="50">
        <v>2375400</v>
      </c>
      <c r="X375" s="50">
        <v>2375400</v>
      </c>
      <c r="Y375" s="50">
        <v>2375400</v>
      </c>
      <c r="Z375" s="50">
        <v>2457500</v>
      </c>
      <c r="AA375" s="50">
        <v>2457500</v>
      </c>
      <c r="AB375" s="50">
        <v>2457500</v>
      </c>
      <c r="AC375" s="26">
        <f t="shared" si="10"/>
        <v>7665200</v>
      </c>
      <c r="AD375" s="26">
        <f t="shared" si="11"/>
        <v>28751100</v>
      </c>
      <c r="AE375" s="50">
        <v>29720400</v>
      </c>
      <c r="AF375" s="50">
        <v>30604200</v>
      </c>
      <c r="AG375" s="53" t="s">
        <v>55</v>
      </c>
    </row>
    <row r="376" spans="1:33" ht="15" customHeight="1">
      <c r="A376" s="46" t="s">
        <v>91</v>
      </c>
      <c r="B376" s="3" t="str">
        <f>_xlfn.IFNA(VLOOKUP(C376,Master!$J:$K,2,0),"")</f>
        <v>B2220</v>
      </c>
      <c r="C376" s="46" t="s">
        <v>83</v>
      </c>
      <c r="D376" s="4" t="str">
        <f>_xlfn.IFNA(VLOOKUP(E376,Master!$J:$K,2,0),"")</f>
        <v>B3150</v>
      </c>
      <c r="E376" s="46" t="s">
        <v>259</v>
      </c>
      <c r="F376" s="4">
        <f>_xlfn.IFNA(VLOOKUP(G376,Master!B:C,2,0),"")</f>
        <v>7512111</v>
      </c>
      <c r="G376" s="46" t="s">
        <v>103</v>
      </c>
      <c r="H376" s="46" t="s">
        <v>544</v>
      </c>
      <c r="I376" s="3" t="str">
        <f>_xlfn.IFNA(VLOOKUP(E376,Master!$J:$M,4,0),"")</f>
        <v>ADM</v>
      </c>
      <c r="J376" s="3" t="str">
        <f>_xlfn.IFNA(VLOOKUP($E376,Master!$J:$M,3,0),"")</f>
        <v>SGA</v>
      </c>
      <c r="M376" s="50">
        <v>2836000</v>
      </c>
      <c r="N376" s="50">
        <v>2750300</v>
      </c>
      <c r="O376" s="50">
        <v>2750300</v>
      </c>
      <c r="P376" s="50">
        <v>2750300</v>
      </c>
      <c r="Q376" s="50">
        <v>2779000</v>
      </c>
      <c r="R376" s="50">
        <v>2779000</v>
      </c>
      <c r="S376" s="50">
        <v>2779000</v>
      </c>
      <c r="T376" s="50">
        <v>2779000</v>
      </c>
      <c r="U376" s="50">
        <v>2779000</v>
      </c>
      <c r="V376" s="50">
        <v>2779000</v>
      </c>
      <c r="W376" s="50">
        <v>2792400</v>
      </c>
      <c r="X376" s="50">
        <v>2792400</v>
      </c>
      <c r="Y376" s="50">
        <v>2792400</v>
      </c>
      <c r="Z376" s="50">
        <v>2900100</v>
      </c>
      <c r="AA376" s="50">
        <v>2900100</v>
      </c>
      <c r="AB376" s="50">
        <v>2900100</v>
      </c>
      <c r="AC376" s="26">
        <f t="shared" si="10"/>
        <v>11086900</v>
      </c>
      <c r="AD376" s="26">
        <f t="shared" si="11"/>
        <v>33751500</v>
      </c>
      <c r="AE376" s="50">
        <v>35213400</v>
      </c>
      <c r="AF376" s="50">
        <v>36599100</v>
      </c>
      <c r="AG376" s="53" t="s">
        <v>55</v>
      </c>
    </row>
    <row r="377" spans="1:33" ht="15" customHeight="1">
      <c r="A377" s="46" t="s">
        <v>91</v>
      </c>
      <c r="B377" s="3" t="str">
        <f>_xlfn.IFNA(VLOOKUP(C377,Master!$J:$K,2,0),"")</f>
        <v>B2220</v>
      </c>
      <c r="C377" s="46" t="s">
        <v>83</v>
      </c>
      <c r="D377" s="4" t="str">
        <f>_xlfn.IFNA(VLOOKUP(E377,Master!$J:$K,2,0),"")</f>
        <v>B3160</v>
      </c>
      <c r="E377" s="46" t="s">
        <v>112</v>
      </c>
      <c r="F377" s="4">
        <f>_xlfn.IFNA(VLOOKUP(G377,Master!B:C,2,0),"")</f>
        <v>7512111</v>
      </c>
      <c r="G377" s="46" t="s">
        <v>103</v>
      </c>
      <c r="H377" s="46" t="s">
        <v>544</v>
      </c>
      <c r="I377" s="3" t="str">
        <f>_xlfn.IFNA(VLOOKUP(E377,Master!$J:$M,4,0),"")</f>
        <v>ADM</v>
      </c>
      <c r="J377" s="3" t="str">
        <f>_xlfn.IFNA(VLOOKUP($E377,Master!$J:$M,3,0),"")</f>
        <v>SGA</v>
      </c>
      <c r="M377" s="50">
        <v>1202000</v>
      </c>
      <c r="N377" s="50">
        <v>1231200</v>
      </c>
      <c r="O377" s="50">
        <v>1231200</v>
      </c>
      <c r="P377" s="50">
        <v>1231200</v>
      </c>
      <c r="Q377" s="50">
        <v>1231200</v>
      </c>
      <c r="R377" s="50">
        <v>1231200</v>
      </c>
      <c r="S377" s="50">
        <v>1231200</v>
      </c>
      <c r="T377" s="50">
        <v>1231200</v>
      </c>
      <c r="U377" s="50">
        <v>1231200</v>
      </c>
      <c r="V377" s="50">
        <v>1231200</v>
      </c>
      <c r="W377" s="50">
        <v>1231200</v>
      </c>
      <c r="X377" s="50">
        <v>1231200</v>
      </c>
      <c r="Y377" s="50">
        <v>1231200</v>
      </c>
      <c r="Z377" s="50">
        <v>1251700</v>
      </c>
      <c r="AA377" s="50">
        <v>1251700</v>
      </c>
      <c r="AB377" s="50">
        <v>1251700</v>
      </c>
      <c r="AC377" s="26">
        <f t="shared" si="10"/>
        <v>4895600</v>
      </c>
      <c r="AD377" s="26">
        <f t="shared" si="11"/>
        <v>14835900</v>
      </c>
      <c r="AE377" s="50">
        <v>15079500</v>
      </c>
      <c r="AF377" s="50">
        <v>15319800</v>
      </c>
      <c r="AG377" s="53" t="s">
        <v>55</v>
      </c>
    </row>
    <row r="378" spans="1:33" ht="15" customHeight="1">
      <c r="A378" s="46" t="s">
        <v>91</v>
      </c>
      <c r="B378" s="3" t="str">
        <f>_xlfn.IFNA(VLOOKUP(C378,Master!$J:$K,2,0),"")</f>
        <v>B2220</v>
      </c>
      <c r="C378" s="46" t="s">
        <v>83</v>
      </c>
      <c r="D378" s="4" t="str">
        <f>_xlfn.IFNA(VLOOKUP(E378,Master!$J:$K,2,0),"")</f>
        <v>B4101</v>
      </c>
      <c r="E378" s="46" t="s">
        <v>132</v>
      </c>
      <c r="F378" s="4">
        <f>_xlfn.IFNA(VLOOKUP(G378,Master!B:C,2,0),"")</f>
        <v>7512111</v>
      </c>
      <c r="G378" s="46" t="s">
        <v>103</v>
      </c>
      <c r="H378" s="46" t="s">
        <v>544</v>
      </c>
      <c r="I378" s="3" t="str">
        <f>_xlfn.IFNA(VLOOKUP(E378,Master!$J:$M,4,0),"")</f>
        <v>DIR</v>
      </c>
      <c r="J378" s="3" t="str">
        <f>_xlfn.IFNA(VLOOKUP($E378,Master!$J:$M,3,0),"")</f>
        <v>MFG</v>
      </c>
      <c r="M378" s="50">
        <v>966900</v>
      </c>
      <c r="N378" s="50">
        <v>1005800</v>
      </c>
      <c r="O378" s="50">
        <v>1005800</v>
      </c>
      <c r="P378" s="50">
        <v>1005800</v>
      </c>
      <c r="Q378" s="50">
        <v>1005800</v>
      </c>
      <c r="R378" s="50">
        <v>1005800</v>
      </c>
      <c r="S378" s="50">
        <v>1005800</v>
      </c>
      <c r="T378" s="50">
        <v>1005800</v>
      </c>
      <c r="U378" s="50">
        <v>1005800</v>
      </c>
      <c r="V378" s="50">
        <v>1005800</v>
      </c>
      <c r="W378" s="50">
        <v>1005800</v>
      </c>
      <c r="X378" s="50">
        <v>1005800</v>
      </c>
      <c r="Y378" s="50">
        <v>1005800</v>
      </c>
      <c r="Z378" s="50">
        <v>1047400</v>
      </c>
      <c r="AA378" s="50">
        <v>1047400</v>
      </c>
      <c r="AB378" s="50">
        <v>1047400</v>
      </c>
      <c r="AC378" s="26">
        <f t="shared" si="10"/>
        <v>3984300</v>
      </c>
      <c r="AD378" s="26">
        <f t="shared" si="11"/>
        <v>12194400</v>
      </c>
      <c r="AE378" s="50">
        <v>12687600</v>
      </c>
      <c r="AF378" s="50">
        <v>12620000</v>
      </c>
      <c r="AG378" s="53" t="s">
        <v>55</v>
      </c>
    </row>
    <row r="379" spans="1:33" ht="15" customHeight="1">
      <c r="A379" s="46" t="s">
        <v>91</v>
      </c>
      <c r="B379" s="3" t="str">
        <f>_xlfn.IFNA(VLOOKUP(C379,Master!$J:$K,2,0),"")</f>
        <v>B2220</v>
      </c>
      <c r="C379" s="46" t="s">
        <v>83</v>
      </c>
      <c r="D379" s="4" t="str">
        <f>_xlfn.IFNA(VLOOKUP(E379,Master!$J:$K,2,0),"")</f>
        <v>B4102</v>
      </c>
      <c r="E379" s="46" t="s">
        <v>139</v>
      </c>
      <c r="F379" s="4">
        <f>_xlfn.IFNA(VLOOKUP(G379,Master!B:C,2,0),"")</f>
        <v>7512111</v>
      </c>
      <c r="G379" s="46" t="s">
        <v>103</v>
      </c>
      <c r="H379" s="46" t="s">
        <v>544</v>
      </c>
      <c r="I379" s="3" t="str">
        <f>_xlfn.IFNA(VLOOKUP(E379,Master!$J:$M,4,0),"")</f>
        <v>DIR</v>
      </c>
      <c r="J379" s="3" t="str">
        <f>_xlfn.IFNA(VLOOKUP($E379,Master!$J:$M,3,0),"")</f>
        <v>MFG</v>
      </c>
      <c r="M379" s="50">
        <v>2424100</v>
      </c>
      <c r="N379" s="50">
        <v>2560400</v>
      </c>
      <c r="O379" s="50">
        <v>2560400</v>
      </c>
      <c r="P379" s="50">
        <v>2560400</v>
      </c>
      <c r="Q379" s="50">
        <v>2475100</v>
      </c>
      <c r="R379" s="50">
        <v>2475100</v>
      </c>
      <c r="S379" s="50">
        <v>2475100</v>
      </c>
      <c r="T379" s="50">
        <v>2475100</v>
      </c>
      <c r="U379" s="50">
        <v>2475100</v>
      </c>
      <c r="V379" s="50">
        <v>2475100</v>
      </c>
      <c r="W379" s="50">
        <v>2508800</v>
      </c>
      <c r="X379" s="50">
        <v>2508800</v>
      </c>
      <c r="Y379" s="50">
        <v>2508800</v>
      </c>
      <c r="Z379" s="50">
        <v>2640000</v>
      </c>
      <c r="AA379" s="50">
        <v>2640000</v>
      </c>
      <c r="AB379" s="50">
        <v>2640000</v>
      </c>
      <c r="AC379" s="26">
        <f t="shared" si="10"/>
        <v>10105300</v>
      </c>
      <c r="AD379" s="26">
        <f t="shared" si="11"/>
        <v>30297000</v>
      </c>
      <c r="AE379" s="50">
        <v>31939200</v>
      </c>
      <c r="AF379" s="50">
        <v>32424700</v>
      </c>
      <c r="AG379" s="53" t="s">
        <v>55</v>
      </c>
    </row>
    <row r="380" spans="1:33" ht="15" customHeight="1">
      <c r="A380" s="46" t="s">
        <v>91</v>
      </c>
      <c r="B380" s="3" t="str">
        <f>_xlfn.IFNA(VLOOKUP(C380,Master!$J:$K,2,0),"")</f>
        <v>B2220</v>
      </c>
      <c r="C380" s="46" t="s">
        <v>83</v>
      </c>
      <c r="D380" s="4" t="str">
        <f>_xlfn.IFNA(VLOOKUP(E380,Master!$J:$K,2,0),"")</f>
        <v>B4103</v>
      </c>
      <c r="E380" s="46" t="s">
        <v>144</v>
      </c>
      <c r="F380" s="4">
        <f>_xlfn.IFNA(VLOOKUP(G380,Master!B:C,2,0),"")</f>
        <v>7512111</v>
      </c>
      <c r="G380" s="46" t="s">
        <v>103</v>
      </c>
      <c r="H380" s="46" t="s">
        <v>544</v>
      </c>
      <c r="I380" s="3" t="str">
        <f>_xlfn.IFNA(VLOOKUP(E380,Master!$J:$M,4,0),"")</f>
        <v>DIR</v>
      </c>
      <c r="J380" s="3" t="str">
        <f>_xlfn.IFNA(VLOOKUP($E380,Master!$J:$M,3,0),"")</f>
        <v>MFG</v>
      </c>
      <c r="M380" s="50">
        <v>1524800</v>
      </c>
      <c r="N380" s="50">
        <v>1613900</v>
      </c>
      <c r="O380" s="50">
        <v>1613900</v>
      </c>
      <c r="P380" s="50">
        <v>1613900</v>
      </c>
      <c r="Q380" s="50">
        <v>1613900</v>
      </c>
      <c r="R380" s="50">
        <v>1613900</v>
      </c>
      <c r="S380" s="50">
        <v>1613900</v>
      </c>
      <c r="T380" s="50">
        <v>1613900</v>
      </c>
      <c r="U380" s="50">
        <v>1613900</v>
      </c>
      <c r="V380" s="50">
        <v>1613900</v>
      </c>
      <c r="W380" s="50">
        <v>1613900</v>
      </c>
      <c r="X380" s="50">
        <v>1613900</v>
      </c>
      <c r="Y380" s="50">
        <v>1613900</v>
      </c>
      <c r="Z380" s="50">
        <v>1706700</v>
      </c>
      <c r="AA380" s="50">
        <v>1706700</v>
      </c>
      <c r="AB380" s="50">
        <v>1706700</v>
      </c>
      <c r="AC380" s="26">
        <f t="shared" si="10"/>
        <v>6366500</v>
      </c>
      <c r="AD380" s="26">
        <f t="shared" si="11"/>
        <v>19645200</v>
      </c>
      <c r="AE380" s="50">
        <v>20726100</v>
      </c>
      <c r="AF380" s="50">
        <v>21691200</v>
      </c>
      <c r="AG380" s="53" t="s">
        <v>55</v>
      </c>
    </row>
    <row r="381" spans="1:33" ht="15" customHeight="1">
      <c r="A381" s="46" t="s">
        <v>91</v>
      </c>
      <c r="B381" s="3" t="str">
        <f>_xlfn.IFNA(VLOOKUP(C381,Master!$J:$K,2,0),"")</f>
        <v>B2220</v>
      </c>
      <c r="C381" s="46" t="s">
        <v>83</v>
      </c>
      <c r="D381" s="4" t="str">
        <f>_xlfn.IFNA(VLOOKUP(E381,Master!$J:$K,2,0),"")</f>
        <v>B4105</v>
      </c>
      <c r="E381" s="46" t="s">
        <v>149</v>
      </c>
      <c r="F381" s="4">
        <f>_xlfn.IFNA(VLOOKUP(G381,Master!B:C,2,0),"")</f>
        <v>7512111</v>
      </c>
      <c r="G381" s="46" t="s">
        <v>103</v>
      </c>
      <c r="H381" s="46" t="s">
        <v>544</v>
      </c>
      <c r="I381" s="3" t="str">
        <f>_xlfn.IFNA(VLOOKUP(E381,Master!$J:$M,4,0),"")</f>
        <v>DIR</v>
      </c>
      <c r="J381" s="3" t="str">
        <f>_xlfn.IFNA(VLOOKUP($E381,Master!$J:$M,3,0),"")</f>
        <v>MFG</v>
      </c>
      <c r="M381" s="50">
        <v>1878300</v>
      </c>
      <c r="N381" s="50">
        <v>1964200</v>
      </c>
      <c r="O381" s="50">
        <v>1964200</v>
      </c>
      <c r="P381" s="50">
        <v>1964200</v>
      </c>
      <c r="Q381" s="50">
        <v>1964200</v>
      </c>
      <c r="R381" s="50">
        <v>1964200</v>
      </c>
      <c r="S381" s="50">
        <v>1964200</v>
      </c>
      <c r="T381" s="50">
        <v>1964200</v>
      </c>
      <c r="U381" s="50">
        <v>1964200</v>
      </c>
      <c r="V381" s="50">
        <v>1964200</v>
      </c>
      <c r="W381" s="50">
        <v>1675600</v>
      </c>
      <c r="X381" s="50">
        <v>1675600</v>
      </c>
      <c r="Y381" s="50">
        <v>1675600</v>
      </c>
      <c r="Z381" s="50">
        <v>1736200</v>
      </c>
      <c r="AA381" s="50">
        <v>1736200</v>
      </c>
      <c r="AB381" s="50">
        <v>1736200</v>
      </c>
      <c r="AC381" s="26">
        <f t="shared" si="10"/>
        <v>7770900</v>
      </c>
      <c r="AD381" s="26">
        <f t="shared" si="11"/>
        <v>22020600</v>
      </c>
      <c r="AE381" s="50">
        <v>21022500</v>
      </c>
      <c r="AF381" s="50">
        <v>21537600</v>
      </c>
      <c r="AG381" s="53" t="s">
        <v>55</v>
      </c>
    </row>
    <row r="382" spans="1:33" ht="15" customHeight="1">
      <c r="A382" s="46" t="s">
        <v>91</v>
      </c>
      <c r="B382" s="3" t="str">
        <f>_xlfn.IFNA(VLOOKUP(C382,Master!$J:$K,2,0),"")</f>
        <v>B2220</v>
      </c>
      <c r="C382" s="46" t="s">
        <v>83</v>
      </c>
      <c r="D382" s="4" t="str">
        <f>_xlfn.IFNA(VLOOKUP(E382,Master!$J:$K,2,0),"")</f>
        <v>B4110</v>
      </c>
      <c r="E382" s="46" t="s">
        <v>162</v>
      </c>
      <c r="F382" s="4">
        <f>_xlfn.IFNA(VLOOKUP(G382,Master!B:C,2,0),"")</f>
        <v>7512111</v>
      </c>
      <c r="G382" s="46" t="s">
        <v>103</v>
      </c>
      <c r="H382" s="46" t="s">
        <v>544</v>
      </c>
      <c r="I382" s="3" t="str">
        <f>_xlfn.IFNA(VLOOKUP(E382,Master!$J:$M,4,0),"")</f>
        <v>DIR</v>
      </c>
      <c r="J382" s="3" t="str">
        <f>_xlfn.IFNA(VLOOKUP($E382,Master!$J:$M,3,0),"")</f>
        <v>MFG</v>
      </c>
      <c r="M382" s="50">
        <v>4740900</v>
      </c>
      <c r="N382" s="50">
        <v>4926900</v>
      </c>
      <c r="O382" s="50">
        <v>4926900</v>
      </c>
      <c r="P382" s="50">
        <v>4926900</v>
      </c>
      <c r="Q382" s="50">
        <v>4926900</v>
      </c>
      <c r="R382" s="50">
        <v>4926900</v>
      </c>
      <c r="S382" s="50">
        <v>4906400</v>
      </c>
      <c r="T382" s="50">
        <v>3166400</v>
      </c>
      <c r="U382" s="50">
        <v>3166400</v>
      </c>
      <c r="V382" s="50">
        <v>3166400</v>
      </c>
      <c r="W382" s="50">
        <v>3166400</v>
      </c>
      <c r="X382" s="50">
        <v>3166400</v>
      </c>
      <c r="Y382" s="50">
        <v>3166400</v>
      </c>
      <c r="Z382" s="50">
        <v>3275400</v>
      </c>
      <c r="AA382" s="50">
        <v>3275400</v>
      </c>
      <c r="AB382" s="50">
        <v>3275400</v>
      </c>
      <c r="AC382" s="26">
        <f t="shared" si="10"/>
        <v>19521600</v>
      </c>
      <c r="AD382" s="26">
        <f t="shared" si="11"/>
        <v>43584800</v>
      </c>
      <c r="AE382" s="50">
        <v>38969400</v>
      </c>
      <c r="AF382" s="50">
        <v>39735000</v>
      </c>
      <c r="AG382" s="53" t="s">
        <v>55</v>
      </c>
    </row>
    <row r="383" spans="1:33" ht="15" customHeight="1">
      <c r="A383" s="46" t="s">
        <v>91</v>
      </c>
      <c r="B383" s="3" t="str">
        <f>_xlfn.IFNA(VLOOKUP(C383,Master!$J:$K,2,0),"")</f>
        <v>B2220</v>
      </c>
      <c r="C383" s="46" t="s">
        <v>83</v>
      </c>
      <c r="D383" s="4" t="str">
        <f>_xlfn.IFNA(VLOOKUP(E383,Master!$J:$K,2,0),"")</f>
        <v>B4114</v>
      </c>
      <c r="E383" s="46" t="s">
        <v>172</v>
      </c>
      <c r="F383" s="4">
        <f>_xlfn.IFNA(VLOOKUP(G383,Master!B:C,2,0),"")</f>
        <v>7512111</v>
      </c>
      <c r="G383" s="46" t="s">
        <v>103</v>
      </c>
      <c r="H383" s="46" t="s">
        <v>544</v>
      </c>
      <c r="I383" s="3" t="str">
        <f>_xlfn.IFNA(VLOOKUP(E383,Master!$J:$M,4,0),"")</f>
        <v>DIR</v>
      </c>
      <c r="J383" s="3" t="str">
        <f>_xlfn.IFNA(VLOOKUP($E383,Master!$J:$M,3,0),"")</f>
        <v>MFG</v>
      </c>
      <c r="M383" s="50">
        <v>1332200</v>
      </c>
      <c r="N383" s="50">
        <v>1387900</v>
      </c>
      <c r="O383" s="50">
        <v>1387900</v>
      </c>
      <c r="P383" s="50">
        <v>1387900</v>
      </c>
      <c r="Q383" s="50">
        <v>1387900</v>
      </c>
      <c r="R383" s="50">
        <v>1387900</v>
      </c>
      <c r="S383" s="50">
        <v>1237800</v>
      </c>
      <c r="T383" s="50">
        <v>753900</v>
      </c>
      <c r="U383" s="50">
        <v>753900</v>
      </c>
      <c r="V383" s="50">
        <v>753900</v>
      </c>
      <c r="W383" s="50">
        <v>562700</v>
      </c>
      <c r="X383" s="50">
        <v>562700</v>
      </c>
      <c r="Y383" s="50">
        <v>562700</v>
      </c>
      <c r="Z383" s="50">
        <v>573600</v>
      </c>
      <c r="AA383" s="50">
        <v>573600</v>
      </c>
      <c r="AB383" s="50">
        <v>573600</v>
      </c>
      <c r="AC383" s="26">
        <f t="shared" si="10"/>
        <v>5495900</v>
      </c>
      <c r="AD383" s="26">
        <f t="shared" si="11"/>
        <v>9684200</v>
      </c>
      <c r="AE383" s="50">
        <v>6883200</v>
      </c>
      <c r="AF383" s="50">
        <v>6883200</v>
      </c>
      <c r="AG383" s="53" t="s">
        <v>55</v>
      </c>
    </row>
    <row r="384" spans="1:33" ht="15" customHeight="1">
      <c r="A384" s="46" t="s">
        <v>91</v>
      </c>
      <c r="B384" s="3" t="str">
        <f>_xlfn.IFNA(VLOOKUP(C384,Master!$J:$K,2,0),"")</f>
        <v>B2220</v>
      </c>
      <c r="C384" s="46" t="s">
        <v>83</v>
      </c>
      <c r="D384" s="4" t="str">
        <f>_xlfn.IFNA(VLOOKUP(E384,Master!$J:$K,2,0),"")</f>
        <v>B4115</v>
      </c>
      <c r="E384" s="46" t="s">
        <v>167</v>
      </c>
      <c r="F384" s="4">
        <f>_xlfn.IFNA(VLOOKUP(G384,Master!B:C,2,0),"")</f>
        <v>7512111</v>
      </c>
      <c r="G384" s="46" t="s">
        <v>103</v>
      </c>
      <c r="H384" s="46" t="s">
        <v>544</v>
      </c>
      <c r="I384" s="3" t="str">
        <f>_xlfn.IFNA(VLOOKUP(E384,Master!$J:$M,4,0),"")</f>
        <v>DIR</v>
      </c>
      <c r="J384" s="3" t="str">
        <f>_xlfn.IFNA(VLOOKUP($E384,Master!$J:$M,3,0),"")</f>
        <v>MFG</v>
      </c>
      <c r="M384" s="50">
        <v>867700</v>
      </c>
      <c r="N384" s="50">
        <v>925400</v>
      </c>
      <c r="O384" s="50">
        <v>925400</v>
      </c>
      <c r="P384" s="50">
        <v>925400</v>
      </c>
      <c r="Q384" s="50">
        <v>925400</v>
      </c>
      <c r="R384" s="50">
        <v>925400</v>
      </c>
      <c r="S384" s="50">
        <v>925400</v>
      </c>
      <c r="T384" s="50">
        <v>925400</v>
      </c>
      <c r="U384" s="50">
        <v>925400</v>
      </c>
      <c r="V384" s="50">
        <v>925400</v>
      </c>
      <c r="W384" s="50">
        <v>925400</v>
      </c>
      <c r="X384" s="50">
        <v>925400</v>
      </c>
      <c r="Y384" s="50">
        <v>925400</v>
      </c>
      <c r="Z384" s="50">
        <v>987100</v>
      </c>
      <c r="AA384" s="50">
        <v>987100</v>
      </c>
      <c r="AB384" s="50">
        <v>987100</v>
      </c>
      <c r="AC384" s="26">
        <f t="shared" si="10"/>
        <v>3643900</v>
      </c>
      <c r="AD384" s="26">
        <f t="shared" si="11"/>
        <v>11289900</v>
      </c>
      <c r="AE384" s="50">
        <v>12043500</v>
      </c>
      <c r="AF384" s="50">
        <v>12839700</v>
      </c>
      <c r="AG384" s="53" t="s">
        <v>55</v>
      </c>
    </row>
    <row r="385" spans="1:33" ht="15" customHeight="1">
      <c r="A385" s="46" t="s">
        <v>91</v>
      </c>
      <c r="B385" s="3" t="str">
        <f>_xlfn.IFNA(VLOOKUP(C385,Master!$J:$K,2,0),"")</f>
        <v>B2220</v>
      </c>
      <c r="C385" s="46" t="s">
        <v>83</v>
      </c>
      <c r="D385" s="4" t="str">
        <f>_xlfn.IFNA(VLOOKUP(E385,Master!$J:$K,2,0),"")</f>
        <v>B4120</v>
      </c>
      <c r="E385" s="46" t="s">
        <v>177</v>
      </c>
      <c r="F385" s="4">
        <f>_xlfn.IFNA(VLOOKUP(G385,Master!B:C,2,0),"")</f>
        <v>7512111</v>
      </c>
      <c r="G385" s="46" t="s">
        <v>103</v>
      </c>
      <c r="H385" s="46" t="s">
        <v>544</v>
      </c>
      <c r="I385" s="3" t="str">
        <f>_xlfn.IFNA(VLOOKUP(E385,Master!$J:$M,4,0),"")</f>
        <v>DIR</v>
      </c>
      <c r="J385" s="3" t="str">
        <f>_xlfn.IFNA(VLOOKUP($E385,Master!$J:$M,3,0),"")</f>
        <v>MFG</v>
      </c>
      <c r="M385" s="50">
        <v>9307900</v>
      </c>
      <c r="N385" s="50">
        <v>9677100</v>
      </c>
      <c r="O385" s="50">
        <v>9591800</v>
      </c>
      <c r="P385" s="50">
        <v>9591800</v>
      </c>
      <c r="Q385" s="50">
        <v>8916100</v>
      </c>
      <c r="R385" s="50">
        <v>8830800</v>
      </c>
      <c r="S385" s="50">
        <v>8830800</v>
      </c>
      <c r="T385" s="50">
        <v>8660200</v>
      </c>
      <c r="U385" s="50">
        <v>8660200</v>
      </c>
      <c r="V385" s="50">
        <v>8660200</v>
      </c>
      <c r="W385" s="50">
        <v>8761200</v>
      </c>
      <c r="X385" s="50">
        <v>8761200</v>
      </c>
      <c r="Y385" s="50">
        <v>8761200</v>
      </c>
      <c r="Z385" s="50">
        <v>9121700</v>
      </c>
      <c r="AA385" s="50">
        <v>9121700</v>
      </c>
      <c r="AB385" s="50">
        <v>9121700</v>
      </c>
      <c r="AC385" s="26">
        <f t="shared" si="10"/>
        <v>38168600</v>
      </c>
      <c r="AD385" s="26">
        <f t="shared" si="11"/>
        <v>106207000</v>
      </c>
      <c r="AE385" s="50">
        <v>108823500</v>
      </c>
      <c r="AF385" s="50">
        <v>112889100</v>
      </c>
      <c r="AG385" s="53" t="s">
        <v>55</v>
      </c>
    </row>
    <row r="386" spans="1:33" ht="15" customHeight="1">
      <c r="A386" s="46" t="s">
        <v>91</v>
      </c>
      <c r="B386" s="3" t="str">
        <f>_xlfn.IFNA(VLOOKUP(C386,Master!$J:$K,2,0),"")</f>
        <v>B2220</v>
      </c>
      <c r="C386" s="46" t="s">
        <v>83</v>
      </c>
      <c r="D386" s="4" t="str">
        <f>_xlfn.IFNA(VLOOKUP(E386,Master!$J:$K,2,0),"")</f>
        <v>B4121</v>
      </c>
      <c r="E386" s="46" t="s">
        <v>183</v>
      </c>
      <c r="F386" s="4">
        <f>_xlfn.IFNA(VLOOKUP(G386,Master!B:C,2,0),"")</f>
        <v>7512111</v>
      </c>
      <c r="G386" s="46" t="s">
        <v>103</v>
      </c>
      <c r="H386" s="46" t="s">
        <v>544</v>
      </c>
      <c r="I386" s="3" t="str">
        <f>_xlfn.IFNA(VLOOKUP(E386,Master!$J:$M,4,0),"")</f>
        <v>DIR</v>
      </c>
      <c r="J386" s="3" t="str">
        <f>_xlfn.IFNA(VLOOKUP($E386,Master!$J:$M,3,0),"")</f>
        <v>MFG</v>
      </c>
      <c r="M386" s="50">
        <v>420000</v>
      </c>
      <c r="N386" s="50">
        <v>448000</v>
      </c>
      <c r="O386" s="50">
        <v>448000</v>
      </c>
      <c r="P386" s="50">
        <v>448000</v>
      </c>
      <c r="AC386" s="26">
        <f t="shared" ref="AC386:AC449" si="12">SUM(K386:P386)</f>
        <v>1764000</v>
      </c>
      <c r="AD386" s="26">
        <f t="shared" ref="AD386:AD449" si="13">SUM(Q386:AB386)</f>
        <v>0</v>
      </c>
      <c r="AG386" s="53" t="s">
        <v>55</v>
      </c>
    </row>
    <row r="387" spans="1:33" ht="15" customHeight="1">
      <c r="A387" s="46" t="s">
        <v>91</v>
      </c>
      <c r="B387" s="3" t="str">
        <f>_xlfn.IFNA(VLOOKUP(C387,Master!$J:$K,2,0),"")</f>
        <v>B2220</v>
      </c>
      <c r="C387" s="46" t="s">
        <v>83</v>
      </c>
      <c r="D387" s="4" t="str">
        <f>_xlfn.IFNA(VLOOKUP(E387,Master!$J:$K,2,0),"")</f>
        <v>B4130</v>
      </c>
      <c r="E387" s="46" t="s">
        <v>158</v>
      </c>
      <c r="F387" s="4">
        <f>_xlfn.IFNA(VLOOKUP(G387,Master!B:C,2,0),"")</f>
        <v>7512111</v>
      </c>
      <c r="G387" s="46" t="s">
        <v>103</v>
      </c>
      <c r="H387" s="46" t="s">
        <v>544</v>
      </c>
      <c r="I387" s="3" t="str">
        <f>_xlfn.IFNA(VLOOKUP(E387,Master!$J:$M,4,0),"")</f>
        <v>DIR</v>
      </c>
      <c r="J387" s="3" t="str">
        <f>_xlfn.IFNA(VLOOKUP($E387,Master!$J:$M,3,0),"")</f>
        <v>MFG</v>
      </c>
      <c r="M387" s="50">
        <v>1039800</v>
      </c>
      <c r="N387" s="50">
        <v>1096300</v>
      </c>
      <c r="O387" s="50">
        <v>1096300</v>
      </c>
      <c r="P387" s="50">
        <v>1096300</v>
      </c>
      <c r="Q387" s="50">
        <v>1096300</v>
      </c>
      <c r="R387" s="50">
        <v>1096300</v>
      </c>
      <c r="S387" s="50">
        <v>1096300</v>
      </c>
      <c r="T387" s="50">
        <v>1096300</v>
      </c>
      <c r="U387" s="50">
        <v>1096300</v>
      </c>
      <c r="V387" s="50">
        <v>1096300</v>
      </c>
      <c r="W387" s="50">
        <v>1096300</v>
      </c>
      <c r="X387" s="50">
        <v>1096300</v>
      </c>
      <c r="Y387" s="50">
        <v>1096300</v>
      </c>
      <c r="Z387" s="50">
        <v>1156500</v>
      </c>
      <c r="AA387" s="50">
        <v>1156500</v>
      </c>
      <c r="AB387" s="50">
        <v>1156500</v>
      </c>
      <c r="AC387" s="26">
        <f t="shared" si="12"/>
        <v>4328700</v>
      </c>
      <c r="AD387" s="26">
        <f t="shared" si="13"/>
        <v>13336200</v>
      </c>
      <c r="AE387" s="50">
        <v>13506000</v>
      </c>
      <c r="AF387" s="50">
        <v>13872000</v>
      </c>
      <c r="AG387" s="53" t="s">
        <v>55</v>
      </c>
    </row>
    <row r="388" spans="1:33" ht="15" customHeight="1">
      <c r="A388" s="46" t="s">
        <v>91</v>
      </c>
      <c r="B388" s="3" t="str">
        <f>_xlfn.IFNA(VLOOKUP(C388,Master!$J:$K,2,0),"")</f>
        <v>B2220</v>
      </c>
      <c r="C388" s="46" t="s">
        <v>83</v>
      </c>
      <c r="D388" s="4" t="str">
        <f>_xlfn.IFNA(VLOOKUP(E388,Master!$J:$K,2,0),"")</f>
        <v>B4410</v>
      </c>
      <c r="E388" s="46" t="s">
        <v>188</v>
      </c>
      <c r="F388" s="4">
        <f>_xlfn.IFNA(VLOOKUP(G388,Master!B:C,2,0),"")</f>
        <v>7512111</v>
      </c>
      <c r="G388" s="46" t="s">
        <v>103</v>
      </c>
      <c r="H388" s="46" t="s">
        <v>544</v>
      </c>
      <c r="I388" s="3" t="str">
        <f>_xlfn.IFNA(VLOOKUP(E388,Master!$J:$M,4,0),"")</f>
        <v>DIR</v>
      </c>
      <c r="J388" s="3" t="str">
        <f>_xlfn.IFNA(VLOOKUP($E388,Master!$J:$M,3,0),"")</f>
        <v>MFG</v>
      </c>
      <c r="M388" s="50">
        <v>1479300</v>
      </c>
      <c r="N388" s="50">
        <v>1536000</v>
      </c>
      <c r="O388" s="50">
        <v>1536000</v>
      </c>
      <c r="P388" s="50">
        <v>1430100</v>
      </c>
      <c r="Q388" s="50">
        <v>1324200</v>
      </c>
      <c r="R388" s="50">
        <v>1324200</v>
      </c>
      <c r="S388" s="50">
        <v>1324200</v>
      </c>
      <c r="T388" s="50">
        <v>1324200</v>
      </c>
      <c r="U388" s="50">
        <v>1324200</v>
      </c>
      <c r="V388" s="50">
        <v>1218300</v>
      </c>
      <c r="W388" s="50">
        <v>1218300</v>
      </c>
      <c r="X388" s="50">
        <v>477000</v>
      </c>
      <c r="Y388" s="50">
        <v>477000</v>
      </c>
      <c r="AC388" s="26">
        <f t="shared" si="12"/>
        <v>5981400</v>
      </c>
      <c r="AD388" s="26">
        <f t="shared" si="13"/>
        <v>10011600</v>
      </c>
      <c r="AG388" s="53" t="s">
        <v>55</v>
      </c>
    </row>
    <row r="389" spans="1:33" ht="15" customHeight="1">
      <c r="A389" s="46" t="s">
        <v>91</v>
      </c>
      <c r="B389" s="3" t="str">
        <f>_xlfn.IFNA(VLOOKUP(C389,Master!$J:$K,2,0),"")</f>
        <v>B2220</v>
      </c>
      <c r="C389" s="46" t="s">
        <v>83</v>
      </c>
      <c r="D389" s="4" t="str">
        <f>_xlfn.IFNA(VLOOKUP(E389,Master!$J:$K,2,0),"")</f>
        <v>B4430</v>
      </c>
      <c r="E389" s="46" t="s">
        <v>193</v>
      </c>
      <c r="F389" s="4">
        <f>_xlfn.IFNA(VLOOKUP(G389,Master!B:C,2,0),"")</f>
        <v>7512111</v>
      </c>
      <c r="G389" s="46" t="s">
        <v>103</v>
      </c>
      <c r="H389" s="46" t="s">
        <v>544</v>
      </c>
      <c r="I389" s="3" t="str">
        <f>_xlfn.IFNA(VLOOKUP(E389,Master!$J:$M,4,0),"")</f>
        <v>DIR</v>
      </c>
      <c r="J389" s="3" t="str">
        <f>_xlfn.IFNA(VLOOKUP($E389,Master!$J:$M,3,0),"")</f>
        <v>MFG</v>
      </c>
      <c r="M389" s="50">
        <v>2837600</v>
      </c>
      <c r="N389" s="50">
        <v>2969000</v>
      </c>
      <c r="O389" s="50">
        <v>2969000</v>
      </c>
      <c r="P389" s="50">
        <v>2969000</v>
      </c>
      <c r="Q389" s="50">
        <v>2969000</v>
      </c>
      <c r="R389" s="50">
        <v>2969000</v>
      </c>
      <c r="S389" s="50">
        <v>2969000</v>
      </c>
      <c r="T389" s="50">
        <v>2863100</v>
      </c>
      <c r="U389" s="50">
        <v>2333600</v>
      </c>
      <c r="V389" s="50">
        <v>1698200</v>
      </c>
      <c r="W389" s="50">
        <v>1698200</v>
      </c>
      <c r="X389" s="50">
        <v>1698200</v>
      </c>
      <c r="Y389" s="50">
        <v>851000</v>
      </c>
      <c r="AC389" s="26">
        <f t="shared" si="12"/>
        <v>11744600</v>
      </c>
      <c r="AD389" s="26">
        <f t="shared" si="13"/>
        <v>20049300</v>
      </c>
      <c r="AG389" s="53" t="s">
        <v>55</v>
      </c>
    </row>
    <row r="390" spans="1:33" ht="15" customHeight="1">
      <c r="A390" s="46" t="s">
        <v>91</v>
      </c>
      <c r="B390" s="3" t="str">
        <f>_xlfn.IFNA(VLOOKUP(C390,Master!$J:$K,2,0),"")</f>
        <v>B2220</v>
      </c>
      <c r="C390" s="46" t="s">
        <v>83</v>
      </c>
      <c r="D390" s="4" t="str">
        <f>_xlfn.IFNA(VLOOKUP(E390,Master!$J:$K,2,0),"")</f>
        <v>B4440</v>
      </c>
      <c r="E390" s="46" t="s">
        <v>198</v>
      </c>
      <c r="F390" s="4">
        <f>_xlfn.IFNA(VLOOKUP(G390,Master!B:C,2,0),"")</f>
        <v>7512111</v>
      </c>
      <c r="G390" s="46" t="s">
        <v>103</v>
      </c>
      <c r="H390" s="46" t="s">
        <v>544</v>
      </c>
      <c r="I390" s="3" t="str">
        <f>_xlfn.IFNA(VLOOKUP(E390,Master!$J:$M,4,0),"")</f>
        <v>DIR</v>
      </c>
      <c r="J390" s="3" t="str">
        <f>_xlfn.IFNA(VLOOKUP($E390,Master!$J:$M,3,0),"")</f>
        <v>MFG</v>
      </c>
      <c r="M390" s="50">
        <v>1013800</v>
      </c>
      <c r="N390" s="50">
        <v>1050100</v>
      </c>
      <c r="O390" s="50">
        <v>964800</v>
      </c>
      <c r="P390" s="50">
        <v>964800</v>
      </c>
      <c r="Q390" s="50">
        <v>858900</v>
      </c>
      <c r="R390" s="50">
        <v>858900</v>
      </c>
      <c r="S390" s="50">
        <v>858900</v>
      </c>
      <c r="T390" s="50">
        <v>858900</v>
      </c>
      <c r="U390" s="50">
        <v>858900</v>
      </c>
      <c r="V390" s="50">
        <v>753000</v>
      </c>
      <c r="W390" s="50">
        <v>753000</v>
      </c>
      <c r="X390" s="50">
        <v>753000</v>
      </c>
      <c r="Y390" s="50">
        <v>455900</v>
      </c>
      <c r="AC390" s="26">
        <f t="shared" si="12"/>
        <v>3993500</v>
      </c>
      <c r="AD390" s="26">
        <f t="shared" si="13"/>
        <v>7009400</v>
      </c>
      <c r="AG390" s="53" t="s">
        <v>55</v>
      </c>
    </row>
    <row r="391" spans="1:33" ht="15" customHeight="1">
      <c r="A391" s="46" t="s">
        <v>91</v>
      </c>
      <c r="B391" s="3" t="str">
        <f>_xlfn.IFNA(VLOOKUP(C391,Master!$J:$K,2,0),"")</f>
        <v>B2220</v>
      </c>
      <c r="C391" s="46" t="s">
        <v>83</v>
      </c>
      <c r="D391" s="4" t="str">
        <f>_xlfn.IFNA(VLOOKUP(E391,Master!$J:$K,2,0),"")</f>
        <v>B5100</v>
      </c>
      <c r="E391" s="46" t="s">
        <v>211</v>
      </c>
      <c r="F391" s="4">
        <f>_xlfn.IFNA(VLOOKUP(G391,Master!B:C,2,0),"")</f>
        <v>7512111</v>
      </c>
      <c r="G391" s="46" t="s">
        <v>103</v>
      </c>
      <c r="H391" s="46" t="s">
        <v>544</v>
      </c>
      <c r="I391" s="3" t="str">
        <f>_xlfn.IFNA(VLOOKUP(E391,Master!$J:$M,4,0),"")</f>
        <v>IND</v>
      </c>
      <c r="J391" s="3" t="str">
        <f>_xlfn.IFNA(VLOOKUP($E391,Master!$J:$M,3,0),"")</f>
        <v>MFG</v>
      </c>
      <c r="M391" s="50">
        <v>956000</v>
      </c>
      <c r="N391" s="50">
        <v>956000</v>
      </c>
      <c r="O391" s="50">
        <v>956000</v>
      </c>
      <c r="P391" s="50">
        <v>956000</v>
      </c>
      <c r="Q391" s="50">
        <v>956000</v>
      </c>
      <c r="R391" s="50">
        <v>956000</v>
      </c>
      <c r="S391" s="50">
        <v>956000</v>
      </c>
      <c r="T391" s="50">
        <v>956000</v>
      </c>
      <c r="U391" s="50">
        <v>956000</v>
      </c>
      <c r="V391" s="50">
        <v>956000</v>
      </c>
      <c r="W391" s="50">
        <v>956000</v>
      </c>
      <c r="X391" s="50">
        <v>956000</v>
      </c>
      <c r="Y391" s="50">
        <v>956000</v>
      </c>
      <c r="Z391" s="50">
        <v>956000</v>
      </c>
      <c r="AA391" s="50">
        <v>956000</v>
      </c>
      <c r="AB391" s="50">
        <v>956000</v>
      </c>
      <c r="AC391" s="26">
        <f t="shared" si="12"/>
        <v>3824000</v>
      </c>
      <c r="AD391" s="26">
        <f t="shared" si="13"/>
        <v>11472000</v>
      </c>
      <c r="AE391" s="50">
        <v>11472000</v>
      </c>
      <c r="AF391" s="50">
        <v>11472000</v>
      </c>
      <c r="AG391" s="53" t="s">
        <v>55</v>
      </c>
    </row>
    <row r="392" spans="1:33" ht="15" customHeight="1">
      <c r="A392" s="46" t="s">
        <v>91</v>
      </c>
      <c r="B392" s="3" t="str">
        <f>_xlfn.IFNA(VLOOKUP(C392,Master!$J:$K,2,0),"")</f>
        <v>B2220</v>
      </c>
      <c r="C392" s="46" t="s">
        <v>83</v>
      </c>
      <c r="D392" s="4" t="str">
        <f>_xlfn.IFNA(VLOOKUP(E392,Master!$J:$K,2,0),"")</f>
        <v>B5101</v>
      </c>
      <c r="E392" s="46" t="s">
        <v>216</v>
      </c>
      <c r="F392" s="4">
        <f>_xlfn.IFNA(VLOOKUP(G392,Master!B:C,2,0),"")</f>
        <v>7512111</v>
      </c>
      <c r="G392" s="46" t="s">
        <v>103</v>
      </c>
      <c r="H392" s="46" t="s">
        <v>544</v>
      </c>
      <c r="I392" s="3" t="str">
        <f>_xlfn.IFNA(VLOOKUP(E392,Master!$J:$M,4,0),"")</f>
        <v>IND</v>
      </c>
      <c r="J392" s="3" t="str">
        <f>_xlfn.IFNA(VLOOKUP($E392,Master!$J:$M,3,0),"")</f>
        <v>MFG</v>
      </c>
      <c r="M392" s="50">
        <v>950800</v>
      </c>
      <c r="N392" s="50">
        <v>988800</v>
      </c>
      <c r="O392" s="50">
        <v>988800</v>
      </c>
      <c r="P392" s="50">
        <v>988800</v>
      </c>
      <c r="Q392" s="50">
        <v>1003500</v>
      </c>
      <c r="R392" s="50">
        <v>1003500</v>
      </c>
      <c r="S392" s="50">
        <v>1003500</v>
      </c>
      <c r="T392" s="50">
        <v>1003500</v>
      </c>
      <c r="U392" s="50">
        <v>1003500</v>
      </c>
      <c r="V392" s="50">
        <v>1003500</v>
      </c>
      <c r="W392" s="50">
        <v>1016800</v>
      </c>
      <c r="X392" s="50">
        <v>1016800</v>
      </c>
      <c r="Y392" s="50">
        <v>1016800</v>
      </c>
      <c r="Z392" s="50">
        <v>1059100</v>
      </c>
      <c r="AA392" s="50">
        <v>1059100</v>
      </c>
      <c r="AB392" s="50">
        <v>1059100</v>
      </c>
      <c r="AC392" s="26">
        <f t="shared" si="12"/>
        <v>3917200</v>
      </c>
      <c r="AD392" s="26">
        <f t="shared" si="13"/>
        <v>12248700</v>
      </c>
      <c r="AE392" s="50">
        <v>13959300</v>
      </c>
      <c r="AF392" s="50">
        <v>15644400</v>
      </c>
      <c r="AG392" s="53" t="s">
        <v>55</v>
      </c>
    </row>
    <row r="393" spans="1:33" ht="15" customHeight="1">
      <c r="A393" s="46" t="s">
        <v>91</v>
      </c>
      <c r="B393" s="3" t="str">
        <f>_xlfn.IFNA(VLOOKUP(C393,Master!$J:$K,2,0),"")</f>
        <v>B2220</v>
      </c>
      <c r="C393" s="46" t="s">
        <v>83</v>
      </c>
      <c r="D393" s="4" t="str">
        <f>_xlfn.IFNA(VLOOKUP(E393,Master!$J:$K,2,0),"")</f>
        <v>B5130</v>
      </c>
      <c r="E393" s="46" t="s">
        <v>247</v>
      </c>
      <c r="F393" s="4">
        <f>_xlfn.IFNA(VLOOKUP(G393,Master!B:C,2,0),"")</f>
        <v>7512111</v>
      </c>
      <c r="G393" s="46" t="s">
        <v>103</v>
      </c>
      <c r="H393" s="46" t="s">
        <v>544</v>
      </c>
      <c r="I393" s="3" t="str">
        <f>_xlfn.IFNA(VLOOKUP(E393,Master!$J:$M,4,0),"")</f>
        <v>IND</v>
      </c>
      <c r="J393" s="3" t="str">
        <f>_xlfn.IFNA(VLOOKUP($E393,Master!$J:$M,3,0),"")</f>
        <v>MFG</v>
      </c>
      <c r="M393" s="50">
        <v>2141800</v>
      </c>
      <c r="N393" s="50">
        <v>2205500</v>
      </c>
      <c r="O393" s="50">
        <v>2205500</v>
      </c>
      <c r="P393" s="50">
        <v>2205500</v>
      </c>
      <c r="Q393" s="50">
        <v>2205500</v>
      </c>
      <c r="R393" s="50">
        <v>2205500</v>
      </c>
      <c r="S393" s="50">
        <v>2205500</v>
      </c>
      <c r="T393" s="50">
        <v>2205500</v>
      </c>
      <c r="U393" s="50">
        <v>2205500</v>
      </c>
      <c r="V393" s="50">
        <v>2205500</v>
      </c>
      <c r="W393" s="50">
        <v>2311400</v>
      </c>
      <c r="X393" s="50">
        <v>2311400</v>
      </c>
      <c r="Y393" s="50">
        <v>2311400</v>
      </c>
      <c r="Z393" s="50">
        <v>2181500</v>
      </c>
      <c r="AA393" s="50">
        <v>2181500</v>
      </c>
      <c r="AB393" s="50">
        <v>2181500</v>
      </c>
      <c r="AC393" s="26">
        <f t="shared" si="12"/>
        <v>8758300</v>
      </c>
      <c r="AD393" s="26">
        <f t="shared" si="13"/>
        <v>26711700</v>
      </c>
      <c r="AE393" s="50">
        <v>26464500</v>
      </c>
      <c r="AF393" s="50">
        <v>25939100</v>
      </c>
      <c r="AG393" s="53" t="s">
        <v>55</v>
      </c>
    </row>
    <row r="394" spans="1:33" ht="15" customHeight="1">
      <c r="A394" s="46" t="s">
        <v>91</v>
      </c>
      <c r="B394" s="3" t="str">
        <f>_xlfn.IFNA(VLOOKUP(C394,Master!$J:$K,2,0),"")</f>
        <v>B2220</v>
      </c>
      <c r="C394" s="46" t="s">
        <v>83</v>
      </c>
      <c r="D394" s="4" t="str">
        <f>_xlfn.IFNA(VLOOKUP(E394,Master!$J:$K,2,0),"")</f>
        <v>B5200</v>
      </c>
      <c r="E394" s="46" t="s">
        <v>253</v>
      </c>
      <c r="F394" s="4">
        <f>_xlfn.IFNA(VLOOKUP(G394,Master!B:C,2,0),"")</f>
        <v>7512111</v>
      </c>
      <c r="G394" s="46" t="s">
        <v>103</v>
      </c>
      <c r="H394" s="46" t="s">
        <v>544</v>
      </c>
      <c r="I394" s="3" t="str">
        <f>_xlfn.IFNA(VLOOKUP(E394,Master!$J:$M,4,0),"")</f>
        <v>IND</v>
      </c>
      <c r="J394" s="3" t="str">
        <f>_xlfn.IFNA(VLOOKUP($E394,Master!$J:$M,3,0),"")</f>
        <v>MFG</v>
      </c>
      <c r="M394" s="50">
        <v>415000</v>
      </c>
      <c r="N394" s="50">
        <v>442600</v>
      </c>
      <c r="O394" s="50">
        <v>442600</v>
      </c>
      <c r="P394" s="50">
        <v>442600</v>
      </c>
      <c r="Q394" s="50">
        <v>456800</v>
      </c>
      <c r="R394" s="50">
        <v>456800</v>
      </c>
      <c r="S394" s="50">
        <v>456800</v>
      </c>
      <c r="T394" s="50">
        <v>456800</v>
      </c>
      <c r="U394" s="50">
        <v>456800</v>
      </c>
      <c r="V394" s="50">
        <v>456800</v>
      </c>
      <c r="W394" s="50">
        <v>456800</v>
      </c>
      <c r="X394" s="50">
        <v>456800</v>
      </c>
      <c r="Y394" s="50">
        <v>456800</v>
      </c>
      <c r="Z394" s="50">
        <v>487300</v>
      </c>
      <c r="AA394" s="50">
        <v>487300</v>
      </c>
      <c r="AB394" s="50">
        <v>487300</v>
      </c>
      <c r="AC394" s="26">
        <f t="shared" si="12"/>
        <v>1742800</v>
      </c>
      <c r="AD394" s="26">
        <f t="shared" si="13"/>
        <v>5573100</v>
      </c>
      <c r="AE394" s="50">
        <v>5946000</v>
      </c>
      <c r="AF394" s="50">
        <v>6324300</v>
      </c>
      <c r="AG394" s="53" t="s">
        <v>55</v>
      </c>
    </row>
    <row r="395" spans="1:33" ht="15" customHeight="1">
      <c r="A395" s="46" t="s">
        <v>91</v>
      </c>
      <c r="B395" s="3" t="str">
        <f>_xlfn.IFNA(VLOOKUP(C395,Master!$J:$K,2,0),"")</f>
        <v>B2220</v>
      </c>
      <c r="C395" s="46" t="s">
        <v>83</v>
      </c>
      <c r="D395" s="4" t="str">
        <f>_xlfn.IFNA(VLOOKUP(E395,Master!$J:$K,2,0),"")</f>
        <v>B5500</v>
      </c>
      <c r="E395" s="46" t="s">
        <v>236</v>
      </c>
      <c r="F395" s="4">
        <f>_xlfn.IFNA(VLOOKUP(G395,Master!B:C,2,0),"")</f>
        <v>7512111</v>
      </c>
      <c r="G395" s="46" t="s">
        <v>103</v>
      </c>
      <c r="H395" s="46" t="s">
        <v>544</v>
      </c>
      <c r="I395" s="3" t="str">
        <f>_xlfn.IFNA(VLOOKUP(E395,Master!$J:$M,4,0),"")</f>
        <v>IND</v>
      </c>
      <c r="J395" s="3" t="str">
        <f>_xlfn.IFNA(VLOOKUP($E395,Master!$J:$M,3,0),"")</f>
        <v>MFG</v>
      </c>
      <c r="M395" s="50">
        <v>1535400</v>
      </c>
      <c r="N395" s="50">
        <v>1711300</v>
      </c>
      <c r="O395" s="50">
        <v>1711300</v>
      </c>
      <c r="P395" s="50">
        <v>1711300</v>
      </c>
      <c r="Q395" s="50">
        <v>2140600</v>
      </c>
      <c r="R395" s="50">
        <v>2140600</v>
      </c>
      <c r="S395" s="50">
        <v>2140600</v>
      </c>
      <c r="T395" s="50">
        <v>2140600</v>
      </c>
      <c r="U395" s="50">
        <v>2140600</v>
      </c>
      <c r="V395" s="50">
        <v>2140600</v>
      </c>
      <c r="W395" s="50">
        <v>2289600</v>
      </c>
      <c r="X395" s="50">
        <v>2289600</v>
      </c>
      <c r="Y395" s="50">
        <v>2289600</v>
      </c>
      <c r="Z395" s="50">
        <v>2390800</v>
      </c>
      <c r="AA395" s="50">
        <v>2390800</v>
      </c>
      <c r="AB395" s="50">
        <v>2390800</v>
      </c>
      <c r="AC395" s="26">
        <f t="shared" si="12"/>
        <v>6669300</v>
      </c>
      <c r="AD395" s="26">
        <f t="shared" si="13"/>
        <v>26884800</v>
      </c>
      <c r="AE395" s="50">
        <v>27990600</v>
      </c>
      <c r="AF395" s="50">
        <v>28168500</v>
      </c>
      <c r="AG395" s="53" t="s">
        <v>55</v>
      </c>
    </row>
    <row r="396" spans="1:33" ht="15" customHeight="1">
      <c r="A396" s="46" t="s">
        <v>91</v>
      </c>
      <c r="B396" s="3" t="str">
        <f>_xlfn.IFNA(VLOOKUP(C396,Master!$J:$K,2,0),"")</f>
        <v>B2220</v>
      </c>
      <c r="C396" s="46" t="s">
        <v>83</v>
      </c>
      <c r="D396" s="4" t="str">
        <f>_xlfn.IFNA(VLOOKUP(E396,Master!$J:$K,2,0),"")</f>
        <v>B5600</v>
      </c>
      <c r="E396" s="46" t="s">
        <v>241</v>
      </c>
      <c r="F396" s="4">
        <f>_xlfn.IFNA(VLOOKUP(G396,Master!B:C,2,0),"")</f>
        <v>7512111</v>
      </c>
      <c r="G396" s="46" t="s">
        <v>103</v>
      </c>
      <c r="H396" s="46" t="s">
        <v>544</v>
      </c>
      <c r="I396" s="3" t="str">
        <f>_xlfn.IFNA(VLOOKUP(E396,Master!$J:$M,4,0),"")</f>
        <v>IND</v>
      </c>
      <c r="J396" s="3" t="str">
        <f>_xlfn.IFNA(VLOOKUP($E396,Master!$J:$M,3,0),"")</f>
        <v>MFG</v>
      </c>
      <c r="M396" s="50">
        <v>1802500</v>
      </c>
      <c r="N396" s="50">
        <v>1889800</v>
      </c>
      <c r="O396" s="50">
        <v>1889800</v>
      </c>
      <c r="P396" s="50">
        <v>1889800</v>
      </c>
      <c r="Q396" s="50">
        <v>1918300</v>
      </c>
      <c r="R396" s="50">
        <v>1918300</v>
      </c>
      <c r="S396" s="50">
        <v>1918300</v>
      </c>
      <c r="T396" s="50">
        <v>1918300</v>
      </c>
      <c r="U396" s="50">
        <v>1918300</v>
      </c>
      <c r="V396" s="50">
        <v>1918300</v>
      </c>
      <c r="W396" s="50">
        <v>1918300</v>
      </c>
      <c r="X396" s="50">
        <v>1918300</v>
      </c>
      <c r="Y396" s="50">
        <v>1918300</v>
      </c>
      <c r="Z396" s="50">
        <v>1987400</v>
      </c>
      <c r="AA396" s="50">
        <v>1987400</v>
      </c>
      <c r="AB396" s="50">
        <v>1987400</v>
      </c>
      <c r="AC396" s="26">
        <f t="shared" si="12"/>
        <v>7471900</v>
      </c>
      <c r="AD396" s="26">
        <f t="shared" si="13"/>
        <v>23226900</v>
      </c>
      <c r="AE396" s="50">
        <v>24053400</v>
      </c>
      <c r="AF396" s="50">
        <v>24639000</v>
      </c>
      <c r="AG396" s="53" t="s">
        <v>55</v>
      </c>
    </row>
    <row r="397" spans="1:33" ht="15" customHeight="1">
      <c r="A397" s="46" t="s">
        <v>91</v>
      </c>
      <c r="B397" s="3" t="str">
        <f>_xlfn.IFNA(VLOOKUP(C397,Master!$J:$K,2,0),"")</f>
        <v>B2220</v>
      </c>
      <c r="C397" s="46" t="s">
        <v>83</v>
      </c>
      <c r="D397" s="4" t="str">
        <f>_xlfn.IFNA(VLOOKUP(E397,Master!$J:$K,2,0),"")</f>
        <v>B5710</v>
      </c>
      <c r="E397" s="46" t="s">
        <v>265</v>
      </c>
      <c r="F397" s="4">
        <f>_xlfn.IFNA(VLOOKUP(G397,Master!B:C,2,0),"")</f>
        <v>7512111</v>
      </c>
      <c r="G397" s="46" t="s">
        <v>103</v>
      </c>
      <c r="H397" s="46" t="s">
        <v>544</v>
      </c>
      <c r="I397" s="3" t="str">
        <f>_xlfn.IFNA(VLOOKUP(E397,Master!$J:$M,4,0),"")</f>
        <v>IND</v>
      </c>
      <c r="J397" s="3" t="str">
        <f>_xlfn.IFNA(VLOOKUP($E397,Master!$J:$M,3,0),"")</f>
        <v>MFG</v>
      </c>
      <c r="M397" s="50">
        <v>1343400</v>
      </c>
      <c r="N397" s="50">
        <v>1411400</v>
      </c>
      <c r="O397" s="50">
        <v>1411400</v>
      </c>
      <c r="P397" s="50">
        <v>1411400</v>
      </c>
      <c r="Q397" s="50">
        <v>1411400</v>
      </c>
      <c r="R397" s="50">
        <v>1411400</v>
      </c>
      <c r="S397" s="50">
        <v>1411400</v>
      </c>
      <c r="T397" s="50">
        <v>1411400</v>
      </c>
      <c r="U397" s="50">
        <v>1411400</v>
      </c>
      <c r="V397" s="50">
        <v>1411400</v>
      </c>
      <c r="W397" s="50">
        <v>1411400</v>
      </c>
      <c r="X397" s="50">
        <v>1411400</v>
      </c>
      <c r="Y397" s="50">
        <v>1411400</v>
      </c>
      <c r="Z397" s="50">
        <v>1674600</v>
      </c>
      <c r="AA397" s="50">
        <v>1674600</v>
      </c>
      <c r="AB397" s="50">
        <v>1674600</v>
      </c>
      <c r="AC397" s="26">
        <f t="shared" si="12"/>
        <v>5577600</v>
      </c>
      <c r="AD397" s="26">
        <f t="shared" si="13"/>
        <v>17726400</v>
      </c>
      <c r="AE397" s="50">
        <v>18569700</v>
      </c>
      <c r="AF397" s="50">
        <v>18734400</v>
      </c>
      <c r="AG397" s="53" t="s">
        <v>55</v>
      </c>
    </row>
    <row r="398" spans="1:33" ht="15" customHeight="1">
      <c r="A398" s="46" t="s">
        <v>91</v>
      </c>
      <c r="B398" s="3" t="str">
        <f>_xlfn.IFNA(VLOOKUP(C398,Master!$J:$K,2,0),"")</f>
        <v>B2220</v>
      </c>
      <c r="C398" s="46" t="s">
        <v>83</v>
      </c>
      <c r="D398" s="4" t="str">
        <f>_xlfn.IFNA(VLOOKUP(E398,Master!$J:$K,2,0),"")</f>
        <v>B5800</v>
      </c>
      <c r="E398" s="46" t="s">
        <v>226</v>
      </c>
      <c r="F398" s="4">
        <f>_xlfn.IFNA(VLOOKUP(G398,Master!B:C,2,0),"")</f>
        <v>7512111</v>
      </c>
      <c r="G398" s="46" t="s">
        <v>103</v>
      </c>
      <c r="H398" s="46" t="s">
        <v>544</v>
      </c>
      <c r="I398" s="3" t="str">
        <f>_xlfn.IFNA(VLOOKUP(E398,Master!$J:$M,4,0),"")</f>
        <v>IND</v>
      </c>
      <c r="J398" s="3" t="str">
        <f>_xlfn.IFNA(VLOOKUP($E398,Master!$J:$M,3,0),"")</f>
        <v>MFG</v>
      </c>
      <c r="M398" s="50">
        <v>1594300</v>
      </c>
      <c r="N398" s="50">
        <v>1618000</v>
      </c>
      <c r="O398" s="50">
        <v>1618000</v>
      </c>
      <c r="P398" s="50">
        <v>1618000</v>
      </c>
      <c r="Q398" s="50">
        <v>1632300</v>
      </c>
      <c r="R398" s="50">
        <v>1632300</v>
      </c>
      <c r="S398" s="50">
        <v>1632300</v>
      </c>
      <c r="T398" s="50">
        <v>1632300</v>
      </c>
      <c r="U398" s="50">
        <v>1632300</v>
      </c>
      <c r="V398" s="50">
        <v>1632300</v>
      </c>
      <c r="W398" s="50">
        <v>1632300</v>
      </c>
      <c r="X398" s="50">
        <v>1632300</v>
      </c>
      <c r="Y398" s="50">
        <v>1632300</v>
      </c>
      <c r="Z398" s="50">
        <v>1651900</v>
      </c>
      <c r="AA398" s="50">
        <v>1651900</v>
      </c>
      <c r="AB398" s="50">
        <v>1651900</v>
      </c>
      <c r="AC398" s="26">
        <f t="shared" si="12"/>
        <v>6448300</v>
      </c>
      <c r="AD398" s="26">
        <f t="shared" si="13"/>
        <v>19646400</v>
      </c>
      <c r="AE398" s="50">
        <v>19886100</v>
      </c>
      <c r="AF398" s="50">
        <v>19360700</v>
      </c>
      <c r="AG398" s="53" t="s">
        <v>55</v>
      </c>
    </row>
    <row r="399" spans="1:33" ht="15" customHeight="1">
      <c r="A399" s="46" t="s">
        <v>91</v>
      </c>
      <c r="B399" s="3" t="str">
        <f>_xlfn.IFNA(VLOOKUP(C399,Master!$J:$K,2,0),"")</f>
        <v>B2220</v>
      </c>
      <c r="C399" s="46" t="s">
        <v>83</v>
      </c>
      <c r="D399" s="4" t="str">
        <f>_xlfn.IFNA(VLOOKUP(E399,Master!$J:$K,2,0),"")</f>
        <v>B5900</v>
      </c>
      <c r="E399" s="46" t="s">
        <v>231</v>
      </c>
      <c r="F399" s="4">
        <f>_xlfn.IFNA(VLOOKUP(G399,Master!B:C,2,0),"")</f>
        <v>7512111</v>
      </c>
      <c r="G399" s="46" t="s">
        <v>103</v>
      </c>
      <c r="H399" s="46" t="s">
        <v>544</v>
      </c>
      <c r="I399" s="3" t="str">
        <f>_xlfn.IFNA(VLOOKUP(E399,Master!$J:$M,4,0),"")</f>
        <v>IND</v>
      </c>
      <c r="J399" s="3" t="str">
        <f>_xlfn.IFNA(VLOOKUP($E399,Master!$J:$M,3,0),"")</f>
        <v>MFG</v>
      </c>
      <c r="M399" s="50">
        <v>2645800</v>
      </c>
      <c r="N399" s="50">
        <v>2757400</v>
      </c>
      <c r="O399" s="50">
        <v>2757400</v>
      </c>
      <c r="P399" s="50">
        <v>2757400</v>
      </c>
      <c r="Q399" s="50">
        <v>2757400</v>
      </c>
      <c r="R399" s="50">
        <v>2757400</v>
      </c>
      <c r="S399" s="50">
        <v>2757400</v>
      </c>
      <c r="T399" s="50">
        <v>2757400</v>
      </c>
      <c r="U399" s="50">
        <v>2757400</v>
      </c>
      <c r="V399" s="50">
        <v>2757400</v>
      </c>
      <c r="W399" s="50">
        <v>2757400</v>
      </c>
      <c r="X399" s="50">
        <v>2757400</v>
      </c>
      <c r="Y399" s="50">
        <v>2757400</v>
      </c>
      <c r="Z399" s="50">
        <v>2535200</v>
      </c>
      <c r="AA399" s="50">
        <v>2535200</v>
      </c>
      <c r="AB399" s="50">
        <v>2535200</v>
      </c>
      <c r="AC399" s="26">
        <f t="shared" si="12"/>
        <v>10918000</v>
      </c>
      <c r="AD399" s="26">
        <f t="shared" si="13"/>
        <v>32422200</v>
      </c>
      <c r="AE399" s="50">
        <v>30688800</v>
      </c>
      <c r="AF399" s="50">
        <v>30813900</v>
      </c>
      <c r="AG399" s="53" t="s">
        <v>55</v>
      </c>
    </row>
    <row r="400" spans="1:33" ht="15" customHeight="1">
      <c r="A400" s="46" t="s">
        <v>91</v>
      </c>
      <c r="B400" s="3" t="str">
        <f>_xlfn.IFNA(VLOOKUP(C400,Master!$J:$K,2,0),"")</f>
        <v>B2220</v>
      </c>
      <c r="C400" s="46" t="s">
        <v>83</v>
      </c>
      <c r="D400" s="4" t="str">
        <f>_xlfn.IFNA(VLOOKUP(E400,Master!$J:$K,2,0),"")</f>
        <v>B2210</v>
      </c>
      <c r="E400" s="46" t="s">
        <v>78</v>
      </c>
      <c r="F400" s="4">
        <f>_xlfn.IFNA(VLOOKUP(G400,Master!B:C,2,0),"")</f>
        <v>7512112</v>
      </c>
      <c r="G400" s="46" t="s">
        <v>109</v>
      </c>
      <c r="H400" s="46" t="s">
        <v>545</v>
      </c>
      <c r="I400" s="3" t="str">
        <f>_xlfn.IFNA(VLOOKUP(E400,Master!$J:$M,4,0),"")</f>
        <v>ADM</v>
      </c>
      <c r="J400" s="3" t="str">
        <f>_xlfn.IFNA(VLOOKUP($E400,Master!$J:$M,3,0),"")</f>
        <v>SGA</v>
      </c>
      <c r="M400" s="50">
        <v>5495500</v>
      </c>
      <c r="N400" s="50">
        <v>5864300</v>
      </c>
      <c r="O400" s="50">
        <v>5864300</v>
      </c>
      <c r="P400" s="50">
        <v>5864300</v>
      </c>
      <c r="Q400" s="50">
        <v>5925700</v>
      </c>
      <c r="R400" s="50">
        <v>5604200</v>
      </c>
      <c r="S400" s="50">
        <v>5604200</v>
      </c>
      <c r="T400" s="50">
        <v>5286200</v>
      </c>
      <c r="U400" s="50">
        <v>5286200</v>
      </c>
      <c r="V400" s="50">
        <v>5286200</v>
      </c>
      <c r="W400" s="50">
        <v>5317900</v>
      </c>
      <c r="X400" s="50">
        <v>5317900</v>
      </c>
      <c r="Y400" s="50">
        <v>4980400</v>
      </c>
      <c r="Z400" s="50">
        <v>5315800</v>
      </c>
      <c r="AA400" s="50">
        <v>5315800</v>
      </c>
      <c r="AB400" s="50">
        <v>5315800</v>
      </c>
      <c r="AC400" s="26">
        <f t="shared" si="12"/>
        <v>23088400</v>
      </c>
      <c r="AD400" s="26">
        <f t="shared" si="13"/>
        <v>64556300</v>
      </c>
      <c r="AE400" s="50">
        <v>70200300</v>
      </c>
      <c r="AF400" s="50">
        <v>63197400</v>
      </c>
      <c r="AG400" s="53" t="s">
        <v>55</v>
      </c>
    </row>
    <row r="401" spans="1:33" ht="15" customHeight="1">
      <c r="A401" s="46" t="s">
        <v>91</v>
      </c>
      <c r="B401" s="3" t="str">
        <f>_xlfn.IFNA(VLOOKUP(C401,Master!$J:$K,2,0),"")</f>
        <v>B2220</v>
      </c>
      <c r="C401" s="46" t="s">
        <v>83</v>
      </c>
      <c r="D401" s="4" t="str">
        <f>_xlfn.IFNA(VLOOKUP(E401,Master!$J:$K,2,0),"")</f>
        <v>B2220</v>
      </c>
      <c r="E401" s="46" t="s">
        <v>83</v>
      </c>
      <c r="F401" s="4">
        <f>_xlfn.IFNA(VLOOKUP(G401,Master!B:C,2,0),"")</f>
        <v>7512112</v>
      </c>
      <c r="G401" s="46" t="s">
        <v>109</v>
      </c>
      <c r="H401" s="46" t="s">
        <v>545</v>
      </c>
      <c r="I401" s="3" t="str">
        <f>_xlfn.IFNA(VLOOKUP(E401,Master!$J:$M,4,0),"")</f>
        <v>ADM</v>
      </c>
      <c r="J401" s="3" t="str">
        <f>_xlfn.IFNA(VLOOKUP($E401,Master!$J:$M,3,0),"")</f>
        <v>SGA</v>
      </c>
      <c r="M401" s="50">
        <v>2168200</v>
      </c>
      <c r="N401" s="50">
        <v>2316600</v>
      </c>
      <c r="O401" s="50">
        <v>3182400</v>
      </c>
      <c r="P401" s="50">
        <v>3182400</v>
      </c>
      <c r="Q401" s="50">
        <v>3449100</v>
      </c>
      <c r="R401" s="50">
        <v>3449100</v>
      </c>
      <c r="S401" s="50">
        <v>3449100</v>
      </c>
      <c r="T401" s="50">
        <v>3449100</v>
      </c>
      <c r="U401" s="50">
        <v>3449100</v>
      </c>
      <c r="V401" s="50">
        <v>3449100</v>
      </c>
      <c r="W401" s="50">
        <v>3478300</v>
      </c>
      <c r="X401" s="50">
        <v>3478300</v>
      </c>
      <c r="Y401" s="50">
        <v>3478300</v>
      </c>
      <c r="Z401" s="50">
        <v>3712200</v>
      </c>
      <c r="AA401" s="50">
        <v>3712200</v>
      </c>
      <c r="AB401" s="50">
        <v>3712200</v>
      </c>
      <c r="AC401" s="26">
        <f t="shared" si="12"/>
        <v>10849600</v>
      </c>
      <c r="AD401" s="26">
        <f t="shared" si="13"/>
        <v>42266100</v>
      </c>
      <c r="AE401" s="50">
        <v>45297300</v>
      </c>
      <c r="AF401" s="50">
        <v>48352800</v>
      </c>
      <c r="AG401" s="53" t="s">
        <v>55</v>
      </c>
    </row>
    <row r="402" spans="1:33" ht="15" customHeight="1">
      <c r="A402" s="46" t="s">
        <v>91</v>
      </c>
      <c r="B402" s="3" t="str">
        <f>_xlfn.IFNA(VLOOKUP(C402,Master!$J:$K,2,0),"")</f>
        <v>B2220</v>
      </c>
      <c r="C402" s="46" t="s">
        <v>83</v>
      </c>
      <c r="D402" s="4" t="str">
        <f>_xlfn.IFNA(VLOOKUP(E402,Master!$J:$K,2,0),"")</f>
        <v>B2230</v>
      </c>
      <c r="E402" s="46" t="s">
        <v>89</v>
      </c>
      <c r="F402" s="4">
        <f>_xlfn.IFNA(VLOOKUP(G402,Master!B:C,2,0),"")</f>
        <v>7512112</v>
      </c>
      <c r="G402" s="46" t="s">
        <v>109</v>
      </c>
      <c r="H402" s="46" t="s">
        <v>545</v>
      </c>
      <c r="I402" s="3" t="str">
        <f>_xlfn.IFNA(VLOOKUP(E402,Master!$J:$M,4,0),"")</f>
        <v>ADM</v>
      </c>
      <c r="J402" s="3" t="str">
        <f>_xlfn.IFNA(VLOOKUP($E402,Master!$J:$M,3,0),"")</f>
        <v>SGA</v>
      </c>
      <c r="M402" s="50">
        <v>1704200</v>
      </c>
      <c r="N402" s="50">
        <v>1820700</v>
      </c>
      <c r="O402" s="50">
        <v>1820700</v>
      </c>
      <c r="P402" s="50">
        <v>1820700</v>
      </c>
      <c r="Q402" s="50">
        <v>1820700</v>
      </c>
      <c r="R402" s="50">
        <v>1820700</v>
      </c>
      <c r="S402" s="50">
        <v>1820700</v>
      </c>
      <c r="T402" s="50">
        <v>1820700</v>
      </c>
      <c r="U402" s="50">
        <v>1820700</v>
      </c>
      <c r="V402" s="50">
        <v>1820700</v>
      </c>
      <c r="W402" s="50">
        <v>1820700</v>
      </c>
      <c r="X402" s="50">
        <v>1820700</v>
      </c>
      <c r="Y402" s="50">
        <v>1820700</v>
      </c>
      <c r="Z402" s="50">
        <v>1945400</v>
      </c>
      <c r="AA402" s="50">
        <v>1945400</v>
      </c>
      <c r="AB402" s="50">
        <v>1945400</v>
      </c>
      <c r="AC402" s="26">
        <f t="shared" si="12"/>
        <v>7166300</v>
      </c>
      <c r="AD402" s="26">
        <f t="shared" si="13"/>
        <v>22222500</v>
      </c>
      <c r="AE402" s="50">
        <v>23744700</v>
      </c>
      <c r="AF402" s="50">
        <v>25825800</v>
      </c>
      <c r="AG402" s="53" t="s">
        <v>55</v>
      </c>
    </row>
    <row r="403" spans="1:33" ht="15" customHeight="1">
      <c r="A403" s="46" t="s">
        <v>91</v>
      </c>
      <c r="B403" s="3" t="str">
        <f>_xlfn.IFNA(VLOOKUP(C403,Master!$J:$K,2,0),"")</f>
        <v>B2220</v>
      </c>
      <c r="C403" s="46" t="s">
        <v>83</v>
      </c>
      <c r="D403" s="4" t="str">
        <f>_xlfn.IFNA(VLOOKUP(E403,Master!$J:$K,2,0),"")</f>
        <v>B2300</v>
      </c>
      <c r="E403" s="46" t="s">
        <v>95</v>
      </c>
      <c r="F403" s="4">
        <f>_xlfn.IFNA(VLOOKUP(G403,Master!B:C,2,0),"")</f>
        <v>7512112</v>
      </c>
      <c r="G403" s="46" t="s">
        <v>109</v>
      </c>
      <c r="H403" s="46" t="s">
        <v>545</v>
      </c>
      <c r="I403" s="3" t="str">
        <f>_xlfn.IFNA(VLOOKUP(E403,Master!$J:$M,4,0),"")</f>
        <v>ADM</v>
      </c>
      <c r="J403" s="3" t="str">
        <f>_xlfn.IFNA(VLOOKUP($E403,Master!$J:$M,3,0),"")</f>
        <v>SGA</v>
      </c>
      <c r="M403" s="50">
        <v>4225400</v>
      </c>
      <c r="N403" s="50">
        <v>4514900</v>
      </c>
      <c r="O403" s="50">
        <v>4514900</v>
      </c>
      <c r="P403" s="50">
        <v>4514900</v>
      </c>
      <c r="Q403" s="50">
        <v>4710800</v>
      </c>
      <c r="R403" s="50">
        <v>4710800</v>
      </c>
      <c r="S403" s="50">
        <v>4710800</v>
      </c>
      <c r="T403" s="50">
        <v>4710800</v>
      </c>
      <c r="U403" s="50">
        <v>4710800</v>
      </c>
      <c r="V403" s="50">
        <v>4710800</v>
      </c>
      <c r="W403" s="50">
        <v>4710800</v>
      </c>
      <c r="X403" s="50">
        <v>4710800</v>
      </c>
      <c r="Y403" s="50">
        <v>4710800</v>
      </c>
      <c r="Z403" s="50">
        <v>5027900</v>
      </c>
      <c r="AA403" s="50">
        <v>5027900</v>
      </c>
      <c r="AB403" s="50">
        <v>5027900</v>
      </c>
      <c r="AC403" s="26">
        <f t="shared" si="12"/>
        <v>17770100</v>
      </c>
      <c r="AD403" s="26">
        <f t="shared" si="13"/>
        <v>57480900</v>
      </c>
      <c r="AE403" s="50">
        <v>62361300</v>
      </c>
      <c r="AF403" s="50">
        <v>66638400</v>
      </c>
      <c r="AG403" s="53" t="s">
        <v>55</v>
      </c>
    </row>
    <row r="404" spans="1:33" ht="15" customHeight="1">
      <c r="A404" s="46" t="s">
        <v>91</v>
      </c>
      <c r="B404" s="3" t="str">
        <f>_xlfn.IFNA(VLOOKUP(C404,Master!$J:$K,2,0),"")</f>
        <v>B2220</v>
      </c>
      <c r="C404" s="46" t="s">
        <v>83</v>
      </c>
      <c r="D404" s="4" t="str">
        <f>_xlfn.IFNA(VLOOKUP(E404,Master!$J:$K,2,0),"")</f>
        <v>B2400</v>
      </c>
      <c r="E404" s="46" t="s">
        <v>101</v>
      </c>
      <c r="F404" s="4">
        <f>_xlfn.IFNA(VLOOKUP(G404,Master!B:C,2,0),"")</f>
        <v>7512112</v>
      </c>
      <c r="G404" s="46" t="s">
        <v>109</v>
      </c>
      <c r="H404" s="46" t="s">
        <v>545</v>
      </c>
      <c r="I404" s="3" t="str">
        <f>_xlfn.IFNA(VLOOKUP(E404,Master!$J:$M,4,0),"")</f>
        <v>ADM</v>
      </c>
      <c r="J404" s="3" t="str">
        <f>_xlfn.IFNA(VLOOKUP($E404,Master!$J:$M,3,0),"")</f>
        <v>SGA</v>
      </c>
      <c r="M404" s="50">
        <v>1819800</v>
      </c>
      <c r="N404" s="50">
        <v>1944400</v>
      </c>
      <c r="O404" s="50">
        <v>1944400</v>
      </c>
      <c r="P404" s="50">
        <v>1944400</v>
      </c>
      <c r="Q404" s="50">
        <v>1944400</v>
      </c>
      <c r="R404" s="50">
        <v>1944400</v>
      </c>
      <c r="S404" s="50">
        <v>1944400</v>
      </c>
      <c r="T404" s="50">
        <v>1944400</v>
      </c>
      <c r="U404" s="50">
        <v>1944400</v>
      </c>
      <c r="V404" s="50">
        <v>1944400</v>
      </c>
      <c r="W404" s="50">
        <v>1944400</v>
      </c>
      <c r="X404" s="50">
        <v>1944400</v>
      </c>
      <c r="Y404" s="50">
        <v>1944400</v>
      </c>
      <c r="Z404" s="50">
        <v>2077800</v>
      </c>
      <c r="AA404" s="50">
        <v>2077800</v>
      </c>
      <c r="AB404" s="50">
        <v>2077800</v>
      </c>
      <c r="AC404" s="26">
        <f t="shared" si="12"/>
        <v>7653000</v>
      </c>
      <c r="AD404" s="26">
        <f t="shared" si="13"/>
        <v>23733000</v>
      </c>
      <c r="AE404" s="50">
        <v>25361100</v>
      </c>
      <c r="AF404" s="50">
        <v>27101700</v>
      </c>
      <c r="AG404" s="53" t="s">
        <v>55</v>
      </c>
    </row>
    <row r="405" spans="1:33" ht="15" customHeight="1">
      <c r="A405" s="46" t="s">
        <v>91</v>
      </c>
      <c r="B405" s="3" t="str">
        <f>_xlfn.IFNA(VLOOKUP(C405,Master!$J:$K,2,0),"")</f>
        <v>B2220</v>
      </c>
      <c r="C405" s="46" t="s">
        <v>83</v>
      </c>
      <c r="D405" s="4" t="str">
        <f>_xlfn.IFNA(VLOOKUP(E405,Master!$J:$K,2,0),"")</f>
        <v>B3110</v>
      </c>
      <c r="E405" s="46" t="s">
        <v>117</v>
      </c>
      <c r="F405" s="4">
        <f>_xlfn.IFNA(VLOOKUP(G405,Master!B:C,2,0),"")</f>
        <v>7512112</v>
      </c>
      <c r="G405" s="46" t="s">
        <v>109</v>
      </c>
      <c r="H405" s="46" t="s">
        <v>545</v>
      </c>
      <c r="I405" s="3" t="str">
        <f>_xlfn.IFNA(VLOOKUP(E405,Master!$J:$M,4,0),"")</f>
        <v>ADM</v>
      </c>
      <c r="J405" s="3" t="str">
        <f>_xlfn.IFNA(VLOOKUP($E405,Master!$J:$M,3,0),"")</f>
        <v>SGA</v>
      </c>
      <c r="M405" s="50">
        <v>2745200</v>
      </c>
      <c r="N405" s="50">
        <v>2931900</v>
      </c>
      <c r="O405" s="50">
        <v>2931900</v>
      </c>
      <c r="P405" s="50">
        <v>2931900</v>
      </c>
      <c r="Q405" s="50">
        <v>2962100</v>
      </c>
      <c r="R405" s="50">
        <v>2962100</v>
      </c>
      <c r="S405" s="50">
        <v>2962100</v>
      </c>
      <c r="T405" s="50">
        <v>2962100</v>
      </c>
      <c r="U405" s="50">
        <v>2962100</v>
      </c>
      <c r="V405" s="50">
        <v>2962100</v>
      </c>
      <c r="W405" s="50">
        <v>2962100</v>
      </c>
      <c r="X405" s="50">
        <v>2962100</v>
      </c>
      <c r="Y405" s="50">
        <v>2962100</v>
      </c>
      <c r="Z405" s="50">
        <v>3164100</v>
      </c>
      <c r="AA405" s="50">
        <v>3164100</v>
      </c>
      <c r="AB405" s="50">
        <v>3164100</v>
      </c>
      <c r="AC405" s="26">
        <f t="shared" si="12"/>
        <v>11540900</v>
      </c>
      <c r="AD405" s="26">
        <f t="shared" si="13"/>
        <v>36151200</v>
      </c>
      <c r="AE405" s="50">
        <v>38617500</v>
      </c>
      <c r="AF405" s="50">
        <v>41256000</v>
      </c>
      <c r="AG405" s="53" t="s">
        <v>55</v>
      </c>
    </row>
    <row r="406" spans="1:33" ht="15" customHeight="1">
      <c r="A406" s="46" t="s">
        <v>91</v>
      </c>
      <c r="B406" s="3" t="str">
        <f>_xlfn.IFNA(VLOOKUP(C406,Master!$J:$K,2,0),"")</f>
        <v>B2220</v>
      </c>
      <c r="C406" s="46" t="s">
        <v>83</v>
      </c>
      <c r="D406" s="4" t="str">
        <f>_xlfn.IFNA(VLOOKUP(E406,Master!$J:$K,2,0),"")</f>
        <v>B3120</v>
      </c>
      <c r="E406" s="46" t="s">
        <v>122</v>
      </c>
      <c r="F406" s="4">
        <f>_xlfn.IFNA(VLOOKUP(G406,Master!B:C,2,0),"")</f>
        <v>7512112</v>
      </c>
      <c r="G406" s="46" t="s">
        <v>109</v>
      </c>
      <c r="H406" s="46" t="s">
        <v>545</v>
      </c>
      <c r="I406" s="3" t="str">
        <f>_xlfn.IFNA(VLOOKUP(E406,Master!$J:$M,4,0),"")</f>
        <v>ADM</v>
      </c>
      <c r="J406" s="3" t="str">
        <f>_xlfn.IFNA(VLOOKUP($E406,Master!$J:$M,3,0),"")</f>
        <v>SGA</v>
      </c>
      <c r="M406" s="50">
        <v>412600</v>
      </c>
      <c r="N406" s="50">
        <v>440500</v>
      </c>
      <c r="O406" s="50">
        <v>440500</v>
      </c>
      <c r="P406" s="50">
        <v>440500</v>
      </c>
      <c r="Q406" s="50">
        <v>440500</v>
      </c>
      <c r="R406" s="50">
        <v>440500</v>
      </c>
      <c r="S406" s="50">
        <v>440500</v>
      </c>
      <c r="T406" s="50">
        <v>440500</v>
      </c>
      <c r="U406" s="50">
        <v>440500</v>
      </c>
      <c r="V406" s="50">
        <v>440500</v>
      </c>
      <c r="W406" s="50">
        <v>440500</v>
      </c>
      <c r="X406" s="50">
        <v>440500</v>
      </c>
      <c r="Y406" s="50">
        <v>440500</v>
      </c>
      <c r="Z406" s="50">
        <v>470400</v>
      </c>
      <c r="AA406" s="50">
        <v>470400</v>
      </c>
      <c r="AB406" s="50">
        <v>470400</v>
      </c>
      <c r="AC406" s="26">
        <f t="shared" si="12"/>
        <v>1734100</v>
      </c>
      <c r="AD406" s="26">
        <f t="shared" si="13"/>
        <v>5375700</v>
      </c>
      <c r="AE406" s="50">
        <v>5740800</v>
      </c>
      <c r="AF406" s="50">
        <v>6131400</v>
      </c>
      <c r="AG406" s="53" t="s">
        <v>55</v>
      </c>
    </row>
    <row r="407" spans="1:33" ht="15" customHeight="1">
      <c r="A407" s="46" t="s">
        <v>91</v>
      </c>
      <c r="B407" s="3" t="str">
        <f>_xlfn.IFNA(VLOOKUP(C407,Master!$J:$K,2,0),"")</f>
        <v>B2220</v>
      </c>
      <c r="C407" s="46" t="s">
        <v>83</v>
      </c>
      <c r="D407" s="4" t="str">
        <f>_xlfn.IFNA(VLOOKUP(E407,Master!$J:$K,2,0),"")</f>
        <v>B3130</v>
      </c>
      <c r="E407" s="46" t="s">
        <v>127</v>
      </c>
      <c r="F407" s="4">
        <f>_xlfn.IFNA(VLOOKUP(G407,Master!B:C,2,0),"")</f>
        <v>7512112</v>
      </c>
      <c r="G407" s="46" t="s">
        <v>109</v>
      </c>
      <c r="H407" s="46" t="s">
        <v>545</v>
      </c>
      <c r="I407" s="3" t="str">
        <f>_xlfn.IFNA(VLOOKUP(E407,Master!$J:$M,4,0),"")</f>
        <v>ADM</v>
      </c>
      <c r="J407" s="3" t="str">
        <f>_xlfn.IFNA(VLOOKUP($E407,Master!$J:$M,3,0),"")</f>
        <v>SGA</v>
      </c>
      <c r="M407" s="50">
        <v>5186900</v>
      </c>
      <c r="N407" s="50">
        <v>5542400</v>
      </c>
      <c r="O407" s="50">
        <v>6075800</v>
      </c>
      <c r="P407" s="50">
        <v>6075800</v>
      </c>
      <c r="Q407" s="50">
        <v>6640700</v>
      </c>
      <c r="R407" s="50">
        <v>6640700</v>
      </c>
      <c r="S407" s="50">
        <v>6640700</v>
      </c>
      <c r="T407" s="50">
        <v>6640700</v>
      </c>
      <c r="U407" s="50">
        <v>6640700</v>
      </c>
      <c r="V407" s="50">
        <v>6640700</v>
      </c>
      <c r="W407" s="50">
        <v>6640700</v>
      </c>
      <c r="X407" s="50">
        <v>6640700</v>
      </c>
      <c r="Y407" s="50">
        <v>6640700</v>
      </c>
      <c r="Z407" s="50">
        <v>7094700</v>
      </c>
      <c r="AA407" s="50">
        <v>7094700</v>
      </c>
      <c r="AB407" s="50">
        <v>7094700</v>
      </c>
      <c r="AC407" s="26">
        <f t="shared" si="12"/>
        <v>22880900</v>
      </c>
      <c r="AD407" s="26">
        <f t="shared" si="13"/>
        <v>81050400</v>
      </c>
      <c r="AE407" s="50">
        <v>86593800</v>
      </c>
      <c r="AF407" s="50">
        <v>92524200</v>
      </c>
      <c r="AG407" s="53" t="s">
        <v>55</v>
      </c>
    </row>
    <row r="408" spans="1:33" ht="15" customHeight="1">
      <c r="A408" s="46" t="s">
        <v>91</v>
      </c>
      <c r="B408" s="3" t="str">
        <f>_xlfn.IFNA(VLOOKUP(C408,Master!$J:$K,2,0),"")</f>
        <v>B2220</v>
      </c>
      <c r="C408" s="46" t="s">
        <v>83</v>
      </c>
      <c r="D408" s="4" t="str">
        <f>_xlfn.IFNA(VLOOKUP(E408,Master!$J:$K,2,0),"")</f>
        <v>B3150</v>
      </c>
      <c r="E408" s="46" t="s">
        <v>259</v>
      </c>
      <c r="F408" s="4">
        <f>_xlfn.IFNA(VLOOKUP(G408,Master!B:C,2,0),"")</f>
        <v>7512112</v>
      </c>
      <c r="G408" s="46" t="s">
        <v>109</v>
      </c>
      <c r="H408" s="46" t="s">
        <v>545</v>
      </c>
      <c r="I408" s="3" t="str">
        <f>_xlfn.IFNA(VLOOKUP(E408,Master!$J:$M,4,0),"")</f>
        <v>ADM</v>
      </c>
      <c r="J408" s="3" t="str">
        <f>_xlfn.IFNA(VLOOKUP($E408,Master!$J:$M,3,0),"")</f>
        <v>SGA</v>
      </c>
      <c r="M408" s="50">
        <v>6225900</v>
      </c>
      <c r="N408" s="50">
        <v>6183400</v>
      </c>
      <c r="O408" s="50">
        <v>6183400</v>
      </c>
      <c r="P408" s="50">
        <v>6183400</v>
      </c>
      <c r="Q408" s="50">
        <v>6236500</v>
      </c>
      <c r="R408" s="50">
        <v>6236500</v>
      </c>
      <c r="S408" s="50">
        <v>6236500</v>
      </c>
      <c r="T408" s="50">
        <v>6236500</v>
      </c>
      <c r="U408" s="50">
        <v>6236500</v>
      </c>
      <c r="V408" s="50">
        <v>6236500</v>
      </c>
      <c r="W408" s="50">
        <v>6261400</v>
      </c>
      <c r="X408" s="50">
        <v>6261400</v>
      </c>
      <c r="Y408" s="50">
        <v>6261400</v>
      </c>
      <c r="Z408" s="50">
        <v>6633000</v>
      </c>
      <c r="AA408" s="50">
        <v>6633000</v>
      </c>
      <c r="AB408" s="50">
        <v>6633000</v>
      </c>
      <c r="AC408" s="26">
        <f t="shared" si="12"/>
        <v>24776100</v>
      </c>
      <c r="AD408" s="26">
        <f t="shared" si="13"/>
        <v>76102200</v>
      </c>
      <c r="AE408" s="50">
        <v>80950500</v>
      </c>
      <c r="AF408" s="50">
        <v>85964100</v>
      </c>
      <c r="AG408" s="53" t="s">
        <v>55</v>
      </c>
    </row>
    <row r="409" spans="1:33" ht="15" customHeight="1">
      <c r="A409" s="46" t="s">
        <v>91</v>
      </c>
      <c r="B409" s="3" t="str">
        <f>_xlfn.IFNA(VLOOKUP(C409,Master!$J:$K,2,0),"")</f>
        <v>B2220</v>
      </c>
      <c r="C409" s="46" t="s">
        <v>83</v>
      </c>
      <c r="D409" s="4" t="str">
        <f>_xlfn.IFNA(VLOOKUP(E409,Master!$J:$K,2,0),"")</f>
        <v>B3160</v>
      </c>
      <c r="E409" s="46" t="s">
        <v>112</v>
      </c>
      <c r="F409" s="4">
        <f>_xlfn.IFNA(VLOOKUP(G409,Master!B:C,2,0),"")</f>
        <v>7512112</v>
      </c>
      <c r="G409" s="46" t="s">
        <v>109</v>
      </c>
      <c r="H409" s="46" t="s">
        <v>545</v>
      </c>
      <c r="I409" s="3" t="str">
        <f>_xlfn.IFNA(VLOOKUP(E409,Master!$J:$M,4,0),"")</f>
        <v>ADM</v>
      </c>
      <c r="J409" s="3" t="str">
        <f>_xlfn.IFNA(VLOOKUP($E409,Master!$J:$M,3,0),"")</f>
        <v>SGA</v>
      </c>
      <c r="M409" s="50">
        <v>2727100</v>
      </c>
      <c r="N409" s="50">
        <v>2911600</v>
      </c>
      <c r="O409" s="50">
        <v>2911600</v>
      </c>
      <c r="P409" s="50">
        <v>2911600</v>
      </c>
      <c r="Q409" s="50">
        <v>2911600</v>
      </c>
      <c r="R409" s="50">
        <v>2911600</v>
      </c>
      <c r="S409" s="50">
        <v>2911600</v>
      </c>
      <c r="T409" s="50">
        <v>2911600</v>
      </c>
      <c r="U409" s="50">
        <v>2911600</v>
      </c>
      <c r="V409" s="50">
        <v>2911600</v>
      </c>
      <c r="W409" s="50">
        <v>2911600</v>
      </c>
      <c r="X409" s="50">
        <v>2911600</v>
      </c>
      <c r="Y409" s="50">
        <v>2911600</v>
      </c>
      <c r="Z409" s="50">
        <v>3108700</v>
      </c>
      <c r="AA409" s="50">
        <v>3108700</v>
      </c>
      <c r="AB409" s="50">
        <v>3108700</v>
      </c>
      <c r="AC409" s="26">
        <f t="shared" si="12"/>
        <v>11461900</v>
      </c>
      <c r="AD409" s="26">
        <f t="shared" si="13"/>
        <v>35530500</v>
      </c>
      <c r="AE409" s="50">
        <v>37938000</v>
      </c>
      <c r="AF409" s="50">
        <v>40516800</v>
      </c>
      <c r="AG409" s="53" t="s">
        <v>55</v>
      </c>
    </row>
    <row r="410" spans="1:33" ht="15" customHeight="1">
      <c r="A410" s="46" t="s">
        <v>91</v>
      </c>
      <c r="B410" s="3" t="str">
        <f>_xlfn.IFNA(VLOOKUP(C410,Master!$J:$K,2,0),"")</f>
        <v>B2220</v>
      </c>
      <c r="C410" s="46" t="s">
        <v>83</v>
      </c>
      <c r="D410" s="4" t="str">
        <f>_xlfn.IFNA(VLOOKUP(E410,Master!$J:$K,2,0),"")</f>
        <v>B4101</v>
      </c>
      <c r="E410" s="46" t="s">
        <v>132</v>
      </c>
      <c r="F410" s="4">
        <f>_xlfn.IFNA(VLOOKUP(G410,Master!B:C,2,0),"")</f>
        <v>7512112</v>
      </c>
      <c r="G410" s="46" t="s">
        <v>109</v>
      </c>
      <c r="H410" s="46" t="s">
        <v>545</v>
      </c>
      <c r="I410" s="3" t="str">
        <f>_xlfn.IFNA(VLOOKUP(E410,Master!$J:$M,4,0),"")</f>
        <v>DIR</v>
      </c>
      <c r="J410" s="3" t="str">
        <f>_xlfn.IFNA(VLOOKUP($E410,Master!$J:$M,3,0),"")</f>
        <v>MFG</v>
      </c>
      <c r="M410" s="50">
        <v>1839400</v>
      </c>
      <c r="N410" s="50">
        <v>1962500</v>
      </c>
      <c r="O410" s="50">
        <v>1962500</v>
      </c>
      <c r="P410" s="50">
        <v>1962500</v>
      </c>
      <c r="Q410" s="50">
        <v>1962500</v>
      </c>
      <c r="R410" s="50">
        <v>1962500</v>
      </c>
      <c r="S410" s="50">
        <v>1962500</v>
      </c>
      <c r="T410" s="50">
        <v>1962500</v>
      </c>
      <c r="U410" s="50">
        <v>1962500</v>
      </c>
      <c r="V410" s="50">
        <v>1962500</v>
      </c>
      <c r="W410" s="50">
        <v>1962500</v>
      </c>
      <c r="X410" s="50">
        <v>1962500</v>
      </c>
      <c r="Y410" s="50">
        <v>1962500</v>
      </c>
      <c r="Z410" s="50">
        <v>2094400</v>
      </c>
      <c r="AA410" s="50">
        <v>2094400</v>
      </c>
      <c r="AB410" s="50">
        <v>2094400</v>
      </c>
      <c r="AC410" s="26">
        <f t="shared" si="12"/>
        <v>7726900</v>
      </c>
      <c r="AD410" s="26">
        <f t="shared" si="13"/>
        <v>23945700</v>
      </c>
      <c r="AE410" s="50">
        <v>25555800</v>
      </c>
      <c r="AF410" s="50">
        <v>25390800</v>
      </c>
      <c r="AG410" s="53" t="s">
        <v>55</v>
      </c>
    </row>
    <row r="411" spans="1:33" ht="15" customHeight="1">
      <c r="A411" s="46" t="s">
        <v>91</v>
      </c>
      <c r="B411" s="3" t="str">
        <f>_xlfn.IFNA(VLOOKUP(C411,Master!$J:$K,2,0),"")</f>
        <v>B2220</v>
      </c>
      <c r="C411" s="46" t="s">
        <v>83</v>
      </c>
      <c r="D411" s="4" t="str">
        <f>_xlfn.IFNA(VLOOKUP(E411,Master!$J:$K,2,0),"")</f>
        <v>B4102</v>
      </c>
      <c r="E411" s="46" t="s">
        <v>139</v>
      </c>
      <c r="F411" s="4">
        <f>_xlfn.IFNA(VLOOKUP(G411,Master!B:C,2,0),"")</f>
        <v>7512112</v>
      </c>
      <c r="G411" s="46" t="s">
        <v>109</v>
      </c>
      <c r="H411" s="46" t="s">
        <v>545</v>
      </c>
      <c r="I411" s="3" t="str">
        <f>_xlfn.IFNA(VLOOKUP(E411,Master!$J:$M,4,0),"")</f>
        <v>DIR</v>
      </c>
      <c r="J411" s="3" t="str">
        <f>_xlfn.IFNA(VLOOKUP($E411,Master!$J:$M,3,0),"")</f>
        <v>MFG</v>
      </c>
      <c r="M411" s="50">
        <v>4542200</v>
      </c>
      <c r="N411" s="50">
        <v>4845300</v>
      </c>
      <c r="O411" s="50">
        <v>4845300</v>
      </c>
      <c r="P411" s="50">
        <v>4845300</v>
      </c>
      <c r="Q411" s="50">
        <v>4620300</v>
      </c>
      <c r="R411" s="50">
        <v>4620300</v>
      </c>
      <c r="S411" s="50">
        <v>4620300</v>
      </c>
      <c r="T411" s="50">
        <v>4620300</v>
      </c>
      <c r="U411" s="50">
        <v>4620300</v>
      </c>
      <c r="V411" s="50">
        <v>4620300</v>
      </c>
      <c r="W411" s="50">
        <v>4682600</v>
      </c>
      <c r="X411" s="50">
        <v>4682600</v>
      </c>
      <c r="Y411" s="50">
        <v>4682600</v>
      </c>
      <c r="Z411" s="50">
        <v>4995300</v>
      </c>
      <c r="AA411" s="50">
        <v>4995300</v>
      </c>
      <c r="AB411" s="50">
        <v>4995300</v>
      </c>
      <c r="AC411" s="26">
        <f t="shared" si="12"/>
        <v>19078100</v>
      </c>
      <c r="AD411" s="26">
        <f t="shared" si="13"/>
        <v>56755500</v>
      </c>
      <c r="AE411" s="50">
        <v>60561300</v>
      </c>
      <c r="AF411" s="50">
        <v>61082700</v>
      </c>
      <c r="AG411" s="53" t="s">
        <v>55</v>
      </c>
    </row>
    <row r="412" spans="1:33" ht="15" customHeight="1">
      <c r="A412" s="46" t="s">
        <v>91</v>
      </c>
      <c r="B412" s="3" t="str">
        <f>_xlfn.IFNA(VLOOKUP(C412,Master!$J:$K,2,0),"")</f>
        <v>B2220</v>
      </c>
      <c r="C412" s="46" t="s">
        <v>83</v>
      </c>
      <c r="D412" s="4" t="str">
        <f>_xlfn.IFNA(VLOOKUP(E412,Master!$J:$K,2,0),"")</f>
        <v>B4103</v>
      </c>
      <c r="E412" s="46" t="s">
        <v>144</v>
      </c>
      <c r="F412" s="4">
        <f>_xlfn.IFNA(VLOOKUP(G412,Master!B:C,2,0),"")</f>
        <v>7512112</v>
      </c>
      <c r="G412" s="46" t="s">
        <v>109</v>
      </c>
      <c r="H412" s="46" t="s">
        <v>545</v>
      </c>
      <c r="I412" s="3" t="str">
        <f>_xlfn.IFNA(VLOOKUP(E412,Master!$J:$M,4,0),"")</f>
        <v>DIR</v>
      </c>
      <c r="J412" s="3" t="str">
        <f>_xlfn.IFNA(VLOOKUP($E412,Master!$J:$M,3,0),"")</f>
        <v>MFG</v>
      </c>
      <c r="M412" s="50">
        <v>2858000</v>
      </c>
      <c r="N412" s="50">
        <v>3048700</v>
      </c>
      <c r="O412" s="50">
        <v>3048700</v>
      </c>
      <c r="P412" s="50">
        <v>3048700</v>
      </c>
      <c r="Q412" s="50">
        <v>3048700</v>
      </c>
      <c r="R412" s="50">
        <v>3048700</v>
      </c>
      <c r="S412" s="50">
        <v>3048700</v>
      </c>
      <c r="T412" s="50">
        <v>3048700</v>
      </c>
      <c r="U412" s="50">
        <v>3048700</v>
      </c>
      <c r="V412" s="50">
        <v>3048700</v>
      </c>
      <c r="W412" s="50">
        <v>3048700</v>
      </c>
      <c r="X412" s="50">
        <v>3048700</v>
      </c>
      <c r="Y412" s="50">
        <v>3048700</v>
      </c>
      <c r="Z412" s="50">
        <v>3252900</v>
      </c>
      <c r="AA412" s="50">
        <v>3252900</v>
      </c>
      <c r="AB412" s="50">
        <v>3252900</v>
      </c>
      <c r="AC412" s="26">
        <f t="shared" si="12"/>
        <v>12004100</v>
      </c>
      <c r="AD412" s="26">
        <f t="shared" si="13"/>
        <v>37197000</v>
      </c>
      <c r="AE412" s="50">
        <v>39689100</v>
      </c>
      <c r="AF412" s="50">
        <v>42353700</v>
      </c>
      <c r="AG412" s="53" t="s">
        <v>55</v>
      </c>
    </row>
    <row r="413" spans="1:33" ht="15" customHeight="1">
      <c r="A413" s="46" t="s">
        <v>91</v>
      </c>
      <c r="B413" s="3" t="str">
        <f>_xlfn.IFNA(VLOOKUP(C413,Master!$J:$K,2,0),"")</f>
        <v>B2220</v>
      </c>
      <c r="C413" s="46" t="s">
        <v>83</v>
      </c>
      <c r="D413" s="4" t="str">
        <f>_xlfn.IFNA(VLOOKUP(E413,Master!$J:$K,2,0),"")</f>
        <v>B4105</v>
      </c>
      <c r="E413" s="46" t="s">
        <v>149</v>
      </c>
      <c r="F413" s="4">
        <f>_xlfn.IFNA(VLOOKUP(G413,Master!B:C,2,0),"")</f>
        <v>7512112</v>
      </c>
      <c r="G413" s="46" t="s">
        <v>109</v>
      </c>
      <c r="H413" s="46" t="s">
        <v>545</v>
      </c>
      <c r="I413" s="3" t="str">
        <f>_xlfn.IFNA(VLOOKUP(E413,Master!$J:$M,4,0),"")</f>
        <v>DIR</v>
      </c>
      <c r="J413" s="3" t="str">
        <f>_xlfn.IFNA(VLOOKUP($E413,Master!$J:$M,3,0),"")</f>
        <v>MFG</v>
      </c>
      <c r="M413" s="50">
        <v>3506800</v>
      </c>
      <c r="N413" s="50">
        <v>3741100</v>
      </c>
      <c r="O413" s="50">
        <v>3741100</v>
      </c>
      <c r="P413" s="50">
        <v>3741100</v>
      </c>
      <c r="Q413" s="50">
        <v>3741100</v>
      </c>
      <c r="R413" s="50">
        <v>3741100</v>
      </c>
      <c r="S413" s="50">
        <v>3741100</v>
      </c>
      <c r="T413" s="50">
        <v>3741100</v>
      </c>
      <c r="U413" s="50">
        <v>3741100</v>
      </c>
      <c r="V413" s="50">
        <v>3741100</v>
      </c>
      <c r="W413" s="50">
        <v>3207300</v>
      </c>
      <c r="X413" s="50">
        <v>3207300</v>
      </c>
      <c r="Y413" s="50">
        <v>3207300</v>
      </c>
      <c r="Z413" s="50">
        <v>3422600</v>
      </c>
      <c r="AA413" s="50">
        <v>3422600</v>
      </c>
      <c r="AB413" s="50">
        <v>3422600</v>
      </c>
      <c r="AC413" s="26">
        <f t="shared" si="12"/>
        <v>14730100</v>
      </c>
      <c r="AD413" s="26">
        <f t="shared" si="13"/>
        <v>42336300</v>
      </c>
      <c r="AE413" s="50">
        <v>41761800</v>
      </c>
      <c r="AF413" s="50">
        <v>43908900</v>
      </c>
      <c r="AG413" s="53" t="s">
        <v>55</v>
      </c>
    </row>
    <row r="414" spans="1:33" ht="15" customHeight="1">
      <c r="A414" s="46" t="s">
        <v>91</v>
      </c>
      <c r="B414" s="3" t="str">
        <f>_xlfn.IFNA(VLOOKUP(C414,Master!$J:$K,2,0),"")</f>
        <v>B2220</v>
      </c>
      <c r="C414" s="46" t="s">
        <v>83</v>
      </c>
      <c r="D414" s="4" t="str">
        <f>_xlfn.IFNA(VLOOKUP(E414,Master!$J:$K,2,0),"")</f>
        <v>B4110</v>
      </c>
      <c r="E414" s="46" t="s">
        <v>162</v>
      </c>
      <c r="F414" s="4">
        <f>_xlfn.IFNA(VLOOKUP(G414,Master!B:C,2,0),"")</f>
        <v>7512112</v>
      </c>
      <c r="G414" s="46" t="s">
        <v>109</v>
      </c>
      <c r="H414" s="46" t="s">
        <v>545</v>
      </c>
      <c r="I414" s="3" t="str">
        <f>_xlfn.IFNA(VLOOKUP(E414,Master!$J:$M,4,0),"")</f>
        <v>DIR</v>
      </c>
      <c r="J414" s="3" t="str">
        <f>_xlfn.IFNA(VLOOKUP($E414,Master!$J:$M,3,0),"")</f>
        <v>MFG</v>
      </c>
      <c r="M414" s="50">
        <v>8884400</v>
      </c>
      <c r="N414" s="50">
        <v>9382100</v>
      </c>
      <c r="O414" s="50">
        <v>9382100</v>
      </c>
      <c r="P414" s="50">
        <v>9382100</v>
      </c>
      <c r="Q414" s="50">
        <v>9382100</v>
      </c>
      <c r="R414" s="50">
        <v>9382100</v>
      </c>
      <c r="S414" s="50">
        <v>9234800</v>
      </c>
      <c r="T414" s="50">
        <v>6016000</v>
      </c>
      <c r="U414" s="50">
        <v>6016000</v>
      </c>
      <c r="V414" s="50">
        <v>6016000</v>
      </c>
      <c r="W414" s="50">
        <v>6016000</v>
      </c>
      <c r="X414" s="50">
        <v>6016000</v>
      </c>
      <c r="Y414" s="50">
        <v>6016000</v>
      </c>
      <c r="Z414" s="50">
        <v>6420500</v>
      </c>
      <c r="AA414" s="50">
        <v>6420500</v>
      </c>
      <c r="AB414" s="50">
        <v>6420500</v>
      </c>
      <c r="AC414" s="26">
        <f t="shared" si="12"/>
        <v>37030700</v>
      </c>
      <c r="AD414" s="26">
        <f t="shared" si="13"/>
        <v>83356500</v>
      </c>
      <c r="AE414" s="50">
        <v>76447300</v>
      </c>
      <c r="AF414" s="50">
        <v>80549700</v>
      </c>
      <c r="AG414" s="53" t="s">
        <v>55</v>
      </c>
    </row>
    <row r="415" spans="1:33" ht="15" customHeight="1">
      <c r="A415" s="46" t="s">
        <v>91</v>
      </c>
      <c r="B415" s="3" t="str">
        <f>_xlfn.IFNA(VLOOKUP(C415,Master!$J:$K,2,0),"")</f>
        <v>B2220</v>
      </c>
      <c r="C415" s="46" t="s">
        <v>83</v>
      </c>
      <c r="D415" s="4" t="str">
        <f>_xlfn.IFNA(VLOOKUP(E415,Master!$J:$K,2,0),"")</f>
        <v>B4114</v>
      </c>
      <c r="E415" s="46" t="s">
        <v>172</v>
      </c>
      <c r="F415" s="4">
        <f>_xlfn.IFNA(VLOOKUP(G415,Master!B:C,2,0),"")</f>
        <v>7512112</v>
      </c>
      <c r="G415" s="46" t="s">
        <v>109</v>
      </c>
      <c r="H415" s="46" t="s">
        <v>545</v>
      </c>
      <c r="I415" s="3" t="str">
        <f>_xlfn.IFNA(VLOOKUP(E415,Master!$J:$M,4,0),"")</f>
        <v>DIR</v>
      </c>
      <c r="J415" s="3" t="str">
        <f>_xlfn.IFNA(VLOOKUP($E415,Master!$J:$M,3,0),"")</f>
        <v>MFG</v>
      </c>
      <c r="M415" s="50">
        <v>2600000</v>
      </c>
      <c r="N415" s="50">
        <v>2769400</v>
      </c>
      <c r="O415" s="50">
        <v>2769400</v>
      </c>
      <c r="P415" s="50">
        <v>2769400</v>
      </c>
      <c r="Q415" s="50">
        <v>2769400</v>
      </c>
      <c r="R415" s="50">
        <v>2769400</v>
      </c>
      <c r="S415" s="50">
        <v>2487100</v>
      </c>
      <c r="T415" s="50">
        <v>1592000</v>
      </c>
      <c r="U415" s="50">
        <v>1592000</v>
      </c>
      <c r="V415" s="50">
        <v>1592000</v>
      </c>
      <c r="W415" s="50">
        <v>1079900</v>
      </c>
      <c r="X415" s="50">
        <v>1079900</v>
      </c>
      <c r="Y415" s="50">
        <v>1079900</v>
      </c>
      <c r="Z415" s="50">
        <v>1152700</v>
      </c>
      <c r="AA415" s="50">
        <v>1152700</v>
      </c>
      <c r="AB415" s="50">
        <v>1152700</v>
      </c>
      <c r="AC415" s="26">
        <f t="shared" si="12"/>
        <v>10908200</v>
      </c>
      <c r="AD415" s="26">
        <f t="shared" si="13"/>
        <v>19499700</v>
      </c>
      <c r="AE415" s="50">
        <v>14066100</v>
      </c>
      <c r="AF415" s="50">
        <v>15017100</v>
      </c>
      <c r="AG415" s="53" t="s">
        <v>55</v>
      </c>
    </row>
    <row r="416" spans="1:33" ht="15" customHeight="1">
      <c r="A416" s="46" t="s">
        <v>91</v>
      </c>
      <c r="B416" s="3" t="str">
        <f>_xlfn.IFNA(VLOOKUP(C416,Master!$J:$K,2,0),"")</f>
        <v>B2220</v>
      </c>
      <c r="C416" s="46" t="s">
        <v>83</v>
      </c>
      <c r="D416" s="4" t="str">
        <f>_xlfn.IFNA(VLOOKUP(E416,Master!$J:$K,2,0),"")</f>
        <v>B4115</v>
      </c>
      <c r="E416" s="46" t="s">
        <v>167</v>
      </c>
      <c r="F416" s="4">
        <f>_xlfn.IFNA(VLOOKUP(G416,Master!B:C,2,0),"")</f>
        <v>7512112</v>
      </c>
      <c r="G416" s="46" t="s">
        <v>109</v>
      </c>
      <c r="H416" s="46" t="s">
        <v>545</v>
      </c>
      <c r="I416" s="3" t="str">
        <f>_xlfn.IFNA(VLOOKUP(E416,Master!$J:$M,4,0),"")</f>
        <v>DIR</v>
      </c>
      <c r="J416" s="3" t="str">
        <f>_xlfn.IFNA(VLOOKUP($E416,Master!$J:$M,3,0),"")</f>
        <v>MFG</v>
      </c>
      <c r="M416" s="50">
        <v>1605300</v>
      </c>
      <c r="N416" s="50">
        <v>1711800</v>
      </c>
      <c r="O416" s="50">
        <v>1711800</v>
      </c>
      <c r="P416" s="50">
        <v>1711800</v>
      </c>
      <c r="Q416" s="50">
        <v>1711800</v>
      </c>
      <c r="R416" s="50">
        <v>1711800</v>
      </c>
      <c r="S416" s="50">
        <v>1711800</v>
      </c>
      <c r="T416" s="50">
        <v>1711800</v>
      </c>
      <c r="U416" s="50">
        <v>1711800</v>
      </c>
      <c r="V416" s="50">
        <v>1711800</v>
      </c>
      <c r="W416" s="50">
        <v>1711800</v>
      </c>
      <c r="X416" s="50">
        <v>1711800</v>
      </c>
      <c r="Y416" s="50">
        <v>1711800</v>
      </c>
      <c r="Z416" s="50">
        <v>1826100</v>
      </c>
      <c r="AA416" s="50">
        <v>1826100</v>
      </c>
      <c r="AB416" s="50">
        <v>1826100</v>
      </c>
      <c r="AC416" s="26">
        <f t="shared" si="12"/>
        <v>6740700</v>
      </c>
      <c r="AD416" s="26">
        <f t="shared" si="13"/>
        <v>20884500</v>
      </c>
      <c r="AE416" s="50">
        <v>22280100</v>
      </c>
      <c r="AF416" s="50">
        <v>23772600</v>
      </c>
      <c r="AG416" s="53" t="s">
        <v>55</v>
      </c>
    </row>
    <row r="417" spans="1:33" ht="15" customHeight="1">
      <c r="A417" s="46" t="s">
        <v>91</v>
      </c>
      <c r="B417" s="3" t="str">
        <f>_xlfn.IFNA(VLOOKUP(C417,Master!$J:$K,2,0),"")</f>
        <v>B2220</v>
      </c>
      <c r="C417" s="46" t="s">
        <v>83</v>
      </c>
      <c r="D417" s="4" t="str">
        <f>_xlfn.IFNA(VLOOKUP(E417,Master!$J:$K,2,0),"")</f>
        <v>B4120</v>
      </c>
      <c r="E417" s="46" t="s">
        <v>177</v>
      </c>
      <c r="F417" s="4">
        <f>_xlfn.IFNA(VLOOKUP(G417,Master!B:C,2,0),"")</f>
        <v>7512112</v>
      </c>
      <c r="G417" s="46" t="s">
        <v>109</v>
      </c>
      <c r="H417" s="46" t="s">
        <v>545</v>
      </c>
      <c r="I417" s="3" t="str">
        <f>_xlfn.IFNA(VLOOKUP(E417,Master!$J:$M,4,0),"")</f>
        <v>DIR</v>
      </c>
      <c r="J417" s="3" t="str">
        <f>_xlfn.IFNA(VLOOKUP($E417,Master!$J:$M,3,0),"")</f>
        <v>MFG</v>
      </c>
      <c r="M417" s="50">
        <v>17718500</v>
      </c>
      <c r="N417" s="50">
        <v>18656900</v>
      </c>
      <c r="O417" s="50">
        <v>18404600</v>
      </c>
      <c r="P417" s="50">
        <v>18404600</v>
      </c>
      <c r="Q417" s="50">
        <v>16909100</v>
      </c>
      <c r="R417" s="50">
        <v>16666800</v>
      </c>
      <c r="S417" s="50">
        <v>16666800</v>
      </c>
      <c r="T417" s="50">
        <v>16169800</v>
      </c>
      <c r="U417" s="50">
        <v>16169800</v>
      </c>
      <c r="V417" s="50">
        <v>16169800</v>
      </c>
      <c r="W417" s="50">
        <v>16514900</v>
      </c>
      <c r="X417" s="50">
        <v>16514900</v>
      </c>
      <c r="Y417" s="50">
        <v>16514900</v>
      </c>
      <c r="Z417" s="50">
        <v>17378000</v>
      </c>
      <c r="AA417" s="50">
        <v>17378000</v>
      </c>
      <c r="AB417" s="50">
        <v>17378000</v>
      </c>
      <c r="AC417" s="26">
        <f t="shared" si="12"/>
        <v>73184600</v>
      </c>
      <c r="AD417" s="26">
        <f t="shared" si="13"/>
        <v>200430800</v>
      </c>
      <c r="AE417" s="50">
        <v>205046900</v>
      </c>
      <c r="AF417" s="50">
        <v>214671900</v>
      </c>
      <c r="AG417" s="53" t="s">
        <v>55</v>
      </c>
    </row>
    <row r="418" spans="1:33" ht="15" customHeight="1">
      <c r="A418" s="46" t="s">
        <v>91</v>
      </c>
      <c r="B418" s="3" t="str">
        <f>_xlfn.IFNA(VLOOKUP(C418,Master!$J:$K,2,0),"")</f>
        <v>B2220</v>
      </c>
      <c r="C418" s="46" t="s">
        <v>83</v>
      </c>
      <c r="D418" s="4" t="str">
        <f>_xlfn.IFNA(VLOOKUP(E418,Master!$J:$K,2,0),"")</f>
        <v>B4121</v>
      </c>
      <c r="E418" s="46" t="s">
        <v>183</v>
      </c>
      <c r="F418" s="4">
        <f>_xlfn.IFNA(VLOOKUP(G418,Master!B:C,2,0),"")</f>
        <v>7512112</v>
      </c>
      <c r="G418" s="46" t="s">
        <v>109</v>
      </c>
      <c r="H418" s="46" t="s">
        <v>545</v>
      </c>
      <c r="I418" s="3" t="str">
        <f>_xlfn.IFNA(VLOOKUP(E418,Master!$J:$M,4,0),"")</f>
        <v>DIR</v>
      </c>
      <c r="J418" s="3" t="str">
        <f>_xlfn.IFNA(VLOOKUP($E418,Master!$J:$M,3,0),"")</f>
        <v>MFG</v>
      </c>
      <c r="M418" s="50">
        <v>776900</v>
      </c>
      <c r="N418" s="50">
        <v>828600</v>
      </c>
      <c r="O418" s="50">
        <v>828600</v>
      </c>
      <c r="P418" s="50">
        <v>828600</v>
      </c>
      <c r="AC418" s="26">
        <f t="shared" si="12"/>
        <v>3262700</v>
      </c>
      <c r="AD418" s="26">
        <f t="shared" si="13"/>
        <v>0</v>
      </c>
      <c r="AG418" s="53" t="s">
        <v>55</v>
      </c>
    </row>
    <row r="419" spans="1:33" ht="15" customHeight="1">
      <c r="A419" s="46" t="s">
        <v>91</v>
      </c>
      <c r="B419" s="3" t="str">
        <f>_xlfn.IFNA(VLOOKUP(C419,Master!$J:$K,2,0),"")</f>
        <v>B2220</v>
      </c>
      <c r="C419" s="46" t="s">
        <v>83</v>
      </c>
      <c r="D419" s="4" t="str">
        <f>_xlfn.IFNA(VLOOKUP(E419,Master!$J:$K,2,0),"")</f>
        <v>B4130</v>
      </c>
      <c r="E419" s="46" t="s">
        <v>158</v>
      </c>
      <c r="F419" s="4">
        <f>_xlfn.IFNA(VLOOKUP(G419,Master!B:C,2,0),"")</f>
        <v>7512112</v>
      </c>
      <c r="G419" s="46" t="s">
        <v>109</v>
      </c>
      <c r="H419" s="46" t="s">
        <v>545</v>
      </c>
      <c r="I419" s="3" t="str">
        <f>_xlfn.IFNA(VLOOKUP(E419,Master!$J:$M,4,0),"")</f>
        <v>DIR</v>
      </c>
      <c r="J419" s="3" t="str">
        <f>_xlfn.IFNA(VLOOKUP($E419,Master!$J:$M,3,0),"")</f>
        <v>MFG</v>
      </c>
      <c r="M419" s="50">
        <v>1927800</v>
      </c>
      <c r="N419" s="50">
        <v>2056100</v>
      </c>
      <c r="O419" s="50">
        <v>2056100</v>
      </c>
      <c r="P419" s="50">
        <v>2056100</v>
      </c>
      <c r="Q419" s="50">
        <v>2056100</v>
      </c>
      <c r="R419" s="50">
        <v>2056100</v>
      </c>
      <c r="S419" s="50">
        <v>2056100</v>
      </c>
      <c r="T419" s="50">
        <v>2056100</v>
      </c>
      <c r="U419" s="50">
        <v>2056100</v>
      </c>
      <c r="V419" s="50">
        <v>2056100</v>
      </c>
      <c r="W419" s="50">
        <v>2056100</v>
      </c>
      <c r="X419" s="50">
        <v>2056100</v>
      </c>
      <c r="Y419" s="50">
        <v>2056100</v>
      </c>
      <c r="Z419" s="50">
        <v>2193500</v>
      </c>
      <c r="AA419" s="50">
        <v>2193500</v>
      </c>
      <c r="AB419" s="50">
        <v>2193500</v>
      </c>
      <c r="AC419" s="26">
        <f t="shared" si="12"/>
        <v>8096100</v>
      </c>
      <c r="AD419" s="26">
        <f t="shared" si="13"/>
        <v>25085400</v>
      </c>
      <c r="AE419" s="50">
        <v>25270700</v>
      </c>
      <c r="AF419" s="50">
        <v>25798800</v>
      </c>
      <c r="AG419" s="53" t="s">
        <v>55</v>
      </c>
    </row>
    <row r="420" spans="1:33" ht="15" customHeight="1">
      <c r="A420" s="46" t="s">
        <v>91</v>
      </c>
      <c r="B420" s="3" t="str">
        <f>_xlfn.IFNA(VLOOKUP(C420,Master!$J:$K,2,0),"")</f>
        <v>B2220</v>
      </c>
      <c r="C420" s="46" t="s">
        <v>83</v>
      </c>
      <c r="D420" s="4" t="str">
        <f>_xlfn.IFNA(VLOOKUP(E420,Master!$J:$K,2,0),"")</f>
        <v>B4410</v>
      </c>
      <c r="E420" s="46" t="s">
        <v>188</v>
      </c>
      <c r="F420" s="4">
        <f>_xlfn.IFNA(VLOOKUP(G420,Master!B:C,2,0),"")</f>
        <v>7512112</v>
      </c>
      <c r="G420" s="46" t="s">
        <v>109</v>
      </c>
      <c r="H420" s="46" t="s">
        <v>545</v>
      </c>
      <c r="I420" s="3" t="str">
        <f>_xlfn.IFNA(VLOOKUP(E420,Master!$J:$M,4,0),"")</f>
        <v>DIR</v>
      </c>
      <c r="J420" s="3" t="str">
        <f>_xlfn.IFNA(VLOOKUP($E420,Master!$J:$M,3,0),"")</f>
        <v>MFG</v>
      </c>
      <c r="M420" s="50">
        <v>2752000</v>
      </c>
      <c r="N420" s="50">
        <v>2881800</v>
      </c>
      <c r="O420" s="50">
        <v>2881800</v>
      </c>
      <c r="P420" s="50">
        <v>2685900</v>
      </c>
      <c r="Q420" s="50">
        <v>2490000</v>
      </c>
      <c r="R420" s="50">
        <v>2490000</v>
      </c>
      <c r="S420" s="50">
        <v>2490000</v>
      </c>
      <c r="T420" s="50">
        <v>2490000</v>
      </c>
      <c r="U420" s="50">
        <v>2490000</v>
      </c>
      <c r="V420" s="50">
        <v>2294100</v>
      </c>
      <c r="W420" s="50">
        <v>2294100</v>
      </c>
      <c r="X420" s="50">
        <v>922800</v>
      </c>
      <c r="Y420" s="50">
        <v>922800</v>
      </c>
      <c r="AC420" s="26">
        <f t="shared" si="12"/>
        <v>11201500</v>
      </c>
      <c r="AD420" s="26">
        <f t="shared" si="13"/>
        <v>18883800</v>
      </c>
      <c r="AG420" s="53" t="s">
        <v>55</v>
      </c>
    </row>
    <row r="421" spans="1:33" ht="15" customHeight="1">
      <c r="A421" s="46" t="s">
        <v>91</v>
      </c>
      <c r="B421" s="3" t="str">
        <f>_xlfn.IFNA(VLOOKUP(C421,Master!$J:$K,2,0),"")</f>
        <v>B2220</v>
      </c>
      <c r="C421" s="46" t="s">
        <v>83</v>
      </c>
      <c r="D421" s="4" t="str">
        <f>_xlfn.IFNA(VLOOKUP(E421,Master!$J:$K,2,0),"")</f>
        <v>B4430</v>
      </c>
      <c r="E421" s="46" t="s">
        <v>193</v>
      </c>
      <c r="F421" s="4">
        <f>_xlfn.IFNA(VLOOKUP(G421,Master!B:C,2,0),"")</f>
        <v>7512112</v>
      </c>
      <c r="G421" s="46" t="s">
        <v>109</v>
      </c>
      <c r="H421" s="46" t="s">
        <v>545</v>
      </c>
      <c r="I421" s="3" t="str">
        <f>_xlfn.IFNA(VLOOKUP(E421,Master!$J:$M,4,0),"")</f>
        <v>DIR</v>
      </c>
      <c r="J421" s="3" t="str">
        <f>_xlfn.IFNA(VLOOKUP($E421,Master!$J:$M,3,0),"")</f>
        <v>MFG</v>
      </c>
      <c r="M421" s="50">
        <v>5249400</v>
      </c>
      <c r="N421" s="50">
        <v>5492200</v>
      </c>
      <c r="O421" s="50">
        <v>5492200</v>
      </c>
      <c r="P421" s="50">
        <v>5492200</v>
      </c>
      <c r="Q421" s="50">
        <v>5492200</v>
      </c>
      <c r="R421" s="50">
        <v>5492200</v>
      </c>
      <c r="S421" s="50">
        <v>5492200</v>
      </c>
      <c r="T421" s="50">
        <v>5296300</v>
      </c>
      <c r="U421" s="50">
        <v>4316800</v>
      </c>
      <c r="V421" s="50">
        <v>3141400</v>
      </c>
      <c r="W421" s="50">
        <v>3141400</v>
      </c>
      <c r="X421" s="50">
        <v>3141400</v>
      </c>
      <c r="Y421" s="50">
        <v>1574200</v>
      </c>
      <c r="AC421" s="26">
        <f t="shared" si="12"/>
        <v>21726000</v>
      </c>
      <c r="AD421" s="26">
        <f t="shared" si="13"/>
        <v>37088100</v>
      </c>
      <c r="AG421" s="53" t="s">
        <v>55</v>
      </c>
    </row>
    <row r="422" spans="1:33" ht="15" customHeight="1">
      <c r="A422" s="46" t="s">
        <v>91</v>
      </c>
      <c r="B422" s="3" t="str">
        <f>_xlfn.IFNA(VLOOKUP(C422,Master!$J:$K,2,0),"")</f>
        <v>B2220</v>
      </c>
      <c r="C422" s="46" t="s">
        <v>83</v>
      </c>
      <c r="D422" s="4" t="str">
        <f>_xlfn.IFNA(VLOOKUP(E422,Master!$J:$K,2,0),"")</f>
        <v>B4440</v>
      </c>
      <c r="E422" s="46" t="s">
        <v>198</v>
      </c>
      <c r="F422" s="4">
        <f>_xlfn.IFNA(VLOOKUP(G422,Master!B:C,2,0),"")</f>
        <v>7512112</v>
      </c>
      <c r="G422" s="46" t="s">
        <v>109</v>
      </c>
      <c r="H422" s="46" t="s">
        <v>545</v>
      </c>
      <c r="I422" s="3" t="str">
        <f>_xlfn.IFNA(VLOOKUP(E422,Master!$J:$M,4,0),"")</f>
        <v>DIR</v>
      </c>
      <c r="J422" s="3" t="str">
        <f>_xlfn.IFNA(VLOOKUP($E422,Master!$J:$M,3,0),"")</f>
        <v>MFG</v>
      </c>
      <c r="M422" s="50">
        <v>1995100</v>
      </c>
      <c r="N422" s="50">
        <v>2118200</v>
      </c>
      <c r="O422" s="50">
        <v>1847700</v>
      </c>
      <c r="P422" s="50">
        <v>1847700</v>
      </c>
      <c r="Q422" s="50">
        <v>1651800</v>
      </c>
      <c r="R422" s="50">
        <v>1651800</v>
      </c>
      <c r="S422" s="50">
        <v>1651800</v>
      </c>
      <c r="T422" s="50">
        <v>1651800</v>
      </c>
      <c r="U422" s="50">
        <v>1651800</v>
      </c>
      <c r="V422" s="50">
        <v>1455900</v>
      </c>
      <c r="W422" s="50">
        <v>1455900</v>
      </c>
      <c r="X422" s="50">
        <v>1455900</v>
      </c>
      <c r="Y422" s="50">
        <v>843400</v>
      </c>
      <c r="AC422" s="26">
        <f t="shared" si="12"/>
        <v>7808700</v>
      </c>
      <c r="AD422" s="26">
        <f t="shared" si="13"/>
        <v>13470100</v>
      </c>
      <c r="AG422" s="53" t="s">
        <v>55</v>
      </c>
    </row>
    <row r="423" spans="1:33" ht="15" customHeight="1">
      <c r="A423" s="46" t="s">
        <v>91</v>
      </c>
      <c r="B423" s="3" t="str">
        <f>_xlfn.IFNA(VLOOKUP(C423,Master!$J:$K,2,0),"")</f>
        <v>B2220</v>
      </c>
      <c r="C423" s="46" t="s">
        <v>83</v>
      </c>
      <c r="D423" s="4" t="str">
        <f>_xlfn.IFNA(VLOOKUP(E423,Master!$J:$K,2,0),"")</f>
        <v>B5100</v>
      </c>
      <c r="E423" s="46" t="s">
        <v>211</v>
      </c>
      <c r="F423" s="4">
        <f>_xlfn.IFNA(VLOOKUP(G423,Master!B:C,2,0),"")</f>
        <v>7512112</v>
      </c>
      <c r="G423" s="46" t="s">
        <v>109</v>
      </c>
      <c r="H423" s="46" t="s">
        <v>545</v>
      </c>
      <c r="I423" s="3" t="str">
        <f>_xlfn.IFNA(VLOOKUP(E423,Master!$J:$M,4,0),"")</f>
        <v>IND</v>
      </c>
      <c r="J423" s="3" t="str">
        <f>_xlfn.IFNA(VLOOKUP($E423,Master!$J:$M,3,0),"")</f>
        <v>MFG</v>
      </c>
      <c r="M423" s="50">
        <v>4288600</v>
      </c>
      <c r="N423" s="50">
        <v>4588900</v>
      </c>
      <c r="O423" s="50">
        <v>4588900</v>
      </c>
      <c r="P423" s="50">
        <v>4588900</v>
      </c>
      <c r="Q423" s="50">
        <v>4588900</v>
      </c>
      <c r="R423" s="50">
        <v>4588900</v>
      </c>
      <c r="S423" s="50">
        <v>4588900</v>
      </c>
      <c r="T423" s="50">
        <v>4588900</v>
      </c>
      <c r="U423" s="50">
        <v>4588900</v>
      </c>
      <c r="V423" s="50">
        <v>4588900</v>
      </c>
      <c r="W423" s="50">
        <v>4588900</v>
      </c>
      <c r="X423" s="50">
        <v>4588900</v>
      </c>
      <c r="Y423" s="50">
        <v>4588900</v>
      </c>
      <c r="Z423" s="50">
        <v>4910000</v>
      </c>
      <c r="AA423" s="50">
        <v>4910000</v>
      </c>
      <c r="AB423" s="50">
        <v>4910000</v>
      </c>
      <c r="AC423" s="26">
        <f t="shared" si="12"/>
        <v>18055300</v>
      </c>
      <c r="AD423" s="26">
        <f t="shared" si="13"/>
        <v>56030100</v>
      </c>
      <c r="AE423" s="50">
        <v>59951400</v>
      </c>
      <c r="AF423" s="50">
        <v>64148700</v>
      </c>
      <c r="AG423" s="53" t="s">
        <v>55</v>
      </c>
    </row>
    <row r="424" spans="1:33" ht="15" customHeight="1">
      <c r="A424" s="46" t="s">
        <v>91</v>
      </c>
      <c r="B424" s="3" t="str">
        <f>_xlfn.IFNA(VLOOKUP(C424,Master!$J:$K,2,0),"")</f>
        <v>B2220</v>
      </c>
      <c r="C424" s="46" t="s">
        <v>83</v>
      </c>
      <c r="D424" s="4" t="str">
        <f>_xlfn.IFNA(VLOOKUP(E424,Master!$J:$K,2,0),"")</f>
        <v>B5101</v>
      </c>
      <c r="E424" s="46" t="s">
        <v>216</v>
      </c>
      <c r="F424" s="4">
        <f>_xlfn.IFNA(VLOOKUP(G424,Master!B:C,2,0),"")</f>
        <v>7512112</v>
      </c>
      <c r="G424" s="46" t="s">
        <v>109</v>
      </c>
      <c r="H424" s="46" t="s">
        <v>545</v>
      </c>
      <c r="I424" s="3" t="str">
        <f>_xlfn.IFNA(VLOOKUP(E424,Master!$J:$M,4,0),"")</f>
        <v>IND</v>
      </c>
      <c r="J424" s="3" t="str">
        <f>_xlfn.IFNA(VLOOKUP($E424,Master!$J:$M,3,0),"")</f>
        <v>MFG</v>
      </c>
      <c r="M424" s="50">
        <v>2209100</v>
      </c>
      <c r="N424" s="50">
        <v>2359100</v>
      </c>
      <c r="O424" s="50">
        <v>2359100</v>
      </c>
      <c r="P424" s="50">
        <v>2359100</v>
      </c>
      <c r="Q424" s="50">
        <v>2320300</v>
      </c>
      <c r="R424" s="50">
        <v>2320300</v>
      </c>
      <c r="S424" s="50">
        <v>2320300</v>
      </c>
      <c r="T424" s="50">
        <v>2320300</v>
      </c>
      <c r="U424" s="50">
        <v>2320300</v>
      </c>
      <c r="V424" s="50">
        <v>2320300</v>
      </c>
      <c r="W424" s="50">
        <v>2345000</v>
      </c>
      <c r="X424" s="50">
        <v>2345000</v>
      </c>
      <c r="Y424" s="50">
        <v>2345000</v>
      </c>
      <c r="Z424" s="50">
        <v>2504600</v>
      </c>
      <c r="AA424" s="50">
        <v>2504600</v>
      </c>
      <c r="AB424" s="50">
        <v>2504600</v>
      </c>
      <c r="AC424" s="26">
        <f t="shared" si="12"/>
        <v>9286400</v>
      </c>
      <c r="AD424" s="26">
        <f t="shared" si="13"/>
        <v>28470600</v>
      </c>
      <c r="AE424" s="50">
        <v>32644200</v>
      </c>
      <c r="AF424" s="50">
        <v>37012800</v>
      </c>
      <c r="AG424" s="53" t="s">
        <v>55</v>
      </c>
    </row>
    <row r="425" spans="1:33" ht="15" customHeight="1">
      <c r="A425" s="46" t="s">
        <v>91</v>
      </c>
      <c r="B425" s="3" t="str">
        <f>_xlfn.IFNA(VLOOKUP(C425,Master!$J:$K,2,0),"")</f>
        <v>B2220</v>
      </c>
      <c r="C425" s="46" t="s">
        <v>83</v>
      </c>
      <c r="D425" s="4" t="str">
        <f>_xlfn.IFNA(VLOOKUP(E425,Master!$J:$K,2,0),"")</f>
        <v>B5130</v>
      </c>
      <c r="E425" s="46" t="s">
        <v>247</v>
      </c>
      <c r="F425" s="4">
        <f>_xlfn.IFNA(VLOOKUP(G425,Master!B:C,2,0),"")</f>
        <v>7512112</v>
      </c>
      <c r="G425" s="46" t="s">
        <v>109</v>
      </c>
      <c r="H425" s="46" t="s">
        <v>545</v>
      </c>
      <c r="I425" s="3" t="str">
        <f>_xlfn.IFNA(VLOOKUP(E425,Master!$J:$M,4,0),"")</f>
        <v>IND</v>
      </c>
      <c r="J425" s="3" t="str">
        <f>_xlfn.IFNA(VLOOKUP($E425,Master!$J:$M,3,0),"")</f>
        <v>MFG</v>
      </c>
      <c r="M425" s="50">
        <v>5094500</v>
      </c>
      <c r="N425" s="50">
        <v>5435000</v>
      </c>
      <c r="O425" s="50">
        <v>5435000</v>
      </c>
      <c r="P425" s="50">
        <v>5435000</v>
      </c>
      <c r="Q425" s="50">
        <v>5435000</v>
      </c>
      <c r="R425" s="50">
        <v>5435000</v>
      </c>
      <c r="S425" s="50">
        <v>5435000</v>
      </c>
      <c r="T425" s="50">
        <v>5435000</v>
      </c>
      <c r="U425" s="50">
        <v>5435000</v>
      </c>
      <c r="V425" s="50">
        <v>5435000</v>
      </c>
      <c r="W425" s="50">
        <v>5630900</v>
      </c>
      <c r="X425" s="50">
        <v>5630900</v>
      </c>
      <c r="Y425" s="50">
        <v>5630900</v>
      </c>
      <c r="Z425" s="50">
        <v>5589500</v>
      </c>
      <c r="AA425" s="50">
        <v>5589500</v>
      </c>
      <c r="AB425" s="50">
        <v>5589500</v>
      </c>
      <c r="AC425" s="26">
        <f t="shared" si="12"/>
        <v>21399500</v>
      </c>
      <c r="AD425" s="26">
        <f t="shared" si="13"/>
        <v>66271200</v>
      </c>
      <c r="AE425" s="50">
        <v>68229300</v>
      </c>
      <c r="AF425" s="50">
        <v>69946400</v>
      </c>
      <c r="AG425" s="53" t="s">
        <v>55</v>
      </c>
    </row>
    <row r="426" spans="1:33" ht="15" customHeight="1">
      <c r="A426" s="46" t="s">
        <v>91</v>
      </c>
      <c r="B426" s="3" t="str">
        <f>_xlfn.IFNA(VLOOKUP(C426,Master!$J:$K,2,0),"")</f>
        <v>B2220</v>
      </c>
      <c r="C426" s="46" t="s">
        <v>83</v>
      </c>
      <c r="D426" s="4" t="str">
        <f>_xlfn.IFNA(VLOOKUP(E426,Master!$J:$K,2,0),"")</f>
        <v>B5200</v>
      </c>
      <c r="E426" s="46" t="s">
        <v>253</v>
      </c>
      <c r="F426" s="4">
        <f>_xlfn.IFNA(VLOOKUP(G426,Master!B:C,2,0),"")</f>
        <v>7512112</v>
      </c>
      <c r="G426" s="46" t="s">
        <v>109</v>
      </c>
      <c r="H426" s="46" t="s">
        <v>545</v>
      </c>
      <c r="I426" s="3" t="str">
        <f>_xlfn.IFNA(VLOOKUP(E426,Master!$J:$M,4,0),"")</f>
        <v>IND</v>
      </c>
      <c r="J426" s="3" t="str">
        <f>_xlfn.IFNA(VLOOKUP($E426,Master!$J:$M,3,0),"")</f>
        <v>MFG</v>
      </c>
      <c r="M426" s="50">
        <v>767600</v>
      </c>
      <c r="N426" s="50">
        <v>818700</v>
      </c>
      <c r="O426" s="50">
        <v>818700</v>
      </c>
      <c r="P426" s="50">
        <v>818700</v>
      </c>
      <c r="Q426" s="50">
        <v>845000</v>
      </c>
      <c r="R426" s="50">
        <v>845000</v>
      </c>
      <c r="S426" s="50">
        <v>845000</v>
      </c>
      <c r="T426" s="50">
        <v>845000</v>
      </c>
      <c r="U426" s="50">
        <v>845000</v>
      </c>
      <c r="V426" s="50">
        <v>845000</v>
      </c>
      <c r="W426" s="50">
        <v>845000</v>
      </c>
      <c r="X426" s="50">
        <v>845000</v>
      </c>
      <c r="Y426" s="50">
        <v>845000</v>
      </c>
      <c r="Z426" s="50">
        <v>901500</v>
      </c>
      <c r="AA426" s="50">
        <v>901500</v>
      </c>
      <c r="AB426" s="50">
        <v>901500</v>
      </c>
      <c r="AC426" s="26">
        <f t="shared" si="12"/>
        <v>3223700</v>
      </c>
      <c r="AD426" s="26">
        <f t="shared" si="13"/>
        <v>10309500</v>
      </c>
      <c r="AE426" s="50">
        <v>10999200</v>
      </c>
      <c r="AF426" s="50">
        <v>11737200</v>
      </c>
      <c r="AG426" s="53" t="s">
        <v>55</v>
      </c>
    </row>
    <row r="427" spans="1:33" ht="15" customHeight="1">
      <c r="A427" s="46" t="s">
        <v>91</v>
      </c>
      <c r="B427" s="3" t="str">
        <f>_xlfn.IFNA(VLOOKUP(C427,Master!$J:$K,2,0),"")</f>
        <v>B2220</v>
      </c>
      <c r="C427" s="46" t="s">
        <v>83</v>
      </c>
      <c r="D427" s="4" t="str">
        <f>_xlfn.IFNA(VLOOKUP(E427,Master!$J:$K,2,0),"")</f>
        <v>B5500</v>
      </c>
      <c r="E427" s="46" t="s">
        <v>236</v>
      </c>
      <c r="F427" s="4">
        <f>_xlfn.IFNA(VLOOKUP(G427,Master!B:C,2,0),"")</f>
        <v>7512112</v>
      </c>
      <c r="G427" s="46" t="s">
        <v>109</v>
      </c>
      <c r="H427" s="46" t="s">
        <v>545</v>
      </c>
      <c r="I427" s="3" t="str">
        <f>_xlfn.IFNA(VLOOKUP(E427,Master!$J:$M,4,0),"")</f>
        <v>IND</v>
      </c>
      <c r="J427" s="3" t="str">
        <f>_xlfn.IFNA(VLOOKUP($E427,Master!$J:$M,3,0),"")</f>
        <v>MFG</v>
      </c>
      <c r="M427" s="50">
        <v>3072400</v>
      </c>
      <c r="N427" s="50">
        <v>3485400</v>
      </c>
      <c r="O427" s="50">
        <v>3485400</v>
      </c>
      <c r="P427" s="50">
        <v>3485400</v>
      </c>
      <c r="Q427" s="50">
        <v>4578000</v>
      </c>
      <c r="R427" s="50">
        <v>4578000</v>
      </c>
      <c r="S427" s="50">
        <v>4578000</v>
      </c>
      <c r="T427" s="50">
        <v>4578000</v>
      </c>
      <c r="U427" s="50">
        <v>4578000</v>
      </c>
      <c r="V427" s="50">
        <v>4578000</v>
      </c>
      <c r="W427" s="50">
        <v>4853600</v>
      </c>
      <c r="X427" s="50">
        <v>4853600</v>
      </c>
      <c r="Y427" s="50">
        <v>4853600</v>
      </c>
      <c r="Z427" s="50">
        <v>5179400</v>
      </c>
      <c r="AA427" s="50">
        <v>5179400</v>
      </c>
      <c r="AB427" s="50">
        <v>5179400</v>
      </c>
      <c r="AC427" s="26">
        <f t="shared" si="12"/>
        <v>13528600</v>
      </c>
      <c r="AD427" s="26">
        <f t="shared" si="13"/>
        <v>57567000</v>
      </c>
      <c r="AE427" s="50">
        <v>61798500</v>
      </c>
      <c r="AF427" s="50">
        <v>64007700</v>
      </c>
      <c r="AG427" s="53" t="s">
        <v>55</v>
      </c>
    </row>
    <row r="428" spans="1:33" ht="15" customHeight="1">
      <c r="A428" s="46" t="s">
        <v>91</v>
      </c>
      <c r="B428" s="3" t="str">
        <f>_xlfn.IFNA(VLOOKUP(C428,Master!$J:$K,2,0),"")</f>
        <v>B2220</v>
      </c>
      <c r="C428" s="46" t="s">
        <v>83</v>
      </c>
      <c r="D428" s="4" t="str">
        <f>_xlfn.IFNA(VLOOKUP(E428,Master!$J:$K,2,0),"")</f>
        <v>B5600</v>
      </c>
      <c r="E428" s="46" t="s">
        <v>241</v>
      </c>
      <c r="F428" s="4">
        <f>_xlfn.IFNA(VLOOKUP(G428,Master!B:C,2,0),"")</f>
        <v>7512112</v>
      </c>
      <c r="G428" s="46" t="s">
        <v>109</v>
      </c>
      <c r="H428" s="46" t="s">
        <v>545</v>
      </c>
      <c r="I428" s="3" t="str">
        <f>_xlfn.IFNA(VLOOKUP(E428,Master!$J:$M,4,0),"")</f>
        <v>IND</v>
      </c>
      <c r="J428" s="3" t="str">
        <f>_xlfn.IFNA(VLOOKUP($E428,Master!$J:$M,3,0),"")</f>
        <v>MFG</v>
      </c>
      <c r="M428" s="50">
        <v>3933700</v>
      </c>
      <c r="N428" s="50">
        <v>4199900</v>
      </c>
      <c r="O428" s="50">
        <v>4199900</v>
      </c>
      <c r="P428" s="50">
        <v>4199900</v>
      </c>
      <c r="Q428" s="50">
        <v>4252600</v>
      </c>
      <c r="R428" s="50">
        <v>4252600</v>
      </c>
      <c r="S428" s="50">
        <v>4252600</v>
      </c>
      <c r="T428" s="50">
        <v>4252600</v>
      </c>
      <c r="U428" s="50">
        <v>4252600</v>
      </c>
      <c r="V428" s="50">
        <v>4252600</v>
      </c>
      <c r="W428" s="50">
        <v>4252600</v>
      </c>
      <c r="X428" s="50">
        <v>4252600</v>
      </c>
      <c r="Y428" s="50">
        <v>4252600</v>
      </c>
      <c r="Z428" s="50">
        <v>4541200</v>
      </c>
      <c r="AA428" s="50">
        <v>4541200</v>
      </c>
      <c r="AB428" s="50">
        <v>4541200</v>
      </c>
      <c r="AC428" s="26">
        <f t="shared" si="12"/>
        <v>16533400</v>
      </c>
      <c r="AD428" s="26">
        <f t="shared" si="13"/>
        <v>51897000</v>
      </c>
      <c r="AE428" s="50">
        <v>56118900</v>
      </c>
      <c r="AF428" s="50">
        <v>60779400</v>
      </c>
      <c r="AG428" s="53" t="s">
        <v>55</v>
      </c>
    </row>
    <row r="429" spans="1:33" ht="15" customHeight="1">
      <c r="A429" s="46" t="s">
        <v>91</v>
      </c>
      <c r="B429" s="3" t="str">
        <f>_xlfn.IFNA(VLOOKUP(C429,Master!$J:$K,2,0),"")</f>
        <v>B2220</v>
      </c>
      <c r="C429" s="46" t="s">
        <v>83</v>
      </c>
      <c r="D429" s="4" t="str">
        <f>_xlfn.IFNA(VLOOKUP(E429,Master!$J:$K,2,0),"")</f>
        <v>B5710</v>
      </c>
      <c r="E429" s="46" t="s">
        <v>265</v>
      </c>
      <c r="F429" s="4">
        <f>_xlfn.IFNA(VLOOKUP(G429,Master!B:C,2,0),"")</f>
        <v>7512112</v>
      </c>
      <c r="G429" s="46" t="s">
        <v>109</v>
      </c>
      <c r="H429" s="46" t="s">
        <v>545</v>
      </c>
      <c r="I429" s="3" t="str">
        <f>_xlfn.IFNA(VLOOKUP(E429,Master!$J:$M,4,0),"")</f>
        <v>IND</v>
      </c>
      <c r="J429" s="3" t="str">
        <f>_xlfn.IFNA(VLOOKUP($E429,Master!$J:$M,3,0),"")</f>
        <v>MFG</v>
      </c>
      <c r="M429" s="50">
        <v>2505600</v>
      </c>
      <c r="N429" s="50">
        <v>2656300</v>
      </c>
      <c r="O429" s="50">
        <v>2656300</v>
      </c>
      <c r="P429" s="50">
        <v>2656300</v>
      </c>
      <c r="Q429" s="50">
        <v>2656300</v>
      </c>
      <c r="R429" s="50">
        <v>2656300</v>
      </c>
      <c r="S429" s="50">
        <v>2656300</v>
      </c>
      <c r="T429" s="50">
        <v>2656300</v>
      </c>
      <c r="U429" s="50">
        <v>2656300</v>
      </c>
      <c r="V429" s="50">
        <v>2656300</v>
      </c>
      <c r="W429" s="50">
        <v>2656300</v>
      </c>
      <c r="X429" s="50">
        <v>2656300</v>
      </c>
      <c r="Y429" s="50">
        <v>2656300</v>
      </c>
      <c r="Z429" s="50">
        <v>3229200</v>
      </c>
      <c r="AA429" s="50">
        <v>3229200</v>
      </c>
      <c r="AB429" s="50">
        <v>3229200</v>
      </c>
      <c r="AC429" s="26">
        <f t="shared" si="12"/>
        <v>10474500</v>
      </c>
      <c r="AD429" s="26">
        <f t="shared" si="13"/>
        <v>33594300</v>
      </c>
      <c r="AE429" s="50">
        <v>35424000</v>
      </c>
      <c r="AF429" s="50">
        <v>36220200</v>
      </c>
      <c r="AG429" s="53" t="s">
        <v>55</v>
      </c>
    </row>
    <row r="430" spans="1:33" ht="15" customHeight="1">
      <c r="A430" s="46" t="s">
        <v>91</v>
      </c>
      <c r="B430" s="3" t="str">
        <f>_xlfn.IFNA(VLOOKUP(C430,Master!$J:$K,2,0),"")</f>
        <v>B2220</v>
      </c>
      <c r="C430" s="46" t="s">
        <v>83</v>
      </c>
      <c r="D430" s="4" t="str">
        <f>_xlfn.IFNA(VLOOKUP(E430,Master!$J:$K,2,0),"")</f>
        <v>B5800</v>
      </c>
      <c r="E430" s="46" t="s">
        <v>226</v>
      </c>
      <c r="F430" s="4">
        <f>_xlfn.IFNA(VLOOKUP(G430,Master!B:C,2,0),"")</f>
        <v>7512112</v>
      </c>
      <c r="G430" s="46" t="s">
        <v>109</v>
      </c>
      <c r="H430" s="46" t="s">
        <v>545</v>
      </c>
      <c r="I430" s="3" t="str">
        <f>_xlfn.IFNA(VLOOKUP(E430,Master!$J:$M,4,0),"")</f>
        <v>IND</v>
      </c>
      <c r="J430" s="3" t="str">
        <f>_xlfn.IFNA(VLOOKUP($E430,Master!$J:$M,3,0),"")</f>
        <v>MFG</v>
      </c>
      <c r="M430" s="50">
        <v>3992300</v>
      </c>
      <c r="N430" s="50">
        <v>4264900</v>
      </c>
      <c r="O430" s="50">
        <v>4264900</v>
      </c>
      <c r="P430" s="50">
        <v>4264900</v>
      </c>
      <c r="Q430" s="50">
        <v>4291300</v>
      </c>
      <c r="R430" s="50">
        <v>4291300</v>
      </c>
      <c r="S430" s="50">
        <v>4291300</v>
      </c>
      <c r="T430" s="50">
        <v>4291300</v>
      </c>
      <c r="U430" s="50">
        <v>4291300</v>
      </c>
      <c r="V430" s="50">
        <v>4291300</v>
      </c>
      <c r="W430" s="50">
        <v>4291300</v>
      </c>
      <c r="X430" s="50">
        <v>4291300</v>
      </c>
      <c r="Y430" s="50">
        <v>4291300</v>
      </c>
      <c r="Z430" s="50">
        <v>4584200</v>
      </c>
      <c r="AA430" s="50">
        <v>4584200</v>
      </c>
      <c r="AB430" s="50">
        <v>4584200</v>
      </c>
      <c r="AC430" s="26">
        <f t="shared" si="12"/>
        <v>16787000</v>
      </c>
      <c r="AD430" s="26">
        <f t="shared" si="13"/>
        <v>52374300</v>
      </c>
      <c r="AE430" s="50">
        <v>55952100</v>
      </c>
      <c r="AF430" s="50">
        <v>57320200</v>
      </c>
      <c r="AG430" s="53" t="s">
        <v>55</v>
      </c>
    </row>
    <row r="431" spans="1:33" ht="15" customHeight="1">
      <c r="A431" s="46" t="s">
        <v>91</v>
      </c>
      <c r="B431" s="3" t="str">
        <f>_xlfn.IFNA(VLOOKUP(C431,Master!$J:$K,2,0),"")</f>
        <v>B2220</v>
      </c>
      <c r="C431" s="46" t="s">
        <v>83</v>
      </c>
      <c r="D431" s="4" t="str">
        <f>_xlfn.IFNA(VLOOKUP(E431,Master!$J:$K,2,0),"")</f>
        <v>B5900</v>
      </c>
      <c r="E431" s="46" t="s">
        <v>231</v>
      </c>
      <c r="F431" s="4">
        <f>_xlfn.IFNA(VLOOKUP(G431,Master!B:C,2,0),"")</f>
        <v>7512112</v>
      </c>
      <c r="G431" s="46" t="s">
        <v>109</v>
      </c>
      <c r="H431" s="46" t="s">
        <v>545</v>
      </c>
      <c r="I431" s="3" t="str">
        <f>_xlfn.IFNA(VLOOKUP(E431,Master!$J:$M,4,0),"")</f>
        <v>IND</v>
      </c>
      <c r="J431" s="3" t="str">
        <f>_xlfn.IFNA(VLOOKUP($E431,Master!$J:$M,3,0),"")</f>
        <v>MFG</v>
      </c>
      <c r="M431" s="50">
        <v>5069600</v>
      </c>
      <c r="N431" s="50">
        <v>5371300</v>
      </c>
      <c r="O431" s="50">
        <v>5371300</v>
      </c>
      <c r="P431" s="50">
        <v>5371300</v>
      </c>
      <c r="Q431" s="50">
        <v>5371300</v>
      </c>
      <c r="R431" s="50">
        <v>5371300</v>
      </c>
      <c r="S431" s="50">
        <v>5371300</v>
      </c>
      <c r="T431" s="50">
        <v>5371300</v>
      </c>
      <c r="U431" s="50">
        <v>5371300</v>
      </c>
      <c r="V431" s="50">
        <v>5371300</v>
      </c>
      <c r="W431" s="50">
        <v>5371300</v>
      </c>
      <c r="X431" s="50">
        <v>5371300</v>
      </c>
      <c r="Y431" s="50">
        <v>5371300</v>
      </c>
      <c r="Z431" s="50">
        <v>5082000</v>
      </c>
      <c r="AA431" s="50">
        <v>5082000</v>
      </c>
      <c r="AB431" s="50">
        <v>5082000</v>
      </c>
      <c r="AC431" s="26">
        <f t="shared" si="12"/>
        <v>21183500</v>
      </c>
      <c r="AD431" s="26">
        <f t="shared" si="13"/>
        <v>63587700</v>
      </c>
      <c r="AE431" s="50">
        <v>62463000</v>
      </c>
      <c r="AF431" s="50">
        <v>64233600</v>
      </c>
      <c r="AG431" s="53" t="s">
        <v>55</v>
      </c>
    </row>
    <row r="432" spans="1:33" ht="15" customHeight="1">
      <c r="A432" s="46" t="s">
        <v>91</v>
      </c>
      <c r="B432" s="3" t="str">
        <f>_xlfn.IFNA(VLOOKUP(C432,Master!$J:$K,2,0),"")</f>
        <v>B2220</v>
      </c>
      <c r="C432" s="46" t="s">
        <v>83</v>
      </c>
      <c r="D432" s="4" t="str">
        <f>_xlfn.IFNA(VLOOKUP(E432,Master!$J:$K,2,0),"")</f>
        <v>B2210</v>
      </c>
      <c r="E432" s="46" t="s">
        <v>78</v>
      </c>
      <c r="F432" s="4">
        <f>_xlfn.IFNA(VLOOKUP(G432,Master!B:C,2,0),"")</f>
        <v>7514101</v>
      </c>
      <c r="G432" s="46" t="s">
        <v>114</v>
      </c>
      <c r="H432" s="46" t="s">
        <v>546</v>
      </c>
      <c r="I432" s="3" t="str">
        <f>_xlfn.IFNA(VLOOKUP(E432,Master!$J:$M,4,0),"")</f>
        <v>ADM</v>
      </c>
      <c r="J432" s="3" t="str">
        <f>_xlfn.IFNA(VLOOKUP($E432,Master!$J:$M,3,0),"")</f>
        <v>SGA</v>
      </c>
      <c r="M432" s="50">
        <v>31673200</v>
      </c>
      <c r="N432" s="50">
        <v>33791600</v>
      </c>
      <c r="O432" s="50">
        <v>33791600</v>
      </c>
      <c r="P432" s="50">
        <v>33791600</v>
      </c>
      <c r="Q432" s="50">
        <v>34143900</v>
      </c>
      <c r="R432" s="50">
        <v>32310500</v>
      </c>
      <c r="S432" s="50">
        <v>32310500</v>
      </c>
      <c r="T432" s="50">
        <v>30497100</v>
      </c>
      <c r="U432" s="50">
        <v>30497100</v>
      </c>
      <c r="V432" s="50">
        <v>30497100</v>
      </c>
      <c r="W432" s="50">
        <v>30679500</v>
      </c>
      <c r="X432" s="50">
        <v>30679500</v>
      </c>
      <c r="Y432" s="50">
        <v>28754200</v>
      </c>
      <c r="Z432" s="50">
        <v>30979000</v>
      </c>
      <c r="AA432" s="50">
        <v>30979000</v>
      </c>
      <c r="AB432" s="50">
        <v>30979000</v>
      </c>
      <c r="AC432" s="26">
        <f t="shared" si="12"/>
        <v>133048000</v>
      </c>
      <c r="AD432" s="26">
        <f t="shared" si="13"/>
        <v>373306400</v>
      </c>
      <c r="AE432" s="50">
        <v>409680300</v>
      </c>
      <c r="AF432" s="50">
        <v>368187500</v>
      </c>
      <c r="AG432" s="53" t="s">
        <v>55</v>
      </c>
    </row>
    <row r="433" spans="1:33" ht="15" customHeight="1">
      <c r="A433" s="46" t="s">
        <v>91</v>
      </c>
      <c r="B433" s="3" t="str">
        <f>_xlfn.IFNA(VLOOKUP(C433,Master!$J:$K,2,0),"")</f>
        <v>B2220</v>
      </c>
      <c r="C433" s="46" t="s">
        <v>83</v>
      </c>
      <c r="D433" s="4" t="str">
        <f>_xlfn.IFNA(VLOOKUP(E433,Master!$J:$K,2,0),"")</f>
        <v>B2220</v>
      </c>
      <c r="E433" s="46" t="s">
        <v>83</v>
      </c>
      <c r="F433" s="4">
        <f>_xlfn.IFNA(VLOOKUP(G433,Master!B:C,2,0),"")</f>
        <v>7514101</v>
      </c>
      <c r="G433" s="46" t="s">
        <v>114</v>
      </c>
      <c r="H433" s="46" t="s">
        <v>546</v>
      </c>
      <c r="I433" s="3" t="str">
        <f>_xlfn.IFNA(VLOOKUP(E433,Master!$J:$M,4,0),"")</f>
        <v>ADM</v>
      </c>
      <c r="J433" s="3" t="str">
        <f>_xlfn.IFNA(VLOOKUP($E433,Master!$J:$M,3,0),"")</f>
        <v>SGA</v>
      </c>
      <c r="M433" s="50">
        <v>12451700</v>
      </c>
      <c r="N433" s="50">
        <v>13303200</v>
      </c>
      <c r="O433" s="50">
        <v>18275700</v>
      </c>
      <c r="P433" s="50">
        <v>18275700</v>
      </c>
      <c r="Q433" s="50">
        <v>19807400</v>
      </c>
      <c r="R433" s="50">
        <v>19807400</v>
      </c>
      <c r="S433" s="50">
        <v>19807400</v>
      </c>
      <c r="T433" s="50">
        <v>19807400</v>
      </c>
      <c r="U433" s="50">
        <v>19807400</v>
      </c>
      <c r="V433" s="50">
        <v>19807400</v>
      </c>
      <c r="W433" s="50">
        <v>19975400</v>
      </c>
      <c r="X433" s="50">
        <v>19975400</v>
      </c>
      <c r="Y433" s="50">
        <v>19975400</v>
      </c>
      <c r="Z433" s="50">
        <v>21318300</v>
      </c>
      <c r="AA433" s="50">
        <v>21318300</v>
      </c>
      <c r="AB433" s="50">
        <v>21318300</v>
      </c>
      <c r="AC433" s="26">
        <f t="shared" si="12"/>
        <v>62306300</v>
      </c>
      <c r="AD433" s="26">
        <f t="shared" si="13"/>
        <v>242725500</v>
      </c>
      <c r="AE433" s="50">
        <v>260130600</v>
      </c>
      <c r="AF433" s="50">
        <v>277676100</v>
      </c>
      <c r="AG433" s="53" t="s">
        <v>55</v>
      </c>
    </row>
    <row r="434" spans="1:33" ht="15" customHeight="1">
      <c r="A434" s="46" t="s">
        <v>91</v>
      </c>
      <c r="B434" s="3" t="str">
        <f>_xlfn.IFNA(VLOOKUP(C434,Master!$J:$K,2,0),"")</f>
        <v>B2220</v>
      </c>
      <c r="C434" s="46" t="s">
        <v>83</v>
      </c>
      <c r="D434" s="4" t="str">
        <f>_xlfn.IFNA(VLOOKUP(E434,Master!$J:$K,2,0),"")</f>
        <v>B2230</v>
      </c>
      <c r="E434" s="46" t="s">
        <v>89</v>
      </c>
      <c r="F434" s="4">
        <f>_xlfn.IFNA(VLOOKUP(G434,Master!B:C,2,0),"")</f>
        <v>7514101</v>
      </c>
      <c r="G434" s="46" t="s">
        <v>114</v>
      </c>
      <c r="H434" s="46" t="s">
        <v>546</v>
      </c>
      <c r="I434" s="3" t="str">
        <f>_xlfn.IFNA(VLOOKUP(E434,Master!$J:$M,4,0),"")</f>
        <v>ADM</v>
      </c>
      <c r="J434" s="3" t="str">
        <f>_xlfn.IFNA(VLOOKUP($E434,Master!$J:$M,3,0),"")</f>
        <v>SGA</v>
      </c>
      <c r="M434" s="50">
        <v>10395800</v>
      </c>
      <c r="N434" s="50">
        <v>16674000</v>
      </c>
      <c r="O434" s="50">
        <v>16193100</v>
      </c>
      <c r="P434" s="50">
        <v>15471600</v>
      </c>
      <c r="Q434" s="50">
        <v>14750100</v>
      </c>
      <c r="R434" s="50">
        <v>15712100</v>
      </c>
      <c r="S434" s="50">
        <v>15471600</v>
      </c>
      <c r="T434" s="50">
        <v>16433500</v>
      </c>
      <c r="U434" s="50">
        <v>16193100</v>
      </c>
      <c r="V434" s="50">
        <v>15712100</v>
      </c>
      <c r="W434" s="50">
        <v>16433500</v>
      </c>
      <c r="X434" s="50">
        <v>15952600</v>
      </c>
      <c r="Y434" s="50">
        <v>15712100</v>
      </c>
      <c r="Z434" s="50">
        <v>17197300</v>
      </c>
      <c r="AA434" s="50">
        <v>16692300</v>
      </c>
      <c r="AB434" s="50">
        <v>15934900</v>
      </c>
      <c r="AC434" s="26">
        <f t="shared" si="12"/>
        <v>58734500</v>
      </c>
      <c r="AD434" s="26">
        <f t="shared" si="13"/>
        <v>192195200</v>
      </c>
      <c r="AE434" s="50">
        <v>201659500</v>
      </c>
      <c r="AF434" s="50">
        <v>216344600</v>
      </c>
      <c r="AG434" s="53" t="s">
        <v>55</v>
      </c>
    </row>
    <row r="435" spans="1:33" ht="15" customHeight="1">
      <c r="A435" s="46" t="s">
        <v>91</v>
      </c>
      <c r="B435" s="3" t="str">
        <f>_xlfn.IFNA(VLOOKUP(C435,Master!$J:$K,2,0),"")</f>
        <v>B2220</v>
      </c>
      <c r="C435" s="46" t="s">
        <v>83</v>
      </c>
      <c r="D435" s="4" t="str">
        <f>_xlfn.IFNA(VLOOKUP(E435,Master!$J:$K,2,0),"")</f>
        <v>B2300</v>
      </c>
      <c r="E435" s="46" t="s">
        <v>95</v>
      </c>
      <c r="F435" s="4">
        <f>_xlfn.IFNA(VLOOKUP(G435,Master!B:C,2,0),"")</f>
        <v>7514101</v>
      </c>
      <c r="G435" s="46" t="s">
        <v>114</v>
      </c>
      <c r="H435" s="46" t="s">
        <v>546</v>
      </c>
      <c r="I435" s="3" t="str">
        <f>_xlfn.IFNA(VLOOKUP(E435,Master!$J:$M,4,0),"")</f>
        <v>ADM</v>
      </c>
      <c r="J435" s="3" t="str">
        <f>_xlfn.IFNA(VLOOKUP($E435,Master!$J:$M,3,0),"")</f>
        <v>SGA</v>
      </c>
      <c r="M435" s="50">
        <v>24265600</v>
      </c>
      <c r="N435" s="50">
        <v>25928000</v>
      </c>
      <c r="O435" s="50">
        <v>25928000</v>
      </c>
      <c r="P435" s="50">
        <v>25928000</v>
      </c>
      <c r="Q435" s="50">
        <v>25928000</v>
      </c>
      <c r="R435" s="50">
        <v>25928000</v>
      </c>
      <c r="S435" s="50">
        <v>25928000</v>
      </c>
      <c r="T435" s="50">
        <v>25928000</v>
      </c>
      <c r="U435" s="50">
        <v>25928000</v>
      </c>
      <c r="V435" s="50">
        <v>25928000</v>
      </c>
      <c r="W435" s="50">
        <v>25928000</v>
      </c>
      <c r="X435" s="50">
        <v>25928000</v>
      </c>
      <c r="Y435" s="50">
        <v>25928000</v>
      </c>
      <c r="Z435" s="50">
        <v>27706700</v>
      </c>
      <c r="AA435" s="50">
        <v>27706700</v>
      </c>
      <c r="AB435" s="50">
        <v>27706700</v>
      </c>
      <c r="AC435" s="26">
        <f t="shared" si="12"/>
        <v>102049600</v>
      </c>
      <c r="AD435" s="26">
        <f t="shared" si="13"/>
        <v>316472100</v>
      </c>
      <c r="AE435" s="50">
        <v>358119000</v>
      </c>
      <c r="AF435" s="50">
        <v>382687800</v>
      </c>
      <c r="AG435" s="53" t="s">
        <v>55</v>
      </c>
    </row>
    <row r="436" spans="1:33" ht="15" customHeight="1">
      <c r="A436" s="46" t="s">
        <v>91</v>
      </c>
      <c r="B436" s="3" t="str">
        <f>_xlfn.IFNA(VLOOKUP(C436,Master!$J:$K,2,0),"")</f>
        <v>B2220</v>
      </c>
      <c r="C436" s="46" t="s">
        <v>83</v>
      </c>
      <c r="D436" s="4" t="str">
        <f>_xlfn.IFNA(VLOOKUP(E436,Master!$J:$K,2,0),"")</f>
        <v>B2400</v>
      </c>
      <c r="E436" s="46" t="s">
        <v>101</v>
      </c>
      <c r="F436" s="4">
        <f>_xlfn.IFNA(VLOOKUP(G436,Master!B:C,2,0),"")</f>
        <v>7514101</v>
      </c>
      <c r="G436" s="46" t="s">
        <v>114</v>
      </c>
      <c r="H436" s="46" t="s">
        <v>546</v>
      </c>
      <c r="I436" s="3" t="str">
        <f>_xlfn.IFNA(VLOOKUP(E436,Master!$J:$M,4,0),"")</f>
        <v>ADM</v>
      </c>
      <c r="J436" s="3" t="str">
        <f>_xlfn.IFNA(VLOOKUP($E436,Master!$J:$M,3,0),"")</f>
        <v>SGA</v>
      </c>
      <c r="M436" s="50">
        <v>11159400</v>
      </c>
      <c r="N436" s="50">
        <v>17552500</v>
      </c>
      <c r="O436" s="50">
        <v>17058300</v>
      </c>
      <c r="P436" s="50">
        <v>16317100</v>
      </c>
      <c r="Q436" s="50">
        <v>15575800</v>
      </c>
      <c r="R436" s="50">
        <v>16564100</v>
      </c>
      <c r="S436" s="50">
        <v>16317100</v>
      </c>
      <c r="T436" s="50">
        <v>17305400</v>
      </c>
      <c r="U436" s="50">
        <v>17058300</v>
      </c>
      <c r="V436" s="50">
        <v>16564100</v>
      </c>
      <c r="W436" s="50">
        <v>17305400</v>
      </c>
      <c r="X436" s="50">
        <v>16811200</v>
      </c>
      <c r="Y436" s="50">
        <v>16564100</v>
      </c>
      <c r="Z436" s="50">
        <v>18120300</v>
      </c>
      <c r="AA436" s="50">
        <v>17601400</v>
      </c>
      <c r="AB436" s="50">
        <v>16823100</v>
      </c>
      <c r="AC436" s="26">
        <f t="shared" si="12"/>
        <v>62087300</v>
      </c>
      <c r="AD436" s="26">
        <f t="shared" si="13"/>
        <v>202610300</v>
      </c>
      <c r="AE436" s="50">
        <v>212702000</v>
      </c>
      <c r="AF436" s="50">
        <v>225511400</v>
      </c>
      <c r="AG436" s="53" t="s">
        <v>55</v>
      </c>
    </row>
    <row r="437" spans="1:33" ht="15" customHeight="1">
      <c r="A437" s="46" t="s">
        <v>91</v>
      </c>
      <c r="B437" s="3" t="str">
        <f>_xlfn.IFNA(VLOOKUP(C437,Master!$J:$K,2,0),"")</f>
        <v>B2220</v>
      </c>
      <c r="C437" s="46" t="s">
        <v>83</v>
      </c>
      <c r="D437" s="4" t="str">
        <f>_xlfn.IFNA(VLOOKUP(E437,Master!$J:$K,2,0),"")</f>
        <v>B3110</v>
      </c>
      <c r="E437" s="46" t="s">
        <v>117</v>
      </c>
      <c r="F437" s="4">
        <f>_xlfn.IFNA(VLOOKUP(G437,Master!B:C,2,0),"")</f>
        <v>7514101</v>
      </c>
      <c r="G437" s="46" t="s">
        <v>114</v>
      </c>
      <c r="H437" s="46" t="s">
        <v>546</v>
      </c>
      <c r="I437" s="3" t="str">
        <f>_xlfn.IFNA(VLOOKUP(E437,Master!$J:$M,4,0),"")</f>
        <v>ADM</v>
      </c>
      <c r="J437" s="3" t="str">
        <f>_xlfn.IFNA(VLOOKUP($E437,Master!$J:$M,3,0),"")</f>
        <v>SGA</v>
      </c>
      <c r="M437" s="50">
        <v>15764200</v>
      </c>
      <c r="N437" s="50">
        <v>16836800</v>
      </c>
      <c r="O437" s="50">
        <v>16836800</v>
      </c>
      <c r="P437" s="50">
        <v>16836800</v>
      </c>
      <c r="Q437" s="50">
        <v>17010400</v>
      </c>
      <c r="R437" s="50">
        <v>17010400</v>
      </c>
      <c r="S437" s="50">
        <v>17010400</v>
      </c>
      <c r="T437" s="50">
        <v>17010400</v>
      </c>
      <c r="U437" s="50">
        <v>17010400</v>
      </c>
      <c r="V437" s="50">
        <v>17010400</v>
      </c>
      <c r="W437" s="50">
        <v>17010400</v>
      </c>
      <c r="X437" s="50">
        <v>17010400</v>
      </c>
      <c r="Y437" s="50">
        <v>17010400</v>
      </c>
      <c r="Z437" s="50">
        <v>18170200</v>
      </c>
      <c r="AA437" s="50">
        <v>18170200</v>
      </c>
      <c r="AB437" s="50">
        <v>18170200</v>
      </c>
      <c r="AC437" s="26">
        <f t="shared" si="12"/>
        <v>66274600</v>
      </c>
      <c r="AD437" s="26">
        <f t="shared" si="13"/>
        <v>207604200</v>
      </c>
      <c r="AE437" s="50">
        <v>221765400</v>
      </c>
      <c r="AF437" s="50">
        <v>236917800</v>
      </c>
      <c r="AG437" s="53" t="s">
        <v>55</v>
      </c>
    </row>
    <row r="438" spans="1:33" ht="15" customHeight="1">
      <c r="A438" s="46" t="s">
        <v>91</v>
      </c>
      <c r="B438" s="3" t="str">
        <f>_xlfn.IFNA(VLOOKUP(C438,Master!$J:$K,2,0),"")</f>
        <v>B2220</v>
      </c>
      <c r="C438" s="46" t="s">
        <v>83</v>
      </c>
      <c r="D438" s="4" t="str">
        <f>_xlfn.IFNA(VLOOKUP(E438,Master!$J:$K,2,0),"")</f>
        <v>B3120</v>
      </c>
      <c r="E438" s="46" t="s">
        <v>122</v>
      </c>
      <c r="F438" s="4">
        <f>_xlfn.IFNA(VLOOKUP(G438,Master!B:C,2,0),"")</f>
        <v>7514101</v>
      </c>
      <c r="G438" s="46" t="s">
        <v>114</v>
      </c>
      <c r="H438" s="46" t="s">
        <v>546</v>
      </c>
      <c r="I438" s="3" t="str">
        <f>_xlfn.IFNA(VLOOKUP(E438,Master!$J:$M,4,0),"")</f>
        <v>ADM</v>
      </c>
      <c r="J438" s="3" t="str">
        <f>_xlfn.IFNA(VLOOKUP($E438,Master!$J:$M,3,0),"")</f>
        <v>SGA</v>
      </c>
      <c r="M438" s="50">
        <v>2448800</v>
      </c>
      <c r="N438" s="50">
        <v>2621400</v>
      </c>
      <c r="O438" s="50">
        <v>2613400</v>
      </c>
      <c r="P438" s="50">
        <v>2601300</v>
      </c>
      <c r="Q438" s="50">
        <v>2589300</v>
      </c>
      <c r="R438" s="50">
        <v>2605300</v>
      </c>
      <c r="S438" s="50">
        <v>2601300</v>
      </c>
      <c r="T438" s="50">
        <v>2617400</v>
      </c>
      <c r="U438" s="50">
        <v>2613400</v>
      </c>
      <c r="V438" s="50">
        <v>2605300</v>
      </c>
      <c r="W438" s="50">
        <v>2617400</v>
      </c>
      <c r="X438" s="50">
        <v>2609300</v>
      </c>
      <c r="Y438" s="50">
        <v>2605300</v>
      </c>
      <c r="Z438" s="50">
        <v>2789700</v>
      </c>
      <c r="AA438" s="50">
        <v>2781200</v>
      </c>
      <c r="AB438" s="50">
        <v>2768600</v>
      </c>
      <c r="AC438" s="26">
        <f t="shared" si="12"/>
        <v>10284900</v>
      </c>
      <c r="AD438" s="26">
        <f t="shared" si="13"/>
        <v>31803500</v>
      </c>
      <c r="AE438" s="50">
        <v>33910200</v>
      </c>
      <c r="AF438" s="50">
        <v>36200900</v>
      </c>
      <c r="AG438" s="53" t="s">
        <v>55</v>
      </c>
    </row>
    <row r="439" spans="1:33" ht="15" customHeight="1">
      <c r="A439" s="46" t="s">
        <v>91</v>
      </c>
      <c r="B439" s="3" t="str">
        <f>_xlfn.IFNA(VLOOKUP(C439,Master!$J:$K,2,0),"")</f>
        <v>B2220</v>
      </c>
      <c r="C439" s="46" t="s">
        <v>83</v>
      </c>
      <c r="D439" s="4" t="str">
        <f>_xlfn.IFNA(VLOOKUP(E439,Master!$J:$K,2,0),"")</f>
        <v>B3130</v>
      </c>
      <c r="E439" s="46" t="s">
        <v>127</v>
      </c>
      <c r="F439" s="4">
        <f>_xlfn.IFNA(VLOOKUP(G439,Master!B:C,2,0),"")</f>
        <v>7514101</v>
      </c>
      <c r="G439" s="46" t="s">
        <v>114</v>
      </c>
      <c r="H439" s="46" t="s">
        <v>546</v>
      </c>
      <c r="I439" s="3" t="str">
        <f>_xlfn.IFNA(VLOOKUP(E439,Master!$J:$M,4,0),"")</f>
        <v>ADM</v>
      </c>
      <c r="J439" s="3" t="str">
        <f>_xlfn.IFNA(VLOOKUP($E439,Master!$J:$M,3,0),"")</f>
        <v>SGA</v>
      </c>
      <c r="M439" s="50">
        <v>29786200</v>
      </c>
      <c r="N439" s="50">
        <v>31829100</v>
      </c>
      <c r="O439" s="50">
        <v>34892500</v>
      </c>
      <c r="P439" s="50">
        <v>34892500</v>
      </c>
      <c r="Q439" s="50">
        <v>38137000</v>
      </c>
      <c r="R439" s="50">
        <v>38137000</v>
      </c>
      <c r="S439" s="50">
        <v>38137000</v>
      </c>
      <c r="T439" s="50">
        <v>38137000</v>
      </c>
      <c r="U439" s="50">
        <v>38137000</v>
      </c>
      <c r="V439" s="50">
        <v>38137000</v>
      </c>
      <c r="W439" s="50">
        <v>38137000</v>
      </c>
      <c r="X439" s="50">
        <v>38137000</v>
      </c>
      <c r="Y439" s="50">
        <v>38137000</v>
      </c>
      <c r="Z439" s="50">
        <v>40743000</v>
      </c>
      <c r="AA439" s="50">
        <v>40743000</v>
      </c>
      <c r="AB439" s="50">
        <v>40743000</v>
      </c>
      <c r="AC439" s="26">
        <f t="shared" si="12"/>
        <v>131400300</v>
      </c>
      <c r="AD439" s="26">
        <f t="shared" si="13"/>
        <v>465462000</v>
      </c>
      <c r="AE439" s="50">
        <v>497280600</v>
      </c>
      <c r="AF439" s="50">
        <v>531324900</v>
      </c>
      <c r="AG439" s="53" t="s">
        <v>55</v>
      </c>
    </row>
    <row r="440" spans="1:33" ht="15" customHeight="1">
      <c r="A440" s="46" t="s">
        <v>91</v>
      </c>
      <c r="B440" s="3" t="str">
        <f>_xlfn.IFNA(VLOOKUP(C440,Master!$J:$K,2,0),"")</f>
        <v>B2220</v>
      </c>
      <c r="C440" s="46" t="s">
        <v>83</v>
      </c>
      <c r="D440" s="4" t="str">
        <f>_xlfn.IFNA(VLOOKUP(E440,Master!$J:$K,2,0),"")</f>
        <v>B3150</v>
      </c>
      <c r="E440" s="46" t="s">
        <v>259</v>
      </c>
      <c r="F440" s="4">
        <f>_xlfn.IFNA(VLOOKUP(G440,Master!B:C,2,0),"")</f>
        <v>7514101</v>
      </c>
      <c r="G440" s="46" t="s">
        <v>114</v>
      </c>
      <c r="H440" s="46" t="s">
        <v>546</v>
      </c>
      <c r="I440" s="3" t="str">
        <f>_xlfn.IFNA(VLOOKUP(E440,Master!$J:$M,4,0),"")</f>
        <v>ADM</v>
      </c>
      <c r="J440" s="3" t="str">
        <f>_xlfn.IFNA(VLOOKUP($E440,Master!$J:$M,3,0),"")</f>
        <v>SGA</v>
      </c>
      <c r="M440" s="50">
        <v>25999800</v>
      </c>
      <c r="N440" s="50">
        <v>25384300</v>
      </c>
      <c r="O440" s="50">
        <v>25384300</v>
      </c>
      <c r="P440" s="50">
        <v>25384300</v>
      </c>
      <c r="Q440" s="50">
        <v>25689200</v>
      </c>
      <c r="R440" s="50">
        <v>25689200</v>
      </c>
      <c r="S440" s="50">
        <v>25689200</v>
      </c>
      <c r="T440" s="50">
        <v>25689200</v>
      </c>
      <c r="U440" s="50">
        <v>25689200</v>
      </c>
      <c r="V440" s="50">
        <v>25689200</v>
      </c>
      <c r="W440" s="50">
        <v>25832300</v>
      </c>
      <c r="X440" s="50">
        <v>25832300</v>
      </c>
      <c r="Y440" s="50">
        <v>25832300</v>
      </c>
      <c r="Z440" s="50">
        <v>27587600</v>
      </c>
      <c r="AA440" s="50">
        <v>27587600</v>
      </c>
      <c r="AB440" s="50">
        <v>27587600</v>
      </c>
      <c r="AC440" s="26">
        <f t="shared" si="12"/>
        <v>102152700</v>
      </c>
      <c r="AD440" s="26">
        <f t="shared" si="13"/>
        <v>314394900</v>
      </c>
      <c r="AE440" s="50">
        <v>337638900</v>
      </c>
      <c r="AF440" s="50">
        <v>361623300</v>
      </c>
      <c r="AG440" s="53" t="s">
        <v>55</v>
      </c>
    </row>
    <row r="441" spans="1:33" ht="15" customHeight="1">
      <c r="A441" s="46" t="s">
        <v>91</v>
      </c>
      <c r="B441" s="3" t="str">
        <f>_xlfn.IFNA(VLOOKUP(C441,Master!$J:$K,2,0),"")</f>
        <v>B2220</v>
      </c>
      <c r="C441" s="46" t="s">
        <v>83</v>
      </c>
      <c r="D441" s="4" t="str">
        <f>_xlfn.IFNA(VLOOKUP(E441,Master!$J:$K,2,0),"")</f>
        <v>B3160</v>
      </c>
      <c r="E441" s="46" t="s">
        <v>112</v>
      </c>
      <c r="F441" s="4">
        <f>_xlfn.IFNA(VLOOKUP(G441,Master!B:C,2,0),"")</f>
        <v>7514101</v>
      </c>
      <c r="G441" s="46" t="s">
        <v>114</v>
      </c>
      <c r="H441" s="46" t="s">
        <v>546</v>
      </c>
      <c r="I441" s="3" t="str">
        <f>_xlfn.IFNA(VLOOKUP(E441,Master!$J:$M,4,0),"")</f>
        <v>ADM</v>
      </c>
      <c r="J441" s="3" t="str">
        <f>_xlfn.IFNA(VLOOKUP($E441,Master!$J:$M,3,0),"")</f>
        <v>SGA</v>
      </c>
      <c r="M441" s="50">
        <v>16599400</v>
      </c>
      <c r="N441" s="50">
        <v>23372200</v>
      </c>
      <c r="O441" s="50">
        <v>22854000</v>
      </c>
      <c r="P441" s="50">
        <v>22076500</v>
      </c>
      <c r="Q441" s="50">
        <v>21299100</v>
      </c>
      <c r="R441" s="50">
        <v>22335700</v>
      </c>
      <c r="S441" s="50">
        <v>22076500</v>
      </c>
      <c r="T441" s="50">
        <v>23113100</v>
      </c>
      <c r="U441" s="50">
        <v>22854000</v>
      </c>
      <c r="V441" s="50">
        <v>22335700</v>
      </c>
      <c r="W441" s="50">
        <v>23113100</v>
      </c>
      <c r="X441" s="50">
        <v>22594800</v>
      </c>
      <c r="Y441" s="50">
        <v>22335700</v>
      </c>
      <c r="Z441" s="50">
        <v>24297200</v>
      </c>
      <c r="AA441" s="50">
        <v>23753100</v>
      </c>
      <c r="AB441" s="50">
        <v>22936900</v>
      </c>
      <c r="AC441" s="26">
        <f t="shared" si="12"/>
        <v>84902100</v>
      </c>
      <c r="AD441" s="26">
        <f t="shared" si="13"/>
        <v>273044900</v>
      </c>
      <c r="AE441" s="50">
        <v>287655800</v>
      </c>
      <c r="AF441" s="50">
        <v>305408100</v>
      </c>
      <c r="AG441" s="53" t="s">
        <v>55</v>
      </c>
    </row>
    <row r="442" spans="1:33" ht="15" customHeight="1">
      <c r="A442" s="46" t="s">
        <v>91</v>
      </c>
      <c r="B442" s="3" t="str">
        <f>_xlfn.IFNA(VLOOKUP(C442,Master!$J:$K,2,0),"")</f>
        <v>B2220</v>
      </c>
      <c r="C442" s="46" t="s">
        <v>83</v>
      </c>
      <c r="D442" s="4" t="str">
        <f>_xlfn.IFNA(VLOOKUP(E442,Master!$J:$K,2,0),"")</f>
        <v>B4101</v>
      </c>
      <c r="E442" s="46" t="s">
        <v>132</v>
      </c>
      <c r="F442" s="4">
        <f>_xlfn.IFNA(VLOOKUP(G442,Master!B:C,2,0),"")</f>
        <v>7514101</v>
      </c>
      <c r="G442" s="46" t="s">
        <v>114</v>
      </c>
      <c r="H442" s="46" t="s">
        <v>546</v>
      </c>
      <c r="I442" s="3" t="str">
        <f>_xlfn.IFNA(VLOOKUP(E442,Master!$J:$M,4,0),"")</f>
        <v>DIR</v>
      </c>
      <c r="J442" s="3" t="str">
        <f>_xlfn.IFNA(VLOOKUP($E442,Master!$J:$M,3,0),"")</f>
        <v>MFG</v>
      </c>
      <c r="M442" s="50">
        <v>10562800</v>
      </c>
      <c r="N442" s="50">
        <v>11270100</v>
      </c>
      <c r="O442" s="50">
        <v>11270100</v>
      </c>
      <c r="P442" s="50">
        <v>11270100</v>
      </c>
      <c r="Q442" s="50">
        <v>11270100</v>
      </c>
      <c r="R442" s="50">
        <v>11270100</v>
      </c>
      <c r="S442" s="50">
        <v>11270100</v>
      </c>
      <c r="T442" s="50">
        <v>11270100</v>
      </c>
      <c r="U442" s="50">
        <v>11270100</v>
      </c>
      <c r="V442" s="50">
        <v>11270100</v>
      </c>
      <c r="W442" s="50">
        <v>11270100</v>
      </c>
      <c r="X442" s="50">
        <v>11270100</v>
      </c>
      <c r="Y442" s="50">
        <v>11270100</v>
      </c>
      <c r="Z442" s="50">
        <v>12026900</v>
      </c>
      <c r="AA442" s="50">
        <v>12026900</v>
      </c>
      <c r="AB442" s="50">
        <v>12026900</v>
      </c>
      <c r="AC442" s="26">
        <f t="shared" si="12"/>
        <v>44373100</v>
      </c>
      <c r="AD442" s="26">
        <f t="shared" si="13"/>
        <v>137511600</v>
      </c>
      <c r="AE442" s="50">
        <v>146751900</v>
      </c>
      <c r="AF442" s="50">
        <v>137189400</v>
      </c>
      <c r="AG442" s="53" t="s">
        <v>55</v>
      </c>
    </row>
    <row r="443" spans="1:33" ht="15" customHeight="1">
      <c r="A443" s="46" t="s">
        <v>91</v>
      </c>
      <c r="B443" s="3" t="str">
        <f>_xlfn.IFNA(VLOOKUP(C443,Master!$J:$K,2,0),"")</f>
        <v>B2220</v>
      </c>
      <c r="C443" s="46" t="s">
        <v>83</v>
      </c>
      <c r="D443" s="4" t="str">
        <f>_xlfn.IFNA(VLOOKUP(E443,Master!$J:$K,2,0),"")</f>
        <v>B4102</v>
      </c>
      <c r="E443" s="46" t="s">
        <v>139</v>
      </c>
      <c r="F443" s="4">
        <f>_xlfn.IFNA(VLOOKUP(G443,Master!B:C,2,0),"")</f>
        <v>7514101</v>
      </c>
      <c r="G443" s="46" t="s">
        <v>114</v>
      </c>
      <c r="H443" s="46" t="s">
        <v>546</v>
      </c>
      <c r="I443" s="3" t="str">
        <f>_xlfn.IFNA(VLOOKUP(E443,Master!$J:$M,4,0),"")</f>
        <v>DIR</v>
      </c>
      <c r="J443" s="3" t="str">
        <f>_xlfn.IFNA(VLOOKUP($E443,Master!$J:$M,3,0),"")</f>
        <v>MFG</v>
      </c>
      <c r="M443" s="50">
        <v>27360700</v>
      </c>
      <c r="N443" s="50">
        <v>29294000</v>
      </c>
      <c r="O443" s="50">
        <v>29165500</v>
      </c>
      <c r="P443" s="50">
        <v>28972700</v>
      </c>
      <c r="Q443" s="50">
        <v>26303500</v>
      </c>
      <c r="R443" s="50">
        <v>26544500</v>
      </c>
      <c r="S443" s="50">
        <v>26484300</v>
      </c>
      <c r="T443" s="50">
        <v>26725200</v>
      </c>
      <c r="U443" s="50">
        <v>26665000</v>
      </c>
      <c r="V443" s="50">
        <v>26544500</v>
      </c>
      <c r="W443" s="50">
        <v>28295300</v>
      </c>
      <c r="X443" s="50">
        <v>28166800</v>
      </c>
      <c r="Y443" s="50">
        <v>28102500</v>
      </c>
      <c r="Z443" s="50">
        <v>30101300</v>
      </c>
      <c r="AA443" s="50">
        <v>29966700</v>
      </c>
      <c r="AB443" s="50">
        <v>29764700</v>
      </c>
      <c r="AC443" s="26">
        <f t="shared" si="12"/>
        <v>114792900</v>
      </c>
      <c r="AD443" s="26">
        <f t="shared" si="13"/>
        <v>333664300</v>
      </c>
      <c r="AE443" s="50">
        <v>359015800</v>
      </c>
      <c r="AF443" s="50">
        <v>336603900</v>
      </c>
      <c r="AG443" s="53" t="s">
        <v>55</v>
      </c>
    </row>
    <row r="444" spans="1:33" ht="15" customHeight="1">
      <c r="A444" s="46" t="s">
        <v>91</v>
      </c>
      <c r="B444" s="3" t="str">
        <f>_xlfn.IFNA(VLOOKUP(C444,Master!$J:$K,2,0),"")</f>
        <v>B2220</v>
      </c>
      <c r="C444" s="46" t="s">
        <v>83</v>
      </c>
      <c r="D444" s="4" t="str">
        <f>_xlfn.IFNA(VLOOKUP(E444,Master!$J:$K,2,0),"")</f>
        <v>B4103</v>
      </c>
      <c r="E444" s="46" t="s">
        <v>144</v>
      </c>
      <c r="F444" s="4">
        <f>_xlfn.IFNA(VLOOKUP(G444,Master!B:C,2,0),"")</f>
        <v>7514101</v>
      </c>
      <c r="G444" s="46" t="s">
        <v>114</v>
      </c>
      <c r="H444" s="46" t="s">
        <v>546</v>
      </c>
      <c r="I444" s="3" t="str">
        <f>_xlfn.IFNA(VLOOKUP(E444,Master!$J:$M,4,0),"")</f>
        <v>DIR</v>
      </c>
      <c r="J444" s="3" t="str">
        <f>_xlfn.IFNA(VLOOKUP($E444,Master!$J:$M,3,0),"")</f>
        <v>MFG</v>
      </c>
      <c r="M444" s="50">
        <v>16411000</v>
      </c>
      <c r="N444" s="50">
        <v>17506600</v>
      </c>
      <c r="O444" s="50">
        <v>17506600</v>
      </c>
      <c r="P444" s="50">
        <v>17506600</v>
      </c>
      <c r="Q444" s="50">
        <v>17506600</v>
      </c>
      <c r="R444" s="50">
        <v>17506600</v>
      </c>
      <c r="S444" s="50">
        <v>17506600</v>
      </c>
      <c r="T444" s="50">
        <v>17506600</v>
      </c>
      <c r="U444" s="50">
        <v>17506600</v>
      </c>
      <c r="V444" s="50">
        <v>17506600</v>
      </c>
      <c r="W444" s="50">
        <v>17506600</v>
      </c>
      <c r="X444" s="50">
        <v>17506600</v>
      </c>
      <c r="Y444" s="50">
        <v>17506600</v>
      </c>
      <c r="Z444" s="50">
        <v>18678800</v>
      </c>
      <c r="AA444" s="50">
        <v>18678800</v>
      </c>
      <c r="AB444" s="50">
        <v>18678800</v>
      </c>
      <c r="AC444" s="26">
        <f t="shared" si="12"/>
        <v>68930800</v>
      </c>
      <c r="AD444" s="26">
        <f t="shared" si="13"/>
        <v>213595800</v>
      </c>
      <c r="AE444" s="50">
        <v>227908500</v>
      </c>
      <c r="AF444" s="50">
        <v>243223200</v>
      </c>
      <c r="AG444" s="53" t="s">
        <v>55</v>
      </c>
    </row>
    <row r="445" spans="1:33" ht="15" customHeight="1">
      <c r="A445" s="46" t="s">
        <v>91</v>
      </c>
      <c r="B445" s="3" t="str">
        <f>_xlfn.IFNA(VLOOKUP(C445,Master!$J:$K,2,0),"")</f>
        <v>B2220</v>
      </c>
      <c r="C445" s="46" t="s">
        <v>83</v>
      </c>
      <c r="D445" s="4" t="str">
        <f>_xlfn.IFNA(VLOOKUP(E445,Master!$J:$K,2,0),"")</f>
        <v>B4105</v>
      </c>
      <c r="E445" s="46" t="s">
        <v>149</v>
      </c>
      <c r="F445" s="4">
        <f>_xlfn.IFNA(VLOOKUP(G445,Master!B:C,2,0),"")</f>
        <v>7514101</v>
      </c>
      <c r="G445" s="46" t="s">
        <v>114</v>
      </c>
      <c r="H445" s="46" t="s">
        <v>546</v>
      </c>
      <c r="I445" s="3" t="str">
        <f>_xlfn.IFNA(VLOOKUP(E445,Master!$J:$M,4,0),"")</f>
        <v>DIR</v>
      </c>
      <c r="J445" s="3" t="str">
        <f>_xlfn.IFNA(VLOOKUP($E445,Master!$J:$M,3,0),"")</f>
        <v>MFG</v>
      </c>
      <c r="M445" s="50">
        <v>20480200</v>
      </c>
      <c r="N445" s="50">
        <v>21970900</v>
      </c>
      <c r="O445" s="50">
        <v>21874500</v>
      </c>
      <c r="P445" s="50">
        <v>21729900</v>
      </c>
      <c r="Q445" s="50">
        <v>21585300</v>
      </c>
      <c r="R445" s="50">
        <v>21778100</v>
      </c>
      <c r="S445" s="50">
        <v>21729900</v>
      </c>
      <c r="T445" s="50">
        <v>21922700</v>
      </c>
      <c r="U445" s="50">
        <v>21874500</v>
      </c>
      <c r="V445" s="50">
        <v>21778100</v>
      </c>
      <c r="W445" s="50">
        <v>18784300</v>
      </c>
      <c r="X445" s="50">
        <v>18704000</v>
      </c>
      <c r="Y445" s="50">
        <v>18663900</v>
      </c>
      <c r="Z445" s="50">
        <v>20026400</v>
      </c>
      <c r="AA445" s="50">
        <v>19942200</v>
      </c>
      <c r="AB445" s="50">
        <v>19816000</v>
      </c>
      <c r="AC445" s="26">
        <f t="shared" si="12"/>
        <v>86055500</v>
      </c>
      <c r="AD445" s="26">
        <f t="shared" si="13"/>
        <v>246605400</v>
      </c>
      <c r="AE445" s="50">
        <v>243118600</v>
      </c>
      <c r="AF445" s="50">
        <v>252047200</v>
      </c>
      <c r="AG445" s="53" t="s">
        <v>55</v>
      </c>
    </row>
    <row r="446" spans="1:33" ht="15" customHeight="1">
      <c r="A446" s="46" t="s">
        <v>91</v>
      </c>
      <c r="B446" s="3" t="str">
        <f>_xlfn.IFNA(VLOOKUP(C446,Master!$J:$K,2,0),"")</f>
        <v>B2220</v>
      </c>
      <c r="C446" s="46" t="s">
        <v>83</v>
      </c>
      <c r="D446" s="4" t="str">
        <f>_xlfn.IFNA(VLOOKUP(E446,Master!$J:$K,2,0),"")</f>
        <v>B4110</v>
      </c>
      <c r="E446" s="46" t="s">
        <v>162</v>
      </c>
      <c r="F446" s="4">
        <f>_xlfn.IFNA(VLOOKUP(G446,Master!B:C,2,0),"")</f>
        <v>7514101</v>
      </c>
      <c r="G446" s="46" t="s">
        <v>114</v>
      </c>
      <c r="H446" s="46" t="s">
        <v>546</v>
      </c>
      <c r="I446" s="3" t="str">
        <f>_xlfn.IFNA(VLOOKUP(E446,Master!$J:$M,4,0),"")</f>
        <v>DIR</v>
      </c>
      <c r="J446" s="3" t="str">
        <f>_xlfn.IFNA(VLOOKUP($E446,Master!$J:$M,3,0),"")</f>
        <v>MFG</v>
      </c>
      <c r="M446" s="50">
        <v>32867200</v>
      </c>
      <c r="N446" s="50">
        <v>35187100</v>
      </c>
      <c r="O446" s="50">
        <v>35050500</v>
      </c>
      <c r="P446" s="50">
        <v>34845700</v>
      </c>
      <c r="Q446" s="50">
        <v>34640900</v>
      </c>
      <c r="R446" s="50">
        <v>34914000</v>
      </c>
      <c r="S446" s="50">
        <v>34000100</v>
      </c>
      <c r="T446" s="50">
        <v>36126300</v>
      </c>
      <c r="U446" s="50">
        <v>36054000</v>
      </c>
      <c r="V446" s="50">
        <v>35909400</v>
      </c>
      <c r="W446" s="50">
        <v>36126300</v>
      </c>
      <c r="X446" s="50">
        <v>35981700</v>
      </c>
      <c r="Y446" s="50">
        <v>35909400</v>
      </c>
      <c r="Z446" s="50">
        <v>38458700</v>
      </c>
      <c r="AA446" s="50">
        <v>38307200</v>
      </c>
      <c r="AB446" s="50">
        <v>38080000</v>
      </c>
      <c r="AC446" s="26">
        <f t="shared" si="12"/>
        <v>137950500</v>
      </c>
      <c r="AD446" s="26">
        <f t="shared" si="13"/>
        <v>434508000</v>
      </c>
      <c r="AE446" s="50">
        <v>445847700</v>
      </c>
      <c r="AF446" s="50">
        <v>464698500</v>
      </c>
      <c r="AG446" s="53" t="s">
        <v>55</v>
      </c>
    </row>
    <row r="447" spans="1:33" ht="15" customHeight="1">
      <c r="A447" s="46" t="s">
        <v>91</v>
      </c>
      <c r="B447" s="3" t="str">
        <f>_xlfn.IFNA(VLOOKUP(C447,Master!$J:$K,2,0),"")</f>
        <v>B2220</v>
      </c>
      <c r="C447" s="46" t="s">
        <v>83</v>
      </c>
      <c r="D447" s="4" t="str">
        <f>_xlfn.IFNA(VLOOKUP(E447,Master!$J:$K,2,0),"")</f>
        <v>B4114</v>
      </c>
      <c r="E447" s="46" t="s">
        <v>172</v>
      </c>
      <c r="F447" s="4">
        <f>_xlfn.IFNA(VLOOKUP(G447,Master!B:C,2,0),"")</f>
        <v>7514101</v>
      </c>
      <c r="G447" s="46" t="s">
        <v>114</v>
      </c>
      <c r="H447" s="46" t="s">
        <v>546</v>
      </c>
      <c r="I447" s="3" t="str">
        <f>_xlfn.IFNA(VLOOKUP(E447,Master!$J:$M,4,0),"")</f>
        <v>DIR</v>
      </c>
      <c r="J447" s="3" t="str">
        <f>_xlfn.IFNA(VLOOKUP($E447,Master!$J:$M,3,0),"")</f>
        <v>MFG</v>
      </c>
      <c r="M447" s="50">
        <v>14404600</v>
      </c>
      <c r="N447" s="50">
        <v>15420800</v>
      </c>
      <c r="O447" s="50">
        <v>15364500</v>
      </c>
      <c r="P447" s="50">
        <v>15280200</v>
      </c>
      <c r="Q447" s="50">
        <v>15195900</v>
      </c>
      <c r="R447" s="50">
        <v>15308300</v>
      </c>
      <c r="S447" s="50">
        <v>11265700</v>
      </c>
      <c r="T447" s="50">
        <v>9493000</v>
      </c>
      <c r="U447" s="50">
        <v>9476900</v>
      </c>
      <c r="V447" s="50">
        <v>9444800</v>
      </c>
      <c r="W447" s="50">
        <v>6464300</v>
      </c>
      <c r="X447" s="50">
        <v>6440200</v>
      </c>
      <c r="Y447" s="50">
        <v>6428200</v>
      </c>
      <c r="Z447" s="50">
        <v>6884100</v>
      </c>
      <c r="AA447" s="50">
        <v>6858800</v>
      </c>
      <c r="AB447" s="50">
        <v>6821000</v>
      </c>
      <c r="AC447" s="26">
        <f t="shared" si="12"/>
        <v>60470100</v>
      </c>
      <c r="AD447" s="26">
        <f t="shared" si="13"/>
        <v>110081200</v>
      </c>
      <c r="AE447" s="50">
        <v>83600700</v>
      </c>
      <c r="AF447" s="50">
        <v>89202100</v>
      </c>
      <c r="AG447" s="53" t="s">
        <v>55</v>
      </c>
    </row>
    <row r="448" spans="1:33" ht="15" customHeight="1">
      <c r="A448" s="46" t="s">
        <v>91</v>
      </c>
      <c r="B448" s="3" t="str">
        <f>_xlfn.IFNA(VLOOKUP(C448,Master!$J:$K,2,0),"")</f>
        <v>B2220</v>
      </c>
      <c r="C448" s="46" t="s">
        <v>83</v>
      </c>
      <c r="D448" s="4" t="str">
        <f>_xlfn.IFNA(VLOOKUP(E448,Master!$J:$K,2,0),"")</f>
        <v>B4115</v>
      </c>
      <c r="E448" s="46" t="s">
        <v>167</v>
      </c>
      <c r="F448" s="4">
        <f>_xlfn.IFNA(VLOOKUP(G448,Master!B:C,2,0),"")</f>
        <v>7514101</v>
      </c>
      <c r="G448" s="46" t="s">
        <v>114</v>
      </c>
      <c r="H448" s="46" t="s">
        <v>546</v>
      </c>
      <c r="I448" s="3" t="str">
        <f>_xlfn.IFNA(VLOOKUP(E448,Master!$J:$M,4,0),"")</f>
        <v>DIR</v>
      </c>
      <c r="J448" s="3" t="str">
        <f>_xlfn.IFNA(VLOOKUP($E448,Master!$J:$M,3,0),"")</f>
        <v>MFG</v>
      </c>
      <c r="M448" s="50">
        <v>9216800</v>
      </c>
      <c r="N448" s="50">
        <v>9829900</v>
      </c>
      <c r="O448" s="50">
        <v>9829900</v>
      </c>
      <c r="P448" s="50">
        <v>9829900</v>
      </c>
      <c r="Q448" s="50">
        <v>9829900</v>
      </c>
      <c r="R448" s="50">
        <v>9829900</v>
      </c>
      <c r="S448" s="50">
        <v>9829900</v>
      </c>
      <c r="T448" s="50">
        <v>9829900</v>
      </c>
      <c r="U448" s="50">
        <v>9829900</v>
      </c>
      <c r="V448" s="50">
        <v>9829900</v>
      </c>
      <c r="W448" s="50">
        <v>9829900</v>
      </c>
      <c r="X448" s="50">
        <v>9829900</v>
      </c>
      <c r="Y448" s="50">
        <v>9829900</v>
      </c>
      <c r="Z448" s="50">
        <v>10485900</v>
      </c>
      <c r="AA448" s="50">
        <v>10485900</v>
      </c>
      <c r="AB448" s="50">
        <v>10485900</v>
      </c>
      <c r="AC448" s="26">
        <f t="shared" si="12"/>
        <v>38706500</v>
      </c>
      <c r="AD448" s="26">
        <f t="shared" si="13"/>
        <v>119926800</v>
      </c>
      <c r="AE448" s="50">
        <v>127936500</v>
      </c>
      <c r="AF448" s="50">
        <v>136506600</v>
      </c>
      <c r="AG448" s="53" t="s">
        <v>55</v>
      </c>
    </row>
    <row r="449" spans="1:33" ht="15" customHeight="1">
      <c r="A449" s="46" t="s">
        <v>91</v>
      </c>
      <c r="B449" s="3" t="str">
        <f>_xlfn.IFNA(VLOOKUP(C449,Master!$J:$K,2,0),"")</f>
        <v>B2220</v>
      </c>
      <c r="C449" s="46" t="s">
        <v>83</v>
      </c>
      <c r="D449" s="4" t="str">
        <f>_xlfn.IFNA(VLOOKUP(E449,Master!$J:$K,2,0),"")</f>
        <v>B4120</v>
      </c>
      <c r="E449" s="46" t="s">
        <v>177</v>
      </c>
      <c r="F449" s="4">
        <f>_xlfn.IFNA(VLOOKUP(G449,Master!B:C,2,0),"")</f>
        <v>7514101</v>
      </c>
      <c r="G449" s="46" t="s">
        <v>114</v>
      </c>
      <c r="H449" s="46" t="s">
        <v>546</v>
      </c>
      <c r="I449" s="3" t="str">
        <f>_xlfn.IFNA(VLOOKUP(E449,Master!$J:$M,4,0),"")</f>
        <v>DIR</v>
      </c>
      <c r="J449" s="3" t="str">
        <f>_xlfn.IFNA(VLOOKUP($E449,Master!$J:$M,3,0),"")</f>
        <v>MFG</v>
      </c>
      <c r="M449" s="50">
        <v>51902700</v>
      </c>
      <c r="N449" s="50">
        <v>55389600</v>
      </c>
      <c r="O449" s="50">
        <v>52815800</v>
      </c>
      <c r="P449" s="50">
        <v>52815800</v>
      </c>
      <c r="Q449" s="50">
        <v>52101900</v>
      </c>
      <c r="R449" s="50">
        <v>49585200</v>
      </c>
      <c r="S449" s="50">
        <v>49585200</v>
      </c>
      <c r="T449" s="50">
        <v>44481600</v>
      </c>
      <c r="U449" s="50">
        <v>44481600</v>
      </c>
      <c r="V449" s="50">
        <v>44481600</v>
      </c>
      <c r="W449" s="50">
        <v>47589000</v>
      </c>
      <c r="X449" s="50">
        <v>47589000</v>
      </c>
      <c r="Y449" s="50">
        <v>47589000</v>
      </c>
      <c r="Z449" s="50">
        <v>50785200</v>
      </c>
      <c r="AA449" s="50">
        <v>50785200</v>
      </c>
      <c r="AB449" s="50">
        <v>50785200</v>
      </c>
      <c r="AC449" s="26">
        <f t="shared" si="12"/>
        <v>212923900</v>
      </c>
      <c r="AD449" s="26">
        <f t="shared" si="13"/>
        <v>579839700</v>
      </c>
      <c r="AE449" s="50">
        <v>559036900</v>
      </c>
      <c r="AF449" s="50">
        <v>587223600</v>
      </c>
      <c r="AG449" s="53" t="s">
        <v>55</v>
      </c>
    </row>
    <row r="450" spans="1:33" ht="15" customHeight="1">
      <c r="A450" s="46" t="s">
        <v>91</v>
      </c>
      <c r="B450" s="3" t="str">
        <f>_xlfn.IFNA(VLOOKUP(C450,Master!$J:$K,2,0),"")</f>
        <v>B2220</v>
      </c>
      <c r="C450" s="46" t="s">
        <v>83</v>
      </c>
      <c r="D450" s="4" t="str">
        <f>_xlfn.IFNA(VLOOKUP(E450,Master!$J:$K,2,0),"")</f>
        <v>B4121</v>
      </c>
      <c r="E450" s="46" t="s">
        <v>183</v>
      </c>
      <c r="F450" s="4">
        <f>_xlfn.IFNA(VLOOKUP(G450,Master!B:C,2,0),"")</f>
        <v>7514101</v>
      </c>
      <c r="G450" s="46" t="s">
        <v>114</v>
      </c>
      <c r="H450" s="46" t="s">
        <v>546</v>
      </c>
      <c r="I450" s="3" t="str">
        <f>_xlfn.IFNA(VLOOKUP(E450,Master!$J:$M,4,0),"")</f>
        <v>DIR</v>
      </c>
      <c r="J450" s="3" t="str">
        <f>_xlfn.IFNA(VLOOKUP($E450,Master!$J:$M,3,0),"")</f>
        <v>MFG</v>
      </c>
      <c r="M450" s="50">
        <v>4546500</v>
      </c>
      <c r="N450" s="50">
        <v>4879800</v>
      </c>
      <c r="O450" s="50">
        <v>4855700</v>
      </c>
      <c r="P450" s="50">
        <v>4819500</v>
      </c>
      <c r="AC450" s="26">
        <f t="shared" ref="AC450:AC513" si="14">SUM(K450:P450)</f>
        <v>19101500</v>
      </c>
      <c r="AD450" s="26">
        <f t="shared" ref="AD450:AD513" si="15">SUM(Q450:AB450)</f>
        <v>0</v>
      </c>
      <c r="AG450" s="53" t="s">
        <v>55</v>
      </c>
    </row>
    <row r="451" spans="1:33" ht="15" customHeight="1">
      <c r="A451" s="46" t="s">
        <v>91</v>
      </c>
      <c r="B451" s="3" t="str">
        <f>_xlfn.IFNA(VLOOKUP(C451,Master!$J:$K,2,0),"")</f>
        <v>B2220</v>
      </c>
      <c r="C451" s="46" t="s">
        <v>83</v>
      </c>
      <c r="D451" s="4" t="str">
        <f>_xlfn.IFNA(VLOOKUP(E451,Master!$J:$K,2,0),"")</f>
        <v>B4130</v>
      </c>
      <c r="E451" s="46" t="s">
        <v>158</v>
      </c>
      <c r="F451" s="4">
        <f>_xlfn.IFNA(VLOOKUP(G451,Master!B:C,2,0),"")</f>
        <v>7514101</v>
      </c>
      <c r="G451" s="46" t="s">
        <v>114</v>
      </c>
      <c r="H451" s="46" t="s">
        <v>546</v>
      </c>
      <c r="I451" s="3" t="str">
        <f>_xlfn.IFNA(VLOOKUP(E451,Master!$J:$M,4,0),"")</f>
        <v>DIR</v>
      </c>
      <c r="J451" s="3" t="str">
        <f>_xlfn.IFNA(VLOOKUP($E451,Master!$J:$M,3,0),"")</f>
        <v>MFG</v>
      </c>
      <c r="M451" s="50">
        <v>11069600</v>
      </c>
      <c r="N451" s="50">
        <v>11807000</v>
      </c>
      <c r="O451" s="50">
        <v>11807000</v>
      </c>
      <c r="P451" s="50">
        <v>11807000</v>
      </c>
      <c r="Q451" s="50">
        <v>11807000</v>
      </c>
      <c r="R451" s="50">
        <v>11807000</v>
      </c>
      <c r="S451" s="50">
        <v>11807000</v>
      </c>
      <c r="T451" s="50">
        <v>11807000</v>
      </c>
      <c r="U451" s="50">
        <v>11807000</v>
      </c>
      <c r="V451" s="50">
        <v>11807000</v>
      </c>
      <c r="W451" s="50">
        <v>11807000</v>
      </c>
      <c r="X451" s="50">
        <v>11807000</v>
      </c>
      <c r="Y451" s="50">
        <v>11807000</v>
      </c>
      <c r="Z451" s="50">
        <v>12596100</v>
      </c>
      <c r="AA451" s="50">
        <v>12596100</v>
      </c>
      <c r="AB451" s="50">
        <v>12596100</v>
      </c>
      <c r="AC451" s="26">
        <f t="shared" si="14"/>
        <v>46490600</v>
      </c>
      <c r="AD451" s="26">
        <f t="shared" si="15"/>
        <v>144051300</v>
      </c>
      <c r="AE451" s="50">
        <v>136811800</v>
      </c>
      <c r="AF451" s="50">
        <v>133470300</v>
      </c>
      <c r="AG451" s="53" t="s">
        <v>55</v>
      </c>
    </row>
    <row r="452" spans="1:33" ht="15" customHeight="1">
      <c r="A452" s="46" t="s">
        <v>91</v>
      </c>
      <c r="B452" s="3" t="str">
        <f>_xlfn.IFNA(VLOOKUP(C452,Master!$J:$K,2,0),"")</f>
        <v>B2220</v>
      </c>
      <c r="C452" s="46" t="s">
        <v>83</v>
      </c>
      <c r="D452" s="4" t="str">
        <f>_xlfn.IFNA(VLOOKUP(E452,Master!$J:$K,2,0),"")</f>
        <v>B4410</v>
      </c>
      <c r="E452" s="46" t="s">
        <v>188</v>
      </c>
      <c r="F452" s="4">
        <f>_xlfn.IFNA(VLOOKUP(G452,Master!B:C,2,0),"")</f>
        <v>7514101</v>
      </c>
      <c r="G452" s="46" t="s">
        <v>114</v>
      </c>
      <c r="H452" s="46" t="s">
        <v>546</v>
      </c>
      <c r="I452" s="3" t="str">
        <f>_xlfn.IFNA(VLOOKUP(E452,Master!$J:$M,4,0),"")</f>
        <v>DIR</v>
      </c>
      <c r="J452" s="3" t="str">
        <f>_xlfn.IFNA(VLOOKUP($E452,Master!$J:$M,3,0),"")</f>
        <v>MFG</v>
      </c>
      <c r="M452" s="50">
        <v>4967700</v>
      </c>
      <c r="N452" s="50">
        <v>5299400</v>
      </c>
      <c r="O452" s="50">
        <v>5299400</v>
      </c>
      <c r="P452" s="50">
        <v>5299400</v>
      </c>
      <c r="Q452" s="50">
        <v>5299400</v>
      </c>
      <c r="R452" s="50">
        <v>5299400</v>
      </c>
      <c r="S452" s="50">
        <v>5299400</v>
      </c>
      <c r="T452" s="50">
        <v>5299400</v>
      </c>
      <c r="U452" s="50">
        <v>5299400</v>
      </c>
      <c r="V452" s="50">
        <v>5299400</v>
      </c>
      <c r="W452" s="50">
        <v>5299400</v>
      </c>
      <c r="X452" s="50">
        <v>5299400</v>
      </c>
      <c r="Y452" s="50">
        <v>5299400</v>
      </c>
      <c r="AC452" s="26">
        <f t="shared" si="14"/>
        <v>20865900</v>
      </c>
      <c r="AD452" s="26">
        <f t="shared" si="15"/>
        <v>47694600</v>
      </c>
      <c r="AG452" s="53" t="s">
        <v>55</v>
      </c>
    </row>
    <row r="453" spans="1:33" ht="15" customHeight="1">
      <c r="A453" s="46" t="s">
        <v>91</v>
      </c>
      <c r="B453" s="3" t="str">
        <f>_xlfn.IFNA(VLOOKUP(C453,Master!$J:$K,2,0),"")</f>
        <v>B2220</v>
      </c>
      <c r="C453" s="46" t="s">
        <v>83</v>
      </c>
      <c r="D453" s="4" t="str">
        <f>_xlfn.IFNA(VLOOKUP(E453,Master!$J:$K,2,0),"")</f>
        <v>B4430</v>
      </c>
      <c r="E453" s="46" t="s">
        <v>193</v>
      </c>
      <c r="F453" s="4">
        <f>_xlfn.IFNA(VLOOKUP(G453,Master!B:C,2,0),"")</f>
        <v>7514101</v>
      </c>
      <c r="G453" s="46" t="s">
        <v>114</v>
      </c>
      <c r="H453" s="46" t="s">
        <v>546</v>
      </c>
      <c r="I453" s="3" t="str">
        <f>_xlfn.IFNA(VLOOKUP(E453,Master!$J:$M,4,0),"")</f>
        <v>DIR</v>
      </c>
      <c r="J453" s="3" t="str">
        <f>_xlfn.IFNA(VLOOKUP($E453,Master!$J:$M,3,0),"")</f>
        <v>MFG</v>
      </c>
      <c r="M453" s="50">
        <v>8874800</v>
      </c>
      <c r="N453" s="50">
        <v>9501700</v>
      </c>
      <c r="O453" s="50">
        <v>9461500</v>
      </c>
      <c r="P453" s="50">
        <v>9401300</v>
      </c>
      <c r="Q453" s="50">
        <v>9341000</v>
      </c>
      <c r="R453" s="50">
        <v>9421400</v>
      </c>
      <c r="S453" s="50">
        <v>9401300</v>
      </c>
      <c r="T453" s="50">
        <v>9481600</v>
      </c>
      <c r="U453" s="50">
        <v>9461500</v>
      </c>
      <c r="V453" s="50">
        <v>9421400</v>
      </c>
      <c r="W453" s="50">
        <v>9481600</v>
      </c>
      <c r="X453" s="50">
        <v>9441400</v>
      </c>
      <c r="Y453" s="50">
        <v>9421400</v>
      </c>
      <c r="AC453" s="26">
        <f t="shared" si="14"/>
        <v>37239300</v>
      </c>
      <c r="AD453" s="26">
        <f t="shared" si="15"/>
        <v>84872600</v>
      </c>
      <c r="AG453" s="53" t="s">
        <v>55</v>
      </c>
    </row>
    <row r="454" spans="1:33" ht="15" customHeight="1">
      <c r="A454" s="46" t="s">
        <v>91</v>
      </c>
      <c r="B454" s="3" t="str">
        <f>_xlfn.IFNA(VLOOKUP(C454,Master!$J:$K,2,0),"")</f>
        <v>B2220</v>
      </c>
      <c r="C454" s="46" t="s">
        <v>83</v>
      </c>
      <c r="D454" s="4" t="str">
        <f>_xlfn.IFNA(VLOOKUP(E454,Master!$J:$K,2,0),"")</f>
        <v>B4440</v>
      </c>
      <c r="E454" s="46" t="s">
        <v>198</v>
      </c>
      <c r="F454" s="4">
        <f>_xlfn.IFNA(VLOOKUP(G454,Master!B:C,2,0),"")</f>
        <v>7514101</v>
      </c>
      <c r="G454" s="46" t="s">
        <v>114</v>
      </c>
      <c r="H454" s="46" t="s">
        <v>546</v>
      </c>
      <c r="I454" s="3" t="str">
        <f>_xlfn.IFNA(VLOOKUP(E454,Master!$J:$M,4,0),"")</f>
        <v>DIR</v>
      </c>
      <c r="J454" s="3" t="str">
        <f>_xlfn.IFNA(VLOOKUP($E454,Master!$J:$M,3,0),"")</f>
        <v>MFG</v>
      </c>
      <c r="M454" s="50">
        <v>9289500</v>
      </c>
      <c r="N454" s="50">
        <v>9913600</v>
      </c>
      <c r="O454" s="50">
        <v>7235000</v>
      </c>
      <c r="P454" s="50">
        <v>7235000</v>
      </c>
      <c r="Q454" s="50">
        <v>7235000</v>
      </c>
      <c r="R454" s="50">
        <v>7235000</v>
      </c>
      <c r="S454" s="50">
        <v>7235000</v>
      </c>
      <c r="T454" s="50">
        <v>7235000</v>
      </c>
      <c r="U454" s="50">
        <v>7235000</v>
      </c>
      <c r="V454" s="50">
        <v>7235000</v>
      </c>
      <c r="W454" s="50">
        <v>7235000</v>
      </c>
      <c r="X454" s="50">
        <v>7235000</v>
      </c>
      <c r="Y454" s="50">
        <v>4842700</v>
      </c>
      <c r="AC454" s="26">
        <f t="shared" si="14"/>
        <v>33673100</v>
      </c>
      <c r="AD454" s="26">
        <f t="shared" si="15"/>
        <v>62722700</v>
      </c>
      <c r="AG454" s="53" t="s">
        <v>55</v>
      </c>
    </row>
    <row r="455" spans="1:33" ht="15" customHeight="1">
      <c r="A455" s="46" t="s">
        <v>91</v>
      </c>
      <c r="B455" s="3" t="str">
        <f>_xlfn.IFNA(VLOOKUP(C455,Master!$J:$K,2,0),"")</f>
        <v>B2220</v>
      </c>
      <c r="C455" s="46" t="s">
        <v>83</v>
      </c>
      <c r="D455" s="4" t="str">
        <f>_xlfn.IFNA(VLOOKUP(E455,Master!$J:$K,2,0),"")</f>
        <v>B5100</v>
      </c>
      <c r="E455" s="46" t="s">
        <v>211</v>
      </c>
      <c r="F455" s="4">
        <f>_xlfn.IFNA(VLOOKUP(G455,Master!B:C,2,0),"")</f>
        <v>7514101</v>
      </c>
      <c r="G455" s="46" t="s">
        <v>114</v>
      </c>
      <c r="H455" s="46" t="s">
        <v>546</v>
      </c>
      <c r="I455" s="3" t="str">
        <f>_xlfn.IFNA(VLOOKUP(E455,Master!$J:$M,4,0),"")</f>
        <v>IND</v>
      </c>
      <c r="J455" s="3" t="str">
        <f>_xlfn.IFNA(VLOOKUP($E455,Master!$J:$M,3,0),"")</f>
        <v>MFG</v>
      </c>
      <c r="M455" s="50">
        <v>24629400</v>
      </c>
      <c r="N455" s="50">
        <v>26353500</v>
      </c>
      <c r="O455" s="50">
        <v>26353500</v>
      </c>
      <c r="P455" s="50">
        <v>26353500</v>
      </c>
      <c r="Q455" s="50">
        <v>26353500</v>
      </c>
      <c r="R455" s="50">
        <v>26353500</v>
      </c>
      <c r="S455" s="50">
        <v>26353500</v>
      </c>
      <c r="T455" s="50">
        <v>26353500</v>
      </c>
      <c r="U455" s="50">
        <v>26353500</v>
      </c>
      <c r="V455" s="50">
        <v>26353500</v>
      </c>
      <c r="W455" s="50">
        <v>26353500</v>
      </c>
      <c r="X455" s="50">
        <v>26353500</v>
      </c>
      <c r="Y455" s="50">
        <v>26353500</v>
      </c>
      <c r="Z455" s="50">
        <v>28198300</v>
      </c>
      <c r="AA455" s="50">
        <v>28198300</v>
      </c>
      <c r="AB455" s="50">
        <v>28198300</v>
      </c>
      <c r="AC455" s="26">
        <f t="shared" si="14"/>
        <v>103689900</v>
      </c>
      <c r="AD455" s="26">
        <f t="shared" si="15"/>
        <v>321776400</v>
      </c>
      <c r="AE455" s="50">
        <v>344301300</v>
      </c>
      <c r="AF455" s="50">
        <v>368402400</v>
      </c>
      <c r="AG455" s="53" t="s">
        <v>55</v>
      </c>
    </row>
    <row r="456" spans="1:33" ht="15" customHeight="1">
      <c r="A456" s="46" t="s">
        <v>91</v>
      </c>
      <c r="B456" s="3" t="str">
        <f>_xlfn.IFNA(VLOOKUP(C456,Master!$J:$K,2,0),"")</f>
        <v>B2220</v>
      </c>
      <c r="C456" s="46" t="s">
        <v>83</v>
      </c>
      <c r="D456" s="4" t="str">
        <f>_xlfn.IFNA(VLOOKUP(E456,Master!$J:$K,2,0),"")</f>
        <v>B5101</v>
      </c>
      <c r="E456" s="46" t="s">
        <v>216</v>
      </c>
      <c r="F456" s="4">
        <f>_xlfn.IFNA(VLOOKUP(G456,Master!B:C,2,0),"")</f>
        <v>7514101</v>
      </c>
      <c r="G456" s="46" t="s">
        <v>114</v>
      </c>
      <c r="H456" s="46" t="s">
        <v>546</v>
      </c>
      <c r="I456" s="3" t="str">
        <f>_xlfn.IFNA(VLOOKUP(E456,Master!$J:$M,4,0),"")</f>
        <v>IND</v>
      </c>
      <c r="J456" s="3" t="str">
        <f>_xlfn.IFNA(VLOOKUP($E456,Master!$J:$M,3,0),"")</f>
        <v>MFG</v>
      </c>
      <c r="M456" s="50">
        <v>13458600</v>
      </c>
      <c r="N456" s="50">
        <v>19953500</v>
      </c>
      <c r="O456" s="50">
        <v>19456500</v>
      </c>
      <c r="P456" s="50">
        <v>18711000</v>
      </c>
      <c r="Q456" s="50">
        <v>17776900</v>
      </c>
      <c r="R456" s="50">
        <v>18779500</v>
      </c>
      <c r="S456" s="50">
        <v>18528900</v>
      </c>
      <c r="T456" s="50">
        <v>19531400</v>
      </c>
      <c r="U456" s="50">
        <v>19280800</v>
      </c>
      <c r="V456" s="50">
        <v>18779500</v>
      </c>
      <c r="W456" s="50">
        <v>19673500</v>
      </c>
      <c r="X456" s="50">
        <v>19172200</v>
      </c>
      <c r="Y456" s="50">
        <v>18921600</v>
      </c>
      <c r="Z456" s="50">
        <v>20638900</v>
      </c>
      <c r="AA456" s="50">
        <v>20112600</v>
      </c>
      <c r="AB456" s="50">
        <v>19323200</v>
      </c>
      <c r="AC456" s="26">
        <f t="shared" si="14"/>
        <v>71579600</v>
      </c>
      <c r="AD456" s="26">
        <f t="shared" si="15"/>
        <v>230519000</v>
      </c>
      <c r="AE456" s="50">
        <v>255721700</v>
      </c>
      <c r="AF456" s="50">
        <v>284159000</v>
      </c>
      <c r="AG456" s="53" t="s">
        <v>55</v>
      </c>
    </row>
    <row r="457" spans="1:33" ht="15" customHeight="1">
      <c r="A457" s="46" t="s">
        <v>91</v>
      </c>
      <c r="B457" s="3" t="str">
        <f>_xlfn.IFNA(VLOOKUP(C457,Master!$J:$K,2,0),"")</f>
        <v>B2220</v>
      </c>
      <c r="C457" s="46" t="s">
        <v>83</v>
      </c>
      <c r="D457" s="4" t="str">
        <f>_xlfn.IFNA(VLOOKUP(E457,Master!$J:$K,2,0),"")</f>
        <v>B5130</v>
      </c>
      <c r="E457" s="46" t="s">
        <v>247</v>
      </c>
      <c r="F457" s="4">
        <f>_xlfn.IFNA(VLOOKUP(G457,Master!B:C,2,0),"")</f>
        <v>7514101</v>
      </c>
      <c r="G457" s="46" t="s">
        <v>114</v>
      </c>
      <c r="H457" s="46" t="s">
        <v>546</v>
      </c>
      <c r="I457" s="3" t="str">
        <f>_xlfn.IFNA(VLOOKUP(E457,Master!$J:$M,4,0),"")</f>
        <v>IND</v>
      </c>
      <c r="J457" s="3" t="str">
        <f>_xlfn.IFNA(VLOOKUP($E457,Master!$J:$M,3,0),"")</f>
        <v>MFG</v>
      </c>
      <c r="M457" s="50">
        <v>28171200</v>
      </c>
      <c r="N457" s="50">
        <v>30086500</v>
      </c>
      <c r="O457" s="50">
        <v>30086500</v>
      </c>
      <c r="P457" s="50">
        <v>30086500</v>
      </c>
      <c r="Q457" s="50">
        <v>30086500</v>
      </c>
      <c r="R457" s="50">
        <v>30086500</v>
      </c>
      <c r="S457" s="50">
        <v>30086500</v>
      </c>
      <c r="T457" s="50">
        <v>30086500</v>
      </c>
      <c r="U457" s="50">
        <v>30086500</v>
      </c>
      <c r="V457" s="50">
        <v>30086500</v>
      </c>
      <c r="W457" s="50">
        <v>30086500</v>
      </c>
      <c r="X457" s="50">
        <v>30086500</v>
      </c>
      <c r="Y457" s="50">
        <v>30086500</v>
      </c>
      <c r="Z457" s="50">
        <v>29764600</v>
      </c>
      <c r="AA457" s="50">
        <v>29764600</v>
      </c>
      <c r="AB457" s="50">
        <v>29764600</v>
      </c>
      <c r="AC457" s="26">
        <f t="shared" si="14"/>
        <v>118430700</v>
      </c>
      <c r="AD457" s="26">
        <f t="shared" si="15"/>
        <v>360072300</v>
      </c>
      <c r="AE457" s="50">
        <v>356412300</v>
      </c>
      <c r="AF457" s="50">
        <v>360182400</v>
      </c>
      <c r="AG457" s="53" t="s">
        <v>55</v>
      </c>
    </row>
    <row r="458" spans="1:33" ht="15" customHeight="1">
      <c r="A458" s="46" t="s">
        <v>91</v>
      </c>
      <c r="B458" s="3" t="str">
        <f>_xlfn.IFNA(VLOOKUP(C458,Master!$J:$K,2,0),"")</f>
        <v>B2220</v>
      </c>
      <c r="C458" s="46" t="s">
        <v>83</v>
      </c>
      <c r="D458" s="4" t="str">
        <f>_xlfn.IFNA(VLOOKUP(E458,Master!$J:$K,2,0),"")</f>
        <v>B5200</v>
      </c>
      <c r="E458" s="46" t="s">
        <v>253</v>
      </c>
      <c r="F458" s="4">
        <f>_xlfn.IFNA(VLOOKUP(G458,Master!B:C,2,0),"")</f>
        <v>7514101</v>
      </c>
      <c r="G458" s="46" t="s">
        <v>114</v>
      </c>
      <c r="H458" s="46" t="s">
        <v>546</v>
      </c>
      <c r="I458" s="3" t="str">
        <f>_xlfn.IFNA(VLOOKUP(E458,Master!$J:$M,4,0),"")</f>
        <v>IND</v>
      </c>
      <c r="J458" s="3" t="str">
        <f>_xlfn.IFNA(VLOOKUP($E458,Master!$J:$M,3,0),"")</f>
        <v>MFG</v>
      </c>
      <c r="M458" s="50">
        <v>4659300</v>
      </c>
      <c r="N458" s="50">
        <v>4988900</v>
      </c>
      <c r="O458" s="50">
        <v>4964800</v>
      </c>
      <c r="P458" s="50">
        <v>4928600</v>
      </c>
      <c r="Q458" s="50">
        <v>5043500</v>
      </c>
      <c r="R458" s="50">
        <v>5091700</v>
      </c>
      <c r="S458" s="50">
        <v>5079700</v>
      </c>
      <c r="T458" s="50">
        <v>5127900</v>
      </c>
      <c r="U458" s="50">
        <v>5115800</v>
      </c>
      <c r="V458" s="50">
        <v>5091700</v>
      </c>
      <c r="W458" s="50">
        <v>5127900</v>
      </c>
      <c r="X458" s="50">
        <v>5103800</v>
      </c>
      <c r="Y458" s="50">
        <v>5091700</v>
      </c>
      <c r="Z458" s="50">
        <v>5454100</v>
      </c>
      <c r="AA458" s="50">
        <v>5428800</v>
      </c>
      <c r="AB458" s="50">
        <v>5390900</v>
      </c>
      <c r="AC458" s="26">
        <f t="shared" si="14"/>
        <v>19541600</v>
      </c>
      <c r="AD458" s="26">
        <f t="shared" si="15"/>
        <v>62147500</v>
      </c>
      <c r="AE458" s="50">
        <v>66140400</v>
      </c>
      <c r="AF458" s="50">
        <v>70519600</v>
      </c>
      <c r="AG458" s="53" t="s">
        <v>55</v>
      </c>
    </row>
    <row r="459" spans="1:33" ht="15" customHeight="1">
      <c r="A459" s="46" t="s">
        <v>91</v>
      </c>
      <c r="B459" s="3" t="str">
        <f>_xlfn.IFNA(VLOOKUP(C459,Master!$J:$K,2,0),"")</f>
        <v>B2220</v>
      </c>
      <c r="C459" s="46" t="s">
        <v>83</v>
      </c>
      <c r="D459" s="4" t="str">
        <f>_xlfn.IFNA(VLOOKUP(E459,Master!$J:$K,2,0),"")</f>
        <v>B5500</v>
      </c>
      <c r="E459" s="46" t="s">
        <v>236</v>
      </c>
      <c r="F459" s="4">
        <f>_xlfn.IFNA(VLOOKUP(G459,Master!B:C,2,0),"")</f>
        <v>7514101</v>
      </c>
      <c r="G459" s="46" t="s">
        <v>114</v>
      </c>
      <c r="H459" s="46" t="s">
        <v>546</v>
      </c>
      <c r="I459" s="3" t="str">
        <f>_xlfn.IFNA(VLOOKUP(E459,Master!$J:$M,4,0),"")</f>
        <v>IND</v>
      </c>
      <c r="J459" s="3" t="str">
        <f>_xlfn.IFNA(VLOOKUP($E459,Master!$J:$M,3,0),"")</f>
        <v>MFG</v>
      </c>
      <c r="M459" s="50">
        <v>17642100</v>
      </c>
      <c r="N459" s="50">
        <v>20014900</v>
      </c>
      <c r="O459" s="50">
        <v>20014900</v>
      </c>
      <c r="P459" s="50">
        <v>20014900</v>
      </c>
      <c r="Q459" s="50">
        <v>26288800</v>
      </c>
      <c r="R459" s="50">
        <v>26288800</v>
      </c>
      <c r="S459" s="50">
        <v>26288800</v>
      </c>
      <c r="T459" s="50">
        <v>26288800</v>
      </c>
      <c r="U459" s="50">
        <v>26288800</v>
      </c>
      <c r="V459" s="50">
        <v>26288800</v>
      </c>
      <c r="W459" s="50">
        <v>27871500</v>
      </c>
      <c r="X459" s="50">
        <v>27871500</v>
      </c>
      <c r="Y459" s="50">
        <v>27871500</v>
      </c>
      <c r="Z459" s="50">
        <v>29743100</v>
      </c>
      <c r="AA459" s="50">
        <v>29743100</v>
      </c>
      <c r="AB459" s="50">
        <v>29743100</v>
      </c>
      <c r="AC459" s="26">
        <f t="shared" si="14"/>
        <v>77686800</v>
      </c>
      <c r="AD459" s="26">
        <f t="shared" si="15"/>
        <v>330576600</v>
      </c>
      <c r="AE459" s="50">
        <v>354876000</v>
      </c>
      <c r="AF459" s="50">
        <v>367559700</v>
      </c>
      <c r="AG459" s="53" t="s">
        <v>55</v>
      </c>
    </row>
    <row r="460" spans="1:33" ht="15" customHeight="1">
      <c r="A460" s="46" t="s">
        <v>91</v>
      </c>
      <c r="B460" s="3" t="str">
        <f>_xlfn.IFNA(VLOOKUP(C460,Master!$J:$K,2,0),"")</f>
        <v>B2220</v>
      </c>
      <c r="C460" s="46" t="s">
        <v>83</v>
      </c>
      <c r="D460" s="4" t="str">
        <f>_xlfn.IFNA(VLOOKUP(E460,Master!$J:$K,2,0),"")</f>
        <v>B5600</v>
      </c>
      <c r="E460" s="46" t="s">
        <v>241</v>
      </c>
      <c r="F460" s="4">
        <f>_xlfn.IFNA(VLOOKUP(G460,Master!B:C,2,0),"")</f>
        <v>7514101</v>
      </c>
      <c r="G460" s="46" t="s">
        <v>114</v>
      </c>
      <c r="H460" s="46" t="s">
        <v>546</v>
      </c>
      <c r="I460" s="3" t="str">
        <f>_xlfn.IFNA(VLOOKUP(E460,Master!$J:$M,4,0),"")</f>
        <v>IND</v>
      </c>
      <c r="J460" s="3" t="str">
        <f>_xlfn.IFNA(VLOOKUP($E460,Master!$J:$M,3,0),"")</f>
        <v>MFG</v>
      </c>
      <c r="M460" s="50">
        <v>23765000</v>
      </c>
      <c r="N460" s="50">
        <v>30987000</v>
      </c>
      <c r="O460" s="50">
        <v>30449800</v>
      </c>
      <c r="P460" s="50">
        <v>29644000</v>
      </c>
      <c r="Q460" s="50">
        <v>29141000</v>
      </c>
      <c r="R460" s="50">
        <v>30215400</v>
      </c>
      <c r="S460" s="50">
        <v>29946800</v>
      </c>
      <c r="T460" s="50">
        <v>31021200</v>
      </c>
      <c r="U460" s="50">
        <v>30752600</v>
      </c>
      <c r="V460" s="50">
        <v>30215400</v>
      </c>
      <c r="W460" s="50">
        <v>31021200</v>
      </c>
      <c r="X460" s="50">
        <v>30484000</v>
      </c>
      <c r="Y460" s="50">
        <v>30215400</v>
      </c>
      <c r="Z460" s="50">
        <v>32729700</v>
      </c>
      <c r="AA460" s="50">
        <v>32165800</v>
      </c>
      <c r="AB460" s="50">
        <v>31320000</v>
      </c>
      <c r="AC460" s="26">
        <f t="shared" si="14"/>
        <v>114845800</v>
      </c>
      <c r="AD460" s="26">
        <f t="shared" si="15"/>
        <v>369228500</v>
      </c>
      <c r="AE460" s="50">
        <v>394845800</v>
      </c>
      <c r="AF460" s="50">
        <v>425300600</v>
      </c>
      <c r="AG460" s="53" t="s">
        <v>55</v>
      </c>
    </row>
    <row r="461" spans="1:33" ht="15" customHeight="1">
      <c r="A461" s="46" t="s">
        <v>91</v>
      </c>
      <c r="B461" s="3" t="str">
        <f>_xlfn.IFNA(VLOOKUP(C461,Master!$J:$K,2,0),"")</f>
        <v>B2220</v>
      </c>
      <c r="C461" s="46" t="s">
        <v>83</v>
      </c>
      <c r="D461" s="4" t="str">
        <f>_xlfn.IFNA(VLOOKUP(E461,Master!$J:$K,2,0),"")</f>
        <v>B5710</v>
      </c>
      <c r="E461" s="46" t="s">
        <v>265</v>
      </c>
      <c r="F461" s="4">
        <f>_xlfn.IFNA(VLOOKUP(G461,Master!B:C,2,0),"")</f>
        <v>7514101</v>
      </c>
      <c r="G461" s="46" t="s">
        <v>114</v>
      </c>
      <c r="H461" s="46" t="s">
        <v>546</v>
      </c>
      <c r="I461" s="3" t="str">
        <f>_xlfn.IFNA(VLOOKUP(E461,Master!$J:$M,4,0),"")</f>
        <v>IND</v>
      </c>
      <c r="J461" s="3" t="str">
        <f>_xlfn.IFNA(VLOOKUP($E461,Master!$J:$M,3,0),"")</f>
        <v>MFG</v>
      </c>
      <c r="M461" s="50">
        <v>11136300</v>
      </c>
      <c r="N461" s="50">
        <v>11878400</v>
      </c>
      <c r="O461" s="50">
        <v>11878400</v>
      </c>
      <c r="P461" s="50">
        <v>11878400</v>
      </c>
      <c r="Q461" s="50">
        <v>11878400</v>
      </c>
      <c r="R461" s="50">
        <v>11878400</v>
      </c>
      <c r="S461" s="50">
        <v>11878400</v>
      </c>
      <c r="T461" s="50">
        <v>11878400</v>
      </c>
      <c r="U461" s="50">
        <v>11878400</v>
      </c>
      <c r="V461" s="50">
        <v>11878400</v>
      </c>
      <c r="W461" s="50">
        <v>11878400</v>
      </c>
      <c r="X461" s="50">
        <v>11878400</v>
      </c>
      <c r="Y461" s="50">
        <v>11878400</v>
      </c>
      <c r="Z461" s="50">
        <v>15043400</v>
      </c>
      <c r="AA461" s="50">
        <v>15043400</v>
      </c>
      <c r="AB461" s="50">
        <v>15043400</v>
      </c>
      <c r="AC461" s="26">
        <f t="shared" si="14"/>
        <v>46771500</v>
      </c>
      <c r="AD461" s="26">
        <f t="shared" si="15"/>
        <v>152035800</v>
      </c>
      <c r="AE461" s="50">
        <v>161018700</v>
      </c>
      <c r="AF461" s="50">
        <v>163981200</v>
      </c>
      <c r="AG461" s="53" t="s">
        <v>55</v>
      </c>
    </row>
    <row r="462" spans="1:33" ht="15" customHeight="1">
      <c r="A462" s="46" t="s">
        <v>91</v>
      </c>
      <c r="B462" s="3" t="str">
        <f>_xlfn.IFNA(VLOOKUP(C462,Master!$J:$K,2,0),"")</f>
        <v>B2220</v>
      </c>
      <c r="C462" s="46" t="s">
        <v>83</v>
      </c>
      <c r="D462" s="4" t="str">
        <f>_xlfn.IFNA(VLOOKUP(E462,Master!$J:$K,2,0),"")</f>
        <v>B5800</v>
      </c>
      <c r="E462" s="46" t="s">
        <v>226</v>
      </c>
      <c r="F462" s="4">
        <f>_xlfn.IFNA(VLOOKUP(G462,Master!B:C,2,0),"")</f>
        <v>7514101</v>
      </c>
      <c r="G462" s="46" t="s">
        <v>114</v>
      </c>
      <c r="H462" s="46" t="s">
        <v>546</v>
      </c>
      <c r="I462" s="3" t="str">
        <f>_xlfn.IFNA(VLOOKUP(E462,Master!$J:$M,4,0),"")</f>
        <v>IND</v>
      </c>
      <c r="J462" s="3" t="str">
        <f>_xlfn.IFNA(VLOOKUP($E462,Master!$J:$M,3,0),"")</f>
        <v>MFG</v>
      </c>
      <c r="M462" s="50">
        <v>22927700</v>
      </c>
      <c r="N462" s="50">
        <v>24491400</v>
      </c>
      <c r="O462" s="50">
        <v>24491400</v>
      </c>
      <c r="P462" s="50">
        <v>24491400</v>
      </c>
      <c r="Q462" s="50">
        <v>24643000</v>
      </c>
      <c r="R462" s="50">
        <v>24643000</v>
      </c>
      <c r="S462" s="50">
        <v>24643000</v>
      </c>
      <c r="T462" s="50">
        <v>24643000</v>
      </c>
      <c r="U462" s="50">
        <v>24643000</v>
      </c>
      <c r="V462" s="50">
        <v>24643000</v>
      </c>
      <c r="W462" s="50">
        <v>24643000</v>
      </c>
      <c r="X462" s="50">
        <v>24643000</v>
      </c>
      <c r="Y462" s="50">
        <v>24643000</v>
      </c>
      <c r="Z462" s="50">
        <v>26326700</v>
      </c>
      <c r="AA462" s="50">
        <v>26326700</v>
      </c>
      <c r="AB462" s="50">
        <v>26326700</v>
      </c>
      <c r="AC462" s="26">
        <f t="shared" si="14"/>
        <v>96401900</v>
      </c>
      <c r="AD462" s="26">
        <f t="shared" si="15"/>
        <v>300767100</v>
      </c>
      <c r="AE462" s="50">
        <v>321324900</v>
      </c>
      <c r="AF462" s="50">
        <v>316923100</v>
      </c>
      <c r="AG462" s="53" t="s">
        <v>55</v>
      </c>
    </row>
    <row r="463" spans="1:33" ht="15" customHeight="1">
      <c r="A463" s="46" t="s">
        <v>91</v>
      </c>
      <c r="B463" s="3" t="str">
        <f>_xlfn.IFNA(VLOOKUP(C463,Master!$J:$K,2,0),"")</f>
        <v>B2220</v>
      </c>
      <c r="C463" s="46" t="s">
        <v>83</v>
      </c>
      <c r="D463" s="4" t="str">
        <f>_xlfn.IFNA(VLOOKUP(E463,Master!$J:$K,2,0),"")</f>
        <v>B5900</v>
      </c>
      <c r="E463" s="46" t="s">
        <v>231</v>
      </c>
      <c r="F463" s="4">
        <f>_xlfn.IFNA(VLOOKUP(G463,Master!B:C,2,0),"")</f>
        <v>7514101</v>
      </c>
      <c r="G463" s="46" t="s">
        <v>114</v>
      </c>
      <c r="H463" s="46" t="s">
        <v>546</v>
      </c>
      <c r="I463" s="3" t="str">
        <f>_xlfn.IFNA(VLOOKUP(E463,Master!$J:$M,4,0),"")</f>
        <v>IND</v>
      </c>
      <c r="J463" s="3" t="str">
        <f>_xlfn.IFNA(VLOOKUP($E463,Master!$J:$M,3,0),"")</f>
        <v>MFG</v>
      </c>
      <c r="M463" s="50">
        <v>22598100</v>
      </c>
      <c r="N463" s="50">
        <v>24255000</v>
      </c>
      <c r="O463" s="50">
        <v>24145400</v>
      </c>
      <c r="P463" s="50">
        <v>23981000</v>
      </c>
      <c r="Q463" s="50">
        <v>23816600</v>
      </c>
      <c r="R463" s="50">
        <v>24035800</v>
      </c>
      <c r="S463" s="50">
        <v>23981000</v>
      </c>
      <c r="T463" s="50">
        <v>24200200</v>
      </c>
      <c r="U463" s="50">
        <v>24145400</v>
      </c>
      <c r="V463" s="50">
        <v>24035800</v>
      </c>
      <c r="W463" s="50">
        <v>24200200</v>
      </c>
      <c r="X463" s="50">
        <v>24090600</v>
      </c>
      <c r="Y463" s="50">
        <v>24035800</v>
      </c>
      <c r="Z463" s="50">
        <v>25753200</v>
      </c>
      <c r="AA463" s="50">
        <v>25638300</v>
      </c>
      <c r="AB463" s="50">
        <v>25466000</v>
      </c>
      <c r="AC463" s="26">
        <f t="shared" si="14"/>
        <v>94979500</v>
      </c>
      <c r="AD463" s="26">
        <f t="shared" si="15"/>
        <v>293398900</v>
      </c>
      <c r="AE463" s="50">
        <v>315419400</v>
      </c>
      <c r="AF463" s="50">
        <v>308430400</v>
      </c>
      <c r="AG463" s="53" t="s">
        <v>55</v>
      </c>
    </row>
    <row r="464" spans="1:33" ht="15" customHeight="1">
      <c r="A464" s="46" t="s">
        <v>91</v>
      </c>
      <c r="B464" s="3" t="str">
        <f>_xlfn.IFNA(VLOOKUP(C464,Master!$J:$K,2,0),"")</f>
        <v>B2220</v>
      </c>
      <c r="C464" s="46" t="s">
        <v>83</v>
      </c>
      <c r="D464" s="4" t="str">
        <f>_xlfn.IFNA(VLOOKUP(E464,Master!$J:$K,2,0),"")</f>
        <v>B2210</v>
      </c>
      <c r="E464" s="46" t="s">
        <v>78</v>
      </c>
      <c r="F464" s="4">
        <f>_xlfn.IFNA(VLOOKUP(G464,Master!B:C,2,0),"")</f>
        <v>7514102</v>
      </c>
      <c r="G464" s="46" t="s">
        <v>119</v>
      </c>
      <c r="H464" s="46" t="s">
        <v>547</v>
      </c>
      <c r="I464" s="3" t="str">
        <f>_xlfn.IFNA(VLOOKUP(E464,Master!$J:$M,4,0),"")</f>
        <v>ADM</v>
      </c>
      <c r="J464" s="3" t="str">
        <f>_xlfn.IFNA(VLOOKUP($E464,Master!$J:$M,3,0),"")</f>
        <v>SGA</v>
      </c>
      <c r="M464" s="50">
        <v>12420900</v>
      </c>
      <c r="N464" s="50">
        <v>13251600</v>
      </c>
      <c r="O464" s="50">
        <v>13251600</v>
      </c>
      <c r="P464" s="50">
        <v>13251600</v>
      </c>
      <c r="Q464" s="50">
        <v>13389800</v>
      </c>
      <c r="R464" s="50">
        <v>12670800</v>
      </c>
      <c r="S464" s="50">
        <v>12670800</v>
      </c>
      <c r="T464" s="50">
        <v>11959700</v>
      </c>
      <c r="U464" s="50">
        <v>11959700</v>
      </c>
      <c r="V464" s="50">
        <v>11959700</v>
      </c>
      <c r="W464" s="50">
        <v>12031200</v>
      </c>
      <c r="X464" s="50">
        <v>12031200</v>
      </c>
      <c r="Y464" s="50">
        <v>11276200</v>
      </c>
      <c r="Z464" s="50">
        <v>12148600</v>
      </c>
      <c r="AA464" s="50">
        <v>12148600</v>
      </c>
      <c r="AB464" s="50">
        <v>12148600</v>
      </c>
      <c r="AC464" s="26">
        <f t="shared" si="14"/>
        <v>52175700</v>
      </c>
      <c r="AD464" s="26">
        <f t="shared" si="15"/>
        <v>146394900</v>
      </c>
      <c r="AE464" s="50">
        <v>160659300</v>
      </c>
      <c r="AF464" s="50">
        <v>144387200</v>
      </c>
      <c r="AG464" s="53" t="s">
        <v>55</v>
      </c>
    </row>
    <row r="465" spans="1:33" ht="15" customHeight="1">
      <c r="A465" s="46" t="s">
        <v>91</v>
      </c>
      <c r="B465" s="3" t="str">
        <f>_xlfn.IFNA(VLOOKUP(C465,Master!$J:$K,2,0),"")</f>
        <v>B2220</v>
      </c>
      <c r="C465" s="46" t="s">
        <v>83</v>
      </c>
      <c r="D465" s="4" t="str">
        <f>_xlfn.IFNA(VLOOKUP(E465,Master!$J:$K,2,0),"")</f>
        <v>B2220</v>
      </c>
      <c r="E465" s="46" t="s">
        <v>83</v>
      </c>
      <c r="F465" s="4">
        <f>_xlfn.IFNA(VLOOKUP(G465,Master!B:C,2,0),"")</f>
        <v>7514102</v>
      </c>
      <c r="G465" s="46" t="s">
        <v>119</v>
      </c>
      <c r="H465" s="46" t="s">
        <v>547</v>
      </c>
      <c r="I465" s="3" t="str">
        <f>_xlfn.IFNA(VLOOKUP(E465,Master!$J:$M,4,0),"")</f>
        <v>ADM</v>
      </c>
      <c r="J465" s="3" t="str">
        <f>_xlfn.IFNA(VLOOKUP($E465,Master!$J:$M,3,0),"")</f>
        <v>SGA</v>
      </c>
      <c r="M465" s="50">
        <v>4883100</v>
      </c>
      <c r="N465" s="50">
        <v>5217000</v>
      </c>
      <c r="O465" s="50">
        <v>7167000</v>
      </c>
      <c r="P465" s="50">
        <v>7167000</v>
      </c>
      <c r="Q465" s="50">
        <v>7767600</v>
      </c>
      <c r="R465" s="50">
        <v>7767600</v>
      </c>
      <c r="S465" s="50">
        <v>7767600</v>
      </c>
      <c r="T465" s="50">
        <v>7767600</v>
      </c>
      <c r="U465" s="50">
        <v>7767600</v>
      </c>
      <c r="V465" s="50">
        <v>7767600</v>
      </c>
      <c r="W465" s="50">
        <v>7833500</v>
      </c>
      <c r="X465" s="50">
        <v>7833500</v>
      </c>
      <c r="Y465" s="50">
        <v>7833500</v>
      </c>
      <c r="Z465" s="50">
        <v>8360200</v>
      </c>
      <c r="AA465" s="50">
        <v>8360200</v>
      </c>
      <c r="AB465" s="50">
        <v>8360200</v>
      </c>
      <c r="AC465" s="26">
        <f t="shared" si="14"/>
        <v>24434100</v>
      </c>
      <c r="AD465" s="26">
        <f t="shared" si="15"/>
        <v>95186700</v>
      </c>
      <c r="AE465" s="50">
        <v>102012900</v>
      </c>
      <c r="AF465" s="50">
        <v>108893100</v>
      </c>
      <c r="AG465" s="53" t="s">
        <v>55</v>
      </c>
    </row>
    <row r="466" spans="1:33" ht="15" customHeight="1">
      <c r="A466" s="46" t="s">
        <v>91</v>
      </c>
      <c r="B466" s="3" t="str">
        <f>_xlfn.IFNA(VLOOKUP(C466,Master!$J:$K,2,0),"")</f>
        <v>B2220</v>
      </c>
      <c r="C466" s="46" t="s">
        <v>83</v>
      </c>
      <c r="D466" s="4" t="str">
        <f>_xlfn.IFNA(VLOOKUP(E466,Master!$J:$K,2,0),"")</f>
        <v>B2230</v>
      </c>
      <c r="E466" s="46" t="s">
        <v>89</v>
      </c>
      <c r="F466" s="4">
        <f>_xlfn.IFNA(VLOOKUP(G466,Master!B:C,2,0),"")</f>
        <v>7514102</v>
      </c>
      <c r="G466" s="46" t="s">
        <v>119</v>
      </c>
      <c r="H466" s="46" t="s">
        <v>547</v>
      </c>
      <c r="I466" s="3" t="str">
        <f>_xlfn.IFNA(VLOOKUP(E466,Master!$J:$M,4,0),"")</f>
        <v>ADM</v>
      </c>
      <c r="J466" s="3" t="str">
        <f>_xlfn.IFNA(VLOOKUP($E466,Master!$J:$M,3,0),"")</f>
        <v>SGA</v>
      </c>
      <c r="M466" s="50">
        <v>4076800</v>
      </c>
      <c r="N466" s="50">
        <v>6538900</v>
      </c>
      <c r="O466" s="50">
        <v>6350200</v>
      </c>
      <c r="P466" s="50">
        <v>6067300</v>
      </c>
      <c r="Q466" s="50">
        <v>5784400</v>
      </c>
      <c r="R466" s="50">
        <v>6161600</v>
      </c>
      <c r="S466" s="50">
        <v>6067300</v>
      </c>
      <c r="T466" s="50">
        <v>6444600</v>
      </c>
      <c r="U466" s="50">
        <v>6350200</v>
      </c>
      <c r="V466" s="50">
        <v>6161600</v>
      </c>
      <c r="W466" s="50">
        <v>6444600</v>
      </c>
      <c r="X466" s="50">
        <v>6255900</v>
      </c>
      <c r="Y466" s="50">
        <v>6161600</v>
      </c>
      <c r="Z466" s="50">
        <v>6744100</v>
      </c>
      <c r="AA466" s="50">
        <v>6546000</v>
      </c>
      <c r="AB466" s="50">
        <v>6249000</v>
      </c>
      <c r="AC466" s="26">
        <f t="shared" si="14"/>
        <v>23033200</v>
      </c>
      <c r="AD466" s="26">
        <f t="shared" si="15"/>
        <v>75370900</v>
      </c>
      <c r="AE466" s="50">
        <v>79082300</v>
      </c>
      <c r="AF466" s="50">
        <v>84841600</v>
      </c>
      <c r="AG466" s="53" t="s">
        <v>55</v>
      </c>
    </row>
    <row r="467" spans="1:33" ht="15" customHeight="1">
      <c r="A467" s="46" t="s">
        <v>91</v>
      </c>
      <c r="B467" s="3" t="str">
        <f>_xlfn.IFNA(VLOOKUP(C467,Master!$J:$K,2,0),"")</f>
        <v>B2220</v>
      </c>
      <c r="C467" s="46" t="s">
        <v>83</v>
      </c>
      <c r="D467" s="4" t="str">
        <f>_xlfn.IFNA(VLOOKUP(E467,Master!$J:$K,2,0),"")</f>
        <v>B2300</v>
      </c>
      <c r="E467" s="46" t="s">
        <v>95</v>
      </c>
      <c r="F467" s="4">
        <f>_xlfn.IFNA(VLOOKUP(G467,Master!B:C,2,0),"")</f>
        <v>7514102</v>
      </c>
      <c r="G467" s="46" t="s">
        <v>119</v>
      </c>
      <c r="H467" s="46" t="s">
        <v>547</v>
      </c>
      <c r="I467" s="3" t="str">
        <f>_xlfn.IFNA(VLOOKUP(E467,Master!$J:$M,4,0),"")</f>
        <v>ADM</v>
      </c>
      <c r="J467" s="3" t="str">
        <f>_xlfn.IFNA(VLOOKUP($E467,Master!$J:$M,3,0),"")</f>
        <v>SGA</v>
      </c>
      <c r="M467" s="50">
        <v>9516000</v>
      </c>
      <c r="N467" s="50">
        <v>10167900</v>
      </c>
      <c r="O467" s="50">
        <v>10167900</v>
      </c>
      <c r="P467" s="50">
        <v>10167900</v>
      </c>
      <c r="Q467" s="50">
        <v>10583900</v>
      </c>
      <c r="R467" s="50">
        <v>10583900</v>
      </c>
      <c r="S467" s="50">
        <v>10583900</v>
      </c>
      <c r="T467" s="50">
        <v>10583900</v>
      </c>
      <c r="U467" s="50">
        <v>10583900</v>
      </c>
      <c r="V467" s="50">
        <v>10583900</v>
      </c>
      <c r="W467" s="50">
        <v>10583900</v>
      </c>
      <c r="X467" s="50">
        <v>10583900</v>
      </c>
      <c r="Y467" s="50">
        <v>10583900</v>
      </c>
      <c r="Z467" s="50">
        <v>11298000</v>
      </c>
      <c r="AA467" s="50">
        <v>11298000</v>
      </c>
      <c r="AB467" s="50">
        <v>11298000</v>
      </c>
      <c r="AC467" s="26">
        <f t="shared" si="14"/>
        <v>40019700</v>
      </c>
      <c r="AD467" s="26">
        <f t="shared" si="15"/>
        <v>129149100</v>
      </c>
      <c r="AE467" s="50">
        <v>140439300</v>
      </c>
      <c r="AF467" s="50">
        <v>150074100</v>
      </c>
      <c r="AG467" s="53" t="s">
        <v>55</v>
      </c>
    </row>
    <row r="468" spans="1:33" ht="15" customHeight="1">
      <c r="A468" s="46" t="s">
        <v>91</v>
      </c>
      <c r="B468" s="3" t="str">
        <f>_xlfn.IFNA(VLOOKUP(C468,Master!$J:$K,2,0),"")</f>
        <v>B2220</v>
      </c>
      <c r="C468" s="46" t="s">
        <v>83</v>
      </c>
      <c r="D468" s="4" t="str">
        <f>_xlfn.IFNA(VLOOKUP(E468,Master!$J:$K,2,0),"")</f>
        <v>B2400</v>
      </c>
      <c r="E468" s="46" t="s">
        <v>101</v>
      </c>
      <c r="F468" s="4">
        <f>_xlfn.IFNA(VLOOKUP(G468,Master!B:C,2,0),"")</f>
        <v>7514102</v>
      </c>
      <c r="G468" s="46" t="s">
        <v>119</v>
      </c>
      <c r="H468" s="46" t="s">
        <v>547</v>
      </c>
      <c r="I468" s="3" t="str">
        <f>_xlfn.IFNA(VLOOKUP(E468,Master!$J:$M,4,0),"")</f>
        <v>ADM</v>
      </c>
      <c r="J468" s="3" t="str">
        <f>_xlfn.IFNA(VLOOKUP($E468,Master!$J:$M,3,0),"")</f>
        <v>SGA</v>
      </c>
      <c r="M468" s="50">
        <v>4376200</v>
      </c>
      <c r="N468" s="50">
        <v>6883400</v>
      </c>
      <c r="O468" s="50">
        <v>6689600</v>
      </c>
      <c r="P468" s="50">
        <v>6398900</v>
      </c>
      <c r="Q468" s="50">
        <v>6108200</v>
      </c>
      <c r="R468" s="50">
        <v>6495800</v>
      </c>
      <c r="S468" s="50">
        <v>6398900</v>
      </c>
      <c r="T468" s="50">
        <v>6786500</v>
      </c>
      <c r="U468" s="50">
        <v>6689600</v>
      </c>
      <c r="V468" s="50">
        <v>6495800</v>
      </c>
      <c r="W468" s="50">
        <v>6786500</v>
      </c>
      <c r="X468" s="50">
        <v>6592700</v>
      </c>
      <c r="Y468" s="50">
        <v>6495800</v>
      </c>
      <c r="Z468" s="50">
        <v>7106000</v>
      </c>
      <c r="AA468" s="50">
        <v>6902500</v>
      </c>
      <c r="AB468" s="50">
        <v>6597300</v>
      </c>
      <c r="AC468" s="26">
        <f t="shared" si="14"/>
        <v>24348100</v>
      </c>
      <c r="AD468" s="26">
        <f t="shared" si="15"/>
        <v>79455600</v>
      </c>
      <c r="AE468" s="50">
        <v>83412600</v>
      </c>
      <c r="AF468" s="50">
        <v>88436100</v>
      </c>
      <c r="AG468" s="53" t="s">
        <v>55</v>
      </c>
    </row>
    <row r="469" spans="1:33" ht="15" customHeight="1">
      <c r="A469" s="46" t="s">
        <v>91</v>
      </c>
      <c r="B469" s="3" t="str">
        <f>_xlfn.IFNA(VLOOKUP(C469,Master!$J:$K,2,0),"")</f>
        <v>B2220</v>
      </c>
      <c r="C469" s="46" t="s">
        <v>83</v>
      </c>
      <c r="D469" s="4" t="str">
        <f>_xlfn.IFNA(VLOOKUP(E469,Master!$J:$K,2,0),"")</f>
        <v>B3110</v>
      </c>
      <c r="E469" s="46" t="s">
        <v>117</v>
      </c>
      <c r="F469" s="4">
        <f>_xlfn.IFNA(VLOOKUP(G469,Master!B:C,2,0),"")</f>
        <v>7514102</v>
      </c>
      <c r="G469" s="46" t="s">
        <v>119</v>
      </c>
      <c r="H469" s="46" t="s">
        <v>547</v>
      </c>
      <c r="I469" s="3" t="str">
        <f>_xlfn.IFNA(VLOOKUP(E469,Master!$J:$M,4,0),"")</f>
        <v>ADM</v>
      </c>
      <c r="J469" s="3" t="str">
        <f>_xlfn.IFNA(VLOOKUP($E469,Master!$J:$M,3,0),"")</f>
        <v>SGA</v>
      </c>
      <c r="M469" s="50">
        <v>6182100</v>
      </c>
      <c r="N469" s="50">
        <v>6602700</v>
      </c>
      <c r="O469" s="50">
        <v>6602700</v>
      </c>
      <c r="P469" s="50">
        <v>6602700</v>
      </c>
      <c r="Q469" s="50">
        <v>6670800</v>
      </c>
      <c r="R469" s="50">
        <v>6670800</v>
      </c>
      <c r="S469" s="50">
        <v>6670800</v>
      </c>
      <c r="T469" s="50">
        <v>6670800</v>
      </c>
      <c r="U469" s="50">
        <v>6670800</v>
      </c>
      <c r="V469" s="50">
        <v>6670800</v>
      </c>
      <c r="W469" s="50">
        <v>6670800</v>
      </c>
      <c r="X469" s="50">
        <v>6670800</v>
      </c>
      <c r="Y469" s="50">
        <v>6670800</v>
      </c>
      <c r="Z469" s="50">
        <v>7125600</v>
      </c>
      <c r="AA469" s="50">
        <v>7125600</v>
      </c>
      <c r="AB469" s="50">
        <v>7125600</v>
      </c>
      <c r="AC469" s="26">
        <f t="shared" si="14"/>
        <v>25990200</v>
      </c>
      <c r="AD469" s="26">
        <f t="shared" si="15"/>
        <v>81414000</v>
      </c>
      <c r="AE469" s="50">
        <v>86967300</v>
      </c>
      <c r="AF469" s="50">
        <v>92909700</v>
      </c>
      <c r="AG469" s="53" t="s">
        <v>55</v>
      </c>
    </row>
    <row r="470" spans="1:33" ht="15" customHeight="1">
      <c r="A470" s="46" t="s">
        <v>91</v>
      </c>
      <c r="B470" s="3" t="str">
        <f>_xlfn.IFNA(VLOOKUP(C470,Master!$J:$K,2,0),"")</f>
        <v>B2220</v>
      </c>
      <c r="C470" s="46" t="s">
        <v>83</v>
      </c>
      <c r="D470" s="4" t="str">
        <f>_xlfn.IFNA(VLOOKUP(E470,Master!$J:$K,2,0),"")</f>
        <v>B3120</v>
      </c>
      <c r="E470" s="46" t="s">
        <v>122</v>
      </c>
      <c r="F470" s="4">
        <f>_xlfn.IFNA(VLOOKUP(G470,Master!B:C,2,0),"")</f>
        <v>7514102</v>
      </c>
      <c r="G470" s="46" t="s">
        <v>119</v>
      </c>
      <c r="H470" s="46" t="s">
        <v>547</v>
      </c>
      <c r="I470" s="3" t="str">
        <f>_xlfn.IFNA(VLOOKUP(E470,Master!$J:$M,4,0),"")</f>
        <v>ADM</v>
      </c>
      <c r="J470" s="3" t="str">
        <f>_xlfn.IFNA(VLOOKUP($E470,Master!$J:$M,3,0),"")</f>
        <v>SGA</v>
      </c>
      <c r="M470" s="50">
        <v>960400</v>
      </c>
      <c r="N470" s="50">
        <v>1028000</v>
      </c>
      <c r="O470" s="50">
        <v>1024900</v>
      </c>
      <c r="P470" s="50">
        <v>1020100</v>
      </c>
      <c r="Q470" s="50">
        <v>1015400</v>
      </c>
      <c r="R470" s="50">
        <v>1021700</v>
      </c>
      <c r="S470" s="50">
        <v>1020100</v>
      </c>
      <c r="T470" s="50">
        <v>1026400</v>
      </c>
      <c r="U470" s="50">
        <v>1024900</v>
      </c>
      <c r="V470" s="50">
        <v>1021700</v>
      </c>
      <c r="W470" s="50">
        <v>1026400</v>
      </c>
      <c r="X470" s="50">
        <v>1023300</v>
      </c>
      <c r="Y470" s="50">
        <v>1021700</v>
      </c>
      <c r="Z470" s="50">
        <v>1094000</v>
      </c>
      <c r="AA470" s="50">
        <v>1090700</v>
      </c>
      <c r="AB470" s="50">
        <v>1085800</v>
      </c>
      <c r="AC470" s="26">
        <f t="shared" si="14"/>
        <v>4033400</v>
      </c>
      <c r="AD470" s="26">
        <f t="shared" si="15"/>
        <v>12472100</v>
      </c>
      <c r="AE470" s="50">
        <v>13298500</v>
      </c>
      <c r="AF470" s="50">
        <v>14196600</v>
      </c>
      <c r="AG470" s="53" t="s">
        <v>55</v>
      </c>
    </row>
    <row r="471" spans="1:33" ht="15" customHeight="1">
      <c r="A471" s="46" t="s">
        <v>91</v>
      </c>
      <c r="B471" s="3" t="str">
        <f>_xlfn.IFNA(VLOOKUP(C471,Master!$J:$K,2,0),"")</f>
        <v>B2220</v>
      </c>
      <c r="C471" s="46" t="s">
        <v>83</v>
      </c>
      <c r="D471" s="4" t="str">
        <f>_xlfn.IFNA(VLOOKUP(E471,Master!$J:$K,2,0),"")</f>
        <v>B3130</v>
      </c>
      <c r="E471" s="46" t="s">
        <v>127</v>
      </c>
      <c r="F471" s="4">
        <f>_xlfn.IFNA(VLOOKUP(G471,Master!B:C,2,0),"")</f>
        <v>7514102</v>
      </c>
      <c r="G471" s="46" t="s">
        <v>119</v>
      </c>
      <c r="H471" s="46" t="s">
        <v>547</v>
      </c>
      <c r="I471" s="3" t="str">
        <f>_xlfn.IFNA(VLOOKUP(E471,Master!$J:$M,4,0),"")</f>
        <v>ADM</v>
      </c>
      <c r="J471" s="3" t="str">
        <f>_xlfn.IFNA(VLOOKUP($E471,Master!$J:$M,3,0),"")</f>
        <v>SGA</v>
      </c>
      <c r="M471" s="50">
        <v>11680900</v>
      </c>
      <c r="N471" s="50">
        <v>12482000</v>
      </c>
      <c r="O471" s="50">
        <v>13683300</v>
      </c>
      <c r="P471" s="50">
        <v>13683300</v>
      </c>
      <c r="Q471" s="50">
        <v>14955700</v>
      </c>
      <c r="R471" s="50">
        <v>14955700</v>
      </c>
      <c r="S471" s="50">
        <v>14955700</v>
      </c>
      <c r="T471" s="50">
        <v>14955700</v>
      </c>
      <c r="U471" s="50">
        <v>14955700</v>
      </c>
      <c r="V471" s="50">
        <v>14955700</v>
      </c>
      <c r="W471" s="50">
        <v>14955700</v>
      </c>
      <c r="X471" s="50">
        <v>14955700</v>
      </c>
      <c r="Y471" s="50">
        <v>14955700</v>
      </c>
      <c r="Z471" s="50">
        <v>15977700</v>
      </c>
      <c r="AA471" s="50">
        <v>15977700</v>
      </c>
      <c r="AB471" s="50">
        <v>15977700</v>
      </c>
      <c r="AC471" s="26">
        <f t="shared" si="14"/>
        <v>51529500</v>
      </c>
      <c r="AD471" s="26">
        <f t="shared" si="15"/>
        <v>182534400</v>
      </c>
      <c r="AE471" s="50">
        <v>195012600</v>
      </c>
      <c r="AF471" s="50">
        <v>208363200</v>
      </c>
      <c r="AG471" s="53" t="s">
        <v>55</v>
      </c>
    </row>
    <row r="472" spans="1:33" ht="15" customHeight="1">
      <c r="A472" s="46" t="s">
        <v>91</v>
      </c>
      <c r="B472" s="3" t="str">
        <f>_xlfn.IFNA(VLOOKUP(C472,Master!$J:$K,2,0),"")</f>
        <v>B2220</v>
      </c>
      <c r="C472" s="46" t="s">
        <v>83</v>
      </c>
      <c r="D472" s="4" t="str">
        <f>_xlfn.IFNA(VLOOKUP(E472,Master!$J:$K,2,0),"")</f>
        <v>B3150</v>
      </c>
      <c r="E472" s="46" t="s">
        <v>259</v>
      </c>
      <c r="F472" s="4">
        <f>_xlfn.IFNA(VLOOKUP(G472,Master!B:C,2,0),"")</f>
        <v>7514102</v>
      </c>
      <c r="G472" s="46" t="s">
        <v>119</v>
      </c>
      <c r="H472" s="46" t="s">
        <v>547</v>
      </c>
      <c r="I472" s="3" t="str">
        <f>_xlfn.IFNA(VLOOKUP(E472,Master!$J:$M,4,0),"")</f>
        <v>ADM</v>
      </c>
      <c r="J472" s="3" t="str">
        <f>_xlfn.IFNA(VLOOKUP($E472,Master!$J:$M,3,0),"")</f>
        <v>SGA</v>
      </c>
      <c r="M472" s="50">
        <v>13796000</v>
      </c>
      <c r="N472" s="50">
        <v>13698600</v>
      </c>
      <c r="O472" s="50">
        <v>13698600</v>
      </c>
      <c r="P472" s="50">
        <v>13698600</v>
      </c>
      <c r="Q472" s="50">
        <v>13818200</v>
      </c>
      <c r="R472" s="50">
        <v>13818200</v>
      </c>
      <c r="S472" s="50">
        <v>13818200</v>
      </c>
      <c r="T472" s="50">
        <v>13818200</v>
      </c>
      <c r="U472" s="50">
        <v>13818200</v>
      </c>
      <c r="V472" s="50">
        <v>13818200</v>
      </c>
      <c r="W472" s="50">
        <v>13874300</v>
      </c>
      <c r="X472" s="50">
        <v>13874300</v>
      </c>
      <c r="Y472" s="50">
        <v>13874300</v>
      </c>
      <c r="Z472" s="50">
        <v>14712500</v>
      </c>
      <c r="AA472" s="50">
        <v>14712500</v>
      </c>
      <c r="AB472" s="50">
        <v>14712500</v>
      </c>
      <c r="AC472" s="26">
        <f t="shared" si="14"/>
        <v>54891800</v>
      </c>
      <c r="AD472" s="26">
        <f t="shared" si="15"/>
        <v>168669600</v>
      </c>
      <c r="AE472" s="50">
        <v>179600700</v>
      </c>
      <c r="AF472" s="50">
        <v>190894200</v>
      </c>
      <c r="AG472" s="53" t="s">
        <v>55</v>
      </c>
    </row>
    <row r="473" spans="1:33" ht="15" customHeight="1">
      <c r="A473" s="46" t="s">
        <v>91</v>
      </c>
      <c r="B473" s="3" t="str">
        <f>_xlfn.IFNA(VLOOKUP(C473,Master!$J:$K,2,0),"")</f>
        <v>B2220</v>
      </c>
      <c r="C473" s="46" t="s">
        <v>83</v>
      </c>
      <c r="D473" s="4" t="str">
        <f>_xlfn.IFNA(VLOOKUP(E473,Master!$J:$K,2,0),"")</f>
        <v>B3160</v>
      </c>
      <c r="E473" s="46" t="s">
        <v>112</v>
      </c>
      <c r="F473" s="4">
        <f>_xlfn.IFNA(VLOOKUP(G473,Master!B:C,2,0),"")</f>
        <v>7514102</v>
      </c>
      <c r="G473" s="46" t="s">
        <v>119</v>
      </c>
      <c r="H473" s="46" t="s">
        <v>547</v>
      </c>
      <c r="I473" s="3" t="str">
        <f>_xlfn.IFNA(VLOOKUP(E473,Master!$J:$M,4,0),"")</f>
        <v>ADM</v>
      </c>
      <c r="J473" s="3" t="str">
        <f>_xlfn.IFNA(VLOOKUP($E473,Master!$J:$M,3,0),"")</f>
        <v>SGA</v>
      </c>
      <c r="M473" s="50">
        <v>6509600</v>
      </c>
      <c r="N473" s="50">
        <v>9165600</v>
      </c>
      <c r="O473" s="50">
        <v>8962400</v>
      </c>
      <c r="P473" s="50">
        <v>8657500</v>
      </c>
      <c r="Q473" s="50">
        <v>8352600</v>
      </c>
      <c r="R473" s="50">
        <v>8759100</v>
      </c>
      <c r="S473" s="50">
        <v>8657500</v>
      </c>
      <c r="T473" s="50">
        <v>9064000</v>
      </c>
      <c r="U473" s="50">
        <v>8962400</v>
      </c>
      <c r="V473" s="50">
        <v>8759100</v>
      </c>
      <c r="W473" s="50">
        <v>9064000</v>
      </c>
      <c r="X473" s="50">
        <v>8860700</v>
      </c>
      <c r="Y473" s="50">
        <v>8759100</v>
      </c>
      <c r="Z473" s="50">
        <v>9528400</v>
      </c>
      <c r="AA473" s="50">
        <v>9315000</v>
      </c>
      <c r="AB473" s="50">
        <v>8994900</v>
      </c>
      <c r="AC473" s="26">
        <f t="shared" si="14"/>
        <v>33295100</v>
      </c>
      <c r="AD473" s="26">
        <f t="shared" si="15"/>
        <v>107076800</v>
      </c>
      <c r="AE473" s="50">
        <v>112806800</v>
      </c>
      <c r="AF473" s="50">
        <v>119768300</v>
      </c>
      <c r="AG473" s="53" t="s">
        <v>55</v>
      </c>
    </row>
    <row r="474" spans="1:33" ht="15" customHeight="1">
      <c r="A474" s="46" t="s">
        <v>91</v>
      </c>
      <c r="B474" s="3" t="str">
        <f>_xlfn.IFNA(VLOOKUP(C474,Master!$J:$K,2,0),"")</f>
        <v>B2220</v>
      </c>
      <c r="C474" s="46" t="s">
        <v>83</v>
      </c>
      <c r="D474" s="4" t="str">
        <f>_xlfn.IFNA(VLOOKUP(E474,Master!$J:$K,2,0),"")</f>
        <v>B4101</v>
      </c>
      <c r="E474" s="46" t="s">
        <v>132</v>
      </c>
      <c r="F474" s="4">
        <f>_xlfn.IFNA(VLOOKUP(G474,Master!B:C,2,0),"")</f>
        <v>7514102</v>
      </c>
      <c r="G474" s="46" t="s">
        <v>119</v>
      </c>
      <c r="H474" s="46" t="s">
        <v>547</v>
      </c>
      <c r="I474" s="3" t="str">
        <f>_xlfn.IFNA(VLOOKUP(E474,Master!$J:$M,4,0),"")</f>
        <v>DIR</v>
      </c>
      <c r="J474" s="3" t="str">
        <f>_xlfn.IFNA(VLOOKUP($E474,Master!$J:$M,3,0),"")</f>
        <v>MFG</v>
      </c>
      <c r="M474" s="50">
        <v>4142300</v>
      </c>
      <c r="N474" s="50">
        <v>4419700</v>
      </c>
      <c r="O474" s="50">
        <v>4419700</v>
      </c>
      <c r="P474" s="50">
        <v>4419700</v>
      </c>
      <c r="Q474" s="50">
        <v>4419700</v>
      </c>
      <c r="R474" s="50">
        <v>4419700</v>
      </c>
      <c r="S474" s="50">
        <v>4419700</v>
      </c>
      <c r="T474" s="50">
        <v>4419700</v>
      </c>
      <c r="U474" s="50">
        <v>4419700</v>
      </c>
      <c r="V474" s="50">
        <v>4419700</v>
      </c>
      <c r="W474" s="50">
        <v>4419700</v>
      </c>
      <c r="X474" s="50">
        <v>4419700</v>
      </c>
      <c r="Y474" s="50">
        <v>4419700</v>
      </c>
      <c r="Z474" s="50">
        <v>4716400</v>
      </c>
      <c r="AA474" s="50">
        <v>4716400</v>
      </c>
      <c r="AB474" s="50">
        <v>4716400</v>
      </c>
      <c r="AC474" s="26">
        <f t="shared" si="14"/>
        <v>17401400</v>
      </c>
      <c r="AD474" s="26">
        <f t="shared" si="15"/>
        <v>53926500</v>
      </c>
      <c r="AE474" s="50">
        <v>57549600</v>
      </c>
      <c r="AF474" s="50">
        <v>57003800</v>
      </c>
      <c r="AG474" s="53" t="s">
        <v>55</v>
      </c>
    </row>
    <row r="475" spans="1:33" ht="15" customHeight="1">
      <c r="A475" s="46" t="s">
        <v>91</v>
      </c>
      <c r="B475" s="3" t="str">
        <f>_xlfn.IFNA(VLOOKUP(C475,Master!$J:$K,2,0),"")</f>
        <v>B2220</v>
      </c>
      <c r="C475" s="46" t="s">
        <v>83</v>
      </c>
      <c r="D475" s="4" t="str">
        <f>_xlfn.IFNA(VLOOKUP(E475,Master!$J:$K,2,0),"")</f>
        <v>B4102</v>
      </c>
      <c r="E475" s="46" t="s">
        <v>139</v>
      </c>
      <c r="F475" s="4">
        <f>_xlfn.IFNA(VLOOKUP(G475,Master!B:C,2,0),"")</f>
        <v>7514102</v>
      </c>
      <c r="G475" s="46" t="s">
        <v>119</v>
      </c>
      <c r="H475" s="46" t="s">
        <v>547</v>
      </c>
      <c r="I475" s="3" t="str">
        <f>_xlfn.IFNA(VLOOKUP(E475,Master!$J:$M,4,0),"")</f>
        <v>DIR</v>
      </c>
      <c r="J475" s="3" t="str">
        <f>_xlfn.IFNA(VLOOKUP($E475,Master!$J:$M,3,0),"")</f>
        <v>MFG</v>
      </c>
      <c r="M475" s="50">
        <v>10729700</v>
      </c>
      <c r="N475" s="50">
        <v>11487900</v>
      </c>
      <c r="O475" s="50">
        <v>11437500</v>
      </c>
      <c r="P475" s="50">
        <v>11361900</v>
      </c>
      <c r="Q475" s="50">
        <v>10731100</v>
      </c>
      <c r="R475" s="50">
        <v>10825600</v>
      </c>
      <c r="S475" s="50">
        <v>10802000</v>
      </c>
      <c r="T475" s="50">
        <v>10896500</v>
      </c>
      <c r="U475" s="50">
        <v>10872900</v>
      </c>
      <c r="V475" s="50">
        <v>10825600</v>
      </c>
      <c r="W475" s="50">
        <v>11096200</v>
      </c>
      <c r="X475" s="50">
        <v>11045800</v>
      </c>
      <c r="Y475" s="50">
        <v>11020600</v>
      </c>
      <c r="Z475" s="50">
        <v>11804500</v>
      </c>
      <c r="AA475" s="50">
        <v>11751700</v>
      </c>
      <c r="AB475" s="50">
        <v>11672500</v>
      </c>
      <c r="AC475" s="26">
        <f t="shared" si="14"/>
        <v>45017000</v>
      </c>
      <c r="AD475" s="26">
        <f t="shared" si="15"/>
        <v>133345000</v>
      </c>
      <c r="AE475" s="50">
        <v>142140700</v>
      </c>
      <c r="AF475" s="50">
        <v>142458600</v>
      </c>
      <c r="AG475" s="53" t="s">
        <v>55</v>
      </c>
    </row>
    <row r="476" spans="1:33" ht="15" customHeight="1">
      <c r="A476" s="46" t="s">
        <v>91</v>
      </c>
      <c r="B476" s="3" t="str">
        <f>_xlfn.IFNA(VLOOKUP(C476,Master!$J:$K,2,0),"")</f>
        <v>B2220</v>
      </c>
      <c r="C476" s="46" t="s">
        <v>83</v>
      </c>
      <c r="D476" s="4" t="str">
        <f>_xlfn.IFNA(VLOOKUP(E476,Master!$J:$K,2,0),"")</f>
        <v>B4103</v>
      </c>
      <c r="E476" s="46" t="s">
        <v>144</v>
      </c>
      <c r="F476" s="4">
        <f>_xlfn.IFNA(VLOOKUP(G476,Master!B:C,2,0),"")</f>
        <v>7514102</v>
      </c>
      <c r="G476" s="46" t="s">
        <v>119</v>
      </c>
      <c r="H476" s="46" t="s">
        <v>547</v>
      </c>
      <c r="I476" s="3" t="str">
        <f>_xlfn.IFNA(VLOOKUP(E476,Master!$J:$M,4,0),"")</f>
        <v>DIR</v>
      </c>
      <c r="J476" s="3" t="str">
        <f>_xlfn.IFNA(VLOOKUP($E476,Master!$J:$M,3,0),"")</f>
        <v>MFG</v>
      </c>
      <c r="M476" s="50">
        <v>6435700</v>
      </c>
      <c r="N476" s="50">
        <v>6865400</v>
      </c>
      <c r="O476" s="50">
        <v>6865400</v>
      </c>
      <c r="P476" s="50">
        <v>6865400</v>
      </c>
      <c r="Q476" s="50">
        <v>6865400</v>
      </c>
      <c r="R476" s="50">
        <v>6865400</v>
      </c>
      <c r="S476" s="50">
        <v>6865400</v>
      </c>
      <c r="T476" s="50">
        <v>6865400</v>
      </c>
      <c r="U476" s="50">
        <v>6865400</v>
      </c>
      <c r="V476" s="50">
        <v>6865400</v>
      </c>
      <c r="W476" s="50">
        <v>6865400</v>
      </c>
      <c r="X476" s="50">
        <v>6865400</v>
      </c>
      <c r="Y476" s="50">
        <v>6865400</v>
      </c>
      <c r="Z476" s="50">
        <v>7325000</v>
      </c>
      <c r="AA476" s="50">
        <v>7325000</v>
      </c>
      <c r="AB476" s="50">
        <v>7325000</v>
      </c>
      <c r="AC476" s="26">
        <f t="shared" si="14"/>
        <v>27031900</v>
      </c>
      <c r="AD476" s="26">
        <f t="shared" si="15"/>
        <v>83763600</v>
      </c>
      <c r="AE476" s="50">
        <v>89375700</v>
      </c>
      <c r="AF476" s="50">
        <v>95381700</v>
      </c>
      <c r="AG476" s="53" t="s">
        <v>55</v>
      </c>
    </row>
    <row r="477" spans="1:33" ht="15" customHeight="1">
      <c r="A477" s="46" t="s">
        <v>91</v>
      </c>
      <c r="B477" s="3" t="str">
        <f>_xlfn.IFNA(VLOOKUP(C477,Master!$J:$K,2,0),"")</f>
        <v>B2220</v>
      </c>
      <c r="C477" s="46" t="s">
        <v>83</v>
      </c>
      <c r="D477" s="4" t="str">
        <f>_xlfn.IFNA(VLOOKUP(E477,Master!$J:$K,2,0),"")</f>
        <v>B4105</v>
      </c>
      <c r="E477" s="46" t="s">
        <v>149</v>
      </c>
      <c r="F477" s="4">
        <f>_xlfn.IFNA(VLOOKUP(G477,Master!B:C,2,0),"")</f>
        <v>7514102</v>
      </c>
      <c r="G477" s="46" t="s">
        <v>119</v>
      </c>
      <c r="H477" s="46" t="s">
        <v>547</v>
      </c>
      <c r="I477" s="3" t="str">
        <f>_xlfn.IFNA(VLOOKUP(E477,Master!$J:$M,4,0),"")</f>
        <v>DIR</v>
      </c>
      <c r="J477" s="3" t="str">
        <f>_xlfn.IFNA(VLOOKUP($E477,Master!$J:$M,3,0),"")</f>
        <v>MFG</v>
      </c>
      <c r="M477" s="50">
        <v>8031500</v>
      </c>
      <c r="N477" s="50">
        <v>8616100</v>
      </c>
      <c r="O477" s="50">
        <v>8578300</v>
      </c>
      <c r="P477" s="50">
        <v>8521600</v>
      </c>
      <c r="Q477" s="50">
        <v>8464900</v>
      </c>
      <c r="R477" s="50">
        <v>8540500</v>
      </c>
      <c r="S477" s="50">
        <v>8521600</v>
      </c>
      <c r="T477" s="50">
        <v>8597200</v>
      </c>
      <c r="U477" s="50">
        <v>8578300</v>
      </c>
      <c r="V477" s="50">
        <v>8540500</v>
      </c>
      <c r="W477" s="50">
        <v>7366400</v>
      </c>
      <c r="X477" s="50">
        <v>7334900</v>
      </c>
      <c r="Y477" s="50">
        <v>7319200</v>
      </c>
      <c r="Z477" s="50">
        <v>7853500</v>
      </c>
      <c r="AA477" s="50">
        <v>7820500</v>
      </c>
      <c r="AB477" s="50">
        <v>7771000</v>
      </c>
      <c r="AC477" s="26">
        <f t="shared" si="14"/>
        <v>33747500</v>
      </c>
      <c r="AD477" s="26">
        <f t="shared" si="15"/>
        <v>96708500</v>
      </c>
      <c r="AE477" s="50">
        <v>95341000</v>
      </c>
      <c r="AF477" s="50">
        <v>100246200</v>
      </c>
      <c r="AG477" s="53" t="s">
        <v>55</v>
      </c>
    </row>
    <row r="478" spans="1:33" ht="15" customHeight="1">
      <c r="A478" s="46" t="s">
        <v>91</v>
      </c>
      <c r="B478" s="3" t="str">
        <f>_xlfn.IFNA(VLOOKUP(C478,Master!$J:$K,2,0),"")</f>
        <v>B2220</v>
      </c>
      <c r="C478" s="46" t="s">
        <v>83</v>
      </c>
      <c r="D478" s="4" t="str">
        <f>_xlfn.IFNA(VLOOKUP(E478,Master!$J:$K,2,0),"")</f>
        <v>B4110</v>
      </c>
      <c r="E478" s="46" t="s">
        <v>162</v>
      </c>
      <c r="F478" s="4">
        <f>_xlfn.IFNA(VLOOKUP(G478,Master!B:C,2,0),"")</f>
        <v>7514102</v>
      </c>
      <c r="G478" s="46" t="s">
        <v>119</v>
      </c>
      <c r="H478" s="46" t="s">
        <v>547</v>
      </c>
      <c r="I478" s="3" t="str">
        <f>_xlfn.IFNA(VLOOKUP(E478,Master!$J:$M,4,0),"")</f>
        <v>DIR</v>
      </c>
      <c r="J478" s="3" t="str">
        <f>_xlfn.IFNA(VLOOKUP($E478,Master!$J:$M,3,0),"")</f>
        <v>MFG</v>
      </c>
      <c r="M478" s="50">
        <v>20089100</v>
      </c>
      <c r="N478" s="50">
        <v>21286900</v>
      </c>
      <c r="O478" s="50">
        <v>21233300</v>
      </c>
      <c r="P478" s="50">
        <v>21153000</v>
      </c>
      <c r="Q478" s="50">
        <v>21072700</v>
      </c>
      <c r="R478" s="50">
        <v>21179800</v>
      </c>
      <c r="S478" s="50">
        <v>20821400</v>
      </c>
      <c r="T478" s="50">
        <v>14167200</v>
      </c>
      <c r="U478" s="50">
        <v>14138900</v>
      </c>
      <c r="V478" s="50">
        <v>14082200</v>
      </c>
      <c r="W478" s="50">
        <v>14167200</v>
      </c>
      <c r="X478" s="50">
        <v>14110500</v>
      </c>
      <c r="Y478" s="50">
        <v>14082200</v>
      </c>
      <c r="Z478" s="50">
        <v>15081900</v>
      </c>
      <c r="AA478" s="50">
        <v>15022500</v>
      </c>
      <c r="AB478" s="50">
        <v>14933400</v>
      </c>
      <c r="AC478" s="26">
        <f t="shared" si="14"/>
        <v>83762300</v>
      </c>
      <c r="AD478" s="26">
        <f t="shared" si="15"/>
        <v>192859900</v>
      </c>
      <c r="AE478" s="50">
        <v>178355900</v>
      </c>
      <c r="AF478" s="50">
        <v>187688700</v>
      </c>
      <c r="AG478" s="53" t="s">
        <v>55</v>
      </c>
    </row>
    <row r="479" spans="1:33" ht="15" customHeight="1">
      <c r="A479" s="46" t="s">
        <v>91</v>
      </c>
      <c r="B479" s="3" t="str">
        <f>_xlfn.IFNA(VLOOKUP(C479,Master!$J:$K,2,0),"")</f>
        <v>B2220</v>
      </c>
      <c r="C479" s="46" t="s">
        <v>83</v>
      </c>
      <c r="D479" s="4" t="str">
        <f>_xlfn.IFNA(VLOOKUP(E479,Master!$J:$K,2,0),"")</f>
        <v>B4114</v>
      </c>
      <c r="E479" s="46" t="s">
        <v>172</v>
      </c>
      <c r="F479" s="4">
        <f>_xlfn.IFNA(VLOOKUP(G479,Master!B:C,2,0),"")</f>
        <v>7514102</v>
      </c>
      <c r="G479" s="46" t="s">
        <v>119</v>
      </c>
      <c r="H479" s="46" t="s">
        <v>547</v>
      </c>
      <c r="I479" s="3" t="str">
        <f>_xlfn.IFNA(VLOOKUP(E479,Master!$J:$M,4,0),"")</f>
        <v>DIR</v>
      </c>
      <c r="J479" s="3" t="str">
        <f>_xlfn.IFNA(VLOOKUP($E479,Master!$J:$M,3,0),"")</f>
        <v>MFG</v>
      </c>
      <c r="M479" s="50">
        <v>6048900</v>
      </c>
      <c r="N479" s="50">
        <v>6463400</v>
      </c>
      <c r="O479" s="50">
        <v>6441300</v>
      </c>
      <c r="P479" s="50">
        <v>6408300</v>
      </c>
      <c r="Q479" s="50">
        <v>6375200</v>
      </c>
      <c r="R479" s="50">
        <v>6419300</v>
      </c>
      <c r="S479" s="50">
        <v>5666000</v>
      </c>
      <c r="T479" s="50">
        <v>3722800</v>
      </c>
      <c r="U479" s="50">
        <v>3716500</v>
      </c>
      <c r="V479" s="50">
        <v>3703900</v>
      </c>
      <c r="W479" s="50">
        <v>2535100</v>
      </c>
      <c r="X479" s="50">
        <v>2525600</v>
      </c>
      <c r="Y479" s="50">
        <v>2520900</v>
      </c>
      <c r="Z479" s="50">
        <v>2699700</v>
      </c>
      <c r="AA479" s="50">
        <v>2689800</v>
      </c>
      <c r="AB479" s="50">
        <v>2674900</v>
      </c>
      <c r="AC479" s="26">
        <f t="shared" si="14"/>
        <v>25361900</v>
      </c>
      <c r="AD479" s="26">
        <f t="shared" si="15"/>
        <v>45249700</v>
      </c>
      <c r="AE479" s="50">
        <v>32785400</v>
      </c>
      <c r="AF479" s="50">
        <v>34981900</v>
      </c>
      <c r="AG479" s="53" t="s">
        <v>55</v>
      </c>
    </row>
    <row r="480" spans="1:33" ht="15" customHeight="1">
      <c r="A480" s="46" t="s">
        <v>91</v>
      </c>
      <c r="B480" s="3" t="str">
        <f>_xlfn.IFNA(VLOOKUP(C480,Master!$J:$K,2,0),"")</f>
        <v>B2220</v>
      </c>
      <c r="C480" s="46" t="s">
        <v>83</v>
      </c>
      <c r="D480" s="4" t="str">
        <f>_xlfn.IFNA(VLOOKUP(E480,Master!$J:$K,2,0),"")</f>
        <v>B4115</v>
      </c>
      <c r="E480" s="46" t="s">
        <v>167</v>
      </c>
      <c r="F480" s="4">
        <f>_xlfn.IFNA(VLOOKUP(G480,Master!B:C,2,0),"")</f>
        <v>7514102</v>
      </c>
      <c r="G480" s="46" t="s">
        <v>119</v>
      </c>
      <c r="H480" s="46" t="s">
        <v>547</v>
      </c>
      <c r="I480" s="3" t="str">
        <f>_xlfn.IFNA(VLOOKUP(E480,Master!$J:$M,4,0),"")</f>
        <v>DIR</v>
      </c>
      <c r="J480" s="3" t="str">
        <f>_xlfn.IFNA(VLOOKUP($E480,Master!$J:$M,3,0),"")</f>
        <v>MFG</v>
      </c>
      <c r="M480" s="50">
        <v>3614500</v>
      </c>
      <c r="N480" s="50">
        <v>3854900</v>
      </c>
      <c r="O480" s="50">
        <v>3854900</v>
      </c>
      <c r="P480" s="50">
        <v>3854900</v>
      </c>
      <c r="Q480" s="50">
        <v>3854900</v>
      </c>
      <c r="R480" s="50">
        <v>3854900</v>
      </c>
      <c r="S480" s="50">
        <v>3854900</v>
      </c>
      <c r="T480" s="50">
        <v>3854900</v>
      </c>
      <c r="U480" s="50">
        <v>3854900</v>
      </c>
      <c r="V480" s="50">
        <v>3854900</v>
      </c>
      <c r="W480" s="50">
        <v>3854900</v>
      </c>
      <c r="X480" s="50">
        <v>3854900</v>
      </c>
      <c r="Y480" s="50">
        <v>3854900</v>
      </c>
      <c r="Z480" s="50">
        <v>4112100</v>
      </c>
      <c r="AA480" s="50">
        <v>4112100</v>
      </c>
      <c r="AB480" s="50">
        <v>4112100</v>
      </c>
      <c r="AC480" s="26">
        <f t="shared" si="14"/>
        <v>15179200</v>
      </c>
      <c r="AD480" s="26">
        <f t="shared" si="15"/>
        <v>47030400</v>
      </c>
      <c r="AE480" s="50">
        <v>50171100</v>
      </c>
      <c r="AF480" s="50">
        <v>53532300</v>
      </c>
      <c r="AG480" s="53" t="s">
        <v>55</v>
      </c>
    </row>
    <row r="481" spans="1:33" ht="15" customHeight="1">
      <c r="A481" s="46" t="s">
        <v>91</v>
      </c>
      <c r="B481" s="3" t="str">
        <f>_xlfn.IFNA(VLOOKUP(C481,Master!$J:$K,2,0),"")</f>
        <v>B2220</v>
      </c>
      <c r="C481" s="46" t="s">
        <v>83</v>
      </c>
      <c r="D481" s="4" t="str">
        <f>_xlfn.IFNA(VLOOKUP(E481,Master!$J:$K,2,0),"")</f>
        <v>B4120</v>
      </c>
      <c r="E481" s="46" t="s">
        <v>177</v>
      </c>
      <c r="F481" s="4">
        <f>_xlfn.IFNA(VLOOKUP(G481,Master!B:C,2,0),"")</f>
        <v>7514102</v>
      </c>
      <c r="G481" s="46" t="s">
        <v>119</v>
      </c>
      <c r="H481" s="46" t="s">
        <v>547</v>
      </c>
      <c r="I481" s="3" t="str">
        <f>_xlfn.IFNA(VLOOKUP(E481,Master!$J:$M,4,0),"")</f>
        <v>DIR</v>
      </c>
      <c r="J481" s="3" t="str">
        <f>_xlfn.IFNA(VLOOKUP($E481,Master!$J:$M,3,0),"")</f>
        <v>MFG</v>
      </c>
      <c r="M481" s="50">
        <v>38754000</v>
      </c>
      <c r="N481" s="50">
        <v>40857400</v>
      </c>
      <c r="O481" s="50">
        <v>40264100</v>
      </c>
      <c r="P481" s="50">
        <v>40264100</v>
      </c>
      <c r="Q481" s="50">
        <v>37072200</v>
      </c>
      <c r="R481" s="50">
        <v>36501200</v>
      </c>
      <c r="S481" s="50">
        <v>36501200</v>
      </c>
      <c r="T481" s="50">
        <v>35331800</v>
      </c>
      <c r="U481" s="50">
        <v>35331800</v>
      </c>
      <c r="V481" s="50">
        <v>35331800</v>
      </c>
      <c r="W481" s="50">
        <v>36134400</v>
      </c>
      <c r="X481" s="50">
        <v>36134400</v>
      </c>
      <c r="Y481" s="50">
        <v>36134400</v>
      </c>
      <c r="Z481" s="50">
        <v>38086700</v>
      </c>
      <c r="AA481" s="50">
        <v>38086700</v>
      </c>
      <c r="AB481" s="50">
        <v>38086700</v>
      </c>
      <c r="AC481" s="26">
        <f t="shared" si="14"/>
        <v>160139600</v>
      </c>
      <c r="AD481" s="26">
        <f t="shared" si="15"/>
        <v>438733300</v>
      </c>
      <c r="AE481" s="50">
        <v>448652000</v>
      </c>
      <c r="AF481" s="50">
        <v>470233200</v>
      </c>
      <c r="AG481" s="53" t="s">
        <v>55</v>
      </c>
    </row>
    <row r="482" spans="1:33" ht="15" customHeight="1">
      <c r="A482" s="46" t="s">
        <v>91</v>
      </c>
      <c r="B482" s="3" t="str">
        <f>_xlfn.IFNA(VLOOKUP(C482,Master!$J:$K,2,0),"")</f>
        <v>B2220</v>
      </c>
      <c r="C482" s="46" t="s">
        <v>83</v>
      </c>
      <c r="D482" s="4" t="str">
        <f>_xlfn.IFNA(VLOOKUP(E482,Master!$J:$K,2,0),"")</f>
        <v>B4121</v>
      </c>
      <c r="E482" s="46" t="s">
        <v>183</v>
      </c>
      <c r="F482" s="4">
        <f>_xlfn.IFNA(VLOOKUP(G482,Master!B:C,2,0),"")</f>
        <v>7514102</v>
      </c>
      <c r="G482" s="46" t="s">
        <v>119</v>
      </c>
      <c r="H482" s="46" t="s">
        <v>547</v>
      </c>
      <c r="I482" s="3" t="str">
        <f>_xlfn.IFNA(VLOOKUP(E482,Master!$J:$M,4,0),"")</f>
        <v>DIR</v>
      </c>
      <c r="J482" s="3" t="str">
        <f>_xlfn.IFNA(VLOOKUP($E482,Master!$J:$M,3,0),"")</f>
        <v>MFG</v>
      </c>
      <c r="M482" s="50">
        <v>1783000</v>
      </c>
      <c r="N482" s="50">
        <v>1913700</v>
      </c>
      <c r="O482" s="50">
        <v>1904200</v>
      </c>
      <c r="P482" s="50">
        <v>1890000</v>
      </c>
      <c r="AC482" s="26">
        <f t="shared" si="14"/>
        <v>7490900</v>
      </c>
      <c r="AD482" s="26">
        <f t="shared" si="15"/>
        <v>0</v>
      </c>
      <c r="AG482" s="53" t="s">
        <v>55</v>
      </c>
    </row>
    <row r="483" spans="1:33" ht="15" customHeight="1">
      <c r="A483" s="46" t="s">
        <v>91</v>
      </c>
      <c r="B483" s="3" t="str">
        <f>_xlfn.IFNA(VLOOKUP(C483,Master!$J:$K,2,0),"")</f>
        <v>B2220</v>
      </c>
      <c r="C483" s="46" t="s">
        <v>83</v>
      </c>
      <c r="D483" s="4" t="str">
        <f>_xlfn.IFNA(VLOOKUP(E483,Master!$J:$K,2,0),"")</f>
        <v>B4130</v>
      </c>
      <c r="E483" s="46" t="s">
        <v>158</v>
      </c>
      <c r="F483" s="4">
        <f>_xlfn.IFNA(VLOOKUP(G483,Master!B:C,2,0),"")</f>
        <v>7514102</v>
      </c>
      <c r="G483" s="46" t="s">
        <v>119</v>
      </c>
      <c r="H483" s="46" t="s">
        <v>547</v>
      </c>
      <c r="I483" s="3" t="str">
        <f>_xlfn.IFNA(VLOOKUP(E483,Master!$J:$M,4,0),"")</f>
        <v>DIR</v>
      </c>
      <c r="J483" s="3" t="str">
        <f>_xlfn.IFNA(VLOOKUP($E483,Master!$J:$M,3,0),"")</f>
        <v>MFG</v>
      </c>
      <c r="M483" s="50">
        <v>4341000</v>
      </c>
      <c r="N483" s="50">
        <v>4630200</v>
      </c>
      <c r="O483" s="50">
        <v>4630200</v>
      </c>
      <c r="P483" s="50">
        <v>4630200</v>
      </c>
      <c r="Q483" s="50">
        <v>4630200</v>
      </c>
      <c r="R483" s="50">
        <v>4630200</v>
      </c>
      <c r="S483" s="50">
        <v>4630200</v>
      </c>
      <c r="T483" s="50">
        <v>4630200</v>
      </c>
      <c r="U483" s="50">
        <v>4630200</v>
      </c>
      <c r="V483" s="50">
        <v>4630200</v>
      </c>
      <c r="W483" s="50">
        <v>4630200</v>
      </c>
      <c r="X483" s="50">
        <v>4630200</v>
      </c>
      <c r="Y483" s="50">
        <v>4630200</v>
      </c>
      <c r="Z483" s="50">
        <v>4939700</v>
      </c>
      <c r="AA483" s="50">
        <v>4939700</v>
      </c>
      <c r="AB483" s="50">
        <v>4939700</v>
      </c>
      <c r="AC483" s="26">
        <f t="shared" si="14"/>
        <v>18231600</v>
      </c>
      <c r="AD483" s="26">
        <f t="shared" si="15"/>
        <v>56490900</v>
      </c>
      <c r="AE483" s="50">
        <v>56732700</v>
      </c>
      <c r="AF483" s="50">
        <v>57794700</v>
      </c>
      <c r="AG483" s="53" t="s">
        <v>55</v>
      </c>
    </row>
    <row r="484" spans="1:33" ht="15" customHeight="1">
      <c r="A484" s="46" t="s">
        <v>91</v>
      </c>
      <c r="B484" s="3" t="str">
        <f>_xlfn.IFNA(VLOOKUP(C484,Master!$J:$K,2,0),"")</f>
        <v>B2220</v>
      </c>
      <c r="C484" s="46" t="s">
        <v>83</v>
      </c>
      <c r="D484" s="4" t="str">
        <f>_xlfn.IFNA(VLOOKUP(E484,Master!$J:$K,2,0),"")</f>
        <v>B4410</v>
      </c>
      <c r="E484" s="46" t="s">
        <v>188</v>
      </c>
      <c r="F484" s="4">
        <f>_xlfn.IFNA(VLOOKUP(G484,Master!B:C,2,0),"")</f>
        <v>7514102</v>
      </c>
      <c r="G484" s="46" t="s">
        <v>119</v>
      </c>
      <c r="H484" s="46" t="s">
        <v>547</v>
      </c>
      <c r="I484" s="3" t="str">
        <f>_xlfn.IFNA(VLOOKUP(E484,Master!$J:$M,4,0),"")</f>
        <v>DIR</v>
      </c>
      <c r="J484" s="3" t="str">
        <f>_xlfn.IFNA(VLOOKUP($E484,Master!$J:$M,3,0),"")</f>
        <v>MFG</v>
      </c>
      <c r="M484" s="50">
        <v>5948100</v>
      </c>
      <c r="N484" s="50">
        <v>6238200</v>
      </c>
      <c r="O484" s="50">
        <v>6238200</v>
      </c>
      <c r="P484" s="50">
        <v>5822200</v>
      </c>
      <c r="Q484" s="50">
        <v>5406200</v>
      </c>
      <c r="R484" s="50">
        <v>5406200</v>
      </c>
      <c r="S484" s="50">
        <v>5406200</v>
      </c>
      <c r="T484" s="50">
        <v>5406200</v>
      </c>
      <c r="U484" s="50">
        <v>5406200</v>
      </c>
      <c r="V484" s="50">
        <v>4990200</v>
      </c>
      <c r="W484" s="50">
        <v>4990200</v>
      </c>
      <c r="X484" s="50">
        <v>2078200</v>
      </c>
      <c r="Y484" s="50">
        <v>2078200</v>
      </c>
      <c r="AC484" s="26">
        <f t="shared" si="14"/>
        <v>24246700</v>
      </c>
      <c r="AD484" s="26">
        <f t="shared" si="15"/>
        <v>41167800</v>
      </c>
      <c r="AG484" s="53" t="s">
        <v>55</v>
      </c>
    </row>
    <row r="485" spans="1:33" ht="15" customHeight="1">
      <c r="A485" s="46" t="s">
        <v>91</v>
      </c>
      <c r="B485" s="3" t="str">
        <f>_xlfn.IFNA(VLOOKUP(C485,Master!$J:$K,2,0),"")</f>
        <v>B2220</v>
      </c>
      <c r="C485" s="46" t="s">
        <v>83</v>
      </c>
      <c r="D485" s="4" t="str">
        <f>_xlfn.IFNA(VLOOKUP(E485,Master!$J:$K,2,0),"")</f>
        <v>B4430</v>
      </c>
      <c r="E485" s="46" t="s">
        <v>193</v>
      </c>
      <c r="F485" s="4">
        <f>_xlfn.IFNA(VLOOKUP(G485,Master!B:C,2,0),"")</f>
        <v>7514102</v>
      </c>
      <c r="G485" s="46" t="s">
        <v>119</v>
      </c>
      <c r="H485" s="46" t="s">
        <v>547</v>
      </c>
      <c r="I485" s="3" t="str">
        <f>_xlfn.IFNA(VLOOKUP(E485,Master!$J:$M,4,0),"")</f>
        <v>DIR</v>
      </c>
      <c r="J485" s="3" t="str">
        <f>_xlfn.IFNA(VLOOKUP($E485,Master!$J:$M,3,0),"")</f>
        <v>MFG</v>
      </c>
      <c r="M485" s="50">
        <v>11480300</v>
      </c>
      <c r="N485" s="50">
        <v>12046200</v>
      </c>
      <c r="O485" s="50">
        <v>12030400</v>
      </c>
      <c r="P485" s="50">
        <v>12006800</v>
      </c>
      <c r="Q485" s="50">
        <v>11983200</v>
      </c>
      <c r="R485" s="50">
        <v>12014700</v>
      </c>
      <c r="S485" s="50">
        <v>12006800</v>
      </c>
      <c r="T485" s="50">
        <v>11622300</v>
      </c>
      <c r="U485" s="50">
        <v>9534400</v>
      </c>
      <c r="V485" s="50">
        <v>7022700</v>
      </c>
      <c r="W485" s="50">
        <v>7046300</v>
      </c>
      <c r="X485" s="50">
        <v>7030600</v>
      </c>
      <c r="Y485" s="50">
        <v>3694700</v>
      </c>
      <c r="AC485" s="26">
        <f t="shared" si="14"/>
        <v>47563700</v>
      </c>
      <c r="AD485" s="26">
        <f t="shared" si="15"/>
        <v>81955700</v>
      </c>
      <c r="AG485" s="53" t="s">
        <v>55</v>
      </c>
    </row>
    <row r="486" spans="1:33" ht="15" customHeight="1">
      <c r="A486" s="46" t="s">
        <v>91</v>
      </c>
      <c r="B486" s="3" t="str">
        <f>_xlfn.IFNA(VLOOKUP(C486,Master!$J:$K,2,0),"")</f>
        <v>B2220</v>
      </c>
      <c r="C486" s="46" t="s">
        <v>83</v>
      </c>
      <c r="D486" s="4" t="str">
        <f>_xlfn.IFNA(VLOOKUP(E486,Master!$J:$K,2,0),"")</f>
        <v>B4440</v>
      </c>
      <c r="E486" s="46" t="s">
        <v>198</v>
      </c>
      <c r="F486" s="4">
        <f>_xlfn.IFNA(VLOOKUP(G486,Master!B:C,2,0),"")</f>
        <v>7514102</v>
      </c>
      <c r="G486" s="46" t="s">
        <v>119</v>
      </c>
      <c r="H486" s="46" t="s">
        <v>547</v>
      </c>
      <c r="I486" s="3" t="str">
        <f>_xlfn.IFNA(VLOOKUP(E486,Master!$J:$M,4,0),"")</f>
        <v>DIR</v>
      </c>
      <c r="J486" s="3" t="str">
        <f>_xlfn.IFNA(VLOOKUP($E486,Master!$J:$M,3,0),"")</f>
        <v>MFG</v>
      </c>
      <c r="M486" s="50">
        <v>4443000</v>
      </c>
      <c r="N486" s="50">
        <v>4719700</v>
      </c>
      <c r="O486" s="50">
        <v>4085300</v>
      </c>
      <c r="P486" s="50">
        <v>4085300</v>
      </c>
      <c r="Q486" s="50">
        <v>3669300</v>
      </c>
      <c r="R486" s="50">
        <v>3669300</v>
      </c>
      <c r="S486" s="50">
        <v>3669300</v>
      </c>
      <c r="T486" s="50">
        <v>3669300</v>
      </c>
      <c r="U486" s="50">
        <v>3669300</v>
      </c>
      <c r="V486" s="50">
        <v>3253300</v>
      </c>
      <c r="W486" s="50">
        <v>3253300</v>
      </c>
      <c r="X486" s="50">
        <v>3253300</v>
      </c>
      <c r="Y486" s="50">
        <v>1899100</v>
      </c>
      <c r="AC486" s="26">
        <f t="shared" si="14"/>
        <v>17333300</v>
      </c>
      <c r="AD486" s="26">
        <f t="shared" si="15"/>
        <v>30005500</v>
      </c>
      <c r="AG486" s="53" t="s">
        <v>55</v>
      </c>
    </row>
    <row r="487" spans="1:33" ht="15" customHeight="1">
      <c r="A487" s="46" t="s">
        <v>91</v>
      </c>
      <c r="B487" s="3" t="str">
        <f>_xlfn.IFNA(VLOOKUP(C487,Master!$J:$K,2,0),"")</f>
        <v>B2220</v>
      </c>
      <c r="C487" s="46" t="s">
        <v>83</v>
      </c>
      <c r="D487" s="4" t="str">
        <f>_xlfn.IFNA(VLOOKUP(E487,Master!$J:$K,2,0),"")</f>
        <v>B5100</v>
      </c>
      <c r="E487" s="46" t="s">
        <v>211</v>
      </c>
      <c r="F487" s="4">
        <f>_xlfn.IFNA(VLOOKUP(G487,Master!B:C,2,0),"")</f>
        <v>7514102</v>
      </c>
      <c r="G487" s="46" t="s">
        <v>119</v>
      </c>
      <c r="H487" s="46" t="s">
        <v>547</v>
      </c>
      <c r="I487" s="3" t="str">
        <f>_xlfn.IFNA(VLOOKUP(E487,Master!$J:$M,4,0),"")</f>
        <v>IND</v>
      </c>
      <c r="J487" s="3" t="str">
        <f>_xlfn.IFNA(VLOOKUP($E487,Master!$J:$M,3,0),"")</f>
        <v>MFG</v>
      </c>
      <c r="M487" s="50">
        <v>9658600</v>
      </c>
      <c r="N487" s="50">
        <v>10334700</v>
      </c>
      <c r="O487" s="50">
        <v>10334700</v>
      </c>
      <c r="P487" s="50">
        <v>10334700</v>
      </c>
      <c r="Q487" s="50">
        <v>10334700</v>
      </c>
      <c r="R487" s="50">
        <v>10334700</v>
      </c>
      <c r="S487" s="50">
        <v>10334700</v>
      </c>
      <c r="T487" s="50">
        <v>10334700</v>
      </c>
      <c r="U487" s="50">
        <v>10334700</v>
      </c>
      <c r="V487" s="50">
        <v>10334700</v>
      </c>
      <c r="W487" s="50">
        <v>10334700</v>
      </c>
      <c r="X487" s="50">
        <v>10334700</v>
      </c>
      <c r="Y487" s="50">
        <v>10334700</v>
      </c>
      <c r="Z487" s="50">
        <v>11058200</v>
      </c>
      <c r="AA487" s="50">
        <v>11058200</v>
      </c>
      <c r="AB487" s="50">
        <v>11058200</v>
      </c>
      <c r="AC487" s="26">
        <f t="shared" si="14"/>
        <v>40662700</v>
      </c>
      <c r="AD487" s="26">
        <f t="shared" si="15"/>
        <v>126186900</v>
      </c>
      <c r="AE487" s="50">
        <v>135020400</v>
      </c>
      <c r="AF487" s="50">
        <v>144471300</v>
      </c>
      <c r="AG487" s="53" t="s">
        <v>55</v>
      </c>
    </row>
    <row r="488" spans="1:33" ht="15" customHeight="1">
      <c r="A488" s="46" t="s">
        <v>91</v>
      </c>
      <c r="B488" s="3" t="str">
        <f>_xlfn.IFNA(VLOOKUP(C488,Master!$J:$K,2,0),"")</f>
        <v>B2220</v>
      </c>
      <c r="C488" s="46" t="s">
        <v>83</v>
      </c>
      <c r="D488" s="4" t="str">
        <f>_xlfn.IFNA(VLOOKUP(E488,Master!$J:$K,2,0),"")</f>
        <v>B5101</v>
      </c>
      <c r="E488" s="46" t="s">
        <v>216</v>
      </c>
      <c r="F488" s="4">
        <f>_xlfn.IFNA(VLOOKUP(G488,Master!B:C,2,0),"")</f>
        <v>7514102</v>
      </c>
      <c r="G488" s="46" t="s">
        <v>119</v>
      </c>
      <c r="H488" s="46" t="s">
        <v>547</v>
      </c>
      <c r="I488" s="3" t="str">
        <f>_xlfn.IFNA(VLOOKUP(E488,Master!$J:$M,4,0),"")</f>
        <v>IND</v>
      </c>
      <c r="J488" s="3" t="str">
        <f>_xlfn.IFNA(VLOOKUP($E488,Master!$J:$M,3,0),"")</f>
        <v>MFG</v>
      </c>
      <c r="M488" s="50">
        <v>5277900</v>
      </c>
      <c r="N488" s="50">
        <v>7824900</v>
      </c>
      <c r="O488" s="50">
        <v>7630000</v>
      </c>
      <c r="P488" s="50">
        <v>7337700</v>
      </c>
      <c r="Q488" s="50">
        <v>6971400</v>
      </c>
      <c r="R488" s="50">
        <v>7364500</v>
      </c>
      <c r="S488" s="50">
        <v>7266200</v>
      </c>
      <c r="T488" s="50">
        <v>7659400</v>
      </c>
      <c r="U488" s="50">
        <v>7561100</v>
      </c>
      <c r="V488" s="50">
        <v>7364500</v>
      </c>
      <c r="W488" s="50">
        <v>7715100</v>
      </c>
      <c r="X488" s="50">
        <v>7518500</v>
      </c>
      <c r="Y488" s="50">
        <v>7420200</v>
      </c>
      <c r="Z488" s="50">
        <v>8093700</v>
      </c>
      <c r="AA488" s="50">
        <v>7887300</v>
      </c>
      <c r="AB488" s="50">
        <v>7577800</v>
      </c>
      <c r="AC488" s="26">
        <f t="shared" si="14"/>
        <v>28070500</v>
      </c>
      <c r="AD488" s="26">
        <f t="shared" si="15"/>
        <v>90399700</v>
      </c>
      <c r="AE488" s="50">
        <v>100283300</v>
      </c>
      <c r="AF488" s="50">
        <v>111435000</v>
      </c>
      <c r="AG488" s="53" t="s">
        <v>55</v>
      </c>
    </row>
    <row r="489" spans="1:33" ht="15" customHeight="1">
      <c r="A489" s="46" t="s">
        <v>91</v>
      </c>
      <c r="B489" s="3" t="str">
        <f>_xlfn.IFNA(VLOOKUP(C489,Master!$J:$K,2,0),"")</f>
        <v>B2220</v>
      </c>
      <c r="C489" s="46" t="s">
        <v>83</v>
      </c>
      <c r="D489" s="4" t="str">
        <f>_xlfn.IFNA(VLOOKUP(E489,Master!$J:$K,2,0),"")</f>
        <v>B5130</v>
      </c>
      <c r="E489" s="46" t="s">
        <v>247</v>
      </c>
      <c r="F489" s="4">
        <f>_xlfn.IFNA(VLOOKUP(G489,Master!B:C,2,0),"")</f>
        <v>7514102</v>
      </c>
      <c r="G489" s="46" t="s">
        <v>119</v>
      </c>
      <c r="H489" s="46" t="s">
        <v>547</v>
      </c>
      <c r="I489" s="3" t="str">
        <f>_xlfn.IFNA(VLOOKUP(E489,Master!$J:$M,4,0),"")</f>
        <v>IND</v>
      </c>
      <c r="J489" s="3" t="str">
        <f>_xlfn.IFNA(VLOOKUP($E489,Master!$J:$M,3,0),"")</f>
        <v>MFG</v>
      </c>
      <c r="M489" s="50">
        <v>11447500</v>
      </c>
      <c r="N489" s="50">
        <v>12214600</v>
      </c>
      <c r="O489" s="50">
        <v>12214600</v>
      </c>
      <c r="P489" s="50">
        <v>12214600</v>
      </c>
      <c r="Q489" s="50">
        <v>12214600</v>
      </c>
      <c r="R489" s="50">
        <v>12214600</v>
      </c>
      <c r="S489" s="50">
        <v>12214600</v>
      </c>
      <c r="T489" s="50">
        <v>12214600</v>
      </c>
      <c r="U489" s="50">
        <v>12214600</v>
      </c>
      <c r="V489" s="50">
        <v>12214600</v>
      </c>
      <c r="W489" s="50">
        <v>12630600</v>
      </c>
      <c r="X489" s="50">
        <v>12630600</v>
      </c>
      <c r="Y489" s="50">
        <v>12630600</v>
      </c>
      <c r="Z489" s="50">
        <v>12537700</v>
      </c>
      <c r="AA489" s="50">
        <v>12537700</v>
      </c>
      <c r="AB489" s="50">
        <v>12537700</v>
      </c>
      <c r="AC489" s="26">
        <f t="shared" si="14"/>
        <v>48091300</v>
      </c>
      <c r="AD489" s="26">
        <f t="shared" si="15"/>
        <v>148792500</v>
      </c>
      <c r="AE489" s="50">
        <v>152905200</v>
      </c>
      <c r="AF489" s="50">
        <v>156673200</v>
      </c>
      <c r="AG489" s="53" t="s">
        <v>55</v>
      </c>
    </row>
    <row r="490" spans="1:33" ht="15" customHeight="1">
      <c r="A490" s="46" t="s">
        <v>91</v>
      </c>
      <c r="B490" s="3" t="str">
        <f>_xlfn.IFNA(VLOOKUP(C490,Master!$J:$K,2,0),"")</f>
        <v>B2220</v>
      </c>
      <c r="C490" s="46" t="s">
        <v>83</v>
      </c>
      <c r="D490" s="4" t="str">
        <f>_xlfn.IFNA(VLOOKUP(E490,Master!$J:$K,2,0),"")</f>
        <v>B5200</v>
      </c>
      <c r="E490" s="46" t="s">
        <v>253</v>
      </c>
      <c r="F490" s="4">
        <f>_xlfn.IFNA(VLOOKUP(G490,Master!B:C,2,0),"")</f>
        <v>7514102</v>
      </c>
      <c r="G490" s="46" t="s">
        <v>119</v>
      </c>
      <c r="H490" s="46" t="s">
        <v>547</v>
      </c>
      <c r="I490" s="3" t="str">
        <f>_xlfn.IFNA(VLOOKUP(E490,Master!$J:$M,4,0),"")</f>
        <v>IND</v>
      </c>
      <c r="J490" s="3" t="str">
        <f>_xlfn.IFNA(VLOOKUP($E490,Master!$J:$M,3,0),"")</f>
        <v>MFG</v>
      </c>
      <c r="M490" s="50">
        <v>1827200</v>
      </c>
      <c r="N490" s="50">
        <v>1956500</v>
      </c>
      <c r="O490" s="50">
        <v>1947000</v>
      </c>
      <c r="P490" s="50">
        <v>1932800</v>
      </c>
      <c r="Q490" s="50">
        <v>1977900</v>
      </c>
      <c r="R490" s="50">
        <v>1996800</v>
      </c>
      <c r="S490" s="50">
        <v>1992100</v>
      </c>
      <c r="T490" s="50">
        <v>2011000</v>
      </c>
      <c r="U490" s="50">
        <v>2006200</v>
      </c>
      <c r="V490" s="50">
        <v>1996800</v>
      </c>
      <c r="W490" s="50">
        <v>2011000</v>
      </c>
      <c r="X490" s="50">
        <v>2001500</v>
      </c>
      <c r="Y490" s="50">
        <v>1996800</v>
      </c>
      <c r="Z490" s="50">
        <v>2138900</v>
      </c>
      <c r="AA490" s="50">
        <v>2129000</v>
      </c>
      <c r="AB490" s="50">
        <v>2114100</v>
      </c>
      <c r="AC490" s="26">
        <f t="shared" si="14"/>
        <v>7663500</v>
      </c>
      <c r="AD490" s="26">
        <f t="shared" si="15"/>
        <v>24372100</v>
      </c>
      <c r="AE490" s="50">
        <v>25937900</v>
      </c>
      <c r="AF490" s="50">
        <v>27654900</v>
      </c>
      <c r="AG490" s="53" t="s">
        <v>55</v>
      </c>
    </row>
    <row r="491" spans="1:33" ht="15" customHeight="1">
      <c r="A491" s="46" t="s">
        <v>91</v>
      </c>
      <c r="B491" s="3" t="str">
        <f>_xlfn.IFNA(VLOOKUP(C491,Master!$J:$K,2,0),"")</f>
        <v>B2220</v>
      </c>
      <c r="C491" s="46" t="s">
        <v>83</v>
      </c>
      <c r="D491" s="4" t="str">
        <f>_xlfn.IFNA(VLOOKUP(E491,Master!$J:$K,2,0),"")</f>
        <v>B5500</v>
      </c>
      <c r="E491" s="46" t="s">
        <v>236</v>
      </c>
      <c r="F491" s="4">
        <f>_xlfn.IFNA(VLOOKUP(G491,Master!B:C,2,0),"")</f>
        <v>7514102</v>
      </c>
      <c r="G491" s="46" t="s">
        <v>119</v>
      </c>
      <c r="H491" s="46" t="s">
        <v>547</v>
      </c>
      <c r="I491" s="3" t="str">
        <f>_xlfn.IFNA(VLOOKUP(E491,Master!$J:$M,4,0),"")</f>
        <v>IND</v>
      </c>
      <c r="J491" s="3" t="str">
        <f>_xlfn.IFNA(VLOOKUP($E491,Master!$J:$M,3,0),"")</f>
        <v>MFG</v>
      </c>
      <c r="M491" s="50">
        <v>6918500</v>
      </c>
      <c r="N491" s="50">
        <v>7849000</v>
      </c>
      <c r="O491" s="50">
        <v>7849000</v>
      </c>
      <c r="P491" s="50">
        <v>7849000</v>
      </c>
      <c r="Q491" s="50">
        <v>10309400</v>
      </c>
      <c r="R491" s="50">
        <v>10309400</v>
      </c>
      <c r="S491" s="50">
        <v>10309400</v>
      </c>
      <c r="T491" s="50">
        <v>10309400</v>
      </c>
      <c r="U491" s="50">
        <v>10309400</v>
      </c>
      <c r="V491" s="50">
        <v>10309400</v>
      </c>
      <c r="W491" s="50">
        <v>10930000</v>
      </c>
      <c r="X491" s="50">
        <v>10930000</v>
      </c>
      <c r="Y491" s="50">
        <v>10930000</v>
      </c>
      <c r="Z491" s="50">
        <v>11664000</v>
      </c>
      <c r="AA491" s="50">
        <v>11664000</v>
      </c>
      <c r="AB491" s="50">
        <v>11664000</v>
      </c>
      <c r="AC491" s="26">
        <f t="shared" si="14"/>
        <v>30465500</v>
      </c>
      <c r="AD491" s="26">
        <f t="shared" si="15"/>
        <v>129638400</v>
      </c>
      <c r="AE491" s="50">
        <v>139167000</v>
      </c>
      <c r="AF491" s="50">
        <v>144141000</v>
      </c>
      <c r="AG491" s="53" t="s">
        <v>55</v>
      </c>
    </row>
    <row r="492" spans="1:33" ht="15" customHeight="1">
      <c r="A492" s="46" t="s">
        <v>91</v>
      </c>
      <c r="B492" s="3" t="str">
        <f>_xlfn.IFNA(VLOOKUP(C492,Master!$J:$K,2,0),"")</f>
        <v>B2220</v>
      </c>
      <c r="C492" s="46" t="s">
        <v>83</v>
      </c>
      <c r="D492" s="4" t="str">
        <f>_xlfn.IFNA(VLOOKUP(E492,Master!$J:$K,2,0),"")</f>
        <v>B5600</v>
      </c>
      <c r="E492" s="46" t="s">
        <v>241</v>
      </c>
      <c r="F492" s="4">
        <f>_xlfn.IFNA(VLOOKUP(G492,Master!B:C,2,0),"")</f>
        <v>7514102</v>
      </c>
      <c r="G492" s="46" t="s">
        <v>119</v>
      </c>
      <c r="H492" s="46" t="s">
        <v>547</v>
      </c>
      <c r="I492" s="3" t="str">
        <f>_xlfn.IFNA(VLOOKUP(E492,Master!$J:$M,4,0),"")</f>
        <v>IND</v>
      </c>
      <c r="J492" s="3" t="str">
        <f>_xlfn.IFNA(VLOOKUP($E492,Master!$J:$M,3,0),"")</f>
        <v>MFG</v>
      </c>
      <c r="M492" s="50">
        <v>9319600</v>
      </c>
      <c r="N492" s="50">
        <v>12151800</v>
      </c>
      <c r="O492" s="50">
        <v>11941100</v>
      </c>
      <c r="P492" s="50">
        <v>11625100</v>
      </c>
      <c r="Q492" s="50">
        <v>11427900</v>
      </c>
      <c r="R492" s="50">
        <v>11849200</v>
      </c>
      <c r="S492" s="50">
        <v>11743900</v>
      </c>
      <c r="T492" s="50">
        <v>12165200</v>
      </c>
      <c r="U492" s="50">
        <v>12059900</v>
      </c>
      <c r="V492" s="50">
        <v>11849200</v>
      </c>
      <c r="W492" s="50">
        <v>12165200</v>
      </c>
      <c r="X492" s="50">
        <v>11954600</v>
      </c>
      <c r="Y492" s="50">
        <v>11849200</v>
      </c>
      <c r="Z492" s="50">
        <v>12835200</v>
      </c>
      <c r="AA492" s="50">
        <v>12614100</v>
      </c>
      <c r="AB492" s="50">
        <v>12282400</v>
      </c>
      <c r="AC492" s="26">
        <f t="shared" si="14"/>
        <v>45037600</v>
      </c>
      <c r="AD492" s="26">
        <f t="shared" si="15"/>
        <v>144796000</v>
      </c>
      <c r="AE492" s="50">
        <v>154841800</v>
      </c>
      <c r="AF492" s="50">
        <v>166785000</v>
      </c>
      <c r="AG492" s="53" t="s">
        <v>55</v>
      </c>
    </row>
    <row r="493" spans="1:33" ht="15" customHeight="1">
      <c r="A493" s="46" t="s">
        <v>91</v>
      </c>
      <c r="B493" s="3" t="str">
        <f>_xlfn.IFNA(VLOOKUP(C493,Master!$J:$K,2,0),"")</f>
        <v>B2220</v>
      </c>
      <c r="C493" s="46" t="s">
        <v>83</v>
      </c>
      <c r="D493" s="4" t="str">
        <f>_xlfn.IFNA(VLOOKUP(E493,Master!$J:$K,2,0),"")</f>
        <v>B5710</v>
      </c>
      <c r="E493" s="46" t="s">
        <v>265</v>
      </c>
      <c r="F493" s="4">
        <f>_xlfn.IFNA(VLOOKUP(G493,Master!B:C,2,0),"")</f>
        <v>7514102</v>
      </c>
      <c r="G493" s="46" t="s">
        <v>119</v>
      </c>
      <c r="H493" s="46" t="s">
        <v>547</v>
      </c>
      <c r="I493" s="3" t="str">
        <f>_xlfn.IFNA(VLOOKUP(E493,Master!$J:$M,4,0),"")</f>
        <v>IND</v>
      </c>
      <c r="J493" s="3" t="str">
        <f>_xlfn.IFNA(VLOOKUP($E493,Master!$J:$M,3,0),"")</f>
        <v>MFG</v>
      </c>
      <c r="M493" s="50">
        <v>5567200</v>
      </c>
      <c r="N493" s="50">
        <v>5906200</v>
      </c>
      <c r="O493" s="50">
        <v>5906200</v>
      </c>
      <c r="P493" s="50">
        <v>5906200</v>
      </c>
      <c r="Q493" s="50">
        <v>5906200</v>
      </c>
      <c r="R493" s="50">
        <v>5906200</v>
      </c>
      <c r="S493" s="50">
        <v>5906200</v>
      </c>
      <c r="T493" s="50">
        <v>5906200</v>
      </c>
      <c r="U493" s="50">
        <v>5906200</v>
      </c>
      <c r="V493" s="50">
        <v>5906200</v>
      </c>
      <c r="W493" s="50">
        <v>5906200</v>
      </c>
      <c r="X493" s="50">
        <v>5906200</v>
      </c>
      <c r="Y493" s="50">
        <v>5906200</v>
      </c>
      <c r="Z493" s="50">
        <v>7197300</v>
      </c>
      <c r="AA493" s="50">
        <v>7197300</v>
      </c>
      <c r="AB493" s="50">
        <v>7197300</v>
      </c>
      <c r="AC493" s="26">
        <f t="shared" si="14"/>
        <v>23285800</v>
      </c>
      <c r="AD493" s="26">
        <f t="shared" si="15"/>
        <v>74747700</v>
      </c>
      <c r="AE493" s="50">
        <v>78875700</v>
      </c>
      <c r="AF493" s="50">
        <v>80667000</v>
      </c>
      <c r="AG493" s="53" t="s">
        <v>55</v>
      </c>
    </row>
    <row r="494" spans="1:33" ht="15" customHeight="1">
      <c r="A494" s="46" t="s">
        <v>91</v>
      </c>
      <c r="B494" s="3" t="str">
        <f>_xlfn.IFNA(VLOOKUP(C494,Master!$J:$K,2,0),"")</f>
        <v>B2220</v>
      </c>
      <c r="C494" s="46" t="s">
        <v>83</v>
      </c>
      <c r="D494" s="4" t="str">
        <f>_xlfn.IFNA(VLOOKUP(E494,Master!$J:$K,2,0),"")</f>
        <v>B5800</v>
      </c>
      <c r="E494" s="46" t="s">
        <v>226</v>
      </c>
      <c r="F494" s="4">
        <f>_xlfn.IFNA(VLOOKUP(G494,Master!B:C,2,0),"")</f>
        <v>7514102</v>
      </c>
      <c r="G494" s="46" t="s">
        <v>119</v>
      </c>
      <c r="H494" s="46" t="s">
        <v>547</v>
      </c>
      <c r="I494" s="3" t="str">
        <f>_xlfn.IFNA(VLOOKUP(E494,Master!$J:$M,4,0),"")</f>
        <v>IND</v>
      </c>
      <c r="J494" s="3" t="str">
        <f>_xlfn.IFNA(VLOOKUP($E494,Master!$J:$M,3,0),"")</f>
        <v>MFG</v>
      </c>
      <c r="M494" s="50">
        <v>8991300</v>
      </c>
      <c r="N494" s="50">
        <v>9604500</v>
      </c>
      <c r="O494" s="50">
        <v>9604500</v>
      </c>
      <c r="P494" s="50">
        <v>9604500</v>
      </c>
      <c r="Q494" s="50">
        <v>9663900</v>
      </c>
      <c r="R494" s="50">
        <v>9663900</v>
      </c>
      <c r="S494" s="50">
        <v>9663900</v>
      </c>
      <c r="T494" s="50">
        <v>9663900</v>
      </c>
      <c r="U494" s="50">
        <v>9663900</v>
      </c>
      <c r="V494" s="50">
        <v>9663900</v>
      </c>
      <c r="W494" s="50">
        <v>9663900</v>
      </c>
      <c r="X494" s="50">
        <v>9663900</v>
      </c>
      <c r="Y494" s="50">
        <v>9663900</v>
      </c>
      <c r="Z494" s="50">
        <v>10324200</v>
      </c>
      <c r="AA494" s="50">
        <v>10324200</v>
      </c>
      <c r="AB494" s="50">
        <v>10324200</v>
      </c>
      <c r="AC494" s="26">
        <f t="shared" si="14"/>
        <v>37804800</v>
      </c>
      <c r="AD494" s="26">
        <f t="shared" si="15"/>
        <v>117947700</v>
      </c>
      <c r="AE494" s="50">
        <v>126009900</v>
      </c>
      <c r="AF494" s="50">
        <v>128837400</v>
      </c>
      <c r="AG494" s="53" t="s">
        <v>55</v>
      </c>
    </row>
    <row r="495" spans="1:33" ht="15" customHeight="1">
      <c r="A495" s="46" t="s">
        <v>91</v>
      </c>
      <c r="B495" s="3" t="str">
        <f>_xlfn.IFNA(VLOOKUP(C495,Master!$J:$K,2,0),"")</f>
        <v>B2220</v>
      </c>
      <c r="C495" s="46" t="s">
        <v>83</v>
      </c>
      <c r="D495" s="4" t="str">
        <f>_xlfn.IFNA(VLOOKUP(E495,Master!$J:$K,2,0),"")</f>
        <v>B5900</v>
      </c>
      <c r="E495" s="46" t="s">
        <v>231</v>
      </c>
      <c r="F495" s="4">
        <f>_xlfn.IFNA(VLOOKUP(G495,Master!B:C,2,0),"")</f>
        <v>7514102</v>
      </c>
      <c r="G495" s="46" t="s">
        <v>119</v>
      </c>
      <c r="H495" s="46" t="s">
        <v>547</v>
      </c>
      <c r="I495" s="3" t="str">
        <f>_xlfn.IFNA(VLOOKUP(E495,Master!$J:$M,4,0),"")</f>
        <v>IND</v>
      </c>
      <c r="J495" s="3" t="str">
        <f>_xlfn.IFNA(VLOOKUP($E495,Master!$J:$M,3,0),"")</f>
        <v>MFG</v>
      </c>
      <c r="M495" s="50">
        <v>11662000</v>
      </c>
      <c r="N495" s="50">
        <v>12423800</v>
      </c>
      <c r="O495" s="50">
        <v>12380800</v>
      </c>
      <c r="P495" s="50">
        <v>12316300</v>
      </c>
      <c r="Q495" s="50">
        <v>12251900</v>
      </c>
      <c r="R495" s="50">
        <v>12337800</v>
      </c>
      <c r="S495" s="50">
        <v>12316300</v>
      </c>
      <c r="T495" s="50">
        <v>12402300</v>
      </c>
      <c r="U495" s="50">
        <v>12380800</v>
      </c>
      <c r="V495" s="50">
        <v>12337800</v>
      </c>
      <c r="W495" s="50">
        <v>12402300</v>
      </c>
      <c r="X495" s="50">
        <v>12359300</v>
      </c>
      <c r="Y495" s="50">
        <v>12337800</v>
      </c>
      <c r="Z495" s="50">
        <v>11829900</v>
      </c>
      <c r="AA495" s="50">
        <v>11784800</v>
      </c>
      <c r="AB495" s="50">
        <v>11717300</v>
      </c>
      <c r="AC495" s="26">
        <f t="shared" si="14"/>
        <v>48782900</v>
      </c>
      <c r="AD495" s="26">
        <f t="shared" si="15"/>
        <v>146458300</v>
      </c>
      <c r="AE495" s="50">
        <v>144668300</v>
      </c>
      <c r="AF495" s="50">
        <v>148220800</v>
      </c>
      <c r="AG495" s="53" t="s">
        <v>55</v>
      </c>
    </row>
    <row r="496" spans="1:33" ht="15" customHeight="1">
      <c r="A496" s="46" t="s">
        <v>91</v>
      </c>
      <c r="B496" s="3" t="str">
        <f>_xlfn.IFNA(VLOOKUP(C496,Master!$J:$K,2,0),"")</f>
        <v>B2220</v>
      </c>
      <c r="C496" s="46" t="s">
        <v>83</v>
      </c>
      <c r="D496" s="4" t="str">
        <f>_xlfn.IFNA(VLOOKUP(E496,Master!$J:$K,2,0),"")</f>
        <v>B2210</v>
      </c>
      <c r="E496" s="46" t="s">
        <v>78</v>
      </c>
      <c r="F496" s="4">
        <f>_xlfn.IFNA(VLOOKUP(G496,Master!B:C,2,0),"")</f>
        <v>7516102</v>
      </c>
      <c r="G496" s="46" t="s">
        <v>179</v>
      </c>
      <c r="H496" s="46" t="s">
        <v>179</v>
      </c>
      <c r="I496" s="3" t="str">
        <f>_xlfn.IFNA(VLOOKUP(E496,Master!$J:$M,4,0),"")</f>
        <v>ADM</v>
      </c>
      <c r="J496" s="3" t="str">
        <f>_xlfn.IFNA(VLOOKUP($E496,Master!$J:$M,3,0),"")</f>
        <v>SGA</v>
      </c>
      <c r="Q496" s="50">
        <v>37501300</v>
      </c>
      <c r="R496" s="50">
        <v>37501300</v>
      </c>
      <c r="S496" s="50">
        <v>37501300</v>
      </c>
      <c r="T496" s="50">
        <v>37501300</v>
      </c>
      <c r="U496" s="50">
        <v>37501300</v>
      </c>
      <c r="V496" s="50">
        <v>37501300</v>
      </c>
      <c r="W496" s="50">
        <v>37501300</v>
      </c>
      <c r="X496" s="50">
        <v>37501300</v>
      </c>
      <c r="Y496" s="50">
        <v>37501300</v>
      </c>
      <c r="Z496" s="50">
        <v>37501300</v>
      </c>
      <c r="AA496" s="50">
        <v>37501300</v>
      </c>
      <c r="AB496" s="50">
        <v>37501300</v>
      </c>
      <c r="AC496" s="26">
        <f t="shared" si="14"/>
        <v>0</v>
      </c>
      <c r="AD496" s="26">
        <f t="shared" si="15"/>
        <v>450015600</v>
      </c>
      <c r="AE496" s="50">
        <v>473807800</v>
      </c>
      <c r="AF496" s="50">
        <v>516818000</v>
      </c>
      <c r="AG496" s="53" t="s">
        <v>55</v>
      </c>
    </row>
    <row r="497" spans="1:33" ht="15" customHeight="1">
      <c r="A497" s="46" t="s">
        <v>91</v>
      </c>
      <c r="B497" s="3" t="str">
        <f>_xlfn.IFNA(VLOOKUP(C497,Master!$J:$K,2,0),"")</f>
        <v>B2220</v>
      </c>
      <c r="C497" s="46" t="s">
        <v>83</v>
      </c>
      <c r="D497" s="4" t="str">
        <f>_xlfn.IFNA(VLOOKUP(E497,Master!$J:$K,2,0),"")</f>
        <v>B2220</v>
      </c>
      <c r="E497" s="46" t="s">
        <v>83</v>
      </c>
      <c r="F497" s="4">
        <f>_xlfn.IFNA(VLOOKUP(G497,Master!B:C,2,0),"")</f>
        <v>7516102</v>
      </c>
      <c r="G497" s="46" t="s">
        <v>179</v>
      </c>
      <c r="H497" s="46" t="s">
        <v>179</v>
      </c>
      <c r="I497" s="3" t="str">
        <f>_xlfn.IFNA(VLOOKUP(E497,Master!$J:$M,4,0),"")</f>
        <v>ADM</v>
      </c>
      <c r="J497" s="3" t="str">
        <f>_xlfn.IFNA(VLOOKUP($E497,Master!$J:$M,3,0),"")</f>
        <v>SGA</v>
      </c>
      <c r="Q497" s="50">
        <v>18750700</v>
      </c>
      <c r="R497" s="50">
        <v>18750700</v>
      </c>
      <c r="S497" s="50">
        <v>18750700</v>
      </c>
      <c r="T497" s="50">
        <v>18750700</v>
      </c>
      <c r="U497" s="50">
        <v>18750700</v>
      </c>
      <c r="V497" s="50">
        <v>18750700</v>
      </c>
      <c r="W497" s="50">
        <v>18750700</v>
      </c>
      <c r="X497" s="50">
        <v>18750700</v>
      </c>
      <c r="Y497" s="50">
        <v>18750700</v>
      </c>
      <c r="Z497" s="50">
        <v>18750700</v>
      </c>
      <c r="AA497" s="50">
        <v>18750700</v>
      </c>
      <c r="AB497" s="50">
        <v>18750700</v>
      </c>
      <c r="AC497" s="26">
        <f t="shared" si="14"/>
        <v>0</v>
      </c>
      <c r="AD497" s="26">
        <f t="shared" si="15"/>
        <v>225008400</v>
      </c>
      <c r="AE497" s="50">
        <v>236903900</v>
      </c>
      <c r="AF497" s="50">
        <v>258409000</v>
      </c>
      <c r="AG497" s="53" t="s">
        <v>55</v>
      </c>
    </row>
    <row r="498" spans="1:33" ht="15" customHeight="1">
      <c r="A498" s="46" t="s">
        <v>91</v>
      </c>
      <c r="B498" s="3" t="str">
        <f>_xlfn.IFNA(VLOOKUP(C498,Master!$J:$K,2,0),"")</f>
        <v>B2220</v>
      </c>
      <c r="C498" s="46" t="s">
        <v>83</v>
      </c>
      <c r="D498" s="4" t="str">
        <f>_xlfn.IFNA(VLOOKUP(E498,Master!$J:$K,2,0),"")</f>
        <v>B2230</v>
      </c>
      <c r="E498" s="46" t="s">
        <v>89</v>
      </c>
      <c r="F498" s="4">
        <f>_xlfn.IFNA(VLOOKUP(G498,Master!B:C,2,0),"")</f>
        <v>7516102</v>
      </c>
      <c r="G498" s="46" t="s">
        <v>179</v>
      </c>
      <c r="H498" s="46" t="s">
        <v>179</v>
      </c>
      <c r="I498" s="3" t="str">
        <f>_xlfn.IFNA(VLOOKUP(E498,Master!$J:$M,4,0),"")</f>
        <v>ADM</v>
      </c>
      <c r="J498" s="3" t="str">
        <f>_xlfn.IFNA(VLOOKUP($E498,Master!$J:$M,3,0),"")</f>
        <v>SGA</v>
      </c>
      <c r="Q498" s="50">
        <v>10714700</v>
      </c>
      <c r="R498" s="50">
        <v>10714700</v>
      </c>
      <c r="S498" s="50">
        <v>10714700</v>
      </c>
      <c r="T498" s="50">
        <v>10714700</v>
      </c>
      <c r="U498" s="50">
        <v>10714700</v>
      </c>
      <c r="V498" s="50">
        <v>10714700</v>
      </c>
      <c r="W498" s="50">
        <v>10714700</v>
      </c>
      <c r="X498" s="50">
        <v>10714700</v>
      </c>
      <c r="Y498" s="50">
        <v>10714700</v>
      </c>
      <c r="Z498" s="50">
        <v>10714700</v>
      </c>
      <c r="AA498" s="50">
        <v>10714700</v>
      </c>
      <c r="AB498" s="50">
        <v>10714700</v>
      </c>
      <c r="AC498" s="26">
        <f t="shared" si="14"/>
        <v>0</v>
      </c>
      <c r="AD498" s="26">
        <f t="shared" si="15"/>
        <v>128576400</v>
      </c>
      <c r="AE498" s="50">
        <v>128577200</v>
      </c>
      <c r="AF498" s="50">
        <v>140248900</v>
      </c>
      <c r="AG498" s="53" t="s">
        <v>55</v>
      </c>
    </row>
    <row r="499" spans="1:33" ht="15" customHeight="1">
      <c r="A499" s="46" t="s">
        <v>91</v>
      </c>
      <c r="B499" s="3" t="str">
        <f>_xlfn.IFNA(VLOOKUP(C499,Master!$J:$K,2,0),"")</f>
        <v>B2220</v>
      </c>
      <c r="C499" s="46" t="s">
        <v>83</v>
      </c>
      <c r="D499" s="4" t="str">
        <f>_xlfn.IFNA(VLOOKUP(E499,Master!$J:$K,2,0),"")</f>
        <v>B2300</v>
      </c>
      <c r="E499" s="46" t="s">
        <v>95</v>
      </c>
      <c r="F499" s="4">
        <f>_xlfn.IFNA(VLOOKUP(G499,Master!B:C,2,0),"")</f>
        <v>7516102</v>
      </c>
      <c r="G499" s="46" t="s">
        <v>179</v>
      </c>
      <c r="H499" s="46" t="s">
        <v>179</v>
      </c>
      <c r="I499" s="3" t="str">
        <f>_xlfn.IFNA(VLOOKUP(E499,Master!$J:$M,4,0),"")</f>
        <v>ADM</v>
      </c>
      <c r="J499" s="3" t="str">
        <f>_xlfn.IFNA(VLOOKUP($E499,Master!$J:$M,3,0),"")</f>
        <v>SGA</v>
      </c>
      <c r="Q499" s="50">
        <v>21429300</v>
      </c>
      <c r="R499" s="50">
        <v>21429300</v>
      </c>
      <c r="S499" s="50">
        <v>21429300</v>
      </c>
      <c r="T499" s="50">
        <v>21429300</v>
      </c>
      <c r="U499" s="50">
        <v>21429300</v>
      </c>
      <c r="V499" s="50">
        <v>21429300</v>
      </c>
      <c r="W499" s="50">
        <v>21429300</v>
      </c>
      <c r="X499" s="50">
        <v>21429300</v>
      </c>
      <c r="Y499" s="50">
        <v>21429300</v>
      </c>
      <c r="Z499" s="50">
        <v>21429300</v>
      </c>
      <c r="AA499" s="50">
        <v>21429300</v>
      </c>
      <c r="AB499" s="50">
        <v>21429300</v>
      </c>
      <c r="AC499" s="26">
        <f t="shared" si="14"/>
        <v>0</v>
      </c>
      <c r="AD499" s="26">
        <f t="shared" si="15"/>
        <v>257151600</v>
      </c>
      <c r="AE499" s="50">
        <v>289298700</v>
      </c>
      <c r="AF499" s="50">
        <v>315560000</v>
      </c>
      <c r="AG499" s="53" t="s">
        <v>55</v>
      </c>
    </row>
    <row r="500" spans="1:33" ht="15" customHeight="1">
      <c r="A500" s="46" t="s">
        <v>91</v>
      </c>
      <c r="B500" s="3" t="str">
        <f>_xlfn.IFNA(VLOOKUP(C500,Master!$J:$K,2,0),"")</f>
        <v>B2220</v>
      </c>
      <c r="C500" s="46" t="s">
        <v>83</v>
      </c>
      <c r="D500" s="4" t="str">
        <f>_xlfn.IFNA(VLOOKUP(E500,Master!$J:$K,2,0),"")</f>
        <v>B2400</v>
      </c>
      <c r="E500" s="46" t="s">
        <v>101</v>
      </c>
      <c r="F500" s="4">
        <f>_xlfn.IFNA(VLOOKUP(G500,Master!B:C,2,0),"")</f>
        <v>7516102</v>
      </c>
      <c r="G500" s="46" t="s">
        <v>179</v>
      </c>
      <c r="H500" s="46" t="s">
        <v>179</v>
      </c>
      <c r="I500" s="3" t="str">
        <f>_xlfn.IFNA(VLOOKUP(E500,Master!$J:$M,4,0),"")</f>
        <v>ADM</v>
      </c>
      <c r="J500" s="3" t="str">
        <f>_xlfn.IFNA(VLOOKUP($E500,Master!$J:$M,3,0),"")</f>
        <v>SGA</v>
      </c>
      <c r="Q500" s="50">
        <v>10714700</v>
      </c>
      <c r="R500" s="50">
        <v>10714700</v>
      </c>
      <c r="S500" s="50">
        <v>10714700</v>
      </c>
      <c r="T500" s="50">
        <v>10714700</v>
      </c>
      <c r="U500" s="50">
        <v>10714700</v>
      </c>
      <c r="V500" s="50">
        <v>10714700</v>
      </c>
      <c r="W500" s="50">
        <v>10714700</v>
      </c>
      <c r="X500" s="50">
        <v>10714700</v>
      </c>
      <c r="Y500" s="50">
        <v>10714700</v>
      </c>
      <c r="Z500" s="50">
        <v>10714700</v>
      </c>
      <c r="AA500" s="50">
        <v>10714700</v>
      </c>
      <c r="AB500" s="50">
        <v>10714700</v>
      </c>
      <c r="AC500" s="26">
        <f t="shared" si="14"/>
        <v>0</v>
      </c>
      <c r="AD500" s="26">
        <f t="shared" si="15"/>
        <v>128576400</v>
      </c>
      <c r="AE500" s="50">
        <v>135373700</v>
      </c>
      <c r="AF500" s="50">
        <v>147662300</v>
      </c>
      <c r="AG500" s="53" t="s">
        <v>55</v>
      </c>
    </row>
    <row r="501" spans="1:33" ht="15" customHeight="1">
      <c r="A501" s="46" t="s">
        <v>91</v>
      </c>
      <c r="B501" s="3" t="str">
        <f>_xlfn.IFNA(VLOOKUP(C501,Master!$J:$K,2,0),"")</f>
        <v>B2220</v>
      </c>
      <c r="C501" s="46" t="s">
        <v>83</v>
      </c>
      <c r="D501" s="4" t="str">
        <f>_xlfn.IFNA(VLOOKUP(E501,Master!$J:$K,2,0),"")</f>
        <v>B3110</v>
      </c>
      <c r="E501" s="46" t="s">
        <v>117</v>
      </c>
      <c r="F501" s="4">
        <f>_xlfn.IFNA(VLOOKUP(G501,Master!B:C,2,0),"")</f>
        <v>7516102</v>
      </c>
      <c r="G501" s="46" t="s">
        <v>179</v>
      </c>
      <c r="H501" s="46" t="s">
        <v>179</v>
      </c>
      <c r="I501" s="3" t="str">
        <f>_xlfn.IFNA(VLOOKUP(E501,Master!$J:$M,4,0),"")</f>
        <v>ADM</v>
      </c>
      <c r="J501" s="3" t="str">
        <f>_xlfn.IFNA(VLOOKUP($E501,Master!$J:$M,3,0),"")</f>
        <v>SGA</v>
      </c>
      <c r="Q501" s="50">
        <v>18750700</v>
      </c>
      <c r="R501" s="50">
        <v>18750700</v>
      </c>
      <c r="S501" s="50">
        <v>18750700</v>
      </c>
      <c r="T501" s="50">
        <v>18750700</v>
      </c>
      <c r="U501" s="50">
        <v>18750700</v>
      </c>
      <c r="V501" s="50">
        <v>18750700</v>
      </c>
      <c r="W501" s="50">
        <v>18750700</v>
      </c>
      <c r="X501" s="50">
        <v>18750700</v>
      </c>
      <c r="Y501" s="50">
        <v>18750700</v>
      </c>
      <c r="Z501" s="50">
        <v>18750700</v>
      </c>
      <c r="AA501" s="50">
        <v>18750700</v>
      </c>
      <c r="AB501" s="50">
        <v>18750700</v>
      </c>
      <c r="AC501" s="26">
        <f t="shared" si="14"/>
        <v>0</v>
      </c>
      <c r="AD501" s="26">
        <f t="shared" si="15"/>
        <v>225008400</v>
      </c>
      <c r="AE501" s="50">
        <v>236903900</v>
      </c>
      <c r="AF501" s="50">
        <v>258409000</v>
      </c>
      <c r="AG501" s="53" t="s">
        <v>55</v>
      </c>
    </row>
    <row r="502" spans="1:33" ht="15" customHeight="1">
      <c r="A502" s="46" t="s">
        <v>91</v>
      </c>
      <c r="B502" s="3" t="str">
        <f>_xlfn.IFNA(VLOOKUP(C502,Master!$J:$K,2,0),"")</f>
        <v>B2220</v>
      </c>
      <c r="C502" s="46" t="s">
        <v>83</v>
      </c>
      <c r="D502" s="4" t="str">
        <f>_xlfn.IFNA(VLOOKUP(E502,Master!$J:$K,2,0),"")</f>
        <v>B3120</v>
      </c>
      <c r="E502" s="46" t="s">
        <v>122</v>
      </c>
      <c r="F502" s="4">
        <f>_xlfn.IFNA(VLOOKUP(G502,Master!B:C,2,0),"")</f>
        <v>7516102</v>
      </c>
      <c r="G502" s="46" t="s">
        <v>179</v>
      </c>
      <c r="H502" s="46" t="s">
        <v>179</v>
      </c>
      <c r="I502" s="3" t="str">
        <f>_xlfn.IFNA(VLOOKUP(E502,Master!$J:$M,4,0),"")</f>
        <v>ADM</v>
      </c>
      <c r="J502" s="3" t="str">
        <f>_xlfn.IFNA(VLOOKUP($E502,Master!$J:$M,3,0),"")</f>
        <v>SGA</v>
      </c>
      <c r="Q502" s="50">
        <v>2678700</v>
      </c>
      <c r="R502" s="50">
        <v>2678700</v>
      </c>
      <c r="S502" s="50">
        <v>2678700</v>
      </c>
      <c r="T502" s="50">
        <v>2678700</v>
      </c>
      <c r="U502" s="50">
        <v>2678700</v>
      </c>
      <c r="V502" s="50">
        <v>2678700</v>
      </c>
      <c r="W502" s="50">
        <v>2678700</v>
      </c>
      <c r="X502" s="50">
        <v>2678700</v>
      </c>
      <c r="Y502" s="50">
        <v>2678700</v>
      </c>
      <c r="Z502" s="50">
        <v>2678700</v>
      </c>
      <c r="AA502" s="50">
        <v>2678700</v>
      </c>
      <c r="AB502" s="50">
        <v>2678700</v>
      </c>
      <c r="AC502" s="26">
        <f t="shared" si="14"/>
        <v>0</v>
      </c>
      <c r="AD502" s="26">
        <f t="shared" si="15"/>
        <v>32144400</v>
      </c>
      <c r="AE502" s="50">
        <v>33843400</v>
      </c>
      <c r="AF502" s="50">
        <v>36915600</v>
      </c>
      <c r="AG502" s="53" t="s">
        <v>55</v>
      </c>
    </row>
    <row r="503" spans="1:33" ht="15" customHeight="1">
      <c r="A503" s="46" t="s">
        <v>91</v>
      </c>
      <c r="B503" s="3" t="str">
        <f>_xlfn.IFNA(VLOOKUP(C503,Master!$J:$K,2,0),"")</f>
        <v>B2220</v>
      </c>
      <c r="C503" s="46" t="s">
        <v>83</v>
      </c>
      <c r="D503" s="4" t="str">
        <f>_xlfn.IFNA(VLOOKUP(E503,Master!$J:$K,2,0),"")</f>
        <v>B3130</v>
      </c>
      <c r="E503" s="46" t="s">
        <v>127</v>
      </c>
      <c r="F503" s="4">
        <f>_xlfn.IFNA(VLOOKUP(G503,Master!B:C,2,0),"")</f>
        <v>7516102</v>
      </c>
      <c r="G503" s="46" t="s">
        <v>179</v>
      </c>
      <c r="H503" s="46" t="s">
        <v>179</v>
      </c>
      <c r="I503" s="3" t="str">
        <f>_xlfn.IFNA(VLOOKUP(E503,Master!$J:$M,4,0),"")</f>
        <v>ADM</v>
      </c>
      <c r="J503" s="3" t="str">
        <f>_xlfn.IFNA(VLOOKUP($E503,Master!$J:$M,3,0),"")</f>
        <v>SGA</v>
      </c>
      <c r="Q503" s="50">
        <v>37501300</v>
      </c>
      <c r="R503" s="50">
        <v>37501300</v>
      </c>
      <c r="S503" s="50">
        <v>37501300</v>
      </c>
      <c r="T503" s="50">
        <v>37501300</v>
      </c>
      <c r="U503" s="50">
        <v>37501300</v>
      </c>
      <c r="V503" s="50">
        <v>37501300</v>
      </c>
      <c r="W503" s="50">
        <v>37501300</v>
      </c>
      <c r="X503" s="50">
        <v>37501300</v>
      </c>
      <c r="Y503" s="50">
        <v>37501300</v>
      </c>
      <c r="Z503" s="50">
        <v>37501300</v>
      </c>
      <c r="AA503" s="50">
        <v>37501300</v>
      </c>
      <c r="AB503" s="50">
        <v>37501300</v>
      </c>
      <c r="AC503" s="26">
        <f t="shared" si="14"/>
        <v>0</v>
      </c>
      <c r="AD503" s="26">
        <f t="shared" si="15"/>
        <v>450015600</v>
      </c>
      <c r="AE503" s="50">
        <v>473807800</v>
      </c>
      <c r="AF503" s="50">
        <v>516818000</v>
      </c>
      <c r="AG503" s="53" t="s">
        <v>55</v>
      </c>
    </row>
    <row r="504" spans="1:33" ht="15" customHeight="1">
      <c r="A504" s="46" t="s">
        <v>91</v>
      </c>
      <c r="B504" s="3" t="str">
        <f>_xlfn.IFNA(VLOOKUP(C504,Master!$J:$K,2,0),"")</f>
        <v>B2220</v>
      </c>
      <c r="C504" s="46" t="s">
        <v>83</v>
      </c>
      <c r="D504" s="4" t="str">
        <f>_xlfn.IFNA(VLOOKUP(E504,Master!$J:$K,2,0),"")</f>
        <v>B3150</v>
      </c>
      <c r="E504" s="46" t="s">
        <v>259</v>
      </c>
      <c r="F504" s="4">
        <f>_xlfn.IFNA(VLOOKUP(G504,Master!B:C,2,0),"")</f>
        <v>7516102</v>
      </c>
      <c r="G504" s="46" t="s">
        <v>179</v>
      </c>
      <c r="H504" s="46" t="s">
        <v>179</v>
      </c>
      <c r="I504" s="3" t="str">
        <f>_xlfn.IFNA(VLOOKUP(E504,Master!$J:$M,4,0),"")</f>
        <v>ADM</v>
      </c>
      <c r="J504" s="3" t="str">
        <f>_xlfn.IFNA(VLOOKUP($E504,Master!$J:$M,3,0),"")</f>
        <v>SGA</v>
      </c>
      <c r="Q504" s="50">
        <v>29465300</v>
      </c>
      <c r="R504" s="50">
        <v>29465300</v>
      </c>
      <c r="S504" s="50">
        <v>29465300</v>
      </c>
      <c r="T504" s="50">
        <v>29465300</v>
      </c>
      <c r="U504" s="50">
        <v>29465300</v>
      </c>
      <c r="V504" s="50">
        <v>29465300</v>
      </c>
      <c r="W504" s="50">
        <v>29465300</v>
      </c>
      <c r="X504" s="50">
        <v>29465300</v>
      </c>
      <c r="Y504" s="50">
        <v>29465300</v>
      </c>
      <c r="Z504" s="50">
        <v>29465300</v>
      </c>
      <c r="AA504" s="50">
        <v>29465300</v>
      </c>
      <c r="AB504" s="50">
        <v>29465300</v>
      </c>
      <c r="AC504" s="26">
        <f t="shared" si="14"/>
        <v>0</v>
      </c>
      <c r="AD504" s="26">
        <f t="shared" si="15"/>
        <v>353583600</v>
      </c>
      <c r="AE504" s="50">
        <v>372277600</v>
      </c>
      <c r="AF504" s="50">
        <v>406071300</v>
      </c>
      <c r="AG504" s="53" t="s">
        <v>55</v>
      </c>
    </row>
    <row r="505" spans="1:33" ht="15" customHeight="1">
      <c r="A505" s="46" t="s">
        <v>91</v>
      </c>
      <c r="B505" s="3" t="str">
        <f>_xlfn.IFNA(VLOOKUP(C505,Master!$J:$K,2,0),"")</f>
        <v>B2220</v>
      </c>
      <c r="C505" s="46" t="s">
        <v>83</v>
      </c>
      <c r="D505" s="4" t="str">
        <f>_xlfn.IFNA(VLOOKUP(E505,Master!$J:$K,2,0),"")</f>
        <v>B3160</v>
      </c>
      <c r="E505" s="46" t="s">
        <v>112</v>
      </c>
      <c r="F505" s="4">
        <f>_xlfn.IFNA(VLOOKUP(G505,Master!B:C,2,0),"")</f>
        <v>7516102</v>
      </c>
      <c r="G505" s="46" t="s">
        <v>179</v>
      </c>
      <c r="H505" s="46" t="s">
        <v>179</v>
      </c>
      <c r="I505" s="3" t="str">
        <f>_xlfn.IFNA(VLOOKUP(E505,Master!$J:$M,4,0),"")</f>
        <v>ADM</v>
      </c>
      <c r="J505" s="3" t="str">
        <f>_xlfn.IFNA(VLOOKUP($E505,Master!$J:$M,3,0),"")</f>
        <v>SGA</v>
      </c>
      <c r="Q505" s="50">
        <v>18750700</v>
      </c>
      <c r="R505" s="50">
        <v>18750700</v>
      </c>
      <c r="S505" s="50">
        <v>18750700</v>
      </c>
      <c r="T505" s="50">
        <v>18750700</v>
      </c>
      <c r="U505" s="50">
        <v>18750700</v>
      </c>
      <c r="V505" s="50">
        <v>18750700</v>
      </c>
      <c r="W505" s="50">
        <v>18750700</v>
      </c>
      <c r="X505" s="50">
        <v>18750700</v>
      </c>
      <c r="Y505" s="50">
        <v>18750700</v>
      </c>
      <c r="Z505" s="50">
        <v>18750700</v>
      </c>
      <c r="AA505" s="50">
        <v>18750700</v>
      </c>
      <c r="AB505" s="50">
        <v>18750700</v>
      </c>
      <c r="AC505" s="26">
        <f t="shared" si="14"/>
        <v>0</v>
      </c>
      <c r="AD505" s="26">
        <f t="shared" si="15"/>
        <v>225008400</v>
      </c>
      <c r="AE505" s="50">
        <v>236903900</v>
      </c>
      <c r="AF505" s="50">
        <v>258409000</v>
      </c>
      <c r="AG505" s="53" t="s">
        <v>55</v>
      </c>
    </row>
    <row r="506" spans="1:33" ht="15" customHeight="1">
      <c r="A506" s="46" t="s">
        <v>91</v>
      </c>
      <c r="B506" s="3" t="str">
        <f>_xlfn.IFNA(VLOOKUP(C506,Master!$J:$K,2,0),"")</f>
        <v>B2220</v>
      </c>
      <c r="C506" s="46" t="s">
        <v>83</v>
      </c>
      <c r="D506" s="4" t="str">
        <f>_xlfn.IFNA(VLOOKUP(E506,Master!$J:$K,2,0),"")</f>
        <v>B4101</v>
      </c>
      <c r="E506" s="46" t="s">
        <v>132</v>
      </c>
      <c r="F506" s="4">
        <f>_xlfn.IFNA(VLOOKUP(G506,Master!B:C,2,0),"")</f>
        <v>7516102</v>
      </c>
      <c r="G506" s="46" t="s">
        <v>179</v>
      </c>
      <c r="H506" s="46" t="s">
        <v>179</v>
      </c>
      <c r="I506" s="3" t="str">
        <f>_xlfn.IFNA(VLOOKUP(E506,Master!$J:$M,4,0),"")</f>
        <v>DIR</v>
      </c>
      <c r="J506" s="3" t="str">
        <f>_xlfn.IFNA(VLOOKUP($E506,Master!$J:$M,3,0),"")</f>
        <v>MFG</v>
      </c>
      <c r="Q506" s="50">
        <v>16072000</v>
      </c>
      <c r="R506" s="50">
        <v>16072000</v>
      </c>
      <c r="S506" s="50">
        <v>16072000</v>
      </c>
      <c r="T506" s="50">
        <v>16072000</v>
      </c>
      <c r="U506" s="50">
        <v>16072000</v>
      </c>
      <c r="V506" s="50">
        <v>16072000</v>
      </c>
      <c r="W506" s="50">
        <v>16072000</v>
      </c>
      <c r="X506" s="50">
        <v>16072000</v>
      </c>
      <c r="Y506" s="50">
        <v>16072000</v>
      </c>
      <c r="Z506" s="50">
        <v>16072000</v>
      </c>
      <c r="AA506" s="50">
        <v>16072000</v>
      </c>
      <c r="AB506" s="50">
        <v>16072000</v>
      </c>
      <c r="AC506" s="26">
        <f t="shared" si="14"/>
        <v>0</v>
      </c>
      <c r="AD506" s="26">
        <f t="shared" si="15"/>
        <v>192864000</v>
      </c>
      <c r="AE506" s="50">
        <v>203060500</v>
      </c>
      <c r="AF506" s="50">
        <v>221493400</v>
      </c>
      <c r="AG506" s="53" t="s">
        <v>55</v>
      </c>
    </row>
    <row r="507" spans="1:33" ht="15" customHeight="1">
      <c r="A507" s="46" t="s">
        <v>91</v>
      </c>
      <c r="B507" s="3" t="str">
        <f>_xlfn.IFNA(VLOOKUP(C507,Master!$J:$K,2,0),"")</f>
        <v>B2220</v>
      </c>
      <c r="C507" s="46" t="s">
        <v>83</v>
      </c>
      <c r="D507" s="4" t="str">
        <f>_xlfn.IFNA(VLOOKUP(E507,Master!$J:$K,2,0),"")</f>
        <v>B4102</v>
      </c>
      <c r="E507" s="46" t="s">
        <v>139</v>
      </c>
      <c r="F507" s="4">
        <f>_xlfn.IFNA(VLOOKUP(G507,Master!B:C,2,0),"")</f>
        <v>7516102</v>
      </c>
      <c r="G507" s="46" t="s">
        <v>179</v>
      </c>
      <c r="H507" s="46" t="s">
        <v>179</v>
      </c>
      <c r="I507" s="3" t="str">
        <f>_xlfn.IFNA(VLOOKUP(E507,Master!$J:$M,4,0),"")</f>
        <v>DIR</v>
      </c>
      <c r="J507" s="3" t="str">
        <f>_xlfn.IFNA(VLOOKUP($E507,Master!$J:$M,3,0),"")</f>
        <v>MFG</v>
      </c>
      <c r="Q507" s="50">
        <v>42858700</v>
      </c>
      <c r="R507" s="50">
        <v>42858700</v>
      </c>
      <c r="S507" s="50">
        <v>42858700</v>
      </c>
      <c r="T507" s="50">
        <v>42858700</v>
      </c>
      <c r="U507" s="50">
        <v>42858700</v>
      </c>
      <c r="V507" s="50">
        <v>42858700</v>
      </c>
      <c r="W507" s="50">
        <v>42858700</v>
      </c>
      <c r="X507" s="50">
        <v>42858700</v>
      </c>
      <c r="Y507" s="50">
        <v>42858700</v>
      </c>
      <c r="Z507" s="50">
        <v>42858700</v>
      </c>
      <c r="AA507" s="50">
        <v>42858700</v>
      </c>
      <c r="AB507" s="50">
        <v>42858700</v>
      </c>
      <c r="AC507" s="26">
        <f t="shared" si="14"/>
        <v>0</v>
      </c>
      <c r="AD507" s="26">
        <f t="shared" si="15"/>
        <v>514304400</v>
      </c>
      <c r="AE507" s="50">
        <v>541494600</v>
      </c>
      <c r="AF507" s="50">
        <v>590649100</v>
      </c>
      <c r="AG507" s="53" t="s">
        <v>55</v>
      </c>
    </row>
    <row r="508" spans="1:33" ht="15" customHeight="1">
      <c r="A508" s="46" t="s">
        <v>91</v>
      </c>
      <c r="B508" s="3" t="str">
        <f>_xlfn.IFNA(VLOOKUP(C508,Master!$J:$K,2,0),"")</f>
        <v>B2220</v>
      </c>
      <c r="C508" s="46" t="s">
        <v>83</v>
      </c>
      <c r="D508" s="4" t="str">
        <f>_xlfn.IFNA(VLOOKUP(E508,Master!$J:$K,2,0),"")</f>
        <v>B4103</v>
      </c>
      <c r="E508" s="46" t="s">
        <v>144</v>
      </c>
      <c r="F508" s="4">
        <f>_xlfn.IFNA(VLOOKUP(G508,Master!B:C,2,0),"")</f>
        <v>7516102</v>
      </c>
      <c r="G508" s="46" t="s">
        <v>179</v>
      </c>
      <c r="H508" s="46" t="s">
        <v>179</v>
      </c>
      <c r="I508" s="3" t="str">
        <f>_xlfn.IFNA(VLOOKUP(E508,Master!$J:$M,4,0),"")</f>
        <v>DIR</v>
      </c>
      <c r="J508" s="3" t="str">
        <f>_xlfn.IFNA(VLOOKUP($E508,Master!$J:$M,3,0),"")</f>
        <v>MFG</v>
      </c>
      <c r="Q508" s="50">
        <v>26786600</v>
      </c>
      <c r="R508" s="50">
        <v>26786600</v>
      </c>
      <c r="S508" s="50">
        <v>26786600</v>
      </c>
      <c r="T508" s="50">
        <v>26786600</v>
      </c>
      <c r="U508" s="50">
        <v>26786600</v>
      </c>
      <c r="V508" s="50">
        <v>26786600</v>
      </c>
      <c r="W508" s="50">
        <v>26786600</v>
      </c>
      <c r="X508" s="50">
        <v>26786600</v>
      </c>
      <c r="Y508" s="50">
        <v>26786600</v>
      </c>
      <c r="Z508" s="50">
        <v>26786600</v>
      </c>
      <c r="AA508" s="50">
        <v>26786600</v>
      </c>
      <c r="AB508" s="50">
        <v>26786600</v>
      </c>
      <c r="AC508" s="26">
        <f t="shared" si="14"/>
        <v>0</v>
      </c>
      <c r="AD508" s="26">
        <f t="shared" si="15"/>
        <v>321439200</v>
      </c>
      <c r="AE508" s="50">
        <v>338434100</v>
      </c>
      <c r="AF508" s="50">
        <v>369155700</v>
      </c>
      <c r="AG508" s="53" t="s">
        <v>55</v>
      </c>
    </row>
    <row r="509" spans="1:33" ht="15" customHeight="1">
      <c r="A509" s="46" t="s">
        <v>91</v>
      </c>
      <c r="B509" s="3" t="str">
        <f>_xlfn.IFNA(VLOOKUP(C509,Master!$J:$K,2,0),"")</f>
        <v>B2220</v>
      </c>
      <c r="C509" s="46" t="s">
        <v>83</v>
      </c>
      <c r="D509" s="4" t="str">
        <f>_xlfn.IFNA(VLOOKUP(E509,Master!$J:$K,2,0),"")</f>
        <v>B4105</v>
      </c>
      <c r="E509" s="46" t="s">
        <v>149</v>
      </c>
      <c r="F509" s="4">
        <f>_xlfn.IFNA(VLOOKUP(G509,Master!B:C,2,0),"")</f>
        <v>7516102</v>
      </c>
      <c r="G509" s="46" t="s">
        <v>179</v>
      </c>
      <c r="H509" s="46" t="s">
        <v>179</v>
      </c>
      <c r="I509" s="3" t="str">
        <f>_xlfn.IFNA(VLOOKUP(E509,Master!$J:$M,4,0),"")</f>
        <v>DIR</v>
      </c>
      <c r="J509" s="3" t="str">
        <f>_xlfn.IFNA(VLOOKUP($E509,Master!$J:$M,3,0),"")</f>
        <v>MFG</v>
      </c>
      <c r="Q509" s="50">
        <v>26786600</v>
      </c>
      <c r="R509" s="50">
        <v>26786600</v>
      </c>
      <c r="S509" s="50">
        <v>26786600</v>
      </c>
      <c r="T509" s="50">
        <v>26786600</v>
      </c>
      <c r="U509" s="50">
        <v>26786600</v>
      </c>
      <c r="V509" s="50">
        <v>26786600</v>
      </c>
      <c r="W509" s="50">
        <v>26786600</v>
      </c>
      <c r="X509" s="50">
        <v>26786600</v>
      </c>
      <c r="Y509" s="50">
        <v>26786600</v>
      </c>
      <c r="Z509" s="50">
        <v>26786600</v>
      </c>
      <c r="AA509" s="50">
        <v>26786600</v>
      </c>
      <c r="AB509" s="50">
        <v>26786600</v>
      </c>
      <c r="AC509" s="26">
        <f t="shared" si="14"/>
        <v>0</v>
      </c>
      <c r="AD509" s="26">
        <f t="shared" si="15"/>
        <v>321439200</v>
      </c>
      <c r="AE509" s="50">
        <v>338434100</v>
      </c>
      <c r="AF509" s="50">
        <v>369155700</v>
      </c>
      <c r="AG509" s="53" t="s">
        <v>55</v>
      </c>
    </row>
    <row r="510" spans="1:33" ht="15" customHeight="1">
      <c r="A510" s="46" t="s">
        <v>91</v>
      </c>
      <c r="B510" s="3" t="str">
        <f>_xlfn.IFNA(VLOOKUP(C510,Master!$J:$K,2,0),"")</f>
        <v>B2220</v>
      </c>
      <c r="C510" s="46" t="s">
        <v>83</v>
      </c>
      <c r="D510" s="4" t="str">
        <f>_xlfn.IFNA(VLOOKUP(E510,Master!$J:$K,2,0),"")</f>
        <v>B4110</v>
      </c>
      <c r="E510" s="46" t="s">
        <v>162</v>
      </c>
      <c r="F510" s="4">
        <f>_xlfn.IFNA(VLOOKUP(G510,Master!B:C,2,0),"")</f>
        <v>7516102</v>
      </c>
      <c r="G510" s="46" t="s">
        <v>179</v>
      </c>
      <c r="H510" s="46" t="s">
        <v>179</v>
      </c>
      <c r="I510" s="3" t="str">
        <f>_xlfn.IFNA(VLOOKUP(E510,Master!$J:$M,4,0),"")</f>
        <v>DIR</v>
      </c>
      <c r="J510" s="3" t="str">
        <f>_xlfn.IFNA(VLOOKUP($E510,Master!$J:$M,3,0),"")</f>
        <v>MFG</v>
      </c>
      <c r="Q510" s="50">
        <v>48216000</v>
      </c>
      <c r="R510" s="50">
        <v>48216000</v>
      </c>
      <c r="S510" s="50">
        <v>48216000</v>
      </c>
      <c r="T510" s="50">
        <v>48216000</v>
      </c>
      <c r="U510" s="50">
        <v>48216000</v>
      </c>
      <c r="V510" s="50">
        <v>48216000</v>
      </c>
      <c r="W510" s="50">
        <v>48216000</v>
      </c>
      <c r="X510" s="50">
        <v>48216000</v>
      </c>
      <c r="Y510" s="50">
        <v>48216000</v>
      </c>
      <c r="Z510" s="50">
        <v>48216000</v>
      </c>
      <c r="AA510" s="50">
        <v>48216000</v>
      </c>
      <c r="AB510" s="50">
        <v>48216000</v>
      </c>
      <c r="AC510" s="26">
        <f t="shared" si="14"/>
        <v>0</v>
      </c>
      <c r="AD510" s="26">
        <f t="shared" si="15"/>
        <v>578592000</v>
      </c>
      <c r="AE510" s="50">
        <v>609181500</v>
      </c>
      <c r="AF510" s="50">
        <v>664480300</v>
      </c>
      <c r="AG510" s="53" t="s">
        <v>55</v>
      </c>
    </row>
    <row r="511" spans="1:33" ht="15" customHeight="1">
      <c r="A511" s="46" t="s">
        <v>91</v>
      </c>
      <c r="B511" s="3" t="str">
        <f>_xlfn.IFNA(VLOOKUP(C511,Master!$J:$K,2,0),"")</f>
        <v>B2220</v>
      </c>
      <c r="C511" s="46" t="s">
        <v>83</v>
      </c>
      <c r="D511" s="4" t="str">
        <f>_xlfn.IFNA(VLOOKUP(E511,Master!$J:$K,2,0),"")</f>
        <v>B4114</v>
      </c>
      <c r="E511" s="46" t="s">
        <v>172</v>
      </c>
      <c r="F511" s="4">
        <f>_xlfn.IFNA(VLOOKUP(G511,Master!B:C,2,0),"")</f>
        <v>7516102</v>
      </c>
      <c r="G511" s="46" t="s">
        <v>179</v>
      </c>
      <c r="H511" s="46" t="s">
        <v>179</v>
      </c>
      <c r="I511" s="3" t="str">
        <f>_xlfn.IFNA(VLOOKUP(E511,Master!$J:$M,4,0),"")</f>
        <v>DIR</v>
      </c>
      <c r="J511" s="3" t="str">
        <f>_xlfn.IFNA(VLOOKUP($E511,Master!$J:$M,3,0),"")</f>
        <v>MFG</v>
      </c>
      <c r="Q511" s="50">
        <v>8036000</v>
      </c>
      <c r="R511" s="50">
        <v>8036000</v>
      </c>
      <c r="S511" s="50">
        <v>8036000</v>
      </c>
      <c r="T511" s="50">
        <v>8036000</v>
      </c>
      <c r="U511" s="50">
        <v>8036000</v>
      </c>
      <c r="V511" s="50">
        <v>8036000</v>
      </c>
      <c r="W511" s="50">
        <v>8036000</v>
      </c>
      <c r="X511" s="50">
        <v>8036000</v>
      </c>
      <c r="Y511" s="50">
        <v>8036000</v>
      </c>
      <c r="Z511" s="50">
        <v>8036000</v>
      </c>
      <c r="AA511" s="50">
        <v>8036000</v>
      </c>
      <c r="AB511" s="50">
        <v>8036000</v>
      </c>
      <c r="AC511" s="26">
        <f t="shared" si="14"/>
        <v>0</v>
      </c>
      <c r="AD511" s="26">
        <f t="shared" si="15"/>
        <v>96432000</v>
      </c>
      <c r="AE511" s="50">
        <v>101530200</v>
      </c>
      <c r="AF511" s="50">
        <v>110746700</v>
      </c>
      <c r="AG511" s="53" t="s">
        <v>55</v>
      </c>
    </row>
    <row r="512" spans="1:33" ht="15" customHeight="1">
      <c r="A512" s="46" t="s">
        <v>91</v>
      </c>
      <c r="B512" s="3" t="str">
        <f>_xlfn.IFNA(VLOOKUP(C512,Master!$J:$K,2,0),"")</f>
        <v>B2220</v>
      </c>
      <c r="C512" s="46" t="s">
        <v>83</v>
      </c>
      <c r="D512" s="4" t="str">
        <f>_xlfn.IFNA(VLOOKUP(E512,Master!$J:$K,2,0),"")</f>
        <v>B4115</v>
      </c>
      <c r="E512" s="46" t="s">
        <v>167</v>
      </c>
      <c r="F512" s="4">
        <f>_xlfn.IFNA(VLOOKUP(G512,Master!B:C,2,0),"")</f>
        <v>7516102</v>
      </c>
      <c r="G512" s="46" t="s">
        <v>179</v>
      </c>
      <c r="H512" s="46" t="s">
        <v>179</v>
      </c>
      <c r="I512" s="3" t="str">
        <f>_xlfn.IFNA(VLOOKUP(E512,Master!$J:$M,4,0),"")</f>
        <v>DIR</v>
      </c>
      <c r="J512" s="3" t="str">
        <f>_xlfn.IFNA(VLOOKUP($E512,Master!$J:$M,3,0),"")</f>
        <v>MFG</v>
      </c>
      <c r="Q512" s="50">
        <v>16072000</v>
      </c>
      <c r="R512" s="50">
        <v>16072000</v>
      </c>
      <c r="S512" s="50">
        <v>16072000</v>
      </c>
      <c r="T512" s="50">
        <v>16072000</v>
      </c>
      <c r="U512" s="50">
        <v>16072000</v>
      </c>
      <c r="V512" s="50">
        <v>16072000</v>
      </c>
      <c r="W512" s="50">
        <v>16072000</v>
      </c>
      <c r="X512" s="50">
        <v>16072000</v>
      </c>
      <c r="Y512" s="50">
        <v>16072000</v>
      </c>
      <c r="Z512" s="50">
        <v>16072000</v>
      </c>
      <c r="AA512" s="50">
        <v>16072000</v>
      </c>
      <c r="AB512" s="50">
        <v>16072000</v>
      </c>
      <c r="AC512" s="26">
        <f t="shared" si="14"/>
        <v>0</v>
      </c>
      <c r="AD512" s="26">
        <f t="shared" si="15"/>
        <v>192864000</v>
      </c>
      <c r="AE512" s="50">
        <v>203060500</v>
      </c>
      <c r="AF512" s="50">
        <v>221493400</v>
      </c>
      <c r="AG512" s="53" t="s">
        <v>55</v>
      </c>
    </row>
    <row r="513" spans="1:33" ht="15" customHeight="1">
      <c r="A513" s="46" t="s">
        <v>91</v>
      </c>
      <c r="B513" s="3" t="str">
        <f>_xlfn.IFNA(VLOOKUP(C513,Master!$J:$K,2,0),"")</f>
        <v>B2220</v>
      </c>
      <c r="C513" s="46" t="s">
        <v>83</v>
      </c>
      <c r="D513" s="4" t="str">
        <f>_xlfn.IFNA(VLOOKUP(E513,Master!$J:$K,2,0),"")</f>
        <v>B4120</v>
      </c>
      <c r="E513" s="46" t="s">
        <v>177</v>
      </c>
      <c r="F513" s="4">
        <f>_xlfn.IFNA(VLOOKUP(G513,Master!B:C,2,0),"")</f>
        <v>7516102</v>
      </c>
      <c r="G513" s="46" t="s">
        <v>179</v>
      </c>
      <c r="H513" s="46" t="s">
        <v>179</v>
      </c>
      <c r="I513" s="3" t="str">
        <f>_xlfn.IFNA(VLOOKUP(E513,Master!$J:$M,4,0),"")</f>
        <v>DIR</v>
      </c>
      <c r="J513" s="3" t="str">
        <f>_xlfn.IFNA(VLOOKUP($E513,Master!$J:$M,3,0),"")</f>
        <v>MFG</v>
      </c>
      <c r="Q513" s="50">
        <v>69645400</v>
      </c>
      <c r="R513" s="50">
        <v>69645400</v>
      </c>
      <c r="S513" s="50">
        <v>69645400</v>
      </c>
      <c r="T513" s="50">
        <v>69645400</v>
      </c>
      <c r="U513" s="50">
        <v>69645400</v>
      </c>
      <c r="V513" s="50">
        <v>69645400</v>
      </c>
      <c r="W513" s="50">
        <v>69645400</v>
      </c>
      <c r="X513" s="50">
        <v>69645400</v>
      </c>
      <c r="Y513" s="50">
        <v>69645400</v>
      </c>
      <c r="Z513" s="50">
        <v>69645400</v>
      </c>
      <c r="AA513" s="50">
        <v>69645400</v>
      </c>
      <c r="AB513" s="50">
        <v>69645400</v>
      </c>
      <c r="AC513" s="26">
        <f t="shared" si="14"/>
        <v>0</v>
      </c>
      <c r="AD513" s="26">
        <f t="shared" si="15"/>
        <v>835744800</v>
      </c>
      <c r="AE513" s="50">
        <v>879930000</v>
      </c>
      <c r="AF513" s="50">
        <v>959806200</v>
      </c>
      <c r="AG513" s="53" t="s">
        <v>55</v>
      </c>
    </row>
    <row r="514" spans="1:33" ht="15" customHeight="1">
      <c r="A514" s="46" t="s">
        <v>91</v>
      </c>
      <c r="B514" s="3" t="str">
        <f>_xlfn.IFNA(VLOOKUP(C514,Master!$J:$K,2,0),"")</f>
        <v>B2220</v>
      </c>
      <c r="C514" s="46" t="s">
        <v>83</v>
      </c>
      <c r="D514" s="4" t="str">
        <f>_xlfn.IFNA(VLOOKUP(E514,Master!$J:$K,2,0),"")</f>
        <v>B4130</v>
      </c>
      <c r="E514" s="46" t="s">
        <v>158</v>
      </c>
      <c r="F514" s="4">
        <f>_xlfn.IFNA(VLOOKUP(G514,Master!B:C,2,0),"")</f>
        <v>7516102</v>
      </c>
      <c r="G514" s="46" t="s">
        <v>179</v>
      </c>
      <c r="H514" s="46" t="s">
        <v>179</v>
      </c>
      <c r="I514" s="3" t="str">
        <f>_xlfn.IFNA(VLOOKUP(E514,Master!$J:$M,4,0),"")</f>
        <v>DIR</v>
      </c>
      <c r="J514" s="3" t="str">
        <f>_xlfn.IFNA(VLOOKUP($E514,Master!$J:$M,3,0),"")</f>
        <v>MFG</v>
      </c>
      <c r="Q514" s="50">
        <v>18750700</v>
      </c>
      <c r="R514" s="50">
        <v>18750700</v>
      </c>
      <c r="S514" s="50">
        <v>18750700</v>
      </c>
      <c r="T514" s="50">
        <v>18750700</v>
      </c>
      <c r="U514" s="50">
        <v>18750700</v>
      </c>
      <c r="V514" s="50">
        <v>18750700</v>
      </c>
      <c r="W514" s="50">
        <v>18750700</v>
      </c>
      <c r="X514" s="50">
        <v>18750700</v>
      </c>
      <c r="Y514" s="50">
        <v>18750700</v>
      </c>
      <c r="Z514" s="50">
        <v>18750700</v>
      </c>
      <c r="AA514" s="50">
        <v>18750700</v>
      </c>
      <c r="AB514" s="50">
        <v>18750700</v>
      </c>
      <c r="AC514" s="26">
        <f t="shared" ref="AC514:AC524" si="16">SUM(K514:P514)</f>
        <v>0</v>
      </c>
      <c r="AD514" s="26">
        <f t="shared" ref="AD514:AD524" si="17">SUM(Q514:AB514)</f>
        <v>225008400</v>
      </c>
      <c r="AE514" s="50">
        <v>236903900</v>
      </c>
      <c r="AF514" s="50">
        <v>258409000</v>
      </c>
      <c r="AG514" s="53" t="s">
        <v>55</v>
      </c>
    </row>
    <row r="515" spans="1:33" ht="15" customHeight="1">
      <c r="A515" s="46" t="s">
        <v>91</v>
      </c>
      <c r="B515" s="3" t="str">
        <f>_xlfn.IFNA(VLOOKUP(C515,Master!$J:$K,2,0),"")</f>
        <v>B2220</v>
      </c>
      <c r="C515" s="46" t="s">
        <v>83</v>
      </c>
      <c r="D515" s="4" t="str">
        <f>_xlfn.IFNA(VLOOKUP(E515,Master!$J:$K,2,0),"")</f>
        <v>B5100</v>
      </c>
      <c r="E515" s="46" t="s">
        <v>211</v>
      </c>
      <c r="F515" s="4">
        <f>_xlfn.IFNA(VLOOKUP(G515,Master!B:C,2,0),"")</f>
        <v>7516102</v>
      </c>
      <c r="G515" s="46" t="s">
        <v>179</v>
      </c>
      <c r="H515" s="46" t="s">
        <v>179</v>
      </c>
      <c r="I515" s="3" t="str">
        <f>_xlfn.IFNA(VLOOKUP(E515,Master!$J:$M,4,0),"")</f>
        <v>IND</v>
      </c>
      <c r="J515" s="3" t="str">
        <f>_xlfn.IFNA(VLOOKUP($E515,Master!$J:$M,3,0),"")</f>
        <v>MFG</v>
      </c>
      <c r="Q515" s="50">
        <v>13393400</v>
      </c>
      <c r="R515" s="50">
        <v>13393400</v>
      </c>
      <c r="S515" s="50">
        <v>13393400</v>
      </c>
      <c r="T515" s="50">
        <v>13393400</v>
      </c>
      <c r="U515" s="50">
        <v>13393400</v>
      </c>
      <c r="V515" s="50">
        <v>13393400</v>
      </c>
      <c r="W515" s="50">
        <v>13393400</v>
      </c>
      <c r="X515" s="50">
        <v>13393400</v>
      </c>
      <c r="Y515" s="50">
        <v>13393400</v>
      </c>
      <c r="Z515" s="50">
        <v>13393400</v>
      </c>
      <c r="AA515" s="50">
        <v>13393400</v>
      </c>
      <c r="AB515" s="50">
        <v>13393400</v>
      </c>
      <c r="AC515" s="26">
        <f t="shared" si="16"/>
        <v>0</v>
      </c>
      <c r="AD515" s="26">
        <f t="shared" si="17"/>
        <v>160720800</v>
      </c>
      <c r="AE515" s="50">
        <v>169217100</v>
      </c>
      <c r="AF515" s="50">
        <v>184577900</v>
      </c>
      <c r="AG515" s="53" t="s">
        <v>55</v>
      </c>
    </row>
    <row r="516" spans="1:33" ht="15" customHeight="1">
      <c r="A516" s="46" t="s">
        <v>91</v>
      </c>
      <c r="B516" s="3" t="str">
        <f>_xlfn.IFNA(VLOOKUP(C516,Master!$J:$K,2,0),"")</f>
        <v>B2220</v>
      </c>
      <c r="C516" s="46" t="s">
        <v>83</v>
      </c>
      <c r="D516" s="4" t="str">
        <f>_xlfn.IFNA(VLOOKUP(E516,Master!$J:$K,2,0),"")</f>
        <v>B5101</v>
      </c>
      <c r="E516" s="46" t="s">
        <v>216</v>
      </c>
      <c r="F516" s="4">
        <f>_xlfn.IFNA(VLOOKUP(G516,Master!B:C,2,0),"")</f>
        <v>7516102</v>
      </c>
      <c r="G516" s="46" t="s">
        <v>179</v>
      </c>
      <c r="H516" s="46" t="s">
        <v>179</v>
      </c>
      <c r="I516" s="3" t="str">
        <f>_xlfn.IFNA(VLOOKUP(E516,Master!$J:$M,4,0),"")</f>
        <v>IND</v>
      </c>
      <c r="J516" s="3" t="str">
        <f>_xlfn.IFNA(VLOOKUP($E516,Master!$J:$M,3,0),"")</f>
        <v>MFG</v>
      </c>
      <c r="Q516" s="50">
        <v>16072000</v>
      </c>
      <c r="R516" s="50">
        <v>16072000</v>
      </c>
      <c r="S516" s="50">
        <v>16072000</v>
      </c>
      <c r="T516" s="50">
        <v>16072000</v>
      </c>
      <c r="U516" s="50">
        <v>16072000</v>
      </c>
      <c r="V516" s="50">
        <v>16072000</v>
      </c>
      <c r="W516" s="50">
        <v>16072000</v>
      </c>
      <c r="X516" s="50">
        <v>16072000</v>
      </c>
      <c r="Y516" s="50">
        <v>16072000</v>
      </c>
      <c r="Z516" s="50">
        <v>16072000</v>
      </c>
      <c r="AA516" s="50">
        <v>16072000</v>
      </c>
      <c r="AB516" s="50">
        <v>16072000</v>
      </c>
      <c r="AC516" s="26">
        <f t="shared" si="16"/>
        <v>0</v>
      </c>
      <c r="AD516" s="26">
        <f t="shared" si="17"/>
        <v>192864000</v>
      </c>
      <c r="AE516" s="50">
        <v>203060500</v>
      </c>
      <c r="AF516" s="50">
        <v>221493400</v>
      </c>
      <c r="AG516" s="53" t="s">
        <v>55</v>
      </c>
    </row>
    <row r="517" spans="1:33" ht="15" customHeight="1">
      <c r="A517" s="46" t="s">
        <v>91</v>
      </c>
      <c r="B517" s="3" t="str">
        <f>_xlfn.IFNA(VLOOKUP(C517,Master!$J:$K,2,0),"")</f>
        <v>B2220</v>
      </c>
      <c r="C517" s="46" t="s">
        <v>83</v>
      </c>
      <c r="D517" s="4" t="str">
        <f>_xlfn.IFNA(VLOOKUP(E517,Master!$J:$K,2,0),"")</f>
        <v>B5130</v>
      </c>
      <c r="E517" s="46" t="s">
        <v>247</v>
      </c>
      <c r="F517" s="4">
        <f>_xlfn.IFNA(VLOOKUP(G517,Master!B:C,2,0),"")</f>
        <v>7516102</v>
      </c>
      <c r="G517" s="46" t="s">
        <v>179</v>
      </c>
      <c r="H517" s="46" t="s">
        <v>179</v>
      </c>
      <c r="I517" s="3" t="str">
        <f>_xlfn.IFNA(VLOOKUP(E517,Master!$J:$M,4,0),"")</f>
        <v>IND</v>
      </c>
      <c r="J517" s="3" t="str">
        <f>_xlfn.IFNA(VLOOKUP($E517,Master!$J:$M,3,0),"")</f>
        <v>MFG</v>
      </c>
      <c r="Q517" s="50">
        <v>29465300</v>
      </c>
      <c r="R517" s="50">
        <v>29465300</v>
      </c>
      <c r="S517" s="50">
        <v>29465300</v>
      </c>
      <c r="T517" s="50">
        <v>29465300</v>
      </c>
      <c r="U517" s="50">
        <v>29465300</v>
      </c>
      <c r="V517" s="50">
        <v>29465300</v>
      </c>
      <c r="W517" s="50">
        <v>29465300</v>
      </c>
      <c r="X517" s="50">
        <v>29465300</v>
      </c>
      <c r="Y517" s="50">
        <v>29465300</v>
      </c>
      <c r="Z517" s="50">
        <v>29465300</v>
      </c>
      <c r="AA517" s="50">
        <v>29465300</v>
      </c>
      <c r="AB517" s="50">
        <v>29465300</v>
      </c>
      <c r="AC517" s="26">
        <f t="shared" si="16"/>
        <v>0</v>
      </c>
      <c r="AD517" s="26">
        <f t="shared" si="17"/>
        <v>353583600</v>
      </c>
      <c r="AE517" s="50">
        <v>372277600</v>
      </c>
      <c r="AF517" s="50">
        <v>406071300</v>
      </c>
      <c r="AG517" s="53" t="s">
        <v>55</v>
      </c>
    </row>
    <row r="518" spans="1:33" ht="15" customHeight="1">
      <c r="A518" s="46" t="s">
        <v>91</v>
      </c>
      <c r="B518" s="3" t="str">
        <f>_xlfn.IFNA(VLOOKUP(C518,Master!$J:$K,2,0),"")</f>
        <v>B2220</v>
      </c>
      <c r="C518" s="46" t="s">
        <v>83</v>
      </c>
      <c r="D518" s="4" t="str">
        <f>_xlfn.IFNA(VLOOKUP(E518,Master!$J:$K,2,0),"")</f>
        <v>B5200</v>
      </c>
      <c r="E518" s="46" t="s">
        <v>253</v>
      </c>
      <c r="F518" s="4">
        <f>_xlfn.IFNA(VLOOKUP(G518,Master!B:C,2,0),"")</f>
        <v>7516102</v>
      </c>
      <c r="G518" s="46" t="s">
        <v>179</v>
      </c>
      <c r="H518" s="46" t="s">
        <v>179</v>
      </c>
      <c r="I518" s="3" t="str">
        <f>_xlfn.IFNA(VLOOKUP(E518,Master!$J:$M,4,0),"")</f>
        <v>IND</v>
      </c>
      <c r="J518" s="3" t="str">
        <f>_xlfn.IFNA(VLOOKUP($E518,Master!$J:$M,3,0),"")</f>
        <v>MFG</v>
      </c>
      <c r="Q518" s="50">
        <v>8036000</v>
      </c>
      <c r="R518" s="50">
        <v>8036000</v>
      </c>
      <c r="S518" s="50">
        <v>8036000</v>
      </c>
      <c r="T518" s="50">
        <v>8036000</v>
      </c>
      <c r="U518" s="50">
        <v>8036000</v>
      </c>
      <c r="V518" s="50">
        <v>8036000</v>
      </c>
      <c r="W518" s="50">
        <v>8036000</v>
      </c>
      <c r="X518" s="50">
        <v>8036000</v>
      </c>
      <c r="Y518" s="50">
        <v>8036000</v>
      </c>
      <c r="Z518" s="50">
        <v>8036000</v>
      </c>
      <c r="AA518" s="50">
        <v>8036000</v>
      </c>
      <c r="AB518" s="50">
        <v>8036000</v>
      </c>
      <c r="AC518" s="26">
        <f t="shared" si="16"/>
        <v>0</v>
      </c>
      <c r="AD518" s="26">
        <f t="shared" si="17"/>
        <v>96432000</v>
      </c>
      <c r="AE518" s="50">
        <v>101530200</v>
      </c>
      <c r="AF518" s="50">
        <v>110746700</v>
      </c>
      <c r="AG518" s="53" t="s">
        <v>55</v>
      </c>
    </row>
    <row r="519" spans="1:33" ht="15" customHeight="1">
      <c r="A519" s="46" t="s">
        <v>91</v>
      </c>
      <c r="B519" s="3" t="str">
        <f>_xlfn.IFNA(VLOOKUP(C519,Master!$J:$K,2,0),"")</f>
        <v>B2220</v>
      </c>
      <c r="C519" s="46" t="s">
        <v>83</v>
      </c>
      <c r="D519" s="4" t="str">
        <f>_xlfn.IFNA(VLOOKUP(E519,Master!$J:$K,2,0),"")</f>
        <v>B5500</v>
      </c>
      <c r="E519" s="46" t="s">
        <v>236</v>
      </c>
      <c r="F519" s="4">
        <f>_xlfn.IFNA(VLOOKUP(G519,Master!B:C,2,0),"")</f>
        <v>7516102</v>
      </c>
      <c r="G519" s="46" t="s">
        <v>179</v>
      </c>
      <c r="H519" s="46" t="s">
        <v>179</v>
      </c>
      <c r="I519" s="3" t="str">
        <f>_xlfn.IFNA(VLOOKUP(E519,Master!$J:$M,4,0),"")</f>
        <v>IND</v>
      </c>
      <c r="J519" s="3" t="str">
        <f>_xlfn.IFNA(VLOOKUP($E519,Master!$J:$M,3,0),"")</f>
        <v>MFG</v>
      </c>
      <c r="Q519" s="50">
        <v>42858700</v>
      </c>
      <c r="R519" s="50">
        <v>42858700</v>
      </c>
      <c r="S519" s="50">
        <v>42858700</v>
      </c>
      <c r="T519" s="50">
        <v>42858700</v>
      </c>
      <c r="U519" s="50">
        <v>42858700</v>
      </c>
      <c r="V519" s="50">
        <v>42858700</v>
      </c>
      <c r="W519" s="50">
        <v>42858700</v>
      </c>
      <c r="X519" s="50">
        <v>42858700</v>
      </c>
      <c r="Y519" s="50">
        <v>42858700</v>
      </c>
      <c r="Z519" s="50">
        <v>42858700</v>
      </c>
      <c r="AA519" s="50">
        <v>42858700</v>
      </c>
      <c r="AB519" s="50">
        <v>42858700</v>
      </c>
      <c r="AC519" s="26">
        <f t="shared" si="16"/>
        <v>0</v>
      </c>
      <c r="AD519" s="26">
        <f t="shared" si="17"/>
        <v>514304400</v>
      </c>
      <c r="AE519" s="50">
        <v>541494600</v>
      </c>
      <c r="AF519" s="50">
        <v>590649100</v>
      </c>
      <c r="AG519" s="53" t="s">
        <v>55</v>
      </c>
    </row>
    <row r="520" spans="1:33" ht="15" customHeight="1">
      <c r="A520" s="46" t="s">
        <v>91</v>
      </c>
      <c r="B520" s="3" t="str">
        <f>_xlfn.IFNA(VLOOKUP(C520,Master!$J:$K,2,0),"")</f>
        <v>B2220</v>
      </c>
      <c r="C520" s="46" t="s">
        <v>83</v>
      </c>
      <c r="D520" s="4" t="str">
        <f>_xlfn.IFNA(VLOOKUP(E520,Master!$J:$K,2,0),"")</f>
        <v>B5600</v>
      </c>
      <c r="E520" s="46" t="s">
        <v>241</v>
      </c>
      <c r="F520" s="4">
        <f>_xlfn.IFNA(VLOOKUP(G520,Master!B:C,2,0),"")</f>
        <v>7516102</v>
      </c>
      <c r="G520" s="46" t="s">
        <v>179</v>
      </c>
      <c r="H520" s="46" t="s">
        <v>179</v>
      </c>
      <c r="I520" s="3" t="str">
        <f>_xlfn.IFNA(VLOOKUP(E520,Master!$J:$M,4,0),"")</f>
        <v>IND</v>
      </c>
      <c r="J520" s="3" t="str">
        <f>_xlfn.IFNA(VLOOKUP($E520,Master!$J:$M,3,0),"")</f>
        <v>MFG</v>
      </c>
      <c r="Q520" s="50">
        <v>29465300</v>
      </c>
      <c r="R520" s="50">
        <v>29465300</v>
      </c>
      <c r="S520" s="50">
        <v>29465300</v>
      </c>
      <c r="T520" s="50">
        <v>29465300</v>
      </c>
      <c r="U520" s="50">
        <v>29465300</v>
      </c>
      <c r="V520" s="50">
        <v>29465300</v>
      </c>
      <c r="W520" s="50">
        <v>29465300</v>
      </c>
      <c r="X520" s="50">
        <v>29465300</v>
      </c>
      <c r="Y520" s="50">
        <v>29465300</v>
      </c>
      <c r="Z520" s="50">
        <v>29465300</v>
      </c>
      <c r="AA520" s="50">
        <v>29465300</v>
      </c>
      <c r="AB520" s="50">
        <v>29465300</v>
      </c>
      <c r="AC520" s="26">
        <f t="shared" si="16"/>
        <v>0</v>
      </c>
      <c r="AD520" s="26">
        <f t="shared" si="17"/>
        <v>353583600</v>
      </c>
      <c r="AE520" s="50">
        <v>372277600</v>
      </c>
      <c r="AF520" s="50">
        <v>406071300</v>
      </c>
      <c r="AG520" s="53" t="s">
        <v>55</v>
      </c>
    </row>
    <row r="521" spans="1:33" ht="15" customHeight="1">
      <c r="A521" s="46" t="s">
        <v>91</v>
      </c>
      <c r="B521" s="3" t="str">
        <f>_xlfn.IFNA(VLOOKUP(C521,Master!$J:$K,2,0),"")</f>
        <v>B2220</v>
      </c>
      <c r="C521" s="46" t="s">
        <v>83</v>
      </c>
      <c r="D521" s="4" t="str">
        <f>_xlfn.IFNA(VLOOKUP(E521,Master!$J:$K,2,0),"")</f>
        <v>B5710</v>
      </c>
      <c r="E521" s="46" t="s">
        <v>265</v>
      </c>
      <c r="F521" s="4">
        <f>_xlfn.IFNA(VLOOKUP(G521,Master!B:C,2,0),"")</f>
        <v>7516102</v>
      </c>
      <c r="G521" s="46" t="s">
        <v>179</v>
      </c>
      <c r="H521" s="46" t="s">
        <v>179</v>
      </c>
      <c r="I521" s="3" t="str">
        <f>_xlfn.IFNA(VLOOKUP(E521,Master!$J:$M,4,0),"")</f>
        <v>IND</v>
      </c>
      <c r="J521" s="3" t="str">
        <f>_xlfn.IFNA(VLOOKUP($E521,Master!$J:$M,3,0),"")</f>
        <v>MFG</v>
      </c>
      <c r="Q521" s="50">
        <v>21429300</v>
      </c>
      <c r="R521" s="50">
        <v>21429300</v>
      </c>
      <c r="S521" s="50">
        <v>21429300</v>
      </c>
      <c r="T521" s="50">
        <v>21429300</v>
      </c>
      <c r="U521" s="50">
        <v>21429300</v>
      </c>
      <c r="V521" s="50">
        <v>21429300</v>
      </c>
      <c r="W521" s="50">
        <v>21429300</v>
      </c>
      <c r="X521" s="50">
        <v>21429300</v>
      </c>
      <c r="Y521" s="50">
        <v>21429300</v>
      </c>
      <c r="Z521" s="50">
        <v>21429300</v>
      </c>
      <c r="AA521" s="50">
        <v>21429300</v>
      </c>
      <c r="AB521" s="50">
        <v>21429300</v>
      </c>
      <c r="AC521" s="26">
        <f t="shared" si="16"/>
        <v>0</v>
      </c>
      <c r="AD521" s="26">
        <f t="shared" si="17"/>
        <v>257151600</v>
      </c>
      <c r="AE521" s="50">
        <v>225010200</v>
      </c>
      <c r="AF521" s="50">
        <v>245435600</v>
      </c>
      <c r="AG521" s="53" t="s">
        <v>55</v>
      </c>
    </row>
    <row r="522" spans="1:33" ht="15" customHeight="1">
      <c r="A522" s="46" t="s">
        <v>91</v>
      </c>
      <c r="B522" s="3" t="str">
        <f>_xlfn.IFNA(VLOOKUP(C522,Master!$J:$K,2,0),"")</f>
        <v>B2220</v>
      </c>
      <c r="C522" s="46" t="s">
        <v>83</v>
      </c>
      <c r="D522" s="4" t="str">
        <f>_xlfn.IFNA(VLOOKUP(E522,Master!$J:$K,2,0),"")</f>
        <v>B5800</v>
      </c>
      <c r="E522" s="46" t="s">
        <v>226</v>
      </c>
      <c r="F522" s="4">
        <f>_xlfn.IFNA(VLOOKUP(G522,Master!B:C,2,0),"")</f>
        <v>7516102</v>
      </c>
      <c r="G522" s="46" t="s">
        <v>179</v>
      </c>
      <c r="H522" s="46" t="s">
        <v>179</v>
      </c>
      <c r="I522" s="3" t="str">
        <f>_xlfn.IFNA(VLOOKUP(E522,Master!$J:$M,4,0),"")</f>
        <v>IND</v>
      </c>
      <c r="J522" s="3" t="str">
        <f>_xlfn.IFNA(VLOOKUP($E522,Master!$J:$M,3,0),"")</f>
        <v>MFG</v>
      </c>
      <c r="Q522" s="50">
        <v>24108000</v>
      </c>
      <c r="R522" s="50">
        <v>24108000</v>
      </c>
      <c r="S522" s="50">
        <v>24108000</v>
      </c>
      <c r="T522" s="50">
        <v>24108000</v>
      </c>
      <c r="U522" s="50">
        <v>24108000</v>
      </c>
      <c r="V522" s="50">
        <v>24108000</v>
      </c>
      <c r="W522" s="50">
        <v>24108000</v>
      </c>
      <c r="X522" s="50">
        <v>24108000</v>
      </c>
      <c r="Y522" s="50">
        <v>24108000</v>
      </c>
      <c r="Z522" s="50">
        <v>24108000</v>
      </c>
      <c r="AA522" s="50">
        <v>24108000</v>
      </c>
      <c r="AB522" s="50">
        <v>24108000</v>
      </c>
      <c r="AC522" s="26">
        <f t="shared" si="16"/>
        <v>0</v>
      </c>
      <c r="AD522" s="26">
        <f t="shared" si="17"/>
        <v>289296000</v>
      </c>
      <c r="AE522" s="50">
        <v>304590700</v>
      </c>
      <c r="AF522" s="50">
        <v>332240100</v>
      </c>
      <c r="AG522" s="53" t="s">
        <v>55</v>
      </c>
    </row>
    <row r="523" spans="1:33" ht="15" customHeight="1">
      <c r="A523" s="46" t="s">
        <v>91</v>
      </c>
      <c r="B523" s="3" t="str">
        <f>_xlfn.IFNA(VLOOKUP(C523,Master!$J:$K,2,0),"")</f>
        <v>B2220</v>
      </c>
      <c r="C523" s="46" t="s">
        <v>83</v>
      </c>
      <c r="D523" s="4" t="str">
        <f>_xlfn.IFNA(VLOOKUP(E523,Master!$J:$K,2,0),"")</f>
        <v>B5900</v>
      </c>
      <c r="E523" s="46" t="s">
        <v>231</v>
      </c>
      <c r="F523" s="4">
        <f>_xlfn.IFNA(VLOOKUP(G523,Master!B:C,2,0),"")</f>
        <v>7516102</v>
      </c>
      <c r="G523" s="46" t="s">
        <v>179</v>
      </c>
      <c r="H523" s="46" t="s">
        <v>179</v>
      </c>
      <c r="I523" s="3" t="str">
        <f>_xlfn.IFNA(VLOOKUP(E523,Master!$J:$M,4,0),"")</f>
        <v>IND</v>
      </c>
      <c r="J523" s="3" t="str">
        <f>_xlfn.IFNA(VLOOKUP($E523,Master!$J:$M,3,0),"")</f>
        <v>MFG</v>
      </c>
      <c r="Q523" s="50">
        <v>32144000</v>
      </c>
      <c r="R523" s="50">
        <v>32144000</v>
      </c>
      <c r="S523" s="50">
        <v>32144000</v>
      </c>
      <c r="T523" s="50">
        <v>32144000</v>
      </c>
      <c r="U523" s="50">
        <v>32144000</v>
      </c>
      <c r="V523" s="50">
        <v>32144000</v>
      </c>
      <c r="W523" s="50">
        <v>32144000</v>
      </c>
      <c r="X523" s="50">
        <v>32144000</v>
      </c>
      <c r="Y523" s="50">
        <v>32144000</v>
      </c>
      <c r="Z523" s="50">
        <v>32144000</v>
      </c>
      <c r="AA523" s="50">
        <v>32144000</v>
      </c>
      <c r="AB523" s="50">
        <v>32144000</v>
      </c>
      <c r="AC523" s="26">
        <f t="shared" si="16"/>
        <v>0</v>
      </c>
      <c r="AD523" s="26">
        <f t="shared" si="17"/>
        <v>385728000</v>
      </c>
      <c r="AE523" s="50">
        <v>406121000</v>
      </c>
      <c r="AF523" s="50">
        <v>442986900</v>
      </c>
      <c r="AG523" s="53" t="s">
        <v>55</v>
      </c>
    </row>
    <row r="524" spans="1:33" ht="15" customHeight="1">
      <c r="A524" s="46" t="s">
        <v>91</v>
      </c>
      <c r="B524" s="3" t="str">
        <f>_xlfn.IFNA(VLOOKUP(C524,Master!$J:$K,2,0),"")</f>
        <v>B2220</v>
      </c>
      <c r="C524" s="46" t="s">
        <v>83</v>
      </c>
      <c r="D524" s="4" t="str">
        <f>_xlfn.IFNA(VLOOKUP(E524,Master!$J:$K,2,0),"")</f>
        <v>B2300</v>
      </c>
      <c r="E524" s="46" t="s">
        <v>95</v>
      </c>
      <c r="F524" s="4">
        <f>_xlfn.IFNA(VLOOKUP(G524,Master!B:C,2,0),"")</f>
        <v>7521101</v>
      </c>
      <c r="G524" s="46" t="s">
        <v>190</v>
      </c>
      <c r="H524" s="46" t="s">
        <v>548</v>
      </c>
      <c r="I524" s="3" t="str">
        <f>_xlfn.IFNA(VLOOKUP(E524,Master!$J:$M,4,0),"")</f>
        <v>ADM</v>
      </c>
      <c r="J524" s="3" t="str">
        <f>_xlfn.IFNA(VLOOKUP($E524,Master!$J:$M,3,0),"")</f>
        <v>SGA</v>
      </c>
      <c r="Q524" s="50">
        <v>679200</v>
      </c>
      <c r="R524" s="50">
        <v>647200</v>
      </c>
      <c r="S524" s="50">
        <v>632200</v>
      </c>
      <c r="T524" s="50">
        <v>692200</v>
      </c>
      <c r="U524" s="50">
        <v>677200</v>
      </c>
      <c r="V524" s="50">
        <v>647200</v>
      </c>
      <c r="W524" s="50">
        <v>692200</v>
      </c>
      <c r="X524" s="50">
        <v>662200</v>
      </c>
      <c r="Y524" s="50">
        <v>647200</v>
      </c>
      <c r="Z524" s="50">
        <v>689700</v>
      </c>
      <c r="AA524" s="50">
        <v>658700</v>
      </c>
      <c r="AB524" s="50">
        <v>900200</v>
      </c>
      <c r="AC524" s="26">
        <f t="shared" si="16"/>
        <v>0</v>
      </c>
      <c r="AD524" s="26">
        <f t="shared" si="17"/>
        <v>8225400</v>
      </c>
      <c r="AG524" s="53" t="s">
        <v>55</v>
      </c>
    </row>
    <row r="525" spans="1:33" ht="15" customHeight="1">
      <c r="A525" s="46" t="s">
        <v>91</v>
      </c>
      <c r="B525" s="3" t="str">
        <f>_xlfn.IFNA(VLOOKUP(C525,Master!$J:$K,2,0),"")</f>
        <v>B2220</v>
      </c>
      <c r="C525" s="46" t="s">
        <v>83</v>
      </c>
      <c r="D525" s="4" t="str">
        <f>_xlfn.IFNA(VLOOKUP(E525,Master!$J:$K,2,0),"")</f>
        <v>B2300</v>
      </c>
      <c r="E525" s="46" t="s">
        <v>95</v>
      </c>
      <c r="F525" s="4">
        <f>_xlfn.IFNA(VLOOKUP(G525,Master!B:C,2,0),"")</f>
        <v>7521101</v>
      </c>
      <c r="G525" s="46" t="s">
        <v>190</v>
      </c>
      <c r="H525" s="46" t="s">
        <v>549</v>
      </c>
      <c r="I525" s="3" t="str">
        <f>_xlfn.IFNA(VLOOKUP(E525,Master!$J:$M,4,0),"")</f>
        <v>ADM</v>
      </c>
      <c r="J525" s="3" t="str">
        <f>_xlfn.IFNA(VLOOKUP($E525,Master!$J:$M,3,0),"")</f>
        <v>SGA</v>
      </c>
      <c r="Q525" s="50">
        <v>4992000</v>
      </c>
      <c r="R525" s="50">
        <v>4992000</v>
      </c>
      <c r="S525" s="50">
        <v>4992000</v>
      </c>
      <c r="T525" s="50">
        <v>4992000</v>
      </c>
      <c r="U525" s="50">
        <v>4992000</v>
      </c>
      <c r="V525" s="50">
        <v>4992000</v>
      </c>
      <c r="W525" s="50">
        <v>4992000</v>
      </c>
      <c r="X525" s="50">
        <v>4992000</v>
      </c>
      <c r="Y525" s="50">
        <v>4992000</v>
      </c>
      <c r="Z525" s="50">
        <v>5191700</v>
      </c>
      <c r="AA525" s="50">
        <v>5191700</v>
      </c>
      <c r="AB525" s="50">
        <v>5191700</v>
      </c>
      <c r="AC525" s="26">
        <f t="shared" ref="AC525:AC588" si="18">SUM(K525:P525)</f>
        <v>0</v>
      </c>
      <c r="AD525" s="26">
        <f t="shared" ref="AD525:AD588" si="19">SUM(Q525:AB525)</f>
        <v>60503100</v>
      </c>
      <c r="AG525" s="53" t="s">
        <v>55</v>
      </c>
    </row>
    <row r="526" spans="1:33" ht="15" customHeight="1">
      <c r="A526" s="46" t="s">
        <v>91</v>
      </c>
      <c r="B526" s="3" t="str">
        <f>_xlfn.IFNA(VLOOKUP(C526,Master!$J:$K,2,0),"")</f>
        <v>B2220</v>
      </c>
      <c r="C526" s="46" t="s">
        <v>83</v>
      </c>
      <c r="D526" s="4" t="str">
        <f>_xlfn.IFNA(VLOOKUP(E526,Master!$J:$K,2,0),"")</f>
        <v>B2300</v>
      </c>
      <c r="E526" s="46" t="s">
        <v>95</v>
      </c>
      <c r="F526" s="4">
        <f>_xlfn.IFNA(VLOOKUP(G526,Master!B:C,2,0),"")</f>
        <v>7521101</v>
      </c>
      <c r="G526" s="46" t="s">
        <v>190</v>
      </c>
      <c r="H526" s="46" t="s">
        <v>550</v>
      </c>
      <c r="I526" s="3" t="str">
        <f>_xlfn.IFNA(VLOOKUP(E526,Master!$J:$M,4,0),"")</f>
        <v>ADM</v>
      </c>
      <c r="J526" s="3" t="str">
        <f>_xlfn.IFNA(VLOOKUP($E526,Master!$J:$M,3,0),"")</f>
        <v>SGA</v>
      </c>
      <c r="Q526" s="50">
        <v>416000</v>
      </c>
      <c r="R526" s="50">
        <v>416000</v>
      </c>
      <c r="S526" s="50">
        <v>416000</v>
      </c>
      <c r="T526" s="50">
        <v>416000</v>
      </c>
      <c r="U526" s="50">
        <v>416000</v>
      </c>
      <c r="V526" s="50">
        <v>416000</v>
      </c>
      <c r="W526" s="50">
        <v>416000</v>
      </c>
      <c r="X526" s="50">
        <v>416000</v>
      </c>
      <c r="Y526" s="50">
        <v>416000</v>
      </c>
      <c r="Z526" s="50">
        <v>432600</v>
      </c>
      <c r="AA526" s="50">
        <v>432600</v>
      </c>
      <c r="AB526" s="50">
        <v>432600</v>
      </c>
      <c r="AC526" s="26">
        <f t="shared" si="18"/>
        <v>0</v>
      </c>
      <c r="AD526" s="26">
        <f t="shared" si="19"/>
        <v>5041800</v>
      </c>
      <c r="AG526" s="53" t="s">
        <v>55</v>
      </c>
    </row>
    <row r="527" spans="1:33" ht="15" customHeight="1">
      <c r="A527" s="46" t="s">
        <v>91</v>
      </c>
      <c r="B527" s="3" t="str">
        <f>_xlfn.IFNA(VLOOKUP(C527,Master!$J:$K,2,0),"")</f>
        <v>B2220</v>
      </c>
      <c r="C527" s="46" t="s">
        <v>83</v>
      </c>
      <c r="D527" s="4" t="str">
        <f>_xlfn.IFNA(VLOOKUP(E527,Master!$J:$K,2,0),"")</f>
        <v>B2300</v>
      </c>
      <c r="E527" s="46" t="s">
        <v>95</v>
      </c>
      <c r="F527" s="4">
        <f>_xlfn.IFNA(VLOOKUP(G527,Master!B:C,2,0),"")</f>
        <v>7521101</v>
      </c>
      <c r="G527" s="46" t="s">
        <v>190</v>
      </c>
      <c r="H527" s="46" t="s">
        <v>551</v>
      </c>
      <c r="I527" s="3" t="str">
        <f>_xlfn.IFNA(VLOOKUP(E527,Master!$J:$M,4,0),"")</f>
        <v>ADM</v>
      </c>
      <c r="J527" s="3" t="str">
        <f>_xlfn.IFNA(VLOOKUP($E527,Master!$J:$M,3,0),"")</f>
        <v>SGA</v>
      </c>
      <c r="Q527" s="50">
        <v>352600</v>
      </c>
      <c r="R527" s="50">
        <v>338000</v>
      </c>
      <c r="S527" s="50">
        <v>337200</v>
      </c>
      <c r="T527" s="50">
        <v>340400</v>
      </c>
      <c r="U527" s="50">
        <v>339600</v>
      </c>
      <c r="V527" s="50">
        <v>338000</v>
      </c>
      <c r="W527" s="50">
        <v>340400</v>
      </c>
      <c r="X527" s="50">
        <v>338800</v>
      </c>
      <c r="Y527" s="50">
        <v>338000</v>
      </c>
      <c r="Z527" s="50">
        <v>352400</v>
      </c>
      <c r="AA527" s="50">
        <v>350800</v>
      </c>
      <c r="AB527" s="50">
        <v>370200</v>
      </c>
      <c r="AC527" s="26">
        <f t="shared" si="18"/>
        <v>0</v>
      </c>
      <c r="AD527" s="26">
        <f t="shared" si="19"/>
        <v>4136400</v>
      </c>
      <c r="AG527" s="53" t="s">
        <v>55</v>
      </c>
    </row>
    <row r="528" spans="1:33" ht="15" customHeight="1">
      <c r="A528" s="46" t="s">
        <v>91</v>
      </c>
      <c r="B528" s="3" t="str">
        <f>_xlfn.IFNA(VLOOKUP(C528,Master!$J:$K,2,0),"")</f>
        <v>B2220</v>
      </c>
      <c r="C528" s="46" t="s">
        <v>83</v>
      </c>
      <c r="D528" s="4" t="str">
        <f>_xlfn.IFNA(VLOOKUP(E528,Master!$J:$K,2,0),"")</f>
        <v>B3150</v>
      </c>
      <c r="E528" s="46" t="s">
        <v>259</v>
      </c>
      <c r="F528" s="4">
        <f>_xlfn.IFNA(VLOOKUP(G528,Master!B:C,2,0),"")</f>
        <v>7521101</v>
      </c>
      <c r="G528" s="46" t="s">
        <v>190</v>
      </c>
      <c r="H528" s="46" t="s">
        <v>548</v>
      </c>
      <c r="I528" s="3" t="str">
        <f>_xlfn.IFNA(VLOOKUP(E528,Master!$J:$M,4,0),"")</f>
        <v>ADM</v>
      </c>
      <c r="J528" s="3" t="str">
        <f>_xlfn.IFNA(VLOOKUP($E528,Master!$J:$M,3,0),"")</f>
        <v>SGA</v>
      </c>
      <c r="M528" s="50">
        <v>5542200</v>
      </c>
      <c r="N528" s="50">
        <v>6364800</v>
      </c>
      <c r="O528" s="50">
        <v>6094800</v>
      </c>
      <c r="P528" s="50">
        <v>7345800</v>
      </c>
      <c r="Q528" s="50">
        <v>6112800</v>
      </c>
      <c r="R528" s="50">
        <v>5824800</v>
      </c>
      <c r="S528" s="50">
        <v>5689800</v>
      </c>
      <c r="T528" s="50">
        <v>6229800</v>
      </c>
      <c r="U528" s="50">
        <v>6094800</v>
      </c>
      <c r="V528" s="50">
        <v>5824800</v>
      </c>
      <c r="W528" s="50">
        <v>6229800</v>
      </c>
      <c r="X528" s="50">
        <v>5959800</v>
      </c>
      <c r="Y528" s="50">
        <v>5824800</v>
      </c>
      <c r="Z528" s="50">
        <v>6207300</v>
      </c>
      <c r="AA528" s="50">
        <v>5928300</v>
      </c>
      <c r="AB528" s="50">
        <v>8101800</v>
      </c>
      <c r="AC528" s="26">
        <f t="shared" si="18"/>
        <v>25347600</v>
      </c>
      <c r="AD528" s="26">
        <f t="shared" si="19"/>
        <v>74028600</v>
      </c>
      <c r="AE528" s="50">
        <v>73227600</v>
      </c>
      <c r="AF528" s="50">
        <v>74420100</v>
      </c>
      <c r="AG528" s="53" t="s">
        <v>55</v>
      </c>
    </row>
    <row r="529" spans="1:33" ht="15" customHeight="1">
      <c r="A529" s="46" t="s">
        <v>91</v>
      </c>
      <c r="B529" s="3" t="str">
        <f>_xlfn.IFNA(VLOOKUP(C529,Master!$J:$K,2,0),"")</f>
        <v>B2220</v>
      </c>
      <c r="C529" s="46" t="s">
        <v>83</v>
      </c>
      <c r="D529" s="4" t="str">
        <f>_xlfn.IFNA(VLOOKUP(E529,Master!$J:$K,2,0),"")</f>
        <v>B3150</v>
      </c>
      <c r="E529" s="46" t="s">
        <v>259</v>
      </c>
      <c r="F529" s="4">
        <f>_xlfn.IFNA(VLOOKUP(G529,Master!B:C,2,0),"")</f>
        <v>7521101</v>
      </c>
      <c r="G529" s="46" t="s">
        <v>190</v>
      </c>
      <c r="H529" s="46" t="s">
        <v>549</v>
      </c>
      <c r="I529" s="3" t="str">
        <f>_xlfn.IFNA(VLOOKUP(E529,Master!$J:$M,4,0),"")</f>
        <v>ADM</v>
      </c>
      <c r="J529" s="3" t="str">
        <f>_xlfn.IFNA(VLOOKUP($E529,Master!$J:$M,3,0),"")</f>
        <v>SGA</v>
      </c>
      <c r="M529" s="50">
        <v>43200000</v>
      </c>
      <c r="N529" s="50">
        <v>44928000</v>
      </c>
      <c r="O529" s="50">
        <v>44928000</v>
      </c>
      <c r="P529" s="50">
        <v>44928000</v>
      </c>
      <c r="Q529" s="50">
        <v>44928000</v>
      </c>
      <c r="R529" s="50">
        <v>44928000</v>
      </c>
      <c r="S529" s="50">
        <v>44928000</v>
      </c>
      <c r="T529" s="50">
        <v>44928000</v>
      </c>
      <c r="U529" s="50">
        <v>44928000</v>
      </c>
      <c r="V529" s="50">
        <v>44928000</v>
      </c>
      <c r="W529" s="50">
        <v>44928000</v>
      </c>
      <c r="X529" s="50">
        <v>44928000</v>
      </c>
      <c r="Y529" s="50">
        <v>44928000</v>
      </c>
      <c r="Z529" s="50">
        <v>46725300</v>
      </c>
      <c r="AA529" s="50">
        <v>46725300</v>
      </c>
      <c r="AB529" s="50">
        <v>46725300</v>
      </c>
      <c r="AC529" s="26">
        <f t="shared" si="18"/>
        <v>177984000</v>
      </c>
      <c r="AD529" s="26">
        <f t="shared" si="19"/>
        <v>544527900</v>
      </c>
      <c r="AE529" s="50">
        <v>566311500</v>
      </c>
      <c r="AF529" s="50">
        <v>588967200</v>
      </c>
      <c r="AG529" s="53" t="s">
        <v>55</v>
      </c>
    </row>
    <row r="530" spans="1:33" ht="15" customHeight="1">
      <c r="A530" s="46" t="s">
        <v>91</v>
      </c>
      <c r="B530" s="3" t="str">
        <f>_xlfn.IFNA(VLOOKUP(C530,Master!$J:$K,2,0),"")</f>
        <v>B2220</v>
      </c>
      <c r="C530" s="46" t="s">
        <v>83</v>
      </c>
      <c r="D530" s="4" t="str">
        <f>_xlfn.IFNA(VLOOKUP(E530,Master!$J:$K,2,0),"")</f>
        <v>B3150</v>
      </c>
      <c r="E530" s="46" t="s">
        <v>259</v>
      </c>
      <c r="F530" s="4">
        <f>_xlfn.IFNA(VLOOKUP(G530,Master!B:C,2,0),"")</f>
        <v>7521101</v>
      </c>
      <c r="G530" s="46" t="s">
        <v>190</v>
      </c>
      <c r="H530" s="46" t="s">
        <v>550</v>
      </c>
      <c r="I530" s="3" t="str">
        <f>_xlfn.IFNA(VLOOKUP(E530,Master!$J:$M,4,0),"")</f>
        <v>ADM</v>
      </c>
      <c r="J530" s="3" t="str">
        <f>_xlfn.IFNA(VLOOKUP($E530,Master!$J:$M,3,0),"")</f>
        <v>SGA</v>
      </c>
      <c r="M530" s="50">
        <v>3600000</v>
      </c>
      <c r="N530" s="50">
        <v>3744000</v>
      </c>
      <c r="O530" s="50">
        <v>3744000</v>
      </c>
      <c r="P530" s="50">
        <v>3744000</v>
      </c>
      <c r="Q530" s="50">
        <v>3744000</v>
      </c>
      <c r="R530" s="50">
        <v>3744000</v>
      </c>
      <c r="S530" s="50">
        <v>3744000</v>
      </c>
      <c r="T530" s="50">
        <v>3744000</v>
      </c>
      <c r="U530" s="50">
        <v>3744000</v>
      </c>
      <c r="V530" s="50">
        <v>3744000</v>
      </c>
      <c r="W530" s="50">
        <v>3744000</v>
      </c>
      <c r="X530" s="50">
        <v>3744000</v>
      </c>
      <c r="Y530" s="50">
        <v>3744000</v>
      </c>
      <c r="Z530" s="50">
        <v>3893800</v>
      </c>
      <c r="AA530" s="50">
        <v>3893800</v>
      </c>
      <c r="AB530" s="50">
        <v>3893800</v>
      </c>
      <c r="AC530" s="26">
        <f t="shared" si="18"/>
        <v>14832000</v>
      </c>
      <c r="AD530" s="26">
        <f t="shared" si="19"/>
        <v>45377400</v>
      </c>
      <c r="AE530" s="50">
        <v>47193000</v>
      </c>
      <c r="AF530" s="50">
        <v>49081200</v>
      </c>
      <c r="AG530" s="53" t="s">
        <v>55</v>
      </c>
    </row>
    <row r="531" spans="1:33" ht="15" customHeight="1">
      <c r="A531" s="46" t="s">
        <v>91</v>
      </c>
      <c r="B531" s="3" t="str">
        <f>_xlfn.IFNA(VLOOKUP(C531,Master!$J:$K,2,0),"")</f>
        <v>B2220</v>
      </c>
      <c r="C531" s="46" t="s">
        <v>83</v>
      </c>
      <c r="D531" s="4" t="str">
        <f>_xlfn.IFNA(VLOOKUP(E531,Master!$J:$K,2,0),"")</f>
        <v>B3150</v>
      </c>
      <c r="E531" s="46" t="s">
        <v>259</v>
      </c>
      <c r="F531" s="4">
        <f>_xlfn.IFNA(VLOOKUP(G531,Master!B:C,2,0),"")</f>
        <v>7521101</v>
      </c>
      <c r="G531" s="46" t="s">
        <v>190</v>
      </c>
      <c r="H531" s="46" t="s">
        <v>551</v>
      </c>
      <c r="I531" s="3" t="str">
        <f>_xlfn.IFNA(VLOOKUP(E531,Master!$J:$M,4,0),"")</f>
        <v>ADM</v>
      </c>
      <c r="J531" s="3" t="str">
        <f>_xlfn.IFNA(VLOOKUP($E531,Master!$J:$M,3,0),"")</f>
        <v>SGA</v>
      </c>
      <c r="M531" s="50">
        <v>3717500</v>
      </c>
      <c r="N531" s="50">
        <v>3895200</v>
      </c>
      <c r="O531" s="50">
        <v>3881000</v>
      </c>
      <c r="P531" s="50">
        <v>3946800</v>
      </c>
      <c r="Q531" s="50">
        <v>3881900</v>
      </c>
      <c r="R531" s="50">
        <v>3866800</v>
      </c>
      <c r="S531" s="50">
        <v>3859700</v>
      </c>
      <c r="T531" s="50">
        <v>3888100</v>
      </c>
      <c r="U531" s="50">
        <v>3881000</v>
      </c>
      <c r="V531" s="50">
        <v>3866800</v>
      </c>
      <c r="W531" s="50">
        <v>3888100</v>
      </c>
      <c r="X531" s="50">
        <v>3873900</v>
      </c>
      <c r="Y531" s="50">
        <v>3866800</v>
      </c>
      <c r="Z531" s="50">
        <v>4028500</v>
      </c>
      <c r="AA531" s="50">
        <v>4013900</v>
      </c>
      <c r="AB531" s="50">
        <v>4128300</v>
      </c>
      <c r="AC531" s="26">
        <f t="shared" si="18"/>
        <v>15440500</v>
      </c>
      <c r="AD531" s="26">
        <f t="shared" si="19"/>
        <v>47043800</v>
      </c>
      <c r="AE531" s="50">
        <v>48713700</v>
      </c>
      <c r="AF531" s="50">
        <v>50537900</v>
      </c>
      <c r="AG531" s="53" t="s">
        <v>55</v>
      </c>
    </row>
    <row r="532" spans="1:33" ht="15" customHeight="1">
      <c r="A532" s="46" t="s">
        <v>91</v>
      </c>
      <c r="B532" s="3" t="str">
        <f>_xlfn.IFNA(VLOOKUP(C532,Master!$J:$K,2,0),"")</f>
        <v>B2220</v>
      </c>
      <c r="C532" s="46" t="s">
        <v>83</v>
      </c>
      <c r="D532" s="4" t="str">
        <f>_xlfn.IFNA(VLOOKUP(E532,Master!$J:$K,2,0),"")</f>
        <v>B4101</v>
      </c>
      <c r="E532" s="46" t="s">
        <v>132</v>
      </c>
      <c r="F532" s="4">
        <f>_xlfn.IFNA(VLOOKUP(G532,Master!B:C,2,0),"")</f>
        <v>7521101</v>
      </c>
      <c r="G532" s="46" t="s">
        <v>190</v>
      </c>
      <c r="H532" s="46" t="s">
        <v>548</v>
      </c>
      <c r="I532" s="3" t="str">
        <f>_xlfn.IFNA(VLOOKUP(E532,Master!$J:$M,4,0),"")</f>
        <v>DIR</v>
      </c>
      <c r="J532" s="3" t="str">
        <f>_xlfn.IFNA(VLOOKUP($E532,Master!$J:$M,3,0),"")</f>
        <v>MFG</v>
      </c>
      <c r="AC532" s="26">
        <f t="shared" si="18"/>
        <v>0</v>
      </c>
      <c r="AD532" s="26">
        <f t="shared" si="19"/>
        <v>0</v>
      </c>
      <c r="AF532" s="50">
        <v>5003500</v>
      </c>
      <c r="AG532" s="53" t="s">
        <v>55</v>
      </c>
    </row>
    <row r="533" spans="1:33" ht="15" customHeight="1">
      <c r="A533" s="46" t="s">
        <v>91</v>
      </c>
      <c r="B533" s="3" t="str">
        <f>_xlfn.IFNA(VLOOKUP(C533,Master!$J:$K,2,0),"")</f>
        <v>B2220</v>
      </c>
      <c r="C533" s="46" t="s">
        <v>83</v>
      </c>
      <c r="D533" s="4" t="str">
        <f>_xlfn.IFNA(VLOOKUP(E533,Master!$J:$K,2,0),"")</f>
        <v>B4101</v>
      </c>
      <c r="E533" s="46" t="s">
        <v>132</v>
      </c>
      <c r="F533" s="4">
        <f>_xlfn.IFNA(VLOOKUP(G533,Master!B:C,2,0),"")</f>
        <v>7521101</v>
      </c>
      <c r="G533" s="46" t="s">
        <v>190</v>
      </c>
      <c r="H533" s="46" t="s">
        <v>549</v>
      </c>
      <c r="I533" s="3" t="str">
        <f>_xlfn.IFNA(VLOOKUP(E533,Master!$J:$M,4,0),"")</f>
        <v>DIR</v>
      </c>
      <c r="J533" s="3" t="str">
        <f>_xlfn.IFNA(VLOOKUP($E533,Master!$J:$M,3,0),"")</f>
        <v>MFG</v>
      </c>
      <c r="AC533" s="26">
        <f t="shared" si="18"/>
        <v>0</v>
      </c>
      <c r="AD533" s="26">
        <f t="shared" si="19"/>
        <v>0</v>
      </c>
      <c r="AF533" s="50">
        <v>38443800</v>
      </c>
      <c r="AG533" s="53" t="s">
        <v>55</v>
      </c>
    </row>
    <row r="534" spans="1:33" ht="15" customHeight="1">
      <c r="A534" s="46" t="s">
        <v>91</v>
      </c>
      <c r="B534" s="3" t="str">
        <f>_xlfn.IFNA(VLOOKUP(C534,Master!$J:$K,2,0),"")</f>
        <v>B2220</v>
      </c>
      <c r="C534" s="46" t="s">
        <v>83</v>
      </c>
      <c r="D534" s="4" t="str">
        <f>_xlfn.IFNA(VLOOKUP(E534,Master!$J:$K,2,0),"")</f>
        <v>B4101</v>
      </c>
      <c r="E534" s="46" t="s">
        <v>132</v>
      </c>
      <c r="F534" s="4">
        <f>_xlfn.IFNA(VLOOKUP(G534,Master!B:C,2,0),"")</f>
        <v>7521101</v>
      </c>
      <c r="G534" s="46" t="s">
        <v>190</v>
      </c>
      <c r="H534" s="46" t="s">
        <v>550</v>
      </c>
      <c r="I534" s="3" t="str">
        <f>_xlfn.IFNA(VLOOKUP(E534,Master!$J:$M,4,0),"")</f>
        <v>DIR</v>
      </c>
      <c r="J534" s="3" t="str">
        <f>_xlfn.IFNA(VLOOKUP($E534,Master!$J:$M,3,0),"")</f>
        <v>MFG</v>
      </c>
      <c r="AC534" s="26">
        <f t="shared" si="18"/>
        <v>0</v>
      </c>
      <c r="AD534" s="26">
        <f t="shared" si="19"/>
        <v>0</v>
      </c>
      <c r="AF534" s="50">
        <v>3204000</v>
      </c>
      <c r="AG534" s="53" t="s">
        <v>55</v>
      </c>
    </row>
    <row r="535" spans="1:33" ht="15" customHeight="1">
      <c r="A535" s="46" t="s">
        <v>91</v>
      </c>
      <c r="B535" s="3" t="str">
        <f>_xlfn.IFNA(VLOOKUP(C535,Master!$J:$K,2,0),"")</f>
        <v>B2220</v>
      </c>
      <c r="C535" s="46" t="s">
        <v>83</v>
      </c>
      <c r="D535" s="4" t="str">
        <f>_xlfn.IFNA(VLOOKUP(E535,Master!$J:$K,2,0),"")</f>
        <v>B4101</v>
      </c>
      <c r="E535" s="46" t="s">
        <v>132</v>
      </c>
      <c r="F535" s="4">
        <f>_xlfn.IFNA(VLOOKUP(G535,Master!B:C,2,0),"")</f>
        <v>7521101</v>
      </c>
      <c r="G535" s="46" t="s">
        <v>190</v>
      </c>
      <c r="H535" s="46" t="s">
        <v>551</v>
      </c>
      <c r="I535" s="3" t="str">
        <f>_xlfn.IFNA(VLOOKUP(E535,Master!$J:$M,4,0),"")</f>
        <v>DIR</v>
      </c>
      <c r="J535" s="3" t="str">
        <f>_xlfn.IFNA(VLOOKUP($E535,Master!$J:$M,3,0),"")</f>
        <v>MFG</v>
      </c>
      <c r="AC535" s="26">
        <f t="shared" si="18"/>
        <v>0</v>
      </c>
      <c r="AD535" s="26">
        <f t="shared" si="19"/>
        <v>0</v>
      </c>
      <c r="AF535" s="50">
        <v>4048500</v>
      </c>
      <c r="AG535" s="53" t="s">
        <v>55</v>
      </c>
    </row>
    <row r="536" spans="1:33" ht="15" customHeight="1">
      <c r="A536" s="46" t="s">
        <v>91</v>
      </c>
      <c r="B536" s="3" t="str">
        <f>_xlfn.IFNA(VLOOKUP(C536,Master!$J:$K,2,0),"")</f>
        <v>B2220</v>
      </c>
      <c r="C536" s="46" t="s">
        <v>83</v>
      </c>
      <c r="D536" s="4" t="str">
        <f>_xlfn.IFNA(VLOOKUP(E536,Master!$J:$K,2,0),"")</f>
        <v>B4102</v>
      </c>
      <c r="E536" s="46" t="s">
        <v>139</v>
      </c>
      <c r="F536" s="4">
        <f>_xlfn.IFNA(VLOOKUP(G536,Master!B:C,2,0),"")</f>
        <v>7521101</v>
      </c>
      <c r="G536" s="46" t="s">
        <v>190</v>
      </c>
      <c r="H536" s="46" t="s">
        <v>548</v>
      </c>
      <c r="I536" s="3" t="str">
        <f>_xlfn.IFNA(VLOOKUP(E536,Master!$J:$M,4,0),"")</f>
        <v>DIR</v>
      </c>
      <c r="J536" s="3" t="str">
        <f>_xlfn.IFNA(VLOOKUP($E536,Master!$J:$M,3,0),"")</f>
        <v>MFG</v>
      </c>
      <c r="Q536" s="50">
        <v>679200</v>
      </c>
      <c r="R536" s="50">
        <v>647200</v>
      </c>
      <c r="S536" s="50">
        <v>632200</v>
      </c>
      <c r="T536" s="50">
        <v>692200</v>
      </c>
      <c r="U536" s="50">
        <v>677200</v>
      </c>
      <c r="V536" s="50">
        <v>647200</v>
      </c>
      <c r="AC536" s="26">
        <f t="shared" si="18"/>
        <v>0</v>
      </c>
      <c r="AD536" s="26">
        <f t="shared" si="19"/>
        <v>3975200</v>
      </c>
      <c r="AE536" s="50">
        <v>2301100</v>
      </c>
      <c r="AF536" s="50">
        <v>15929800</v>
      </c>
      <c r="AG536" s="53" t="s">
        <v>55</v>
      </c>
    </row>
    <row r="537" spans="1:33" ht="15" customHeight="1">
      <c r="A537" s="46" t="s">
        <v>91</v>
      </c>
      <c r="B537" s="3" t="str">
        <f>_xlfn.IFNA(VLOOKUP(C537,Master!$J:$K,2,0),"")</f>
        <v>B2220</v>
      </c>
      <c r="C537" s="46" t="s">
        <v>83</v>
      </c>
      <c r="D537" s="4" t="str">
        <f>_xlfn.IFNA(VLOOKUP(E537,Master!$J:$K,2,0),"")</f>
        <v>B4102</v>
      </c>
      <c r="E537" s="46" t="s">
        <v>139</v>
      </c>
      <c r="F537" s="4">
        <f>_xlfn.IFNA(VLOOKUP(G537,Master!B:C,2,0),"")</f>
        <v>7521101</v>
      </c>
      <c r="G537" s="46" t="s">
        <v>190</v>
      </c>
      <c r="H537" s="46" t="s">
        <v>549</v>
      </c>
      <c r="I537" s="3" t="str">
        <f>_xlfn.IFNA(VLOOKUP(E537,Master!$J:$M,4,0),"")</f>
        <v>DIR</v>
      </c>
      <c r="J537" s="3" t="str">
        <f>_xlfn.IFNA(VLOOKUP($E537,Master!$J:$M,3,0),"")</f>
        <v>MFG</v>
      </c>
      <c r="Q537" s="50">
        <v>4992000</v>
      </c>
      <c r="R537" s="50">
        <v>4992000</v>
      </c>
      <c r="S537" s="50">
        <v>4992000</v>
      </c>
      <c r="T537" s="50">
        <v>4992000</v>
      </c>
      <c r="U537" s="50">
        <v>4992000</v>
      </c>
      <c r="V537" s="50">
        <v>4992000</v>
      </c>
      <c r="AC537" s="26">
        <f t="shared" si="18"/>
        <v>0</v>
      </c>
      <c r="AD537" s="26">
        <f t="shared" si="19"/>
        <v>29952000</v>
      </c>
      <c r="AE537" s="50">
        <v>16198200</v>
      </c>
      <c r="AF537" s="50">
        <v>125482200</v>
      </c>
      <c r="AG537" s="53" t="s">
        <v>55</v>
      </c>
    </row>
    <row r="538" spans="1:33" ht="15" customHeight="1">
      <c r="A538" s="46" t="s">
        <v>91</v>
      </c>
      <c r="B538" s="3" t="str">
        <f>_xlfn.IFNA(VLOOKUP(C538,Master!$J:$K,2,0),"")</f>
        <v>B2220</v>
      </c>
      <c r="C538" s="46" t="s">
        <v>83</v>
      </c>
      <c r="D538" s="4" t="str">
        <f>_xlfn.IFNA(VLOOKUP(E538,Master!$J:$K,2,0),"")</f>
        <v>B4102</v>
      </c>
      <c r="E538" s="46" t="s">
        <v>139</v>
      </c>
      <c r="F538" s="4">
        <f>_xlfn.IFNA(VLOOKUP(G538,Master!B:C,2,0),"")</f>
        <v>7521101</v>
      </c>
      <c r="G538" s="46" t="s">
        <v>190</v>
      </c>
      <c r="H538" s="46" t="s">
        <v>550</v>
      </c>
      <c r="I538" s="3" t="str">
        <f>_xlfn.IFNA(VLOOKUP(E538,Master!$J:$M,4,0),"")</f>
        <v>DIR</v>
      </c>
      <c r="J538" s="3" t="str">
        <f>_xlfn.IFNA(VLOOKUP($E538,Master!$J:$M,3,0),"")</f>
        <v>MFG</v>
      </c>
      <c r="Q538" s="50">
        <v>416000</v>
      </c>
      <c r="R538" s="50">
        <v>416000</v>
      </c>
      <c r="S538" s="50">
        <v>416000</v>
      </c>
      <c r="T538" s="50">
        <v>416000</v>
      </c>
      <c r="U538" s="50">
        <v>416000</v>
      </c>
      <c r="V538" s="50">
        <v>416000</v>
      </c>
      <c r="AC538" s="26">
        <f t="shared" si="18"/>
        <v>0</v>
      </c>
      <c r="AD538" s="26">
        <f t="shared" si="19"/>
        <v>2496000</v>
      </c>
      <c r="AE538" s="50">
        <v>1350000</v>
      </c>
      <c r="AF538" s="50">
        <v>10456900</v>
      </c>
      <c r="AG538" s="53" t="s">
        <v>55</v>
      </c>
    </row>
    <row r="539" spans="1:33" ht="15" customHeight="1">
      <c r="A539" s="46" t="s">
        <v>91</v>
      </c>
      <c r="B539" s="3" t="str">
        <f>_xlfn.IFNA(VLOOKUP(C539,Master!$J:$K,2,0),"")</f>
        <v>B2220</v>
      </c>
      <c r="C539" s="46" t="s">
        <v>83</v>
      </c>
      <c r="D539" s="4" t="str">
        <f>_xlfn.IFNA(VLOOKUP(E539,Master!$J:$K,2,0),"")</f>
        <v>B4102</v>
      </c>
      <c r="E539" s="46" t="s">
        <v>139</v>
      </c>
      <c r="F539" s="4">
        <f>_xlfn.IFNA(VLOOKUP(G539,Master!B:C,2,0),"")</f>
        <v>7521101</v>
      </c>
      <c r="G539" s="46" t="s">
        <v>190</v>
      </c>
      <c r="H539" s="46" t="s">
        <v>551</v>
      </c>
      <c r="I539" s="3" t="str">
        <f>_xlfn.IFNA(VLOOKUP(E539,Master!$J:$M,4,0),"")</f>
        <v>DIR</v>
      </c>
      <c r="J539" s="3" t="str">
        <f>_xlfn.IFNA(VLOOKUP($E539,Master!$J:$M,3,0),"")</f>
        <v>MFG</v>
      </c>
      <c r="Q539" s="50">
        <v>472700</v>
      </c>
      <c r="R539" s="50">
        <v>554500</v>
      </c>
      <c r="S539" s="50">
        <v>474800</v>
      </c>
      <c r="T539" s="50">
        <v>542700</v>
      </c>
      <c r="U539" s="50">
        <v>520900</v>
      </c>
      <c r="V539" s="50">
        <v>502900</v>
      </c>
      <c r="AC539" s="26">
        <f t="shared" si="18"/>
        <v>0</v>
      </c>
      <c r="AD539" s="26">
        <f t="shared" si="19"/>
        <v>3068500</v>
      </c>
      <c r="AE539" s="50">
        <v>1798800</v>
      </c>
      <c r="AF539" s="50">
        <v>13511600</v>
      </c>
      <c r="AG539" s="53" t="s">
        <v>55</v>
      </c>
    </row>
    <row r="540" spans="1:33" ht="15" customHeight="1">
      <c r="A540" s="46" t="s">
        <v>91</v>
      </c>
      <c r="B540" s="3" t="str">
        <f>_xlfn.IFNA(VLOOKUP(C540,Master!$J:$K,2,0),"")</f>
        <v>B2220</v>
      </c>
      <c r="C540" s="46" t="s">
        <v>83</v>
      </c>
      <c r="D540" s="4" t="str">
        <f>_xlfn.IFNA(VLOOKUP(E540,Master!$J:$K,2,0),"")</f>
        <v>B4105</v>
      </c>
      <c r="E540" s="46" t="s">
        <v>149</v>
      </c>
      <c r="F540" s="4">
        <f>_xlfn.IFNA(VLOOKUP(G540,Master!B:C,2,0),"")</f>
        <v>7521101</v>
      </c>
      <c r="G540" s="46" t="s">
        <v>190</v>
      </c>
      <c r="H540" s="46" t="s">
        <v>548</v>
      </c>
      <c r="I540" s="3" t="str">
        <f>_xlfn.IFNA(VLOOKUP(E540,Master!$J:$M,4,0),"")</f>
        <v>DIR</v>
      </c>
      <c r="J540" s="3" t="str">
        <f>_xlfn.IFNA(VLOOKUP($E540,Master!$J:$M,3,0),"")</f>
        <v>MFG</v>
      </c>
      <c r="AC540" s="26">
        <f t="shared" si="18"/>
        <v>0</v>
      </c>
      <c r="AD540" s="26">
        <f t="shared" si="19"/>
        <v>0</v>
      </c>
      <c r="AF540" s="50">
        <v>2313900</v>
      </c>
      <c r="AG540" s="53" t="s">
        <v>55</v>
      </c>
    </row>
    <row r="541" spans="1:33" ht="15" customHeight="1">
      <c r="A541" s="46" t="s">
        <v>91</v>
      </c>
      <c r="B541" s="3" t="str">
        <f>_xlfn.IFNA(VLOOKUP(C541,Master!$J:$K,2,0),"")</f>
        <v>B2220</v>
      </c>
      <c r="C541" s="46" t="s">
        <v>83</v>
      </c>
      <c r="D541" s="4" t="str">
        <f>_xlfn.IFNA(VLOOKUP(E541,Master!$J:$K,2,0),"")</f>
        <v>B4105</v>
      </c>
      <c r="E541" s="46" t="s">
        <v>149</v>
      </c>
      <c r="F541" s="4">
        <f>_xlfn.IFNA(VLOOKUP(G541,Master!B:C,2,0),"")</f>
        <v>7521101</v>
      </c>
      <c r="G541" s="46" t="s">
        <v>190</v>
      </c>
      <c r="H541" s="46" t="s">
        <v>549</v>
      </c>
      <c r="I541" s="3" t="str">
        <f>_xlfn.IFNA(VLOOKUP(E541,Master!$J:$M,4,0),"")</f>
        <v>DIR</v>
      </c>
      <c r="J541" s="3" t="str">
        <f>_xlfn.IFNA(VLOOKUP($E541,Master!$J:$M,3,0),"")</f>
        <v>MFG</v>
      </c>
      <c r="AC541" s="26">
        <f t="shared" si="18"/>
        <v>0</v>
      </c>
      <c r="AD541" s="26">
        <f t="shared" si="19"/>
        <v>0</v>
      </c>
      <c r="AF541" s="50">
        <v>16846200</v>
      </c>
      <c r="AG541" s="53" t="s">
        <v>55</v>
      </c>
    </row>
    <row r="542" spans="1:33" ht="15" customHeight="1">
      <c r="A542" s="46" t="s">
        <v>91</v>
      </c>
      <c r="B542" s="3" t="str">
        <f>_xlfn.IFNA(VLOOKUP(C542,Master!$J:$K,2,0),"")</f>
        <v>B2220</v>
      </c>
      <c r="C542" s="46" t="s">
        <v>83</v>
      </c>
      <c r="D542" s="4" t="str">
        <f>_xlfn.IFNA(VLOOKUP(E542,Master!$J:$K,2,0),"")</f>
        <v>B4105</v>
      </c>
      <c r="E542" s="46" t="s">
        <v>149</v>
      </c>
      <c r="F542" s="4">
        <f>_xlfn.IFNA(VLOOKUP(G542,Master!B:C,2,0),"")</f>
        <v>7521101</v>
      </c>
      <c r="G542" s="46" t="s">
        <v>190</v>
      </c>
      <c r="H542" s="46" t="s">
        <v>550</v>
      </c>
      <c r="I542" s="3" t="str">
        <f>_xlfn.IFNA(VLOOKUP(E542,Master!$J:$M,4,0),"")</f>
        <v>DIR</v>
      </c>
      <c r="J542" s="3" t="str">
        <f>_xlfn.IFNA(VLOOKUP($E542,Master!$J:$M,3,0),"")</f>
        <v>MFG</v>
      </c>
      <c r="AC542" s="26">
        <f t="shared" si="18"/>
        <v>0</v>
      </c>
      <c r="AD542" s="26">
        <f t="shared" si="19"/>
        <v>0</v>
      </c>
      <c r="AF542" s="50">
        <v>1404000</v>
      </c>
      <c r="AG542" s="53" t="s">
        <v>55</v>
      </c>
    </row>
    <row r="543" spans="1:33" ht="15" customHeight="1">
      <c r="A543" s="46" t="s">
        <v>91</v>
      </c>
      <c r="B543" s="3" t="str">
        <f>_xlfn.IFNA(VLOOKUP(C543,Master!$J:$K,2,0),"")</f>
        <v>B2220</v>
      </c>
      <c r="C543" s="46" t="s">
        <v>83</v>
      </c>
      <c r="D543" s="4" t="str">
        <f>_xlfn.IFNA(VLOOKUP(E543,Master!$J:$K,2,0),"")</f>
        <v>B4105</v>
      </c>
      <c r="E543" s="46" t="s">
        <v>149</v>
      </c>
      <c r="F543" s="4">
        <f>_xlfn.IFNA(VLOOKUP(G543,Master!B:C,2,0),"")</f>
        <v>7521101</v>
      </c>
      <c r="G543" s="46" t="s">
        <v>190</v>
      </c>
      <c r="H543" s="46" t="s">
        <v>551</v>
      </c>
      <c r="I543" s="3" t="str">
        <f>_xlfn.IFNA(VLOOKUP(E543,Master!$J:$M,4,0),"")</f>
        <v>DIR</v>
      </c>
      <c r="J543" s="3" t="str">
        <f>_xlfn.IFNA(VLOOKUP($E543,Master!$J:$M,3,0),"")</f>
        <v>MFG</v>
      </c>
      <c r="AC543" s="26">
        <f t="shared" si="18"/>
        <v>0</v>
      </c>
      <c r="AD543" s="26">
        <f t="shared" si="19"/>
        <v>0</v>
      </c>
      <c r="AF543" s="50">
        <v>1832500</v>
      </c>
      <c r="AG543" s="53" t="s">
        <v>55</v>
      </c>
    </row>
    <row r="544" spans="1:33" ht="15" customHeight="1">
      <c r="A544" s="46" t="s">
        <v>91</v>
      </c>
      <c r="B544" s="3" t="str">
        <f>_xlfn.IFNA(VLOOKUP(C544,Master!$J:$K,2,0),"")</f>
        <v>B2220</v>
      </c>
      <c r="C544" s="46" t="s">
        <v>83</v>
      </c>
      <c r="D544" s="4" t="str">
        <f>_xlfn.IFNA(VLOOKUP(E544,Master!$J:$K,2,0),"")</f>
        <v>B4110</v>
      </c>
      <c r="E544" s="46" t="s">
        <v>162</v>
      </c>
      <c r="F544" s="4">
        <f>_xlfn.IFNA(VLOOKUP(G544,Master!B:C,2,0),"")</f>
        <v>7521101</v>
      </c>
      <c r="G544" s="46" t="s">
        <v>190</v>
      </c>
      <c r="H544" s="46" t="s">
        <v>548</v>
      </c>
      <c r="I544" s="3" t="str">
        <f>_xlfn.IFNA(VLOOKUP(E544,Master!$J:$M,4,0),"")</f>
        <v>DIR</v>
      </c>
      <c r="J544" s="3" t="str">
        <f>_xlfn.IFNA(VLOOKUP($E544,Master!$J:$M,3,0),"")</f>
        <v>MFG</v>
      </c>
      <c r="M544" s="50">
        <v>11084400</v>
      </c>
      <c r="N544" s="50">
        <v>12729600</v>
      </c>
      <c r="O544" s="50">
        <v>12189600</v>
      </c>
      <c r="P544" s="50">
        <v>14691600</v>
      </c>
      <c r="Q544" s="50">
        <v>12225600</v>
      </c>
      <c r="R544" s="50">
        <v>11649600</v>
      </c>
      <c r="S544" s="50">
        <v>11379600</v>
      </c>
      <c r="AC544" s="26">
        <f t="shared" si="18"/>
        <v>50695200</v>
      </c>
      <c r="AD544" s="26">
        <f t="shared" si="19"/>
        <v>35254800</v>
      </c>
      <c r="AE544" s="50">
        <v>5594600</v>
      </c>
      <c r="AF544" s="50">
        <v>8268900</v>
      </c>
      <c r="AG544" s="53" t="s">
        <v>55</v>
      </c>
    </row>
    <row r="545" spans="1:33" ht="15" customHeight="1">
      <c r="A545" s="46" t="s">
        <v>91</v>
      </c>
      <c r="B545" s="3" t="str">
        <f>_xlfn.IFNA(VLOOKUP(C545,Master!$J:$K,2,0),"")</f>
        <v>B2220</v>
      </c>
      <c r="C545" s="46" t="s">
        <v>83</v>
      </c>
      <c r="D545" s="4" t="str">
        <f>_xlfn.IFNA(VLOOKUP(E545,Master!$J:$K,2,0),"")</f>
        <v>B4110</v>
      </c>
      <c r="E545" s="46" t="s">
        <v>162</v>
      </c>
      <c r="F545" s="4">
        <f>_xlfn.IFNA(VLOOKUP(G545,Master!B:C,2,0),"")</f>
        <v>7521101</v>
      </c>
      <c r="G545" s="46" t="s">
        <v>190</v>
      </c>
      <c r="H545" s="46" t="s">
        <v>549</v>
      </c>
      <c r="I545" s="3" t="str">
        <f>_xlfn.IFNA(VLOOKUP(E545,Master!$J:$M,4,0),"")</f>
        <v>DIR</v>
      </c>
      <c r="J545" s="3" t="str">
        <f>_xlfn.IFNA(VLOOKUP($E545,Master!$J:$M,3,0),"")</f>
        <v>MFG</v>
      </c>
      <c r="M545" s="50">
        <v>86400000</v>
      </c>
      <c r="N545" s="50">
        <v>89856000</v>
      </c>
      <c r="O545" s="50">
        <v>89856000</v>
      </c>
      <c r="P545" s="50">
        <v>89856000</v>
      </c>
      <c r="Q545" s="50">
        <v>89856000</v>
      </c>
      <c r="R545" s="50">
        <v>89856000</v>
      </c>
      <c r="S545" s="50">
        <v>89856000</v>
      </c>
      <c r="AC545" s="26">
        <f t="shared" si="18"/>
        <v>355968000</v>
      </c>
      <c r="AD545" s="26">
        <f t="shared" si="19"/>
        <v>269568000</v>
      </c>
      <c r="AE545" s="50">
        <v>42156700</v>
      </c>
      <c r="AF545" s="50">
        <v>65440800</v>
      </c>
      <c r="AG545" s="53" t="s">
        <v>55</v>
      </c>
    </row>
    <row r="546" spans="1:33" ht="15" customHeight="1">
      <c r="A546" s="46" t="s">
        <v>91</v>
      </c>
      <c r="B546" s="3" t="str">
        <f>_xlfn.IFNA(VLOOKUP(C546,Master!$J:$K,2,0),"")</f>
        <v>B2220</v>
      </c>
      <c r="C546" s="46" t="s">
        <v>83</v>
      </c>
      <c r="D546" s="4" t="str">
        <f>_xlfn.IFNA(VLOOKUP(E546,Master!$J:$K,2,0),"")</f>
        <v>B4110</v>
      </c>
      <c r="E546" s="46" t="s">
        <v>162</v>
      </c>
      <c r="F546" s="4">
        <f>_xlfn.IFNA(VLOOKUP(G546,Master!B:C,2,0),"")</f>
        <v>7521101</v>
      </c>
      <c r="G546" s="46" t="s">
        <v>190</v>
      </c>
      <c r="H546" s="46" t="s">
        <v>550</v>
      </c>
      <c r="I546" s="3" t="str">
        <f>_xlfn.IFNA(VLOOKUP(E546,Master!$J:$M,4,0),"")</f>
        <v>DIR</v>
      </c>
      <c r="J546" s="3" t="str">
        <f>_xlfn.IFNA(VLOOKUP($E546,Master!$J:$M,3,0),"")</f>
        <v>MFG</v>
      </c>
      <c r="M546" s="50">
        <v>7200000</v>
      </c>
      <c r="N546" s="50">
        <v>7488000</v>
      </c>
      <c r="O546" s="50">
        <v>7488000</v>
      </c>
      <c r="P546" s="50">
        <v>7488000</v>
      </c>
      <c r="Q546" s="50">
        <v>7488000</v>
      </c>
      <c r="R546" s="50">
        <v>7488000</v>
      </c>
      <c r="S546" s="50">
        <v>7488000</v>
      </c>
      <c r="AC546" s="26">
        <f t="shared" si="18"/>
        <v>29664000</v>
      </c>
      <c r="AD546" s="26">
        <f t="shared" si="19"/>
        <v>22464000</v>
      </c>
      <c r="AE546" s="50">
        <v>3513000</v>
      </c>
      <c r="AF546" s="50">
        <v>5454000</v>
      </c>
      <c r="AG546" s="53" t="s">
        <v>55</v>
      </c>
    </row>
    <row r="547" spans="1:33" ht="15" customHeight="1">
      <c r="A547" s="46" t="s">
        <v>91</v>
      </c>
      <c r="B547" s="3" t="str">
        <f>_xlfn.IFNA(VLOOKUP(C547,Master!$J:$K,2,0),"")</f>
        <v>B2220</v>
      </c>
      <c r="C547" s="46" t="s">
        <v>83</v>
      </c>
      <c r="D547" s="4" t="str">
        <f>_xlfn.IFNA(VLOOKUP(E547,Master!$J:$K,2,0),"")</f>
        <v>B4110</v>
      </c>
      <c r="E547" s="46" t="s">
        <v>162</v>
      </c>
      <c r="F547" s="4">
        <f>_xlfn.IFNA(VLOOKUP(G547,Master!B:C,2,0),"")</f>
        <v>7521101</v>
      </c>
      <c r="G547" s="46" t="s">
        <v>190</v>
      </c>
      <c r="H547" s="46" t="s">
        <v>551</v>
      </c>
      <c r="I547" s="3" t="str">
        <f>_xlfn.IFNA(VLOOKUP(E547,Master!$J:$M,4,0),"")</f>
        <v>DIR</v>
      </c>
      <c r="J547" s="3" t="str">
        <f>_xlfn.IFNA(VLOOKUP($E547,Master!$J:$M,3,0),"")</f>
        <v>MFG</v>
      </c>
      <c r="M547" s="50">
        <v>7801400</v>
      </c>
      <c r="N547" s="50">
        <v>6663000</v>
      </c>
      <c r="O547" s="50">
        <v>8095700</v>
      </c>
      <c r="P547" s="50">
        <v>8668000</v>
      </c>
      <c r="Q547" s="50">
        <v>10782000</v>
      </c>
      <c r="R547" s="50">
        <v>10003800</v>
      </c>
      <c r="S547" s="50">
        <v>9693900</v>
      </c>
      <c r="AC547" s="26">
        <f t="shared" si="18"/>
        <v>31228100</v>
      </c>
      <c r="AD547" s="26">
        <f t="shared" si="19"/>
        <v>30479700</v>
      </c>
      <c r="AE547" s="50">
        <v>4701600</v>
      </c>
      <c r="AF547" s="50">
        <v>7324800</v>
      </c>
      <c r="AG547" s="53" t="s">
        <v>55</v>
      </c>
    </row>
    <row r="548" spans="1:33" ht="15" customHeight="1">
      <c r="A548" s="46" t="s">
        <v>91</v>
      </c>
      <c r="B548" s="3" t="str">
        <f>_xlfn.IFNA(VLOOKUP(C548,Master!$J:$K,2,0),"")</f>
        <v>B2220</v>
      </c>
      <c r="C548" s="46" t="s">
        <v>83</v>
      </c>
      <c r="D548" s="4" t="str">
        <f>_xlfn.IFNA(VLOOKUP(E548,Master!$J:$K,2,0),"")</f>
        <v>B4114</v>
      </c>
      <c r="E548" s="46" t="s">
        <v>172</v>
      </c>
      <c r="F548" s="4">
        <f>_xlfn.IFNA(VLOOKUP(G548,Master!B:C,2,0),"")</f>
        <v>7521101</v>
      </c>
      <c r="G548" s="46" t="s">
        <v>190</v>
      </c>
      <c r="H548" s="46" t="s">
        <v>548</v>
      </c>
      <c r="I548" s="3" t="str">
        <f>_xlfn.IFNA(VLOOKUP(E548,Master!$J:$M,4,0),"")</f>
        <v>DIR</v>
      </c>
      <c r="J548" s="3" t="str">
        <f>_xlfn.IFNA(VLOOKUP($E548,Master!$J:$M,3,0),"")</f>
        <v>MFG</v>
      </c>
      <c r="M548" s="50">
        <v>615800</v>
      </c>
      <c r="N548" s="50">
        <v>707200</v>
      </c>
      <c r="O548" s="50">
        <v>677200</v>
      </c>
      <c r="P548" s="50">
        <v>816200</v>
      </c>
      <c r="Q548" s="50">
        <v>679200</v>
      </c>
      <c r="R548" s="50">
        <v>647200</v>
      </c>
      <c r="S548" s="50">
        <v>1896600</v>
      </c>
      <c r="AC548" s="26">
        <f t="shared" si="18"/>
        <v>2816400</v>
      </c>
      <c r="AD548" s="26">
        <f t="shared" si="19"/>
        <v>3223000</v>
      </c>
      <c r="AG548" s="53" t="s">
        <v>55</v>
      </c>
    </row>
    <row r="549" spans="1:33" ht="15" customHeight="1">
      <c r="A549" s="46" t="s">
        <v>91</v>
      </c>
      <c r="B549" s="3" t="str">
        <f>_xlfn.IFNA(VLOOKUP(C549,Master!$J:$K,2,0),"")</f>
        <v>B2220</v>
      </c>
      <c r="C549" s="46" t="s">
        <v>83</v>
      </c>
      <c r="D549" s="4" t="str">
        <f>_xlfn.IFNA(VLOOKUP(E549,Master!$J:$K,2,0),"")</f>
        <v>B4114</v>
      </c>
      <c r="E549" s="46" t="s">
        <v>172</v>
      </c>
      <c r="F549" s="4">
        <f>_xlfn.IFNA(VLOOKUP(G549,Master!B:C,2,0),"")</f>
        <v>7521101</v>
      </c>
      <c r="G549" s="46" t="s">
        <v>190</v>
      </c>
      <c r="H549" s="46" t="s">
        <v>549</v>
      </c>
      <c r="I549" s="3" t="str">
        <f>_xlfn.IFNA(VLOOKUP(E549,Master!$J:$M,4,0),"")</f>
        <v>DIR</v>
      </c>
      <c r="J549" s="3" t="str">
        <f>_xlfn.IFNA(VLOOKUP($E549,Master!$J:$M,3,0),"")</f>
        <v>MFG</v>
      </c>
      <c r="M549" s="50">
        <v>4800000</v>
      </c>
      <c r="N549" s="50">
        <v>4992000</v>
      </c>
      <c r="O549" s="50">
        <v>4992000</v>
      </c>
      <c r="P549" s="50">
        <v>4992000</v>
      </c>
      <c r="Q549" s="50">
        <v>4992000</v>
      </c>
      <c r="R549" s="50">
        <v>4992000</v>
      </c>
      <c r="S549" s="50">
        <v>14976000</v>
      </c>
      <c r="AC549" s="26">
        <f t="shared" si="18"/>
        <v>19776000</v>
      </c>
      <c r="AD549" s="26">
        <f t="shared" si="19"/>
        <v>24960000</v>
      </c>
      <c r="AG549" s="53" t="s">
        <v>55</v>
      </c>
    </row>
    <row r="550" spans="1:33" ht="15" customHeight="1">
      <c r="A550" s="46" t="s">
        <v>91</v>
      </c>
      <c r="B550" s="3" t="str">
        <f>_xlfn.IFNA(VLOOKUP(C550,Master!$J:$K,2,0),"")</f>
        <v>B2220</v>
      </c>
      <c r="C550" s="46" t="s">
        <v>83</v>
      </c>
      <c r="D550" s="4" t="str">
        <f>_xlfn.IFNA(VLOOKUP(E550,Master!$J:$K,2,0),"")</f>
        <v>B4114</v>
      </c>
      <c r="E550" s="46" t="s">
        <v>172</v>
      </c>
      <c r="F550" s="4">
        <f>_xlfn.IFNA(VLOOKUP(G550,Master!B:C,2,0),"")</f>
        <v>7521101</v>
      </c>
      <c r="G550" s="46" t="s">
        <v>190</v>
      </c>
      <c r="H550" s="46" t="s">
        <v>550</v>
      </c>
      <c r="I550" s="3" t="str">
        <f>_xlfn.IFNA(VLOOKUP(E550,Master!$J:$M,4,0),"")</f>
        <v>DIR</v>
      </c>
      <c r="J550" s="3" t="str">
        <f>_xlfn.IFNA(VLOOKUP($E550,Master!$J:$M,3,0),"")</f>
        <v>MFG</v>
      </c>
      <c r="M550" s="50">
        <v>400000</v>
      </c>
      <c r="N550" s="50">
        <v>416000</v>
      </c>
      <c r="O550" s="50">
        <v>416000</v>
      </c>
      <c r="P550" s="50">
        <v>416000</v>
      </c>
      <c r="Q550" s="50">
        <v>416000</v>
      </c>
      <c r="R550" s="50">
        <v>416000</v>
      </c>
      <c r="S550" s="50">
        <v>1248000</v>
      </c>
      <c r="AC550" s="26">
        <f t="shared" si="18"/>
        <v>1648000</v>
      </c>
      <c r="AD550" s="26">
        <f t="shared" si="19"/>
        <v>2080000</v>
      </c>
      <c r="AG550" s="53" t="s">
        <v>55</v>
      </c>
    </row>
    <row r="551" spans="1:33" ht="15" customHeight="1">
      <c r="A551" s="46" t="s">
        <v>91</v>
      </c>
      <c r="B551" s="3" t="str">
        <f>_xlfn.IFNA(VLOOKUP(C551,Master!$J:$K,2,0),"")</f>
        <v>B2220</v>
      </c>
      <c r="C551" s="46" t="s">
        <v>83</v>
      </c>
      <c r="D551" s="4" t="str">
        <f>_xlfn.IFNA(VLOOKUP(E551,Master!$J:$K,2,0),"")</f>
        <v>B4114</v>
      </c>
      <c r="E551" s="46" t="s">
        <v>172</v>
      </c>
      <c r="F551" s="4">
        <f>_xlfn.IFNA(VLOOKUP(G551,Master!B:C,2,0),"")</f>
        <v>7521101</v>
      </c>
      <c r="G551" s="46" t="s">
        <v>190</v>
      </c>
      <c r="H551" s="46" t="s">
        <v>551</v>
      </c>
      <c r="I551" s="3" t="str">
        <f>_xlfn.IFNA(VLOOKUP(E551,Master!$J:$M,4,0),"")</f>
        <v>DIR</v>
      </c>
      <c r="J551" s="3" t="str">
        <f>_xlfn.IFNA(VLOOKUP($E551,Master!$J:$M,3,0),"")</f>
        <v>MFG</v>
      </c>
      <c r="M551" s="50">
        <v>563800</v>
      </c>
      <c r="N551" s="50">
        <v>524800</v>
      </c>
      <c r="O551" s="50">
        <v>585700</v>
      </c>
      <c r="P551" s="50">
        <v>610400</v>
      </c>
      <c r="Q551" s="50">
        <v>693400</v>
      </c>
      <c r="R551" s="50">
        <v>661700</v>
      </c>
      <c r="S551" s="50">
        <v>1947100</v>
      </c>
      <c r="AC551" s="26">
        <f t="shared" si="18"/>
        <v>2284700</v>
      </c>
      <c r="AD551" s="26">
        <f t="shared" si="19"/>
        <v>3302200</v>
      </c>
      <c r="AG551" s="53" t="s">
        <v>55</v>
      </c>
    </row>
    <row r="552" spans="1:33" ht="15" customHeight="1">
      <c r="A552" s="46" t="s">
        <v>91</v>
      </c>
      <c r="B552" s="3" t="str">
        <f>_xlfn.IFNA(VLOOKUP(C552,Master!$J:$K,2,0),"")</f>
        <v>B2220</v>
      </c>
      <c r="C552" s="46" t="s">
        <v>83</v>
      </c>
      <c r="D552" s="4" t="str">
        <f>_xlfn.IFNA(VLOOKUP(E552,Master!$J:$K,2,0),"")</f>
        <v>B4120</v>
      </c>
      <c r="E552" s="46" t="s">
        <v>177</v>
      </c>
      <c r="F552" s="4">
        <f>_xlfn.IFNA(VLOOKUP(G552,Master!B:C,2,0),"")</f>
        <v>7521101</v>
      </c>
      <c r="G552" s="46" t="s">
        <v>190</v>
      </c>
      <c r="H552" s="46" t="s">
        <v>548</v>
      </c>
      <c r="I552" s="3" t="str">
        <f>_xlfn.IFNA(VLOOKUP(E552,Master!$J:$M,4,0),"")</f>
        <v>DIR</v>
      </c>
      <c r="J552" s="3" t="str">
        <f>_xlfn.IFNA(VLOOKUP($E552,Master!$J:$M,3,0),"")</f>
        <v>MFG</v>
      </c>
      <c r="M552" s="50">
        <v>28326800</v>
      </c>
      <c r="N552" s="50">
        <v>32531200</v>
      </c>
      <c r="O552" s="50">
        <v>31828400</v>
      </c>
      <c r="P552" s="50">
        <v>38361400</v>
      </c>
      <c r="Q552" s="50">
        <v>27168000</v>
      </c>
      <c r="R552" s="50">
        <v>26535200</v>
      </c>
      <c r="S552" s="50">
        <v>25920200</v>
      </c>
      <c r="T552" s="50">
        <v>29764600</v>
      </c>
      <c r="U552" s="50">
        <v>29119600</v>
      </c>
      <c r="V552" s="50">
        <v>27829600</v>
      </c>
      <c r="W552" s="50">
        <v>29072400</v>
      </c>
      <c r="X552" s="50">
        <v>27812400</v>
      </c>
      <c r="Y552" s="50">
        <v>27182400</v>
      </c>
      <c r="Z552" s="50">
        <v>28967400</v>
      </c>
      <c r="AA552" s="50">
        <v>27665400</v>
      </c>
      <c r="AB552" s="50">
        <v>37808400</v>
      </c>
      <c r="AC552" s="26">
        <f t="shared" si="18"/>
        <v>131047800</v>
      </c>
      <c r="AD552" s="26">
        <f t="shared" si="19"/>
        <v>344845600</v>
      </c>
      <c r="AE552" s="50">
        <v>356149500</v>
      </c>
      <c r="AF552" s="50">
        <v>363831600</v>
      </c>
      <c r="AG552" s="53" t="s">
        <v>55</v>
      </c>
    </row>
    <row r="553" spans="1:33" ht="15" customHeight="1">
      <c r="A553" s="46" t="s">
        <v>91</v>
      </c>
      <c r="B553" s="3" t="str">
        <f>_xlfn.IFNA(VLOOKUP(C553,Master!$J:$K,2,0),"")</f>
        <v>B2220</v>
      </c>
      <c r="C553" s="46" t="s">
        <v>83</v>
      </c>
      <c r="D553" s="4" t="str">
        <f>_xlfn.IFNA(VLOOKUP(E553,Master!$J:$K,2,0),"")</f>
        <v>B4120</v>
      </c>
      <c r="E553" s="46" t="s">
        <v>177</v>
      </c>
      <c r="F553" s="4">
        <f>_xlfn.IFNA(VLOOKUP(G553,Master!B:C,2,0),"")</f>
        <v>7521101</v>
      </c>
      <c r="G553" s="46" t="s">
        <v>190</v>
      </c>
      <c r="H553" s="46" t="s">
        <v>549</v>
      </c>
      <c r="I553" s="3" t="str">
        <f>_xlfn.IFNA(VLOOKUP(E553,Master!$J:$M,4,0),"")</f>
        <v>DIR</v>
      </c>
      <c r="J553" s="3" t="str">
        <f>_xlfn.IFNA(VLOOKUP($E553,Master!$J:$M,3,0),"")</f>
        <v>MFG</v>
      </c>
      <c r="M553" s="50">
        <v>220800000</v>
      </c>
      <c r="N553" s="50">
        <v>229632000</v>
      </c>
      <c r="O553" s="50">
        <v>234624000</v>
      </c>
      <c r="P553" s="50">
        <v>234624000</v>
      </c>
      <c r="Q553" s="50">
        <v>199680000</v>
      </c>
      <c r="R553" s="50">
        <v>204672000</v>
      </c>
      <c r="S553" s="50">
        <v>204672000</v>
      </c>
      <c r="T553" s="50">
        <v>214656000</v>
      </c>
      <c r="U553" s="50">
        <v>214656000</v>
      </c>
      <c r="V553" s="50">
        <v>214656000</v>
      </c>
      <c r="W553" s="50">
        <v>209664000</v>
      </c>
      <c r="X553" s="50">
        <v>209664000</v>
      </c>
      <c r="Y553" s="50">
        <v>209664000</v>
      </c>
      <c r="Z553" s="50">
        <v>218051400</v>
      </c>
      <c r="AA553" s="50">
        <v>218051400</v>
      </c>
      <c r="AB553" s="50">
        <v>218051400</v>
      </c>
      <c r="AC553" s="26">
        <f t="shared" si="18"/>
        <v>919680000</v>
      </c>
      <c r="AD553" s="26">
        <f t="shared" si="19"/>
        <v>2536138200</v>
      </c>
      <c r="AE553" s="50">
        <v>2753058900</v>
      </c>
      <c r="AF553" s="50">
        <v>2879395200</v>
      </c>
      <c r="AG553" s="53" t="s">
        <v>55</v>
      </c>
    </row>
    <row r="554" spans="1:33" ht="15" customHeight="1">
      <c r="A554" s="46" t="s">
        <v>91</v>
      </c>
      <c r="B554" s="3" t="str">
        <f>_xlfn.IFNA(VLOOKUP(C554,Master!$J:$K,2,0),"")</f>
        <v>B2220</v>
      </c>
      <c r="C554" s="46" t="s">
        <v>83</v>
      </c>
      <c r="D554" s="4" t="str">
        <f>_xlfn.IFNA(VLOOKUP(E554,Master!$J:$K,2,0),"")</f>
        <v>B4120</v>
      </c>
      <c r="E554" s="46" t="s">
        <v>177</v>
      </c>
      <c r="F554" s="4">
        <f>_xlfn.IFNA(VLOOKUP(G554,Master!B:C,2,0),"")</f>
        <v>7521101</v>
      </c>
      <c r="G554" s="46" t="s">
        <v>190</v>
      </c>
      <c r="H554" s="46" t="s">
        <v>550</v>
      </c>
      <c r="I554" s="3" t="str">
        <f>_xlfn.IFNA(VLOOKUP(E554,Master!$J:$M,4,0),"")</f>
        <v>DIR</v>
      </c>
      <c r="J554" s="3" t="str">
        <f>_xlfn.IFNA(VLOOKUP($E554,Master!$J:$M,3,0),"")</f>
        <v>MFG</v>
      </c>
      <c r="M554" s="50">
        <v>18400000</v>
      </c>
      <c r="N554" s="50">
        <v>19136000</v>
      </c>
      <c r="O554" s="50">
        <v>19552000</v>
      </c>
      <c r="P554" s="50">
        <v>19552000</v>
      </c>
      <c r="Q554" s="50">
        <v>16640000</v>
      </c>
      <c r="R554" s="50">
        <v>17056000</v>
      </c>
      <c r="S554" s="50">
        <v>17056000</v>
      </c>
      <c r="T554" s="50">
        <v>17888000</v>
      </c>
      <c r="U554" s="50">
        <v>17888000</v>
      </c>
      <c r="V554" s="50">
        <v>17888000</v>
      </c>
      <c r="W554" s="50">
        <v>17472000</v>
      </c>
      <c r="X554" s="50">
        <v>17472000</v>
      </c>
      <c r="Y554" s="50">
        <v>17472000</v>
      </c>
      <c r="Z554" s="50">
        <v>18171000</v>
      </c>
      <c r="AA554" s="50">
        <v>18171000</v>
      </c>
      <c r="AB554" s="50">
        <v>18171000</v>
      </c>
      <c r="AC554" s="26">
        <f t="shared" si="18"/>
        <v>76640000</v>
      </c>
      <c r="AD554" s="26">
        <f t="shared" si="19"/>
        <v>211345000</v>
      </c>
      <c r="AE554" s="50">
        <v>229421400</v>
      </c>
      <c r="AF554" s="50">
        <v>239949600</v>
      </c>
      <c r="AG554" s="53" t="s">
        <v>55</v>
      </c>
    </row>
    <row r="555" spans="1:33" ht="15" customHeight="1">
      <c r="A555" s="46" t="s">
        <v>91</v>
      </c>
      <c r="B555" s="3" t="str">
        <f>_xlfn.IFNA(VLOOKUP(C555,Master!$J:$K,2,0),"")</f>
        <v>B2220</v>
      </c>
      <c r="C555" s="46" t="s">
        <v>83</v>
      </c>
      <c r="D555" s="4" t="str">
        <f>_xlfn.IFNA(VLOOKUP(E555,Master!$J:$K,2,0),"")</f>
        <v>B4120</v>
      </c>
      <c r="E555" s="46" t="s">
        <v>177</v>
      </c>
      <c r="F555" s="4">
        <f>_xlfn.IFNA(VLOOKUP(G555,Master!B:C,2,0),"")</f>
        <v>7521101</v>
      </c>
      <c r="G555" s="46" t="s">
        <v>190</v>
      </c>
      <c r="H555" s="46" t="s">
        <v>551</v>
      </c>
      <c r="I555" s="3" t="str">
        <f>_xlfn.IFNA(VLOOKUP(E555,Master!$J:$M,4,0),"")</f>
        <v>DIR</v>
      </c>
      <c r="J555" s="3" t="str">
        <f>_xlfn.IFNA(VLOOKUP($E555,Master!$J:$M,3,0),"")</f>
        <v>MFG</v>
      </c>
      <c r="M555" s="50">
        <v>19665800</v>
      </c>
      <c r="N555" s="50">
        <v>20513000</v>
      </c>
      <c r="O555" s="50">
        <v>20817400</v>
      </c>
      <c r="P555" s="50">
        <v>21143500</v>
      </c>
      <c r="Q555" s="50">
        <v>16965200</v>
      </c>
      <c r="R555" s="50">
        <v>17387700</v>
      </c>
      <c r="S555" s="50">
        <v>17215000</v>
      </c>
      <c r="T555" s="50">
        <v>19072100</v>
      </c>
      <c r="U555" s="50">
        <v>19046900</v>
      </c>
      <c r="V555" s="50">
        <v>19002200</v>
      </c>
      <c r="W555" s="50">
        <v>18627400</v>
      </c>
      <c r="X555" s="50">
        <v>18584300</v>
      </c>
      <c r="Y555" s="50">
        <v>18568000</v>
      </c>
      <c r="Z555" s="50">
        <v>19328600</v>
      </c>
      <c r="AA555" s="50">
        <v>19257400</v>
      </c>
      <c r="AB555" s="50">
        <v>20147400</v>
      </c>
      <c r="AC555" s="26">
        <f t="shared" si="18"/>
        <v>82139700</v>
      </c>
      <c r="AD555" s="26">
        <f t="shared" si="19"/>
        <v>223202200</v>
      </c>
      <c r="AE555" s="50">
        <v>245534800</v>
      </c>
      <c r="AF555" s="50">
        <v>256808500</v>
      </c>
      <c r="AG555" s="53" t="s">
        <v>55</v>
      </c>
    </row>
    <row r="556" spans="1:33" ht="15" customHeight="1">
      <c r="A556" s="46" t="s">
        <v>91</v>
      </c>
      <c r="B556" s="3" t="str">
        <f>_xlfn.IFNA(VLOOKUP(C556,Master!$J:$K,2,0),"")</f>
        <v>B2220</v>
      </c>
      <c r="C556" s="46" t="s">
        <v>83</v>
      </c>
      <c r="D556" s="4" t="str">
        <f>_xlfn.IFNA(VLOOKUP(E556,Master!$J:$K,2,0),"")</f>
        <v>B4130</v>
      </c>
      <c r="E556" s="46" t="s">
        <v>158</v>
      </c>
      <c r="F556" s="4">
        <f>_xlfn.IFNA(VLOOKUP(G556,Master!B:C,2,0),"")</f>
        <v>7521101</v>
      </c>
      <c r="G556" s="46" t="s">
        <v>190</v>
      </c>
      <c r="H556" s="46" t="s">
        <v>548</v>
      </c>
      <c r="I556" s="3" t="str">
        <f>_xlfn.IFNA(VLOOKUP(E556,Master!$J:$M,4,0),"")</f>
        <v>DIR</v>
      </c>
      <c r="J556" s="3" t="str">
        <f>_xlfn.IFNA(VLOOKUP($E556,Master!$J:$M,3,0),"")</f>
        <v>MFG</v>
      </c>
      <c r="AC556" s="26">
        <f t="shared" si="18"/>
        <v>0</v>
      </c>
      <c r="AD556" s="26">
        <f t="shared" si="19"/>
        <v>0</v>
      </c>
      <c r="AE556" s="50">
        <v>4935900</v>
      </c>
      <c r="AF556" s="50">
        <v>8268900</v>
      </c>
      <c r="AG556" s="53" t="s">
        <v>55</v>
      </c>
    </row>
    <row r="557" spans="1:33" ht="15" customHeight="1">
      <c r="A557" s="46" t="s">
        <v>91</v>
      </c>
      <c r="B557" s="3" t="str">
        <f>_xlfn.IFNA(VLOOKUP(C557,Master!$J:$K,2,0),"")</f>
        <v>B2220</v>
      </c>
      <c r="C557" s="46" t="s">
        <v>83</v>
      </c>
      <c r="D557" s="4" t="str">
        <f>_xlfn.IFNA(VLOOKUP(E557,Master!$J:$K,2,0),"")</f>
        <v>B4130</v>
      </c>
      <c r="E557" s="46" t="s">
        <v>158</v>
      </c>
      <c r="F557" s="4">
        <f>_xlfn.IFNA(VLOOKUP(G557,Master!B:C,2,0),"")</f>
        <v>7521101</v>
      </c>
      <c r="G557" s="46" t="s">
        <v>190</v>
      </c>
      <c r="H557" s="46" t="s">
        <v>549</v>
      </c>
      <c r="I557" s="3" t="str">
        <f>_xlfn.IFNA(VLOOKUP(E557,Master!$J:$M,4,0),"")</f>
        <v>DIR</v>
      </c>
      <c r="J557" s="3" t="str">
        <f>_xlfn.IFNA(VLOOKUP($E557,Master!$J:$M,3,0),"")</f>
        <v>MFG</v>
      </c>
      <c r="AC557" s="26">
        <f t="shared" si="18"/>
        <v>0</v>
      </c>
      <c r="AD557" s="26">
        <f t="shared" si="19"/>
        <v>0</v>
      </c>
      <c r="AE557" s="50">
        <v>36965000</v>
      </c>
      <c r="AF557" s="50">
        <v>65440800</v>
      </c>
      <c r="AG557" s="53" t="s">
        <v>55</v>
      </c>
    </row>
    <row r="558" spans="1:33" ht="15" customHeight="1">
      <c r="A558" s="46" t="s">
        <v>91</v>
      </c>
      <c r="B558" s="3" t="str">
        <f>_xlfn.IFNA(VLOOKUP(C558,Master!$J:$K,2,0),"")</f>
        <v>B2220</v>
      </c>
      <c r="C558" s="46" t="s">
        <v>83</v>
      </c>
      <c r="D558" s="4" t="str">
        <f>_xlfn.IFNA(VLOOKUP(E558,Master!$J:$K,2,0),"")</f>
        <v>B4130</v>
      </c>
      <c r="E558" s="46" t="s">
        <v>158</v>
      </c>
      <c r="F558" s="4">
        <f>_xlfn.IFNA(VLOOKUP(G558,Master!B:C,2,0),"")</f>
        <v>7521101</v>
      </c>
      <c r="G558" s="46" t="s">
        <v>190</v>
      </c>
      <c r="H558" s="46" t="s">
        <v>550</v>
      </c>
      <c r="I558" s="3" t="str">
        <f>_xlfn.IFNA(VLOOKUP(E558,Master!$J:$M,4,0),"")</f>
        <v>DIR</v>
      </c>
      <c r="J558" s="3" t="str">
        <f>_xlfn.IFNA(VLOOKUP($E558,Master!$J:$M,3,0),"")</f>
        <v>MFG</v>
      </c>
      <c r="AC558" s="26">
        <f t="shared" si="18"/>
        <v>0</v>
      </c>
      <c r="AD558" s="26">
        <f t="shared" si="19"/>
        <v>0</v>
      </c>
      <c r="AE558" s="50">
        <v>3080400</v>
      </c>
      <c r="AF558" s="50">
        <v>5454000</v>
      </c>
      <c r="AG558" s="53" t="s">
        <v>55</v>
      </c>
    </row>
    <row r="559" spans="1:33" ht="15" customHeight="1">
      <c r="A559" s="46" t="s">
        <v>91</v>
      </c>
      <c r="B559" s="3" t="str">
        <f>_xlfn.IFNA(VLOOKUP(C559,Master!$J:$K,2,0),"")</f>
        <v>B2220</v>
      </c>
      <c r="C559" s="46" t="s">
        <v>83</v>
      </c>
      <c r="D559" s="4" t="str">
        <f>_xlfn.IFNA(VLOOKUP(E559,Master!$J:$K,2,0),"")</f>
        <v>B4130</v>
      </c>
      <c r="E559" s="46" t="s">
        <v>158</v>
      </c>
      <c r="F559" s="4">
        <f>_xlfn.IFNA(VLOOKUP(G559,Master!B:C,2,0),"")</f>
        <v>7521101</v>
      </c>
      <c r="G559" s="46" t="s">
        <v>190</v>
      </c>
      <c r="H559" s="46" t="s">
        <v>551</v>
      </c>
      <c r="I559" s="3" t="str">
        <f>_xlfn.IFNA(VLOOKUP(E559,Master!$J:$M,4,0),"")</f>
        <v>DIR</v>
      </c>
      <c r="J559" s="3" t="str">
        <f>_xlfn.IFNA(VLOOKUP($E559,Master!$J:$M,3,0),"")</f>
        <v>MFG</v>
      </c>
      <c r="AC559" s="26">
        <f t="shared" si="18"/>
        <v>0</v>
      </c>
      <c r="AD559" s="26">
        <f t="shared" si="19"/>
        <v>0</v>
      </c>
      <c r="AE559" s="50">
        <v>4555000</v>
      </c>
      <c r="AF559" s="50">
        <v>9134500</v>
      </c>
      <c r="AG559" s="53" t="s">
        <v>55</v>
      </c>
    </row>
    <row r="560" spans="1:33" ht="15" customHeight="1">
      <c r="A560" s="46" t="s">
        <v>91</v>
      </c>
      <c r="B560" s="3" t="str">
        <f>_xlfn.IFNA(VLOOKUP(C560,Master!$J:$K,2,0),"")</f>
        <v>B2220</v>
      </c>
      <c r="C560" s="46" t="s">
        <v>83</v>
      </c>
      <c r="D560" s="4" t="str">
        <f>_xlfn.IFNA(VLOOKUP(E560,Master!$J:$K,2,0),"")</f>
        <v>B4410</v>
      </c>
      <c r="E560" s="46" t="s">
        <v>188</v>
      </c>
      <c r="F560" s="4">
        <f>_xlfn.IFNA(VLOOKUP(G560,Master!B:C,2,0),"")</f>
        <v>7521101</v>
      </c>
      <c r="G560" s="46" t="s">
        <v>190</v>
      </c>
      <c r="H560" s="46" t="s">
        <v>548</v>
      </c>
      <c r="I560" s="3" t="str">
        <f>_xlfn.IFNA(VLOOKUP(E560,Master!$J:$M,4,0),"")</f>
        <v>DIR</v>
      </c>
      <c r="J560" s="3" t="str">
        <f>_xlfn.IFNA(VLOOKUP($E560,Master!$J:$M,3,0),"")</f>
        <v>MFG</v>
      </c>
      <c r="M560" s="50">
        <v>6158000</v>
      </c>
      <c r="N560" s="50">
        <v>7072000</v>
      </c>
      <c r="O560" s="50">
        <v>6772000</v>
      </c>
      <c r="P560" s="50">
        <v>7345800</v>
      </c>
      <c r="Q560" s="50">
        <v>5433600</v>
      </c>
      <c r="R560" s="50">
        <v>5177600</v>
      </c>
      <c r="S560" s="50">
        <v>5057600</v>
      </c>
      <c r="T560" s="50">
        <v>5537600</v>
      </c>
      <c r="U560" s="50">
        <v>5417600</v>
      </c>
      <c r="V560" s="50">
        <v>4530400</v>
      </c>
      <c r="W560" s="50">
        <v>4845400</v>
      </c>
      <c r="AC560" s="26">
        <f t="shared" si="18"/>
        <v>27347800</v>
      </c>
      <c r="AD560" s="26">
        <f t="shared" si="19"/>
        <v>35999800</v>
      </c>
      <c r="AG560" s="53" t="s">
        <v>55</v>
      </c>
    </row>
    <row r="561" spans="1:33" ht="15" customHeight="1">
      <c r="A561" s="46" t="s">
        <v>91</v>
      </c>
      <c r="B561" s="3" t="str">
        <f>_xlfn.IFNA(VLOOKUP(C561,Master!$J:$K,2,0),"")</f>
        <v>B2220</v>
      </c>
      <c r="C561" s="46" t="s">
        <v>83</v>
      </c>
      <c r="D561" s="4" t="str">
        <f>_xlfn.IFNA(VLOOKUP(E561,Master!$J:$K,2,0),"")</f>
        <v>B4410</v>
      </c>
      <c r="E561" s="46" t="s">
        <v>188</v>
      </c>
      <c r="F561" s="4">
        <f>_xlfn.IFNA(VLOOKUP(G561,Master!B:C,2,0),"")</f>
        <v>7521101</v>
      </c>
      <c r="G561" s="46" t="s">
        <v>190</v>
      </c>
      <c r="H561" s="46" t="s">
        <v>549</v>
      </c>
      <c r="I561" s="3" t="str">
        <f>_xlfn.IFNA(VLOOKUP(E561,Master!$J:$M,4,0),"")</f>
        <v>DIR</v>
      </c>
      <c r="J561" s="3" t="str">
        <f>_xlfn.IFNA(VLOOKUP($E561,Master!$J:$M,3,0),"")</f>
        <v>MFG</v>
      </c>
      <c r="M561" s="50">
        <v>48000000</v>
      </c>
      <c r="N561" s="50">
        <v>49920000</v>
      </c>
      <c r="O561" s="50">
        <v>49920000</v>
      </c>
      <c r="P561" s="50">
        <v>44928000</v>
      </c>
      <c r="Q561" s="50">
        <v>39936000</v>
      </c>
      <c r="R561" s="50">
        <v>39936000</v>
      </c>
      <c r="S561" s="50">
        <v>39936000</v>
      </c>
      <c r="T561" s="50">
        <v>39936000</v>
      </c>
      <c r="U561" s="50">
        <v>39936000</v>
      </c>
      <c r="V561" s="50">
        <v>34944000</v>
      </c>
      <c r="W561" s="50">
        <v>34944000</v>
      </c>
      <c r="AC561" s="26">
        <f t="shared" si="18"/>
        <v>192768000</v>
      </c>
      <c r="AD561" s="26">
        <f t="shared" si="19"/>
        <v>269568000</v>
      </c>
      <c r="AG561" s="53" t="s">
        <v>55</v>
      </c>
    </row>
    <row r="562" spans="1:33" ht="15" customHeight="1">
      <c r="A562" s="46" t="s">
        <v>91</v>
      </c>
      <c r="B562" s="3" t="str">
        <f>_xlfn.IFNA(VLOOKUP(C562,Master!$J:$K,2,0),"")</f>
        <v>B2220</v>
      </c>
      <c r="C562" s="46" t="s">
        <v>83</v>
      </c>
      <c r="D562" s="4" t="str">
        <f>_xlfn.IFNA(VLOOKUP(E562,Master!$J:$K,2,0),"")</f>
        <v>B4410</v>
      </c>
      <c r="E562" s="46" t="s">
        <v>188</v>
      </c>
      <c r="F562" s="4">
        <f>_xlfn.IFNA(VLOOKUP(G562,Master!B:C,2,0),"")</f>
        <v>7521101</v>
      </c>
      <c r="G562" s="46" t="s">
        <v>190</v>
      </c>
      <c r="H562" s="46" t="s">
        <v>550</v>
      </c>
      <c r="I562" s="3" t="str">
        <f>_xlfn.IFNA(VLOOKUP(E562,Master!$J:$M,4,0),"")</f>
        <v>DIR</v>
      </c>
      <c r="J562" s="3" t="str">
        <f>_xlfn.IFNA(VLOOKUP($E562,Master!$J:$M,3,0),"")</f>
        <v>MFG</v>
      </c>
      <c r="M562" s="50">
        <v>4000000</v>
      </c>
      <c r="N562" s="50">
        <v>4160000</v>
      </c>
      <c r="O562" s="50">
        <v>4160000</v>
      </c>
      <c r="P562" s="50">
        <v>3744000</v>
      </c>
      <c r="Q562" s="50">
        <v>3328000</v>
      </c>
      <c r="R562" s="50">
        <v>3328000</v>
      </c>
      <c r="S562" s="50">
        <v>3328000</v>
      </c>
      <c r="T562" s="50">
        <v>3328000</v>
      </c>
      <c r="U562" s="50">
        <v>3328000</v>
      </c>
      <c r="V562" s="50">
        <v>2912000</v>
      </c>
      <c r="W562" s="50">
        <v>2912000</v>
      </c>
      <c r="AC562" s="26">
        <f t="shared" si="18"/>
        <v>16064000</v>
      </c>
      <c r="AD562" s="26">
        <f t="shared" si="19"/>
        <v>22464000</v>
      </c>
      <c r="AG562" s="53" t="s">
        <v>55</v>
      </c>
    </row>
    <row r="563" spans="1:33" ht="15" customHeight="1">
      <c r="A563" s="46" t="s">
        <v>91</v>
      </c>
      <c r="B563" s="3" t="str">
        <f>_xlfn.IFNA(VLOOKUP(C563,Master!$J:$K,2,0),"")</f>
        <v>B2220</v>
      </c>
      <c r="C563" s="46" t="s">
        <v>83</v>
      </c>
      <c r="D563" s="4" t="str">
        <f>_xlfn.IFNA(VLOOKUP(E563,Master!$J:$K,2,0),"")</f>
        <v>B4410</v>
      </c>
      <c r="E563" s="46" t="s">
        <v>188</v>
      </c>
      <c r="F563" s="4">
        <f>_xlfn.IFNA(VLOOKUP(G563,Master!B:C,2,0),"")</f>
        <v>7521101</v>
      </c>
      <c r="G563" s="46" t="s">
        <v>190</v>
      </c>
      <c r="H563" s="46" t="s">
        <v>551</v>
      </c>
      <c r="I563" s="3" t="str">
        <f>_xlfn.IFNA(VLOOKUP(E563,Master!$J:$M,4,0),"")</f>
        <v>DIR</v>
      </c>
      <c r="J563" s="3" t="str">
        <f>_xlfn.IFNA(VLOOKUP($E563,Master!$J:$M,3,0),"")</f>
        <v>MFG</v>
      </c>
      <c r="M563" s="50">
        <v>3293800</v>
      </c>
      <c r="N563" s="50">
        <v>3669500</v>
      </c>
      <c r="O563" s="50">
        <v>4462200</v>
      </c>
      <c r="P563" s="50">
        <v>4896400</v>
      </c>
      <c r="Q563" s="50">
        <v>2856800</v>
      </c>
      <c r="R563" s="50">
        <v>3902400</v>
      </c>
      <c r="S563" s="50">
        <v>3736300</v>
      </c>
      <c r="T563" s="50">
        <v>3653400</v>
      </c>
      <c r="U563" s="50">
        <v>5025700</v>
      </c>
      <c r="V563" s="50">
        <v>2400000</v>
      </c>
      <c r="W563" s="50">
        <v>4993700</v>
      </c>
      <c r="AC563" s="26">
        <f t="shared" si="18"/>
        <v>16321900</v>
      </c>
      <c r="AD563" s="26">
        <f t="shared" si="19"/>
        <v>26568300</v>
      </c>
      <c r="AG563" s="53" t="s">
        <v>55</v>
      </c>
    </row>
    <row r="564" spans="1:33" ht="15" customHeight="1">
      <c r="A564" s="46" t="s">
        <v>91</v>
      </c>
      <c r="B564" s="3" t="str">
        <f>_xlfn.IFNA(VLOOKUP(C564,Master!$J:$K,2,0),"")</f>
        <v>B2220</v>
      </c>
      <c r="C564" s="46" t="s">
        <v>83</v>
      </c>
      <c r="D564" s="4" t="str">
        <f>_xlfn.IFNA(VLOOKUP(E564,Master!$J:$K,2,0),"")</f>
        <v>B4430</v>
      </c>
      <c r="E564" s="46" t="s">
        <v>193</v>
      </c>
      <c r="F564" s="4">
        <f>_xlfn.IFNA(VLOOKUP(G564,Master!B:C,2,0),"")</f>
        <v>7521101</v>
      </c>
      <c r="G564" s="46" t="s">
        <v>190</v>
      </c>
      <c r="H564" s="46" t="s">
        <v>548</v>
      </c>
      <c r="I564" s="3" t="str">
        <f>_xlfn.IFNA(VLOOKUP(E564,Master!$J:$M,4,0),"")</f>
        <v>DIR</v>
      </c>
      <c r="J564" s="3" t="str">
        <f>_xlfn.IFNA(VLOOKUP($E564,Master!$J:$M,3,0),"")</f>
        <v>MFG</v>
      </c>
      <c r="M564" s="50">
        <v>12316000</v>
      </c>
      <c r="N564" s="50">
        <v>14144000</v>
      </c>
      <c r="O564" s="50">
        <v>13544000</v>
      </c>
      <c r="P564" s="50">
        <v>16324000</v>
      </c>
      <c r="Q564" s="50">
        <v>13584000</v>
      </c>
      <c r="R564" s="50">
        <v>12944000</v>
      </c>
      <c r="S564" s="50">
        <v>12644000</v>
      </c>
      <c r="T564" s="50">
        <v>13151800</v>
      </c>
      <c r="U564" s="50">
        <v>9480800</v>
      </c>
      <c r="V564" s="50">
        <v>5177600</v>
      </c>
      <c r="W564" s="50">
        <v>5537600</v>
      </c>
      <c r="X564" s="50">
        <v>5297600</v>
      </c>
      <c r="AC564" s="26">
        <f t="shared" si="18"/>
        <v>56328000</v>
      </c>
      <c r="AD564" s="26">
        <f t="shared" si="19"/>
        <v>77817400</v>
      </c>
      <c r="AG564" s="53" t="s">
        <v>55</v>
      </c>
    </row>
    <row r="565" spans="1:33" ht="15" customHeight="1">
      <c r="A565" s="46" t="s">
        <v>91</v>
      </c>
      <c r="B565" s="3" t="str">
        <f>_xlfn.IFNA(VLOOKUP(C565,Master!$J:$K,2,0),"")</f>
        <v>B2220</v>
      </c>
      <c r="C565" s="46" t="s">
        <v>83</v>
      </c>
      <c r="D565" s="4" t="str">
        <f>_xlfn.IFNA(VLOOKUP(E565,Master!$J:$K,2,0),"")</f>
        <v>B4430</v>
      </c>
      <c r="E565" s="46" t="s">
        <v>193</v>
      </c>
      <c r="F565" s="4">
        <f>_xlfn.IFNA(VLOOKUP(G565,Master!B:C,2,0),"")</f>
        <v>7521101</v>
      </c>
      <c r="G565" s="46" t="s">
        <v>190</v>
      </c>
      <c r="H565" s="46" t="s">
        <v>549</v>
      </c>
      <c r="I565" s="3" t="str">
        <f>_xlfn.IFNA(VLOOKUP(E565,Master!$J:$M,4,0),"")</f>
        <v>DIR</v>
      </c>
      <c r="J565" s="3" t="str">
        <f>_xlfn.IFNA(VLOOKUP($E565,Master!$J:$M,3,0),"")</f>
        <v>MFG</v>
      </c>
      <c r="M565" s="50">
        <v>96000000</v>
      </c>
      <c r="N565" s="50">
        <v>99840000</v>
      </c>
      <c r="O565" s="50">
        <v>99840000</v>
      </c>
      <c r="P565" s="50">
        <v>99840000</v>
      </c>
      <c r="Q565" s="50">
        <v>99840000</v>
      </c>
      <c r="R565" s="50">
        <v>99840000</v>
      </c>
      <c r="S565" s="50">
        <v>99840000</v>
      </c>
      <c r="T565" s="50">
        <v>94848000</v>
      </c>
      <c r="U565" s="50">
        <v>69888000</v>
      </c>
      <c r="V565" s="50">
        <v>39936000</v>
      </c>
      <c r="W565" s="50">
        <v>39936000</v>
      </c>
      <c r="X565" s="50">
        <v>39936000</v>
      </c>
      <c r="AC565" s="26">
        <f t="shared" si="18"/>
        <v>395520000</v>
      </c>
      <c r="AD565" s="26">
        <f t="shared" si="19"/>
        <v>584064000</v>
      </c>
      <c r="AG565" s="53" t="s">
        <v>55</v>
      </c>
    </row>
    <row r="566" spans="1:33" ht="15" customHeight="1">
      <c r="A566" s="46" t="s">
        <v>91</v>
      </c>
      <c r="B566" s="3" t="str">
        <f>_xlfn.IFNA(VLOOKUP(C566,Master!$J:$K,2,0),"")</f>
        <v>B2220</v>
      </c>
      <c r="C566" s="46" t="s">
        <v>83</v>
      </c>
      <c r="D566" s="4" t="str">
        <f>_xlfn.IFNA(VLOOKUP(E566,Master!$J:$K,2,0),"")</f>
        <v>B4430</v>
      </c>
      <c r="E566" s="46" t="s">
        <v>193</v>
      </c>
      <c r="F566" s="4">
        <f>_xlfn.IFNA(VLOOKUP(G566,Master!B:C,2,0),"")</f>
        <v>7521101</v>
      </c>
      <c r="G566" s="46" t="s">
        <v>190</v>
      </c>
      <c r="H566" s="46" t="s">
        <v>550</v>
      </c>
      <c r="I566" s="3" t="str">
        <f>_xlfn.IFNA(VLOOKUP(E566,Master!$J:$M,4,0),"")</f>
        <v>DIR</v>
      </c>
      <c r="J566" s="3" t="str">
        <f>_xlfn.IFNA(VLOOKUP($E566,Master!$J:$M,3,0),"")</f>
        <v>MFG</v>
      </c>
      <c r="M566" s="50">
        <v>8000000</v>
      </c>
      <c r="N566" s="50">
        <v>8320000</v>
      </c>
      <c r="O566" s="50">
        <v>8320000</v>
      </c>
      <c r="P566" s="50">
        <v>8320000</v>
      </c>
      <c r="Q566" s="50">
        <v>8320000</v>
      </c>
      <c r="R566" s="50">
        <v>8320000</v>
      </c>
      <c r="S566" s="50">
        <v>8320000</v>
      </c>
      <c r="T566" s="50">
        <v>7904000</v>
      </c>
      <c r="U566" s="50">
        <v>5824000</v>
      </c>
      <c r="V566" s="50">
        <v>3328000</v>
      </c>
      <c r="W566" s="50">
        <v>3328000</v>
      </c>
      <c r="X566" s="50">
        <v>3328000</v>
      </c>
      <c r="AC566" s="26">
        <f t="shared" si="18"/>
        <v>32960000</v>
      </c>
      <c r="AD566" s="26">
        <f t="shared" si="19"/>
        <v>48672000</v>
      </c>
      <c r="AG566" s="53" t="s">
        <v>55</v>
      </c>
    </row>
    <row r="567" spans="1:33" ht="15" customHeight="1">
      <c r="A567" s="46" t="s">
        <v>91</v>
      </c>
      <c r="B567" s="3" t="str">
        <f>_xlfn.IFNA(VLOOKUP(C567,Master!$J:$K,2,0),"")</f>
        <v>B2220</v>
      </c>
      <c r="C567" s="46" t="s">
        <v>83</v>
      </c>
      <c r="D567" s="4" t="str">
        <f>_xlfn.IFNA(VLOOKUP(E567,Master!$J:$K,2,0),"")</f>
        <v>B4430</v>
      </c>
      <c r="E567" s="46" t="s">
        <v>193</v>
      </c>
      <c r="F567" s="4">
        <f>_xlfn.IFNA(VLOOKUP(G567,Master!B:C,2,0),"")</f>
        <v>7521101</v>
      </c>
      <c r="G567" s="46" t="s">
        <v>190</v>
      </c>
      <c r="H567" s="46" t="s">
        <v>551</v>
      </c>
      <c r="I567" s="3" t="str">
        <f>_xlfn.IFNA(VLOOKUP(E567,Master!$J:$M,4,0),"")</f>
        <v>DIR</v>
      </c>
      <c r="J567" s="3" t="str">
        <f>_xlfn.IFNA(VLOOKUP($E567,Master!$J:$M,3,0),"")</f>
        <v>MFG</v>
      </c>
      <c r="M567" s="50">
        <v>7562700</v>
      </c>
      <c r="N567" s="50">
        <v>8221600</v>
      </c>
      <c r="O567" s="50">
        <v>10161300</v>
      </c>
      <c r="P567" s="50">
        <v>11273900</v>
      </c>
      <c r="Q567" s="50">
        <v>7528500</v>
      </c>
      <c r="R567" s="50">
        <v>9723800</v>
      </c>
      <c r="S567" s="50">
        <v>8812600</v>
      </c>
      <c r="T567" s="50">
        <v>9766100</v>
      </c>
      <c r="U567" s="50">
        <v>9029400</v>
      </c>
      <c r="V567" s="50">
        <v>2883300</v>
      </c>
      <c r="W567" s="50">
        <v>3199800</v>
      </c>
      <c r="X567" s="50">
        <v>2555900</v>
      </c>
      <c r="AC567" s="26">
        <f t="shared" si="18"/>
        <v>37219500</v>
      </c>
      <c r="AD567" s="26">
        <f t="shared" si="19"/>
        <v>53499400</v>
      </c>
      <c r="AG567" s="53" t="s">
        <v>55</v>
      </c>
    </row>
    <row r="568" spans="1:33" ht="15" customHeight="1">
      <c r="A568" s="46" t="s">
        <v>91</v>
      </c>
      <c r="B568" s="3" t="str">
        <f>_xlfn.IFNA(VLOOKUP(C568,Master!$J:$K,2,0),"")</f>
        <v>B2220</v>
      </c>
      <c r="C568" s="46" t="s">
        <v>83</v>
      </c>
      <c r="D568" s="4" t="str">
        <f>_xlfn.IFNA(VLOOKUP(E568,Master!$J:$K,2,0),"")</f>
        <v>B4440</v>
      </c>
      <c r="E568" s="46" t="s">
        <v>198</v>
      </c>
      <c r="F568" s="4">
        <f>_xlfn.IFNA(VLOOKUP(G568,Master!B:C,2,0),"")</f>
        <v>7521101</v>
      </c>
      <c r="G568" s="46" t="s">
        <v>190</v>
      </c>
      <c r="H568" s="46" t="s">
        <v>548</v>
      </c>
      <c r="I568" s="3" t="str">
        <f>_xlfn.IFNA(VLOOKUP(E568,Master!$J:$M,4,0),"")</f>
        <v>DIR</v>
      </c>
      <c r="J568" s="3" t="str">
        <f>_xlfn.IFNA(VLOOKUP($E568,Master!$J:$M,3,0),"")</f>
        <v>MFG</v>
      </c>
      <c r="M568" s="50">
        <v>1231600</v>
      </c>
      <c r="N568" s="50">
        <v>1414400</v>
      </c>
      <c r="O568" s="50">
        <v>2031600</v>
      </c>
      <c r="P568" s="50">
        <v>2448600</v>
      </c>
      <c r="Q568" s="50">
        <v>1358400</v>
      </c>
      <c r="R568" s="50">
        <v>1294400</v>
      </c>
      <c r="S568" s="50">
        <v>1264400</v>
      </c>
      <c r="T568" s="50">
        <v>1384400</v>
      </c>
      <c r="U568" s="50">
        <v>1354400</v>
      </c>
      <c r="V568" s="50">
        <v>647200</v>
      </c>
      <c r="W568" s="50">
        <v>692200</v>
      </c>
      <c r="X568" s="50">
        <v>662200</v>
      </c>
      <c r="AC568" s="26">
        <f t="shared" si="18"/>
        <v>7126200</v>
      </c>
      <c r="AD568" s="26">
        <f t="shared" si="19"/>
        <v>8657600</v>
      </c>
      <c r="AG568" s="53" t="s">
        <v>55</v>
      </c>
    </row>
    <row r="569" spans="1:33" ht="15" customHeight="1">
      <c r="A569" s="46" t="s">
        <v>91</v>
      </c>
      <c r="B569" s="3" t="str">
        <f>_xlfn.IFNA(VLOOKUP(C569,Master!$J:$K,2,0),"")</f>
        <v>B2220</v>
      </c>
      <c r="C569" s="46" t="s">
        <v>83</v>
      </c>
      <c r="D569" s="4" t="str">
        <f>_xlfn.IFNA(VLOOKUP(E569,Master!$J:$K,2,0),"")</f>
        <v>B4440</v>
      </c>
      <c r="E569" s="46" t="s">
        <v>198</v>
      </c>
      <c r="F569" s="4">
        <f>_xlfn.IFNA(VLOOKUP(G569,Master!B:C,2,0),"")</f>
        <v>7521101</v>
      </c>
      <c r="G569" s="46" t="s">
        <v>190</v>
      </c>
      <c r="H569" s="46" t="s">
        <v>549</v>
      </c>
      <c r="I569" s="3" t="str">
        <f>_xlfn.IFNA(VLOOKUP(E569,Master!$J:$M,4,0),"")</f>
        <v>DIR</v>
      </c>
      <c r="J569" s="3" t="str">
        <f>_xlfn.IFNA(VLOOKUP($E569,Master!$J:$M,3,0),"")</f>
        <v>MFG</v>
      </c>
      <c r="M569" s="50">
        <v>9600000</v>
      </c>
      <c r="N569" s="50">
        <v>9984000</v>
      </c>
      <c r="O569" s="50">
        <v>14976000</v>
      </c>
      <c r="P569" s="50">
        <v>14976000</v>
      </c>
      <c r="Q569" s="50">
        <v>9984000</v>
      </c>
      <c r="R569" s="50">
        <v>9984000</v>
      </c>
      <c r="S569" s="50">
        <v>9984000</v>
      </c>
      <c r="T569" s="50">
        <v>9984000</v>
      </c>
      <c r="U569" s="50">
        <v>9984000</v>
      </c>
      <c r="V569" s="50">
        <v>4992000</v>
      </c>
      <c r="W569" s="50">
        <v>4992000</v>
      </c>
      <c r="X569" s="50">
        <v>4992000</v>
      </c>
      <c r="AC569" s="26">
        <f t="shared" si="18"/>
        <v>49536000</v>
      </c>
      <c r="AD569" s="26">
        <f t="shared" si="19"/>
        <v>64896000</v>
      </c>
      <c r="AG569" s="53" t="s">
        <v>55</v>
      </c>
    </row>
    <row r="570" spans="1:33" ht="15" customHeight="1">
      <c r="A570" s="46" t="s">
        <v>91</v>
      </c>
      <c r="B570" s="3" t="str">
        <f>_xlfn.IFNA(VLOOKUP(C570,Master!$J:$K,2,0),"")</f>
        <v>B2220</v>
      </c>
      <c r="C570" s="46" t="s">
        <v>83</v>
      </c>
      <c r="D570" s="4" t="str">
        <f>_xlfn.IFNA(VLOOKUP(E570,Master!$J:$K,2,0),"")</f>
        <v>B4440</v>
      </c>
      <c r="E570" s="46" t="s">
        <v>198</v>
      </c>
      <c r="F570" s="4">
        <f>_xlfn.IFNA(VLOOKUP(G570,Master!B:C,2,0),"")</f>
        <v>7521101</v>
      </c>
      <c r="G570" s="46" t="s">
        <v>190</v>
      </c>
      <c r="H570" s="46" t="s">
        <v>550</v>
      </c>
      <c r="I570" s="3" t="str">
        <f>_xlfn.IFNA(VLOOKUP(E570,Master!$J:$M,4,0),"")</f>
        <v>DIR</v>
      </c>
      <c r="J570" s="3" t="str">
        <f>_xlfn.IFNA(VLOOKUP($E570,Master!$J:$M,3,0),"")</f>
        <v>MFG</v>
      </c>
      <c r="M570" s="50">
        <v>800000</v>
      </c>
      <c r="N570" s="50">
        <v>832000</v>
      </c>
      <c r="O570" s="50">
        <v>1248000</v>
      </c>
      <c r="P570" s="50">
        <v>1248000</v>
      </c>
      <c r="Q570" s="50">
        <v>832000</v>
      </c>
      <c r="R570" s="50">
        <v>832000</v>
      </c>
      <c r="S570" s="50">
        <v>832000</v>
      </c>
      <c r="T570" s="50">
        <v>832000</v>
      </c>
      <c r="U570" s="50">
        <v>832000</v>
      </c>
      <c r="V570" s="50">
        <v>416000</v>
      </c>
      <c r="W570" s="50">
        <v>416000</v>
      </c>
      <c r="X570" s="50">
        <v>416000</v>
      </c>
      <c r="AC570" s="26">
        <f t="shared" si="18"/>
        <v>4128000</v>
      </c>
      <c r="AD570" s="26">
        <f t="shared" si="19"/>
        <v>5408000</v>
      </c>
      <c r="AG570" s="53" t="s">
        <v>55</v>
      </c>
    </row>
    <row r="571" spans="1:33" ht="15" customHeight="1">
      <c r="A571" s="46" t="s">
        <v>91</v>
      </c>
      <c r="B571" s="3" t="str">
        <f>_xlfn.IFNA(VLOOKUP(C571,Master!$J:$K,2,0),"")</f>
        <v>B2220</v>
      </c>
      <c r="C571" s="46" t="s">
        <v>83</v>
      </c>
      <c r="D571" s="4" t="str">
        <f>_xlfn.IFNA(VLOOKUP(E571,Master!$J:$K,2,0),"")</f>
        <v>B4440</v>
      </c>
      <c r="E571" s="46" t="s">
        <v>198</v>
      </c>
      <c r="F571" s="4">
        <f>_xlfn.IFNA(VLOOKUP(G571,Master!B:C,2,0),"")</f>
        <v>7521101</v>
      </c>
      <c r="G571" s="46" t="s">
        <v>190</v>
      </c>
      <c r="H571" s="46" t="s">
        <v>551</v>
      </c>
      <c r="I571" s="3" t="str">
        <f>_xlfn.IFNA(VLOOKUP(E571,Master!$J:$M,4,0),"")</f>
        <v>DIR</v>
      </c>
      <c r="J571" s="3" t="str">
        <f>_xlfn.IFNA(VLOOKUP($E571,Master!$J:$M,3,0),"")</f>
        <v>MFG</v>
      </c>
      <c r="M571" s="50">
        <v>739500</v>
      </c>
      <c r="N571" s="50">
        <v>811200</v>
      </c>
      <c r="O571" s="50">
        <v>1303900</v>
      </c>
      <c r="P571" s="50">
        <v>1471700</v>
      </c>
      <c r="Q571" s="50">
        <v>868800</v>
      </c>
      <c r="R571" s="50">
        <v>1018800</v>
      </c>
      <c r="S571" s="50">
        <v>907000</v>
      </c>
      <c r="T571" s="50">
        <v>1098900</v>
      </c>
      <c r="U571" s="50">
        <v>1067700</v>
      </c>
      <c r="V571" s="50">
        <v>432400</v>
      </c>
      <c r="W571" s="50">
        <v>321100</v>
      </c>
      <c r="X571" s="50">
        <v>319500</v>
      </c>
      <c r="AC571" s="26">
        <f t="shared" si="18"/>
        <v>4326300</v>
      </c>
      <c r="AD571" s="26">
        <f t="shared" si="19"/>
        <v>6034200</v>
      </c>
      <c r="AG571" s="53" t="s">
        <v>55</v>
      </c>
    </row>
    <row r="572" spans="1:33" ht="15" customHeight="1">
      <c r="A572" s="46" t="s">
        <v>91</v>
      </c>
      <c r="B572" s="3" t="str">
        <f>_xlfn.IFNA(VLOOKUP(C572,Master!$J:$K,2,0),"")</f>
        <v>B2220</v>
      </c>
      <c r="C572" s="46" t="s">
        <v>83</v>
      </c>
      <c r="D572" s="4" t="str">
        <f>_xlfn.IFNA(VLOOKUP(E572,Master!$J:$K,2,0),"")</f>
        <v>B5130</v>
      </c>
      <c r="E572" s="46" t="s">
        <v>247</v>
      </c>
      <c r="F572" s="4">
        <f>_xlfn.IFNA(VLOOKUP(G572,Master!B:C,2,0),"")</f>
        <v>7521101</v>
      </c>
      <c r="G572" s="46" t="s">
        <v>190</v>
      </c>
      <c r="H572" s="46" t="s">
        <v>548</v>
      </c>
      <c r="I572" s="3" t="str">
        <f>_xlfn.IFNA(VLOOKUP(E572,Master!$J:$M,4,0),"")</f>
        <v>IND</v>
      </c>
      <c r="J572" s="3" t="str">
        <f>_xlfn.IFNA(VLOOKUP($E572,Master!$J:$M,3,0),"")</f>
        <v>MFG</v>
      </c>
      <c r="M572" s="50">
        <v>615800</v>
      </c>
      <c r="N572" s="50">
        <v>707200</v>
      </c>
      <c r="O572" s="50">
        <v>677200</v>
      </c>
      <c r="P572" s="50">
        <v>816200</v>
      </c>
      <c r="Q572" s="50">
        <v>679200</v>
      </c>
      <c r="R572" s="50">
        <v>647200</v>
      </c>
      <c r="S572" s="50">
        <v>632200</v>
      </c>
      <c r="T572" s="50">
        <v>692200</v>
      </c>
      <c r="U572" s="50">
        <v>677200</v>
      </c>
      <c r="V572" s="50">
        <v>647200</v>
      </c>
      <c r="W572" s="50">
        <v>1384400</v>
      </c>
      <c r="X572" s="50">
        <v>1324400</v>
      </c>
      <c r="Y572" s="50">
        <v>1294400</v>
      </c>
      <c r="Z572" s="50">
        <v>1379400</v>
      </c>
      <c r="AA572" s="50">
        <v>1317400</v>
      </c>
      <c r="AB572" s="50">
        <v>1800400</v>
      </c>
      <c r="AC572" s="26">
        <f t="shared" si="18"/>
        <v>2816400</v>
      </c>
      <c r="AD572" s="26">
        <f t="shared" si="19"/>
        <v>12475600</v>
      </c>
      <c r="AE572" s="50">
        <v>20550000</v>
      </c>
      <c r="AF572" s="50">
        <v>23176700</v>
      </c>
      <c r="AG572" s="53" t="s">
        <v>55</v>
      </c>
    </row>
    <row r="573" spans="1:33" ht="15" customHeight="1">
      <c r="A573" s="46" t="s">
        <v>91</v>
      </c>
      <c r="B573" s="3" t="str">
        <f>_xlfn.IFNA(VLOOKUP(C573,Master!$J:$K,2,0),"")</f>
        <v>B2220</v>
      </c>
      <c r="C573" s="46" t="s">
        <v>83</v>
      </c>
      <c r="D573" s="4" t="str">
        <f>_xlfn.IFNA(VLOOKUP(E573,Master!$J:$K,2,0),"")</f>
        <v>B5130</v>
      </c>
      <c r="E573" s="46" t="s">
        <v>247</v>
      </c>
      <c r="F573" s="4">
        <f>_xlfn.IFNA(VLOOKUP(G573,Master!B:C,2,0),"")</f>
        <v>7521101</v>
      </c>
      <c r="G573" s="46" t="s">
        <v>190</v>
      </c>
      <c r="H573" s="46" t="s">
        <v>549</v>
      </c>
      <c r="I573" s="3" t="str">
        <f>_xlfn.IFNA(VLOOKUP(E573,Master!$J:$M,4,0),"")</f>
        <v>IND</v>
      </c>
      <c r="J573" s="3" t="str">
        <f>_xlfn.IFNA(VLOOKUP($E573,Master!$J:$M,3,0),"")</f>
        <v>MFG</v>
      </c>
      <c r="M573" s="50">
        <v>4800000</v>
      </c>
      <c r="N573" s="50">
        <v>4992000</v>
      </c>
      <c r="O573" s="50">
        <v>4992000</v>
      </c>
      <c r="P573" s="50">
        <v>4992000</v>
      </c>
      <c r="Q573" s="50">
        <v>4992000</v>
      </c>
      <c r="R573" s="50">
        <v>4992000</v>
      </c>
      <c r="S573" s="50">
        <v>4992000</v>
      </c>
      <c r="T573" s="50">
        <v>4992000</v>
      </c>
      <c r="U573" s="50">
        <v>4992000</v>
      </c>
      <c r="V573" s="50">
        <v>4992000</v>
      </c>
      <c r="W573" s="50">
        <v>9984000</v>
      </c>
      <c r="X573" s="50">
        <v>9984000</v>
      </c>
      <c r="Y573" s="50">
        <v>9984000</v>
      </c>
      <c r="Z573" s="50">
        <v>10383400</v>
      </c>
      <c r="AA573" s="50">
        <v>10383400</v>
      </c>
      <c r="AB573" s="50">
        <v>10383400</v>
      </c>
      <c r="AC573" s="26">
        <f t="shared" si="18"/>
        <v>19776000</v>
      </c>
      <c r="AD573" s="26">
        <f t="shared" si="19"/>
        <v>91054200</v>
      </c>
      <c r="AE573" s="50">
        <v>157620300</v>
      </c>
      <c r="AF573" s="50">
        <v>185091600</v>
      </c>
      <c r="AG573" s="53" t="s">
        <v>55</v>
      </c>
    </row>
    <row r="574" spans="1:33" ht="15" customHeight="1">
      <c r="A574" s="46" t="s">
        <v>91</v>
      </c>
      <c r="B574" s="3" t="str">
        <f>_xlfn.IFNA(VLOOKUP(C574,Master!$J:$K,2,0),"")</f>
        <v>B2220</v>
      </c>
      <c r="C574" s="46" t="s">
        <v>83</v>
      </c>
      <c r="D574" s="4" t="str">
        <f>_xlfn.IFNA(VLOOKUP(E574,Master!$J:$K,2,0),"")</f>
        <v>B5130</v>
      </c>
      <c r="E574" s="46" t="s">
        <v>247</v>
      </c>
      <c r="F574" s="4">
        <f>_xlfn.IFNA(VLOOKUP(G574,Master!B:C,2,0),"")</f>
        <v>7521101</v>
      </c>
      <c r="G574" s="46" t="s">
        <v>190</v>
      </c>
      <c r="H574" s="46" t="s">
        <v>550</v>
      </c>
      <c r="I574" s="3" t="str">
        <f>_xlfn.IFNA(VLOOKUP(E574,Master!$J:$M,4,0),"")</f>
        <v>IND</v>
      </c>
      <c r="J574" s="3" t="str">
        <f>_xlfn.IFNA(VLOOKUP($E574,Master!$J:$M,3,0),"")</f>
        <v>MFG</v>
      </c>
      <c r="M574" s="50">
        <v>400000</v>
      </c>
      <c r="N574" s="50">
        <v>416000</v>
      </c>
      <c r="O574" s="50">
        <v>416000</v>
      </c>
      <c r="P574" s="50">
        <v>416000</v>
      </c>
      <c r="Q574" s="50">
        <v>416000</v>
      </c>
      <c r="R574" s="50">
        <v>416000</v>
      </c>
      <c r="S574" s="50">
        <v>416000</v>
      </c>
      <c r="T574" s="50">
        <v>416000</v>
      </c>
      <c r="U574" s="50">
        <v>416000</v>
      </c>
      <c r="V574" s="50">
        <v>416000</v>
      </c>
      <c r="W574" s="50">
        <v>832000</v>
      </c>
      <c r="X574" s="50">
        <v>832000</v>
      </c>
      <c r="Y574" s="50">
        <v>832000</v>
      </c>
      <c r="Z574" s="50">
        <v>865300</v>
      </c>
      <c r="AA574" s="50">
        <v>865300</v>
      </c>
      <c r="AB574" s="50">
        <v>865300</v>
      </c>
      <c r="AC574" s="26">
        <f t="shared" si="18"/>
        <v>1648000</v>
      </c>
      <c r="AD574" s="26">
        <f t="shared" si="19"/>
        <v>7587900</v>
      </c>
      <c r="AE574" s="50">
        <v>13135200</v>
      </c>
      <c r="AF574" s="50">
        <v>15424800</v>
      </c>
      <c r="AG574" s="53" t="s">
        <v>55</v>
      </c>
    </row>
    <row r="575" spans="1:33" ht="15" customHeight="1">
      <c r="A575" s="46" t="s">
        <v>91</v>
      </c>
      <c r="B575" s="3" t="str">
        <f>_xlfn.IFNA(VLOOKUP(C575,Master!$J:$K,2,0),"")</f>
        <v>B2220</v>
      </c>
      <c r="C575" s="46" t="s">
        <v>83</v>
      </c>
      <c r="D575" s="4" t="str">
        <f>_xlfn.IFNA(VLOOKUP(E575,Master!$J:$K,2,0),"")</f>
        <v>B5130</v>
      </c>
      <c r="E575" s="46" t="s">
        <v>247</v>
      </c>
      <c r="F575" s="4">
        <f>_xlfn.IFNA(VLOOKUP(G575,Master!B:C,2,0),"")</f>
        <v>7521101</v>
      </c>
      <c r="G575" s="46" t="s">
        <v>190</v>
      </c>
      <c r="H575" s="46" t="s">
        <v>551</v>
      </c>
      <c r="I575" s="3" t="str">
        <f>_xlfn.IFNA(VLOOKUP(E575,Master!$J:$M,4,0),"")</f>
        <v>IND</v>
      </c>
      <c r="J575" s="3" t="str">
        <f>_xlfn.IFNA(VLOOKUP($E575,Master!$J:$M,3,0),"")</f>
        <v>MFG</v>
      </c>
      <c r="M575" s="50">
        <v>399300</v>
      </c>
      <c r="N575" s="50">
        <v>418500</v>
      </c>
      <c r="O575" s="50">
        <v>416900</v>
      </c>
      <c r="P575" s="50">
        <v>424200</v>
      </c>
      <c r="Q575" s="50">
        <v>417000</v>
      </c>
      <c r="R575" s="50">
        <v>415300</v>
      </c>
      <c r="S575" s="50">
        <v>414500</v>
      </c>
      <c r="T575" s="50">
        <v>417700</v>
      </c>
      <c r="U575" s="50">
        <v>416900</v>
      </c>
      <c r="V575" s="50">
        <v>415300</v>
      </c>
      <c r="W575" s="50">
        <v>835400</v>
      </c>
      <c r="X575" s="50">
        <v>832200</v>
      </c>
      <c r="Y575" s="50">
        <v>830700</v>
      </c>
      <c r="Z575" s="50">
        <v>865500</v>
      </c>
      <c r="AA575" s="50">
        <v>862200</v>
      </c>
      <c r="AB575" s="50">
        <v>887600</v>
      </c>
      <c r="AC575" s="26">
        <f t="shared" si="18"/>
        <v>1658900</v>
      </c>
      <c r="AD575" s="26">
        <f t="shared" si="19"/>
        <v>7610300</v>
      </c>
      <c r="AE575" s="50">
        <v>13146700</v>
      </c>
      <c r="AF575" s="50">
        <v>15343100</v>
      </c>
      <c r="AG575" s="53" t="s">
        <v>55</v>
      </c>
    </row>
    <row r="576" spans="1:33" ht="15" customHeight="1">
      <c r="A576" s="46" t="s">
        <v>91</v>
      </c>
      <c r="B576" s="3" t="str">
        <f>_xlfn.IFNA(VLOOKUP(C576,Master!$J:$K,2,0),"")</f>
        <v>B2220</v>
      </c>
      <c r="C576" s="46" t="s">
        <v>83</v>
      </c>
      <c r="D576" s="4" t="str">
        <f>_xlfn.IFNA(VLOOKUP(E576,Master!$J:$K,2,0),"")</f>
        <v>B5710</v>
      </c>
      <c r="E576" s="46" t="s">
        <v>265</v>
      </c>
      <c r="F576" s="4">
        <f>_xlfn.IFNA(VLOOKUP(G576,Master!B:C,2,0),"")</f>
        <v>7521101</v>
      </c>
      <c r="G576" s="46" t="s">
        <v>190</v>
      </c>
      <c r="H576" s="46" t="s">
        <v>548</v>
      </c>
      <c r="I576" s="3" t="str">
        <f>_xlfn.IFNA(VLOOKUP(E576,Master!$J:$M,4,0),"")</f>
        <v>IND</v>
      </c>
      <c r="J576" s="3" t="str">
        <f>_xlfn.IFNA(VLOOKUP($E576,Master!$J:$M,3,0),"")</f>
        <v>MFG</v>
      </c>
      <c r="M576" s="50">
        <v>1847400</v>
      </c>
      <c r="N576" s="50">
        <v>2121600</v>
      </c>
      <c r="O576" s="50">
        <v>2031600</v>
      </c>
      <c r="P576" s="50">
        <v>2448600</v>
      </c>
      <c r="Q576" s="50">
        <v>2037600</v>
      </c>
      <c r="R576" s="50">
        <v>1941600</v>
      </c>
      <c r="S576" s="50">
        <v>1896600</v>
      </c>
      <c r="T576" s="50">
        <v>2076600</v>
      </c>
      <c r="U576" s="50">
        <v>2031600</v>
      </c>
      <c r="V576" s="50">
        <v>1941600</v>
      </c>
      <c r="W576" s="50">
        <v>2076600</v>
      </c>
      <c r="X576" s="50">
        <v>1986600</v>
      </c>
      <c r="Y576" s="50">
        <v>1941600</v>
      </c>
      <c r="Z576" s="50">
        <v>2069100</v>
      </c>
      <c r="AA576" s="50">
        <v>1976100</v>
      </c>
      <c r="AB576" s="50">
        <v>2700600</v>
      </c>
      <c r="AC576" s="26">
        <f t="shared" si="18"/>
        <v>8449200</v>
      </c>
      <c r="AD576" s="26">
        <f t="shared" si="19"/>
        <v>24676200</v>
      </c>
      <c r="AE576" s="50">
        <v>24409200</v>
      </c>
      <c r="AF576" s="50">
        <v>24806700</v>
      </c>
      <c r="AG576" s="53" t="s">
        <v>55</v>
      </c>
    </row>
    <row r="577" spans="1:33" ht="15" customHeight="1">
      <c r="A577" s="46" t="s">
        <v>91</v>
      </c>
      <c r="B577" s="3" t="str">
        <f>_xlfn.IFNA(VLOOKUP(C577,Master!$J:$K,2,0),"")</f>
        <v>B2220</v>
      </c>
      <c r="C577" s="46" t="s">
        <v>83</v>
      </c>
      <c r="D577" s="4" t="str">
        <f>_xlfn.IFNA(VLOOKUP(E577,Master!$J:$K,2,0),"")</f>
        <v>B5710</v>
      </c>
      <c r="E577" s="46" t="s">
        <v>265</v>
      </c>
      <c r="F577" s="4">
        <f>_xlfn.IFNA(VLOOKUP(G577,Master!B:C,2,0),"")</f>
        <v>7521101</v>
      </c>
      <c r="G577" s="46" t="s">
        <v>190</v>
      </c>
      <c r="H577" s="46" t="s">
        <v>549</v>
      </c>
      <c r="I577" s="3" t="str">
        <f>_xlfn.IFNA(VLOOKUP(E577,Master!$J:$M,4,0),"")</f>
        <v>IND</v>
      </c>
      <c r="J577" s="3" t="str">
        <f>_xlfn.IFNA(VLOOKUP($E577,Master!$J:$M,3,0),"")</f>
        <v>MFG</v>
      </c>
      <c r="M577" s="50">
        <v>14400000</v>
      </c>
      <c r="N577" s="50">
        <v>14976000</v>
      </c>
      <c r="O577" s="50">
        <v>14976000</v>
      </c>
      <c r="P577" s="50">
        <v>14976000</v>
      </c>
      <c r="Q577" s="50">
        <v>14976000</v>
      </c>
      <c r="R577" s="50">
        <v>14976000</v>
      </c>
      <c r="S577" s="50">
        <v>14976000</v>
      </c>
      <c r="T577" s="50">
        <v>14976000</v>
      </c>
      <c r="U577" s="50">
        <v>14976000</v>
      </c>
      <c r="V577" s="50">
        <v>14976000</v>
      </c>
      <c r="W577" s="50">
        <v>14976000</v>
      </c>
      <c r="X577" s="50">
        <v>14976000</v>
      </c>
      <c r="Y577" s="50">
        <v>14976000</v>
      </c>
      <c r="Z577" s="50">
        <v>15575100</v>
      </c>
      <c r="AA577" s="50">
        <v>15575100</v>
      </c>
      <c r="AB577" s="50">
        <v>15575100</v>
      </c>
      <c r="AC577" s="26">
        <f t="shared" si="18"/>
        <v>59328000</v>
      </c>
      <c r="AD577" s="26">
        <f t="shared" si="19"/>
        <v>181509300</v>
      </c>
      <c r="AE577" s="50">
        <v>188770500</v>
      </c>
      <c r="AF577" s="50">
        <v>196322400</v>
      </c>
      <c r="AG577" s="53" t="s">
        <v>55</v>
      </c>
    </row>
    <row r="578" spans="1:33" ht="15" customHeight="1">
      <c r="A578" s="46" t="s">
        <v>91</v>
      </c>
      <c r="B578" s="3" t="str">
        <f>_xlfn.IFNA(VLOOKUP(C578,Master!$J:$K,2,0),"")</f>
        <v>B2220</v>
      </c>
      <c r="C578" s="46" t="s">
        <v>83</v>
      </c>
      <c r="D578" s="4" t="str">
        <f>_xlfn.IFNA(VLOOKUP(E578,Master!$J:$K,2,0),"")</f>
        <v>B5710</v>
      </c>
      <c r="E578" s="46" t="s">
        <v>265</v>
      </c>
      <c r="F578" s="4">
        <f>_xlfn.IFNA(VLOOKUP(G578,Master!B:C,2,0),"")</f>
        <v>7521101</v>
      </c>
      <c r="G578" s="46" t="s">
        <v>190</v>
      </c>
      <c r="H578" s="46" t="s">
        <v>550</v>
      </c>
      <c r="I578" s="3" t="str">
        <f>_xlfn.IFNA(VLOOKUP(E578,Master!$J:$M,4,0),"")</f>
        <v>IND</v>
      </c>
      <c r="J578" s="3" t="str">
        <f>_xlfn.IFNA(VLOOKUP($E578,Master!$J:$M,3,0),"")</f>
        <v>MFG</v>
      </c>
      <c r="M578" s="50">
        <v>1200000</v>
      </c>
      <c r="N578" s="50">
        <v>1248000</v>
      </c>
      <c r="O578" s="50">
        <v>1248000</v>
      </c>
      <c r="P578" s="50">
        <v>1248000</v>
      </c>
      <c r="Q578" s="50">
        <v>1248000</v>
      </c>
      <c r="R578" s="50">
        <v>1248000</v>
      </c>
      <c r="S578" s="50">
        <v>1248000</v>
      </c>
      <c r="T578" s="50">
        <v>1248000</v>
      </c>
      <c r="U578" s="50">
        <v>1248000</v>
      </c>
      <c r="V578" s="50">
        <v>1248000</v>
      </c>
      <c r="W578" s="50">
        <v>1248000</v>
      </c>
      <c r="X578" s="50">
        <v>1248000</v>
      </c>
      <c r="Y578" s="50">
        <v>1248000</v>
      </c>
      <c r="Z578" s="50">
        <v>1297900</v>
      </c>
      <c r="AA578" s="50">
        <v>1297900</v>
      </c>
      <c r="AB578" s="50">
        <v>1297900</v>
      </c>
      <c r="AC578" s="26">
        <f t="shared" si="18"/>
        <v>4944000</v>
      </c>
      <c r="AD578" s="26">
        <f t="shared" si="19"/>
        <v>15125700</v>
      </c>
      <c r="AE578" s="50">
        <v>15730800</v>
      </c>
      <c r="AF578" s="50">
        <v>16360800</v>
      </c>
      <c r="AG578" s="53" t="s">
        <v>55</v>
      </c>
    </row>
    <row r="579" spans="1:33" ht="15" customHeight="1">
      <c r="A579" s="46" t="s">
        <v>91</v>
      </c>
      <c r="B579" s="3" t="str">
        <f>_xlfn.IFNA(VLOOKUP(C579,Master!$J:$K,2,0),"")</f>
        <v>B2220</v>
      </c>
      <c r="C579" s="46" t="s">
        <v>83</v>
      </c>
      <c r="D579" s="4" t="str">
        <f>_xlfn.IFNA(VLOOKUP(E579,Master!$J:$K,2,0),"")</f>
        <v>B5710</v>
      </c>
      <c r="E579" s="46" t="s">
        <v>265</v>
      </c>
      <c r="F579" s="4">
        <f>_xlfn.IFNA(VLOOKUP(G579,Master!B:C,2,0),"")</f>
        <v>7521101</v>
      </c>
      <c r="G579" s="46" t="s">
        <v>190</v>
      </c>
      <c r="H579" s="46" t="s">
        <v>551</v>
      </c>
      <c r="I579" s="3" t="str">
        <f>_xlfn.IFNA(VLOOKUP(E579,Master!$J:$M,4,0),"")</f>
        <v>IND</v>
      </c>
      <c r="J579" s="3" t="str">
        <f>_xlfn.IFNA(VLOOKUP($E579,Master!$J:$M,3,0),"")</f>
        <v>MFG</v>
      </c>
      <c r="M579" s="50">
        <v>1244300</v>
      </c>
      <c r="N579" s="50">
        <v>1303800</v>
      </c>
      <c r="O579" s="50">
        <v>1299000</v>
      </c>
      <c r="P579" s="50">
        <v>1321000</v>
      </c>
      <c r="Q579" s="50">
        <v>1289700</v>
      </c>
      <c r="R579" s="50">
        <v>1284600</v>
      </c>
      <c r="S579" s="50">
        <v>1282300</v>
      </c>
      <c r="T579" s="50">
        <v>1291700</v>
      </c>
      <c r="U579" s="50">
        <v>1289400</v>
      </c>
      <c r="V579" s="50">
        <v>1284600</v>
      </c>
      <c r="W579" s="50">
        <v>1291700</v>
      </c>
      <c r="X579" s="50">
        <v>1287000</v>
      </c>
      <c r="Y579" s="50">
        <v>1284600</v>
      </c>
      <c r="Z579" s="50">
        <v>1338400</v>
      </c>
      <c r="AA579" s="50">
        <v>1333500</v>
      </c>
      <c r="AB579" s="50">
        <v>1371600</v>
      </c>
      <c r="AC579" s="26">
        <f t="shared" si="18"/>
        <v>5168100</v>
      </c>
      <c r="AD579" s="26">
        <f t="shared" si="19"/>
        <v>15629100</v>
      </c>
      <c r="AE579" s="50">
        <v>15900200</v>
      </c>
      <c r="AF579" s="50">
        <v>16117000</v>
      </c>
      <c r="AG579" s="53" t="s">
        <v>55</v>
      </c>
    </row>
    <row r="580" spans="1:33" ht="15" customHeight="1">
      <c r="A580" s="46" t="s">
        <v>91</v>
      </c>
      <c r="B580" s="3" t="str">
        <f>_xlfn.IFNA(VLOOKUP(C580,Master!$J:$K,2,0),"")</f>
        <v>B2220</v>
      </c>
      <c r="C580" s="46" t="s">
        <v>83</v>
      </c>
      <c r="D580" s="4" t="str">
        <f>_xlfn.IFNA(VLOOKUP(E580,Master!$J:$K,2,0),"")</f>
        <v>B5800</v>
      </c>
      <c r="E580" s="46" t="s">
        <v>226</v>
      </c>
      <c r="F580" s="4">
        <f>_xlfn.IFNA(VLOOKUP(G580,Master!B:C,2,0),"")</f>
        <v>7521101</v>
      </c>
      <c r="G580" s="46" t="s">
        <v>190</v>
      </c>
      <c r="H580" s="46" t="s">
        <v>548</v>
      </c>
      <c r="I580" s="3" t="str">
        <f>_xlfn.IFNA(VLOOKUP(E580,Master!$J:$M,4,0),"")</f>
        <v>IND</v>
      </c>
      <c r="J580" s="3" t="str">
        <f>_xlfn.IFNA(VLOOKUP($E580,Master!$J:$M,3,0),"")</f>
        <v>MFG</v>
      </c>
      <c r="AC580" s="26">
        <f t="shared" si="18"/>
        <v>0</v>
      </c>
      <c r="AD580" s="26">
        <f t="shared" si="19"/>
        <v>0</v>
      </c>
      <c r="AF580" s="50">
        <v>6988500</v>
      </c>
      <c r="AG580" s="53" t="s">
        <v>55</v>
      </c>
    </row>
    <row r="581" spans="1:33" ht="15" customHeight="1">
      <c r="A581" s="46" t="s">
        <v>91</v>
      </c>
      <c r="B581" s="3" t="str">
        <f>_xlfn.IFNA(VLOOKUP(C581,Master!$J:$K,2,0),"")</f>
        <v>B2220</v>
      </c>
      <c r="C581" s="46" t="s">
        <v>83</v>
      </c>
      <c r="D581" s="4" t="str">
        <f>_xlfn.IFNA(VLOOKUP(E581,Master!$J:$K,2,0),"")</f>
        <v>B5800</v>
      </c>
      <c r="E581" s="46" t="s">
        <v>226</v>
      </c>
      <c r="F581" s="4">
        <f>_xlfn.IFNA(VLOOKUP(G581,Master!B:C,2,0),"")</f>
        <v>7521101</v>
      </c>
      <c r="G581" s="46" t="s">
        <v>190</v>
      </c>
      <c r="H581" s="46" t="s">
        <v>549</v>
      </c>
      <c r="I581" s="3" t="str">
        <f>_xlfn.IFNA(VLOOKUP(E581,Master!$J:$M,4,0),"")</f>
        <v>IND</v>
      </c>
      <c r="J581" s="3" t="str">
        <f>_xlfn.IFNA(VLOOKUP($E581,Master!$J:$M,3,0),"")</f>
        <v>MFG</v>
      </c>
      <c r="AC581" s="26">
        <f t="shared" si="18"/>
        <v>0</v>
      </c>
      <c r="AD581" s="26">
        <f t="shared" si="19"/>
        <v>0</v>
      </c>
      <c r="AF581" s="50">
        <v>54642000</v>
      </c>
      <c r="AG581" s="53" t="s">
        <v>55</v>
      </c>
    </row>
    <row r="582" spans="1:33" ht="15" customHeight="1">
      <c r="A582" s="46" t="s">
        <v>91</v>
      </c>
      <c r="B582" s="3" t="str">
        <f>_xlfn.IFNA(VLOOKUP(C582,Master!$J:$K,2,0),"")</f>
        <v>B2220</v>
      </c>
      <c r="C582" s="46" t="s">
        <v>83</v>
      </c>
      <c r="D582" s="4" t="str">
        <f>_xlfn.IFNA(VLOOKUP(E582,Master!$J:$K,2,0),"")</f>
        <v>B5800</v>
      </c>
      <c r="E582" s="46" t="s">
        <v>226</v>
      </c>
      <c r="F582" s="4">
        <f>_xlfn.IFNA(VLOOKUP(G582,Master!B:C,2,0),"")</f>
        <v>7521101</v>
      </c>
      <c r="G582" s="46" t="s">
        <v>190</v>
      </c>
      <c r="H582" s="46" t="s">
        <v>550</v>
      </c>
      <c r="I582" s="3" t="str">
        <f>_xlfn.IFNA(VLOOKUP(E582,Master!$J:$M,4,0),"")</f>
        <v>IND</v>
      </c>
      <c r="J582" s="3" t="str">
        <f>_xlfn.IFNA(VLOOKUP($E582,Master!$J:$M,3,0),"")</f>
        <v>MFG</v>
      </c>
      <c r="AC582" s="26">
        <f t="shared" si="18"/>
        <v>0</v>
      </c>
      <c r="AD582" s="26">
        <f t="shared" si="19"/>
        <v>0</v>
      </c>
      <c r="AF582" s="50">
        <v>4554000</v>
      </c>
      <c r="AG582" s="53" t="s">
        <v>55</v>
      </c>
    </row>
    <row r="583" spans="1:33" ht="15" customHeight="1">
      <c r="A583" s="46" t="s">
        <v>91</v>
      </c>
      <c r="B583" s="3" t="str">
        <f>_xlfn.IFNA(VLOOKUP(C583,Master!$J:$K,2,0),"")</f>
        <v>B2220</v>
      </c>
      <c r="C583" s="46" t="s">
        <v>83</v>
      </c>
      <c r="D583" s="4" t="str">
        <f>_xlfn.IFNA(VLOOKUP(E583,Master!$J:$K,2,0),"")</f>
        <v>B5800</v>
      </c>
      <c r="E583" s="46" t="s">
        <v>226</v>
      </c>
      <c r="F583" s="4">
        <f>_xlfn.IFNA(VLOOKUP(G583,Master!B:C,2,0),"")</f>
        <v>7521101</v>
      </c>
      <c r="G583" s="46" t="s">
        <v>190</v>
      </c>
      <c r="H583" s="46" t="s">
        <v>551</v>
      </c>
      <c r="I583" s="3" t="str">
        <f>_xlfn.IFNA(VLOOKUP(E583,Master!$J:$M,4,0),"")</f>
        <v>IND</v>
      </c>
      <c r="J583" s="3" t="str">
        <f>_xlfn.IFNA(VLOOKUP($E583,Master!$J:$M,3,0),"")</f>
        <v>MFG</v>
      </c>
      <c r="AC583" s="26">
        <f t="shared" si="18"/>
        <v>0</v>
      </c>
      <c r="AD583" s="26">
        <f t="shared" si="19"/>
        <v>0</v>
      </c>
      <c r="AF583" s="50">
        <v>3813400</v>
      </c>
      <c r="AG583" s="53" t="s">
        <v>55</v>
      </c>
    </row>
    <row r="584" spans="1:33" ht="15" customHeight="1">
      <c r="A584" s="46" t="s">
        <v>91</v>
      </c>
      <c r="B584" s="3" t="str">
        <f>_xlfn.IFNA(VLOOKUP(C584,Master!$J:$K,2,0),"")</f>
        <v>B2220</v>
      </c>
      <c r="C584" s="46" t="s">
        <v>83</v>
      </c>
      <c r="D584" s="4" t="str">
        <f>_xlfn.IFNA(VLOOKUP(E584,Master!$J:$K,2,0),"")</f>
        <v>B5900</v>
      </c>
      <c r="E584" s="46" t="s">
        <v>231</v>
      </c>
      <c r="F584" s="4">
        <f>_xlfn.IFNA(VLOOKUP(G584,Master!B:C,2,0),"")</f>
        <v>7521101</v>
      </c>
      <c r="G584" s="46" t="s">
        <v>190</v>
      </c>
      <c r="H584" s="46" t="s">
        <v>548</v>
      </c>
      <c r="I584" s="3" t="str">
        <f>_xlfn.IFNA(VLOOKUP(E584,Master!$J:$M,4,0),"")</f>
        <v>IND</v>
      </c>
      <c r="J584" s="3" t="str">
        <f>_xlfn.IFNA(VLOOKUP($E584,Master!$J:$M,3,0),"")</f>
        <v>MFG</v>
      </c>
      <c r="M584" s="50">
        <v>4310600</v>
      </c>
      <c r="N584" s="50">
        <v>4950400</v>
      </c>
      <c r="O584" s="50">
        <v>4740400</v>
      </c>
      <c r="P584" s="50">
        <v>5713400</v>
      </c>
      <c r="Q584" s="50">
        <v>4754400</v>
      </c>
      <c r="R584" s="50">
        <v>4530400</v>
      </c>
      <c r="S584" s="50">
        <v>4425400</v>
      </c>
      <c r="T584" s="50">
        <v>4845400</v>
      </c>
      <c r="U584" s="50">
        <v>4740400</v>
      </c>
      <c r="V584" s="50">
        <v>4530400</v>
      </c>
      <c r="W584" s="50">
        <v>4845400</v>
      </c>
      <c r="X584" s="50">
        <v>4635400</v>
      </c>
      <c r="Y584" s="50">
        <v>4530400</v>
      </c>
      <c r="Z584" s="50">
        <v>2758800</v>
      </c>
      <c r="AA584" s="50">
        <v>2634800</v>
      </c>
      <c r="AB584" s="50">
        <v>3600800</v>
      </c>
      <c r="AC584" s="26">
        <f t="shared" si="18"/>
        <v>19714800</v>
      </c>
      <c r="AD584" s="26">
        <f t="shared" si="19"/>
        <v>50832000</v>
      </c>
      <c r="AE584" s="50">
        <v>32545600</v>
      </c>
      <c r="AF584" s="50">
        <v>41344500</v>
      </c>
      <c r="AG584" s="53" t="s">
        <v>55</v>
      </c>
    </row>
    <row r="585" spans="1:33" ht="15" customHeight="1">
      <c r="A585" s="46" t="s">
        <v>91</v>
      </c>
      <c r="B585" s="3" t="str">
        <f>_xlfn.IFNA(VLOOKUP(C585,Master!$J:$K,2,0),"")</f>
        <v>B2220</v>
      </c>
      <c r="C585" s="46" t="s">
        <v>83</v>
      </c>
      <c r="D585" s="4" t="str">
        <f>_xlfn.IFNA(VLOOKUP(E585,Master!$J:$K,2,0),"")</f>
        <v>B5900</v>
      </c>
      <c r="E585" s="46" t="s">
        <v>231</v>
      </c>
      <c r="F585" s="4">
        <f>_xlfn.IFNA(VLOOKUP(G585,Master!B:C,2,0),"")</f>
        <v>7521101</v>
      </c>
      <c r="G585" s="46" t="s">
        <v>190</v>
      </c>
      <c r="H585" s="46" t="s">
        <v>549</v>
      </c>
      <c r="I585" s="3" t="str">
        <f>_xlfn.IFNA(VLOOKUP(E585,Master!$J:$M,4,0),"")</f>
        <v>IND</v>
      </c>
      <c r="J585" s="3" t="str">
        <f>_xlfn.IFNA(VLOOKUP($E585,Master!$J:$M,3,0),"")</f>
        <v>MFG</v>
      </c>
      <c r="M585" s="50">
        <v>33600000</v>
      </c>
      <c r="N585" s="50">
        <v>34944000</v>
      </c>
      <c r="O585" s="50">
        <v>34944000</v>
      </c>
      <c r="P585" s="50">
        <v>34944000</v>
      </c>
      <c r="Q585" s="50">
        <v>34944000</v>
      </c>
      <c r="R585" s="50">
        <v>34944000</v>
      </c>
      <c r="S585" s="50">
        <v>34944000</v>
      </c>
      <c r="T585" s="50">
        <v>34944000</v>
      </c>
      <c r="U585" s="50">
        <v>34944000</v>
      </c>
      <c r="V585" s="50">
        <v>34944000</v>
      </c>
      <c r="W585" s="50">
        <v>34944000</v>
      </c>
      <c r="X585" s="50">
        <v>34944000</v>
      </c>
      <c r="Y585" s="50">
        <v>34944000</v>
      </c>
      <c r="Z585" s="50">
        <v>20766800</v>
      </c>
      <c r="AA585" s="50">
        <v>20766800</v>
      </c>
      <c r="AB585" s="50">
        <v>20766800</v>
      </c>
      <c r="AC585" s="26">
        <f t="shared" si="18"/>
        <v>138432000</v>
      </c>
      <c r="AD585" s="26">
        <f t="shared" si="19"/>
        <v>376796400</v>
      </c>
      <c r="AE585" s="50">
        <v>251694000</v>
      </c>
      <c r="AF585" s="50">
        <v>327204000</v>
      </c>
      <c r="AG585" s="53" t="s">
        <v>55</v>
      </c>
    </row>
    <row r="586" spans="1:33" ht="15" customHeight="1">
      <c r="A586" s="46" t="s">
        <v>91</v>
      </c>
      <c r="B586" s="3" t="str">
        <f>_xlfn.IFNA(VLOOKUP(C586,Master!$J:$K,2,0),"")</f>
        <v>B2220</v>
      </c>
      <c r="C586" s="46" t="s">
        <v>83</v>
      </c>
      <c r="D586" s="4" t="str">
        <f>_xlfn.IFNA(VLOOKUP(E586,Master!$J:$K,2,0),"")</f>
        <v>B5900</v>
      </c>
      <c r="E586" s="46" t="s">
        <v>231</v>
      </c>
      <c r="F586" s="4">
        <f>_xlfn.IFNA(VLOOKUP(G586,Master!B:C,2,0),"")</f>
        <v>7521101</v>
      </c>
      <c r="G586" s="46" t="s">
        <v>190</v>
      </c>
      <c r="H586" s="46" t="s">
        <v>550</v>
      </c>
      <c r="I586" s="3" t="str">
        <f>_xlfn.IFNA(VLOOKUP(E586,Master!$J:$M,4,0),"")</f>
        <v>IND</v>
      </c>
      <c r="J586" s="3" t="str">
        <f>_xlfn.IFNA(VLOOKUP($E586,Master!$J:$M,3,0),"")</f>
        <v>MFG</v>
      </c>
      <c r="M586" s="50">
        <v>2800000</v>
      </c>
      <c r="N586" s="50">
        <v>2912000</v>
      </c>
      <c r="O586" s="50">
        <v>2912000</v>
      </c>
      <c r="P586" s="50">
        <v>2912000</v>
      </c>
      <c r="Q586" s="50">
        <v>2912000</v>
      </c>
      <c r="R586" s="50">
        <v>2912000</v>
      </c>
      <c r="S586" s="50">
        <v>2912000</v>
      </c>
      <c r="T586" s="50">
        <v>2912000</v>
      </c>
      <c r="U586" s="50">
        <v>2912000</v>
      </c>
      <c r="V586" s="50">
        <v>2912000</v>
      </c>
      <c r="W586" s="50">
        <v>2912000</v>
      </c>
      <c r="X586" s="50">
        <v>2912000</v>
      </c>
      <c r="Y586" s="50">
        <v>2912000</v>
      </c>
      <c r="Z586" s="50">
        <v>1730600</v>
      </c>
      <c r="AA586" s="50">
        <v>1730600</v>
      </c>
      <c r="AB586" s="50">
        <v>1730600</v>
      </c>
      <c r="AC586" s="26">
        <f t="shared" si="18"/>
        <v>11536000</v>
      </c>
      <c r="AD586" s="26">
        <f t="shared" si="19"/>
        <v>31399800</v>
      </c>
      <c r="AE586" s="50">
        <v>20974800</v>
      </c>
      <c r="AF586" s="50">
        <v>27267600</v>
      </c>
      <c r="AG586" s="53" t="s">
        <v>55</v>
      </c>
    </row>
    <row r="587" spans="1:33" ht="15" customHeight="1">
      <c r="A587" s="46" t="s">
        <v>91</v>
      </c>
      <c r="B587" s="3" t="str">
        <f>_xlfn.IFNA(VLOOKUP(C587,Master!$J:$K,2,0),"")</f>
        <v>B2220</v>
      </c>
      <c r="C587" s="46" t="s">
        <v>83</v>
      </c>
      <c r="D587" s="4" t="str">
        <f>_xlfn.IFNA(VLOOKUP(E587,Master!$J:$K,2,0),"")</f>
        <v>B5900</v>
      </c>
      <c r="E587" s="46" t="s">
        <v>231</v>
      </c>
      <c r="F587" s="4">
        <f>_xlfn.IFNA(VLOOKUP(G587,Master!B:C,2,0),"")</f>
        <v>7521101</v>
      </c>
      <c r="G587" s="46" t="s">
        <v>190</v>
      </c>
      <c r="H587" s="46" t="s">
        <v>551</v>
      </c>
      <c r="I587" s="3" t="str">
        <f>_xlfn.IFNA(VLOOKUP(E587,Master!$J:$M,4,0),"")</f>
        <v>IND</v>
      </c>
      <c r="J587" s="3" t="str">
        <f>_xlfn.IFNA(VLOOKUP($E587,Master!$J:$M,3,0),"")</f>
        <v>MFG</v>
      </c>
      <c r="M587" s="50">
        <v>3041300</v>
      </c>
      <c r="N587" s="50">
        <v>3185200</v>
      </c>
      <c r="O587" s="50">
        <v>3174100</v>
      </c>
      <c r="P587" s="50">
        <v>3225300</v>
      </c>
      <c r="Q587" s="50">
        <v>3092400</v>
      </c>
      <c r="R587" s="50">
        <v>3080600</v>
      </c>
      <c r="S587" s="50">
        <v>3075100</v>
      </c>
      <c r="T587" s="50">
        <v>3097200</v>
      </c>
      <c r="U587" s="50">
        <v>3091600</v>
      </c>
      <c r="V587" s="50">
        <v>3080600</v>
      </c>
      <c r="W587" s="50">
        <v>3097200</v>
      </c>
      <c r="X587" s="50">
        <v>3086100</v>
      </c>
      <c r="Y587" s="50">
        <v>3080600</v>
      </c>
      <c r="Z587" s="50">
        <v>1759100</v>
      </c>
      <c r="AA587" s="50">
        <v>1752600</v>
      </c>
      <c r="AB587" s="50">
        <v>1803400</v>
      </c>
      <c r="AC587" s="26">
        <f t="shared" si="18"/>
        <v>12625900</v>
      </c>
      <c r="AD587" s="26">
        <f t="shared" si="19"/>
        <v>33096500</v>
      </c>
      <c r="AE587" s="50">
        <v>21156900</v>
      </c>
      <c r="AF587" s="50">
        <v>27121100</v>
      </c>
      <c r="AG587" s="53" t="s">
        <v>55</v>
      </c>
    </row>
    <row r="588" spans="1:33" ht="15" customHeight="1">
      <c r="A588" s="46" t="s">
        <v>91</v>
      </c>
      <c r="B588" s="3" t="str">
        <f>_xlfn.IFNA(VLOOKUP(C588,Master!$J:$K,2,0),"")</f>
        <v>B2220</v>
      </c>
      <c r="C588" s="46" t="s">
        <v>83</v>
      </c>
      <c r="D588" s="4" t="str">
        <f>_xlfn.IFNA(VLOOKUP(E588,Master!$J:$K,2,0),"")</f>
        <v>B2300</v>
      </c>
      <c r="E588" s="46" t="s">
        <v>95</v>
      </c>
      <c r="F588" s="4">
        <f>_xlfn.IFNA(VLOOKUP(G588,Master!B:C,2,0),"")</f>
        <v>7521102</v>
      </c>
      <c r="G588" s="46" t="s">
        <v>195</v>
      </c>
      <c r="H588" s="46" t="s">
        <v>552</v>
      </c>
      <c r="I588" s="3" t="str">
        <f>_xlfn.IFNA(VLOOKUP(E588,Master!$J:$M,4,0),"")</f>
        <v>ADM</v>
      </c>
      <c r="J588" s="3" t="str">
        <f>_xlfn.IFNA(VLOOKUP($E588,Master!$J:$M,3,0),"")</f>
        <v>SGA</v>
      </c>
      <c r="Q588" s="50">
        <v>612000</v>
      </c>
      <c r="R588" s="50">
        <v>367200</v>
      </c>
      <c r="S588" s="50">
        <v>367200</v>
      </c>
      <c r="T588" s="50">
        <v>367200</v>
      </c>
      <c r="U588" s="50">
        <v>367200</v>
      </c>
      <c r="V588" s="50">
        <v>367200</v>
      </c>
      <c r="W588" s="50">
        <v>367200</v>
      </c>
      <c r="X588" s="50">
        <v>367200</v>
      </c>
      <c r="Y588" s="50">
        <v>367200</v>
      </c>
      <c r="Z588" s="50">
        <v>381600</v>
      </c>
      <c r="AA588" s="50">
        <v>381600</v>
      </c>
      <c r="AB588" s="50">
        <v>508800</v>
      </c>
      <c r="AC588" s="26">
        <f t="shared" si="18"/>
        <v>0</v>
      </c>
      <c r="AD588" s="26">
        <f t="shared" si="19"/>
        <v>4821600</v>
      </c>
      <c r="AG588" s="53" t="s">
        <v>55</v>
      </c>
    </row>
    <row r="589" spans="1:33" ht="15" customHeight="1">
      <c r="A589" s="46" t="s">
        <v>91</v>
      </c>
      <c r="B589" s="3" t="str">
        <f>_xlfn.IFNA(VLOOKUP(C589,Master!$J:$K,2,0),"")</f>
        <v>B2220</v>
      </c>
      <c r="C589" s="46" t="s">
        <v>83</v>
      </c>
      <c r="D589" s="4" t="str">
        <f>_xlfn.IFNA(VLOOKUP(E589,Master!$J:$K,2,0),"")</f>
        <v>B3150</v>
      </c>
      <c r="E589" s="46" t="s">
        <v>259</v>
      </c>
      <c r="F589" s="4">
        <f>_xlfn.IFNA(VLOOKUP(G589,Master!B:C,2,0),"")</f>
        <v>7521102</v>
      </c>
      <c r="G589" s="46" t="s">
        <v>195</v>
      </c>
      <c r="H589" s="46" t="s">
        <v>552</v>
      </c>
      <c r="I589" s="3" t="str">
        <f>_xlfn.IFNA(VLOOKUP(E589,Master!$J:$M,4,0),"")</f>
        <v>ADM</v>
      </c>
      <c r="J589" s="3" t="str">
        <f>_xlfn.IFNA(VLOOKUP($E589,Master!$J:$M,3,0),"")</f>
        <v>SGA</v>
      </c>
      <c r="M589" s="50">
        <v>18290000</v>
      </c>
      <c r="N589" s="50">
        <v>18972000</v>
      </c>
      <c r="O589" s="50">
        <v>18972000</v>
      </c>
      <c r="P589" s="50">
        <v>18972000</v>
      </c>
      <c r="Q589" s="50">
        <v>18972000</v>
      </c>
      <c r="R589" s="50">
        <v>18972000</v>
      </c>
      <c r="S589" s="50">
        <v>18972000</v>
      </c>
      <c r="T589" s="50">
        <v>18972000</v>
      </c>
      <c r="U589" s="50">
        <v>18972000</v>
      </c>
      <c r="V589" s="50">
        <v>18972000</v>
      </c>
      <c r="W589" s="50">
        <v>18972000</v>
      </c>
      <c r="X589" s="50">
        <v>18972000</v>
      </c>
      <c r="Y589" s="50">
        <v>18972000</v>
      </c>
      <c r="Z589" s="50">
        <v>19716000</v>
      </c>
      <c r="AA589" s="50">
        <v>19716000</v>
      </c>
      <c r="AB589" s="50">
        <v>19716000</v>
      </c>
      <c r="AC589" s="26">
        <f t="shared" ref="AC589:AC652" si="20">SUM(K589:P589)</f>
        <v>75206000</v>
      </c>
      <c r="AD589" s="26">
        <f t="shared" ref="AD589:AD652" si="21">SUM(Q589:AB589)</f>
        <v>229896000</v>
      </c>
      <c r="AE589" s="50">
        <v>238824000</v>
      </c>
      <c r="AF589" s="50">
        <v>247752000</v>
      </c>
      <c r="AG589" s="53" t="s">
        <v>55</v>
      </c>
    </row>
    <row r="590" spans="1:33" ht="15" customHeight="1">
      <c r="A590" s="46" t="s">
        <v>91</v>
      </c>
      <c r="B590" s="3" t="str">
        <f>_xlfn.IFNA(VLOOKUP(C590,Master!$J:$K,2,0),"")</f>
        <v>B2220</v>
      </c>
      <c r="C590" s="46" t="s">
        <v>83</v>
      </c>
      <c r="D590" s="4" t="str">
        <f>_xlfn.IFNA(VLOOKUP(E590,Master!$J:$K,2,0),"")</f>
        <v>B4101</v>
      </c>
      <c r="E590" s="46" t="s">
        <v>132</v>
      </c>
      <c r="F590" s="4">
        <f>_xlfn.IFNA(VLOOKUP(G590,Master!B:C,2,0),"")</f>
        <v>7521102</v>
      </c>
      <c r="G590" s="46" t="s">
        <v>195</v>
      </c>
      <c r="H590" s="46" t="s">
        <v>552</v>
      </c>
      <c r="I590" s="3" t="str">
        <f>_xlfn.IFNA(VLOOKUP(E590,Master!$J:$M,4,0),"")</f>
        <v>DIR</v>
      </c>
      <c r="J590" s="3" t="str">
        <f>_xlfn.IFNA(VLOOKUP($E590,Master!$J:$M,3,0),"")</f>
        <v>MFG</v>
      </c>
      <c r="AC590" s="26">
        <f t="shared" si="20"/>
        <v>0</v>
      </c>
      <c r="AD590" s="26">
        <f t="shared" si="21"/>
        <v>0</v>
      </c>
      <c r="AF590" s="50">
        <v>30267500</v>
      </c>
      <c r="AG590" s="53" t="s">
        <v>55</v>
      </c>
    </row>
    <row r="591" spans="1:33" ht="15" customHeight="1">
      <c r="A591" s="46" t="s">
        <v>91</v>
      </c>
      <c r="B591" s="3" t="str">
        <f>_xlfn.IFNA(VLOOKUP(C591,Master!$J:$K,2,0),"")</f>
        <v>B2220</v>
      </c>
      <c r="C591" s="46" t="s">
        <v>83</v>
      </c>
      <c r="D591" s="4" t="str">
        <f>_xlfn.IFNA(VLOOKUP(E591,Master!$J:$K,2,0),"")</f>
        <v>B4102</v>
      </c>
      <c r="E591" s="46" t="s">
        <v>139</v>
      </c>
      <c r="F591" s="4">
        <f>_xlfn.IFNA(VLOOKUP(G591,Master!B:C,2,0),"")</f>
        <v>7521102</v>
      </c>
      <c r="G591" s="46" t="s">
        <v>195</v>
      </c>
      <c r="H591" s="46" t="s">
        <v>552</v>
      </c>
      <c r="I591" s="3" t="str">
        <f>_xlfn.IFNA(VLOOKUP(E591,Master!$J:$M,4,0),"")</f>
        <v>DIR</v>
      </c>
      <c r="J591" s="3" t="str">
        <f>_xlfn.IFNA(VLOOKUP($E591,Master!$J:$M,3,0),"")</f>
        <v>MFG</v>
      </c>
      <c r="Q591" s="50">
        <v>2894800</v>
      </c>
      <c r="R591" s="50">
        <v>4479900</v>
      </c>
      <c r="S591" s="50">
        <v>2980500</v>
      </c>
      <c r="T591" s="50">
        <v>4210600</v>
      </c>
      <c r="U591" s="50">
        <v>3812800</v>
      </c>
      <c r="V591" s="50">
        <v>3500700</v>
      </c>
      <c r="AC591" s="26">
        <f t="shared" si="20"/>
        <v>0</v>
      </c>
      <c r="AD591" s="26">
        <f t="shared" si="21"/>
        <v>21879300</v>
      </c>
      <c r="AE591" s="50">
        <v>14328600</v>
      </c>
      <c r="AF591" s="50">
        <v>104849400</v>
      </c>
      <c r="AG591" s="53" t="s">
        <v>55</v>
      </c>
    </row>
    <row r="592" spans="1:33" ht="15" customHeight="1">
      <c r="A592" s="46" t="s">
        <v>91</v>
      </c>
      <c r="B592" s="3" t="str">
        <f>_xlfn.IFNA(VLOOKUP(C592,Master!$J:$K,2,0),"")</f>
        <v>B2220</v>
      </c>
      <c r="C592" s="46" t="s">
        <v>83</v>
      </c>
      <c r="D592" s="4" t="str">
        <f>_xlfn.IFNA(VLOOKUP(E592,Master!$J:$K,2,0),"")</f>
        <v>B4105</v>
      </c>
      <c r="E592" s="46" t="s">
        <v>149</v>
      </c>
      <c r="F592" s="4">
        <f>_xlfn.IFNA(VLOOKUP(G592,Master!B:C,2,0),"")</f>
        <v>7521102</v>
      </c>
      <c r="G592" s="46" t="s">
        <v>195</v>
      </c>
      <c r="H592" s="46" t="s">
        <v>552</v>
      </c>
      <c r="I592" s="3" t="str">
        <f>_xlfn.IFNA(VLOOKUP(E592,Master!$J:$M,4,0),"")</f>
        <v>DIR</v>
      </c>
      <c r="J592" s="3" t="str">
        <f>_xlfn.IFNA(VLOOKUP($E592,Master!$J:$M,3,0),"")</f>
        <v>MFG</v>
      </c>
      <c r="AC592" s="26">
        <f t="shared" si="20"/>
        <v>0</v>
      </c>
      <c r="AD592" s="26">
        <f t="shared" si="21"/>
        <v>0</v>
      </c>
      <c r="AF592" s="50">
        <v>14254700</v>
      </c>
      <c r="AG592" s="53" t="s">
        <v>55</v>
      </c>
    </row>
    <row r="593" spans="1:33" ht="15" customHeight="1">
      <c r="A593" s="46" t="s">
        <v>91</v>
      </c>
      <c r="B593" s="3" t="str">
        <f>_xlfn.IFNA(VLOOKUP(C593,Master!$J:$K,2,0),"")</f>
        <v>B2220</v>
      </c>
      <c r="C593" s="46" t="s">
        <v>83</v>
      </c>
      <c r="D593" s="4" t="str">
        <f>_xlfn.IFNA(VLOOKUP(E593,Master!$J:$K,2,0),"")</f>
        <v>B4110</v>
      </c>
      <c r="E593" s="46" t="s">
        <v>162</v>
      </c>
      <c r="F593" s="4">
        <f>_xlfn.IFNA(VLOOKUP(G593,Master!B:C,2,0),"")</f>
        <v>7521102</v>
      </c>
      <c r="G593" s="46" t="s">
        <v>195</v>
      </c>
      <c r="H593" s="46" t="s">
        <v>552</v>
      </c>
      <c r="I593" s="3" t="str">
        <f>_xlfn.IFNA(VLOOKUP(E593,Master!$J:$M,4,0),"")</f>
        <v>DIR</v>
      </c>
      <c r="J593" s="3" t="str">
        <f>_xlfn.IFNA(VLOOKUP($E593,Master!$J:$M,3,0),"")</f>
        <v>MFG</v>
      </c>
      <c r="M593" s="50">
        <v>43542000</v>
      </c>
      <c r="N593" s="50">
        <v>16524000</v>
      </c>
      <c r="O593" s="50">
        <v>44285400</v>
      </c>
      <c r="P593" s="50">
        <v>52657200</v>
      </c>
      <c r="Q593" s="50">
        <v>95288400</v>
      </c>
      <c r="R593" s="50">
        <v>81079200</v>
      </c>
      <c r="S593" s="50">
        <v>75459600</v>
      </c>
      <c r="AC593" s="26">
        <f t="shared" si="20"/>
        <v>157008600</v>
      </c>
      <c r="AD593" s="26">
        <f t="shared" si="21"/>
        <v>251827200</v>
      </c>
      <c r="AE593" s="50">
        <v>38065400</v>
      </c>
      <c r="AF593" s="50">
        <v>60010300</v>
      </c>
      <c r="AG593" s="53" t="s">
        <v>55</v>
      </c>
    </row>
    <row r="594" spans="1:33" ht="15" customHeight="1">
      <c r="A594" s="46" t="s">
        <v>91</v>
      </c>
      <c r="B594" s="3" t="str">
        <f>_xlfn.IFNA(VLOOKUP(C594,Master!$J:$K,2,0),"")</f>
        <v>B2220</v>
      </c>
      <c r="C594" s="46" t="s">
        <v>83</v>
      </c>
      <c r="D594" s="4" t="str">
        <f>_xlfn.IFNA(VLOOKUP(E594,Master!$J:$K,2,0),"")</f>
        <v>B4114</v>
      </c>
      <c r="E594" s="46" t="s">
        <v>172</v>
      </c>
      <c r="F594" s="4">
        <f>_xlfn.IFNA(VLOOKUP(G594,Master!B:C,2,0),"")</f>
        <v>7521102</v>
      </c>
      <c r="G594" s="46" t="s">
        <v>195</v>
      </c>
      <c r="H594" s="46" t="s">
        <v>552</v>
      </c>
      <c r="I594" s="3" t="str">
        <f>_xlfn.IFNA(VLOOKUP(E594,Master!$J:$M,4,0),"")</f>
        <v>DIR</v>
      </c>
      <c r="J594" s="3" t="str">
        <f>_xlfn.IFNA(VLOOKUP($E594,Master!$J:$M,3,0),"")</f>
        <v>MFG</v>
      </c>
      <c r="M594" s="50">
        <v>4897000</v>
      </c>
      <c r="N594" s="50">
        <v>3855600</v>
      </c>
      <c r="O594" s="50">
        <v>5042900</v>
      </c>
      <c r="P594" s="50">
        <v>5373400</v>
      </c>
      <c r="Q594" s="50">
        <v>7087000</v>
      </c>
      <c r="R594" s="50">
        <v>6517800</v>
      </c>
      <c r="S594" s="50">
        <v>18874200</v>
      </c>
      <c r="AC594" s="26">
        <f t="shared" si="20"/>
        <v>19168900</v>
      </c>
      <c r="AD594" s="26">
        <f t="shared" si="21"/>
        <v>32479000</v>
      </c>
      <c r="AG594" s="53" t="s">
        <v>55</v>
      </c>
    </row>
    <row r="595" spans="1:33" ht="15" customHeight="1">
      <c r="A595" s="46" t="s">
        <v>91</v>
      </c>
      <c r="B595" s="3" t="str">
        <f>_xlfn.IFNA(VLOOKUP(C595,Master!$J:$K,2,0),"")</f>
        <v>B2220</v>
      </c>
      <c r="C595" s="46" t="s">
        <v>83</v>
      </c>
      <c r="D595" s="4" t="str">
        <f>_xlfn.IFNA(VLOOKUP(E595,Master!$J:$K,2,0),"")</f>
        <v>B4120</v>
      </c>
      <c r="E595" s="46" t="s">
        <v>177</v>
      </c>
      <c r="F595" s="4">
        <f>_xlfn.IFNA(VLOOKUP(G595,Master!B:C,2,0),"")</f>
        <v>7521102</v>
      </c>
      <c r="G595" s="46" t="s">
        <v>195</v>
      </c>
      <c r="H595" s="46" t="s">
        <v>552</v>
      </c>
      <c r="I595" s="3" t="str">
        <f>_xlfn.IFNA(VLOOKUP(E595,Master!$J:$M,4,0),"")</f>
        <v>DIR</v>
      </c>
      <c r="J595" s="3" t="str">
        <f>_xlfn.IFNA(VLOOKUP($E595,Master!$J:$M,3,0),"")</f>
        <v>MFG</v>
      </c>
      <c r="M595" s="50">
        <v>106123300</v>
      </c>
      <c r="N595" s="50">
        <v>108448200</v>
      </c>
      <c r="O595" s="50">
        <v>109526000</v>
      </c>
      <c r="P595" s="50">
        <v>109189400</v>
      </c>
      <c r="Q595" s="50">
        <v>78851100</v>
      </c>
      <c r="R595" s="50">
        <v>82102400</v>
      </c>
      <c r="S595" s="50">
        <v>79437600</v>
      </c>
      <c r="T595" s="50">
        <v>100062000</v>
      </c>
      <c r="U595" s="50">
        <v>100227600</v>
      </c>
      <c r="V595" s="50">
        <v>100668600</v>
      </c>
      <c r="W595" s="50">
        <v>97712400</v>
      </c>
      <c r="X595" s="50">
        <v>98153200</v>
      </c>
      <c r="Y595" s="50">
        <v>98473000</v>
      </c>
      <c r="Z595" s="50">
        <v>102053200</v>
      </c>
      <c r="AA595" s="50">
        <v>102002000</v>
      </c>
      <c r="AB595" s="50">
        <v>108769400</v>
      </c>
      <c r="AC595" s="26">
        <f t="shared" si="20"/>
        <v>433286900</v>
      </c>
      <c r="AD595" s="26">
        <f t="shared" si="21"/>
        <v>1148512500</v>
      </c>
      <c r="AE595" s="50">
        <v>1326530800</v>
      </c>
      <c r="AF595" s="50">
        <v>1396188200</v>
      </c>
      <c r="AG595" s="53" t="s">
        <v>55</v>
      </c>
    </row>
    <row r="596" spans="1:33" ht="15" customHeight="1">
      <c r="A596" s="46" t="s">
        <v>91</v>
      </c>
      <c r="B596" s="3" t="str">
        <f>_xlfn.IFNA(VLOOKUP(C596,Master!$J:$K,2,0),"")</f>
        <v>B2220</v>
      </c>
      <c r="C596" s="46" t="s">
        <v>83</v>
      </c>
      <c r="D596" s="4" t="str">
        <f>_xlfn.IFNA(VLOOKUP(E596,Master!$J:$K,2,0),"")</f>
        <v>B4130</v>
      </c>
      <c r="E596" s="46" t="s">
        <v>158</v>
      </c>
      <c r="F596" s="4">
        <f>_xlfn.IFNA(VLOOKUP(G596,Master!B:C,2,0),"")</f>
        <v>7521102</v>
      </c>
      <c r="G596" s="46" t="s">
        <v>195</v>
      </c>
      <c r="H596" s="46" t="s">
        <v>552</v>
      </c>
      <c r="I596" s="3" t="str">
        <f>_xlfn.IFNA(VLOOKUP(E596,Master!$J:$M,4,0),"")</f>
        <v>DIR</v>
      </c>
      <c r="J596" s="3" t="str">
        <f>_xlfn.IFNA(VLOOKUP($E596,Master!$J:$M,3,0),"")</f>
        <v>MFG</v>
      </c>
      <c r="AC596" s="26">
        <f t="shared" si="20"/>
        <v>0</v>
      </c>
      <c r="AD596" s="26">
        <f t="shared" si="21"/>
        <v>0</v>
      </c>
      <c r="AE596" s="50">
        <v>41567200</v>
      </c>
      <c r="AF596" s="50">
        <v>94391000</v>
      </c>
      <c r="AG596" s="53" t="s">
        <v>55</v>
      </c>
    </row>
    <row r="597" spans="1:33" ht="15" customHeight="1">
      <c r="A597" s="46" t="s">
        <v>91</v>
      </c>
      <c r="B597" s="3" t="str">
        <f>_xlfn.IFNA(VLOOKUP(C597,Master!$J:$K,2,0),"")</f>
        <v>B2220</v>
      </c>
      <c r="C597" s="46" t="s">
        <v>83</v>
      </c>
      <c r="D597" s="4" t="str">
        <f>_xlfn.IFNA(VLOOKUP(E597,Master!$J:$K,2,0),"")</f>
        <v>B4410</v>
      </c>
      <c r="E597" s="46" t="s">
        <v>188</v>
      </c>
      <c r="F597" s="4">
        <f>_xlfn.IFNA(VLOOKUP(G597,Master!B:C,2,0),"")</f>
        <v>7521102</v>
      </c>
      <c r="G597" s="46" t="s">
        <v>195</v>
      </c>
      <c r="H597" s="46" t="s">
        <v>552</v>
      </c>
      <c r="I597" s="3" t="str">
        <f>_xlfn.IFNA(VLOOKUP(E597,Master!$J:$M,4,0),"")</f>
        <v>DIR</v>
      </c>
      <c r="J597" s="3" t="str">
        <f>_xlfn.IFNA(VLOOKUP($E597,Master!$J:$M,3,0),"")</f>
        <v>MFG</v>
      </c>
      <c r="M597" s="50">
        <v>4425000</v>
      </c>
      <c r="N597" s="50">
        <v>8568000</v>
      </c>
      <c r="O597" s="50">
        <v>23930000</v>
      </c>
      <c r="P597" s="50">
        <v>37014300</v>
      </c>
      <c r="Q597" s="50">
        <v>5581600</v>
      </c>
      <c r="R597" s="50">
        <v>25704000</v>
      </c>
      <c r="S597" s="50">
        <v>22668800</v>
      </c>
      <c r="T597" s="50">
        <v>20612800</v>
      </c>
      <c r="U597" s="50">
        <v>46806400</v>
      </c>
      <c r="V597" s="50">
        <v>3213000</v>
      </c>
      <c r="W597" s="50">
        <v>52179400</v>
      </c>
      <c r="AC597" s="26">
        <f t="shared" si="20"/>
        <v>73937300</v>
      </c>
      <c r="AD597" s="26">
        <f t="shared" si="21"/>
        <v>176766000</v>
      </c>
      <c r="AG597" s="53" t="s">
        <v>55</v>
      </c>
    </row>
    <row r="598" spans="1:33" ht="15" customHeight="1">
      <c r="A598" s="46" t="s">
        <v>91</v>
      </c>
      <c r="B598" s="3" t="str">
        <f>_xlfn.IFNA(VLOOKUP(C598,Master!$J:$K,2,0),"")</f>
        <v>B2220</v>
      </c>
      <c r="C598" s="46" t="s">
        <v>83</v>
      </c>
      <c r="D598" s="4" t="str">
        <f>_xlfn.IFNA(VLOOKUP(E598,Master!$J:$K,2,0),"")</f>
        <v>B4430</v>
      </c>
      <c r="E598" s="46" t="s">
        <v>193</v>
      </c>
      <c r="F598" s="4">
        <f>_xlfn.IFNA(VLOOKUP(G598,Master!B:C,2,0),"")</f>
        <v>7521102</v>
      </c>
      <c r="G598" s="46" t="s">
        <v>195</v>
      </c>
      <c r="H598" s="46" t="s">
        <v>552</v>
      </c>
      <c r="I598" s="3" t="str">
        <f>_xlfn.IFNA(VLOOKUP(E598,Master!$J:$M,4,0),"")</f>
        <v>DIR</v>
      </c>
      <c r="J598" s="3" t="str">
        <f>_xlfn.IFNA(VLOOKUP($E598,Master!$J:$M,3,0),"")</f>
        <v>MFG</v>
      </c>
      <c r="M598" s="50">
        <v>27376000</v>
      </c>
      <c r="N598" s="50">
        <v>33906000</v>
      </c>
      <c r="O598" s="50">
        <v>71360000</v>
      </c>
      <c r="P598" s="50">
        <v>89720000</v>
      </c>
      <c r="Q598" s="50">
        <v>21298000</v>
      </c>
      <c r="R598" s="50">
        <v>63648000</v>
      </c>
      <c r="S598" s="50">
        <v>46636000</v>
      </c>
      <c r="T598" s="50">
        <v>69652100</v>
      </c>
      <c r="U598" s="50">
        <v>86366000</v>
      </c>
      <c r="V598" s="50">
        <v>6340400</v>
      </c>
      <c r="W598" s="50">
        <v>11995200</v>
      </c>
      <c r="AC598" s="26">
        <f t="shared" si="20"/>
        <v>222362000</v>
      </c>
      <c r="AD598" s="26">
        <f t="shared" si="21"/>
        <v>305935700</v>
      </c>
      <c r="AG598" s="53" t="s">
        <v>55</v>
      </c>
    </row>
    <row r="599" spans="1:33" ht="15" customHeight="1">
      <c r="A599" s="46" t="s">
        <v>91</v>
      </c>
      <c r="B599" s="3" t="str">
        <f>_xlfn.IFNA(VLOOKUP(C599,Master!$J:$K,2,0),"")</f>
        <v>B2220</v>
      </c>
      <c r="C599" s="46" t="s">
        <v>83</v>
      </c>
      <c r="D599" s="4" t="str">
        <f>_xlfn.IFNA(VLOOKUP(E599,Master!$J:$K,2,0),"")</f>
        <v>B4440</v>
      </c>
      <c r="E599" s="46" t="s">
        <v>198</v>
      </c>
      <c r="F599" s="4">
        <f>_xlfn.IFNA(VLOOKUP(G599,Master!B:C,2,0),"")</f>
        <v>7521102</v>
      </c>
      <c r="G599" s="46" t="s">
        <v>195</v>
      </c>
      <c r="H599" s="46" t="s">
        <v>552</v>
      </c>
      <c r="I599" s="3" t="str">
        <f>_xlfn.IFNA(VLOOKUP(E599,Master!$J:$M,4,0),"")</f>
        <v>DIR</v>
      </c>
      <c r="J599" s="3" t="str">
        <f>_xlfn.IFNA(VLOOKUP($E599,Master!$J:$M,3,0),"")</f>
        <v>MFG</v>
      </c>
      <c r="M599" s="50">
        <v>2419000</v>
      </c>
      <c r="N599" s="50">
        <v>3182400</v>
      </c>
      <c r="O599" s="50">
        <v>6517800</v>
      </c>
      <c r="P599" s="50">
        <v>9290400</v>
      </c>
      <c r="Q599" s="50">
        <v>4333000</v>
      </c>
      <c r="R599" s="50">
        <v>7246200</v>
      </c>
      <c r="S599" s="50">
        <v>5153200</v>
      </c>
      <c r="T599" s="50">
        <v>8678200</v>
      </c>
      <c r="U599" s="50">
        <v>8115200</v>
      </c>
      <c r="V599" s="50">
        <v>2160400</v>
      </c>
      <c r="AC599" s="26">
        <f t="shared" si="20"/>
        <v>21409600</v>
      </c>
      <c r="AD599" s="26">
        <f t="shared" si="21"/>
        <v>35686200</v>
      </c>
      <c r="AG599" s="53" t="s">
        <v>55</v>
      </c>
    </row>
    <row r="600" spans="1:33" ht="15" customHeight="1">
      <c r="A600" s="46" t="s">
        <v>91</v>
      </c>
      <c r="B600" s="3" t="str">
        <f>_xlfn.IFNA(VLOOKUP(C600,Master!$J:$K,2,0),"")</f>
        <v>B2220</v>
      </c>
      <c r="C600" s="46" t="s">
        <v>83</v>
      </c>
      <c r="D600" s="4" t="str">
        <f>_xlfn.IFNA(VLOOKUP(E600,Master!$J:$K,2,0),"")</f>
        <v>B5130</v>
      </c>
      <c r="E600" s="46" t="s">
        <v>247</v>
      </c>
      <c r="F600" s="4">
        <f>_xlfn.IFNA(VLOOKUP(G600,Master!B:C,2,0),"")</f>
        <v>7521102</v>
      </c>
      <c r="G600" s="46" t="s">
        <v>195</v>
      </c>
      <c r="H600" s="46" t="s">
        <v>552</v>
      </c>
      <c r="I600" s="3" t="str">
        <f>_xlfn.IFNA(VLOOKUP(E600,Master!$J:$M,4,0),"")</f>
        <v>IND</v>
      </c>
      <c r="J600" s="3" t="str">
        <f>_xlfn.IFNA(VLOOKUP($E600,Master!$J:$M,3,0),"")</f>
        <v>MFG</v>
      </c>
      <c r="M600" s="50">
        <v>1770000</v>
      </c>
      <c r="N600" s="50">
        <v>1836000</v>
      </c>
      <c r="O600" s="50">
        <v>1836000</v>
      </c>
      <c r="P600" s="50">
        <v>1836000</v>
      </c>
      <c r="Q600" s="50">
        <v>1836000</v>
      </c>
      <c r="R600" s="50">
        <v>1836000</v>
      </c>
      <c r="S600" s="50">
        <v>1836000</v>
      </c>
      <c r="T600" s="50">
        <v>1836000</v>
      </c>
      <c r="U600" s="50">
        <v>1836000</v>
      </c>
      <c r="V600" s="50">
        <v>1836000</v>
      </c>
      <c r="W600" s="50">
        <v>3672000</v>
      </c>
      <c r="X600" s="50">
        <v>3672000</v>
      </c>
      <c r="Y600" s="50">
        <v>3672000</v>
      </c>
      <c r="Z600" s="50">
        <v>3816000</v>
      </c>
      <c r="AA600" s="50">
        <v>3816000</v>
      </c>
      <c r="AB600" s="50">
        <v>3816000</v>
      </c>
      <c r="AC600" s="26">
        <f t="shared" si="20"/>
        <v>7278000</v>
      </c>
      <c r="AD600" s="26">
        <f t="shared" si="21"/>
        <v>33480000</v>
      </c>
      <c r="AE600" s="50">
        <v>58482000</v>
      </c>
      <c r="AF600" s="50">
        <v>67824000</v>
      </c>
      <c r="AG600" s="53" t="s">
        <v>55</v>
      </c>
    </row>
    <row r="601" spans="1:33" ht="15" customHeight="1">
      <c r="A601" s="46" t="s">
        <v>91</v>
      </c>
      <c r="B601" s="3" t="str">
        <f>_xlfn.IFNA(VLOOKUP(C601,Master!$J:$K,2,0),"")</f>
        <v>B2220</v>
      </c>
      <c r="C601" s="46" t="s">
        <v>83</v>
      </c>
      <c r="D601" s="4" t="str">
        <f>_xlfn.IFNA(VLOOKUP(E601,Master!$J:$K,2,0),"")</f>
        <v>B5710</v>
      </c>
      <c r="E601" s="46" t="s">
        <v>265</v>
      </c>
      <c r="F601" s="4">
        <f>_xlfn.IFNA(VLOOKUP(G601,Master!B:C,2,0),"")</f>
        <v>7521102</v>
      </c>
      <c r="G601" s="46" t="s">
        <v>195</v>
      </c>
      <c r="H601" s="46" t="s">
        <v>552</v>
      </c>
      <c r="I601" s="3" t="str">
        <f>_xlfn.IFNA(VLOOKUP(E601,Master!$J:$M,4,0),"")</f>
        <v>IND</v>
      </c>
      <c r="J601" s="3" t="str">
        <f>_xlfn.IFNA(VLOOKUP($E601,Master!$J:$M,3,0),"")</f>
        <v>MFG</v>
      </c>
      <c r="M601" s="50">
        <v>6195000</v>
      </c>
      <c r="N601" s="50">
        <v>6426000</v>
      </c>
      <c r="O601" s="50">
        <v>6426000</v>
      </c>
      <c r="P601" s="50">
        <v>6426000</v>
      </c>
      <c r="Q601" s="50">
        <v>6242400</v>
      </c>
      <c r="R601" s="50">
        <v>6242400</v>
      </c>
      <c r="S601" s="50">
        <v>6242400</v>
      </c>
      <c r="T601" s="50">
        <v>6242400</v>
      </c>
      <c r="U601" s="50">
        <v>6242400</v>
      </c>
      <c r="V601" s="50">
        <v>6242400</v>
      </c>
      <c r="W601" s="50">
        <v>6242400</v>
      </c>
      <c r="X601" s="50">
        <v>6242400</v>
      </c>
      <c r="Y601" s="50">
        <v>6242400</v>
      </c>
      <c r="Z601" s="50">
        <v>6487200</v>
      </c>
      <c r="AA601" s="50">
        <v>6487200</v>
      </c>
      <c r="AB601" s="50">
        <v>6487200</v>
      </c>
      <c r="AC601" s="26">
        <f t="shared" si="20"/>
        <v>25473000</v>
      </c>
      <c r="AD601" s="26">
        <f t="shared" si="21"/>
        <v>75643200</v>
      </c>
      <c r="AE601" s="50">
        <v>73188000</v>
      </c>
      <c r="AF601" s="50">
        <v>68731200</v>
      </c>
      <c r="AG601" s="53" t="s">
        <v>55</v>
      </c>
    </row>
    <row r="602" spans="1:33" ht="15" customHeight="1">
      <c r="A602" s="46" t="s">
        <v>91</v>
      </c>
      <c r="B602" s="3" t="str">
        <f>_xlfn.IFNA(VLOOKUP(C602,Master!$J:$K,2,0),"")</f>
        <v>B2220</v>
      </c>
      <c r="C602" s="46" t="s">
        <v>83</v>
      </c>
      <c r="D602" s="4" t="str">
        <f>_xlfn.IFNA(VLOOKUP(E602,Master!$J:$K,2,0),"")</f>
        <v>B5800</v>
      </c>
      <c r="E602" s="46" t="s">
        <v>226</v>
      </c>
      <c r="F602" s="4">
        <f>_xlfn.IFNA(VLOOKUP(G602,Master!B:C,2,0),"")</f>
        <v>7521102</v>
      </c>
      <c r="G602" s="46" t="s">
        <v>195</v>
      </c>
      <c r="H602" s="46" t="s">
        <v>552</v>
      </c>
      <c r="I602" s="3" t="str">
        <f>_xlfn.IFNA(VLOOKUP(E602,Master!$J:$M,4,0),"")</f>
        <v>IND</v>
      </c>
      <c r="J602" s="3" t="str">
        <f>_xlfn.IFNA(VLOOKUP($E602,Master!$J:$M,3,0),"")</f>
        <v>MFG</v>
      </c>
      <c r="AC602" s="26">
        <f t="shared" si="20"/>
        <v>0</v>
      </c>
      <c r="AD602" s="26">
        <f t="shared" si="21"/>
        <v>0</v>
      </c>
      <c r="AF602" s="50">
        <v>6271800</v>
      </c>
      <c r="AG602" s="53" t="s">
        <v>55</v>
      </c>
    </row>
    <row r="603" spans="1:33" ht="15" customHeight="1">
      <c r="A603" s="46" t="s">
        <v>91</v>
      </c>
      <c r="B603" s="3" t="str">
        <f>_xlfn.IFNA(VLOOKUP(C603,Master!$J:$K,2,0),"")</f>
        <v>B2220</v>
      </c>
      <c r="C603" s="46" t="s">
        <v>83</v>
      </c>
      <c r="D603" s="4" t="str">
        <f>_xlfn.IFNA(VLOOKUP(E603,Master!$J:$K,2,0),"")</f>
        <v>B5900</v>
      </c>
      <c r="E603" s="46" t="s">
        <v>231</v>
      </c>
      <c r="F603" s="4">
        <f>_xlfn.IFNA(VLOOKUP(G603,Master!B:C,2,0),"")</f>
        <v>7521102</v>
      </c>
      <c r="G603" s="46" t="s">
        <v>195</v>
      </c>
      <c r="H603" s="46" t="s">
        <v>552</v>
      </c>
      <c r="I603" s="3" t="str">
        <f>_xlfn.IFNA(VLOOKUP(E603,Master!$J:$M,4,0),"")</f>
        <v>IND</v>
      </c>
      <c r="J603" s="3" t="str">
        <f>_xlfn.IFNA(VLOOKUP($E603,Master!$J:$M,3,0),"")</f>
        <v>MFG</v>
      </c>
      <c r="M603" s="50">
        <v>17074600</v>
      </c>
      <c r="N603" s="50">
        <v>17711500</v>
      </c>
      <c r="O603" s="50">
        <v>17711500</v>
      </c>
      <c r="P603" s="50">
        <v>17711500</v>
      </c>
      <c r="Q603" s="50">
        <v>16144800</v>
      </c>
      <c r="R603" s="50">
        <v>16144800</v>
      </c>
      <c r="S603" s="50">
        <v>16144800</v>
      </c>
      <c r="T603" s="50">
        <v>16144800</v>
      </c>
      <c r="U603" s="50">
        <v>16144800</v>
      </c>
      <c r="V603" s="50">
        <v>16144800</v>
      </c>
      <c r="W603" s="50">
        <v>16144800</v>
      </c>
      <c r="X603" s="50">
        <v>16144800</v>
      </c>
      <c r="Y603" s="50">
        <v>16144800</v>
      </c>
      <c r="Z603" s="50">
        <v>8166300</v>
      </c>
      <c r="AA603" s="50">
        <v>8166300</v>
      </c>
      <c r="AB603" s="50">
        <v>8166300</v>
      </c>
      <c r="AC603" s="26">
        <f t="shared" si="20"/>
        <v>70209100</v>
      </c>
      <c r="AD603" s="26">
        <f t="shared" si="21"/>
        <v>169802100</v>
      </c>
      <c r="AE603" s="50">
        <v>96763500</v>
      </c>
      <c r="AF603" s="50">
        <v>119480700</v>
      </c>
      <c r="AG603" s="53" t="s">
        <v>55</v>
      </c>
    </row>
    <row r="604" spans="1:33" ht="15" customHeight="1">
      <c r="B604" s="3" t="str">
        <f>_xlfn.IFNA(VLOOKUP(C604,Master!$J:$K,2,0),"")</f>
        <v/>
      </c>
      <c r="D604" s="4" t="str">
        <f>_xlfn.IFNA(VLOOKUP(E604,Master!$J:$K,2,0),"")</f>
        <v/>
      </c>
      <c r="F604" s="4" t="str">
        <f>_xlfn.IFNA(VLOOKUP(G604,Master!B:C,2,0),"")</f>
        <v/>
      </c>
      <c r="I604" s="3" t="str">
        <f>_xlfn.IFNA(VLOOKUP(E604,Master!$J:$M,4,0),"")</f>
        <v/>
      </c>
      <c r="J604" s="3" t="str">
        <f>_xlfn.IFNA(VLOOKUP($E604,Master!$J:$M,3,0),"")</f>
        <v/>
      </c>
      <c r="AC604" s="26">
        <f t="shared" si="20"/>
        <v>0</v>
      </c>
      <c r="AD604" s="26">
        <f t="shared" si="21"/>
        <v>0</v>
      </c>
    </row>
    <row r="605" spans="1:33" ht="15" customHeight="1">
      <c r="B605" s="3" t="str">
        <f>_xlfn.IFNA(VLOOKUP(C605,Master!$J:$K,2,0),"")</f>
        <v/>
      </c>
      <c r="D605" s="4" t="str">
        <f>_xlfn.IFNA(VLOOKUP(E605,Master!$J:$K,2,0),"")</f>
        <v/>
      </c>
      <c r="F605" s="4" t="str">
        <f>_xlfn.IFNA(VLOOKUP(G605,Master!B:C,2,0),"")</f>
        <v/>
      </c>
      <c r="I605" s="3" t="str">
        <f>_xlfn.IFNA(VLOOKUP(E605,Master!$J:$M,4,0),"")</f>
        <v/>
      </c>
      <c r="J605" s="3" t="str">
        <f>_xlfn.IFNA(VLOOKUP($E605,Master!$J:$M,3,0),"")</f>
        <v/>
      </c>
      <c r="AC605" s="26">
        <f t="shared" si="20"/>
        <v>0</v>
      </c>
      <c r="AD605" s="26">
        <f t="shared" si="21"/>
        <v>0</v>
      </c>
    </row>
    <row r="606" spans="1:33" ht="15" customHeight="1">
      <c r="B606" s="3" t="str">
        <f>_xlfn.IFNA(VLOOKUP(C606,Master!$J:$K,2,0),"")</f>
        <v/>
      </c>
      <c r="D606" s="4" t="str">
        <f>_xlfn.IFNA(VLOOKUP(E606,Master!$J:$K,2,0),"")</f>
        <v/>
      </c>
      <c r="F606" s="4" t="str">
        <f>_xlfn.IFNA(VLOOKUP(G606,Master!B:C,2,0),"")</f>
        <v/>
      </c>
      <c r="I606" s="3" t="str">
        <f>_xlfn.IFNA(VLOOKUP(E606,Master!$J:$M,4,0),"")</f>
        <v/>
      </c>
      <c r="J606" s="3" t="str">
        <f>_xlfn.IFNA(VLOOKUP($E606,Master!$J:$M,3,0),"")</f>
        <v/>
      </c>
      <c r="AC606" s="26">
        <f t="shared" si="20"/>
        <v>0</v>
      </c>
      <c r="AD606" s="26">
        <f t="shared" si="21"/>
        <v>0</v>
      </c>
    </row>
    <row r="607" spans="1:33" ht="15" customHeight="1">
      <c r="B607" s="3" t="str">
        <f>_xlfn.IFNA(VLOOKUP(C607,Master!$J:$K,2,0),"")</f>
        <v/>
      </c>
      <c r="D607" s="4" t="str">
        <f>_xlfn.IFNA(VLOOKUP(E607,Master!$J:$K,2,0),"")</f>
        <v/>
      </c>
      <c r="F607" s="4" t="str">
        <f>_xlfn.IFNA(VLOOKUP(G607,Master!B:C,2,0),"")</f>
        <v/>
      </c>
      <c r="I607" s="3" t="str">
        <f>_xlfn.IFNA(VLOOKUP(E607,Master!$J:$M,4,0),"")</f>
        <v/>
      </c>
      <c r="J607" s="3" t="str">
        <f>_xlfn.IFNA(VLOOKUP($E607,Master!$J:$M,3,0),"")</f>
        <v/>
      </c>
      <c r="AC607" s="26">
        <f t="shared" si="20"/>
        <v>0</v>
      </c>
      <c r="AD607" s="26">
        <f t="shared" si="21"/>
        <v>0</v>
      </c>
    </row>
    <row r="608" spans="1:33" ht="15" customHeight="1">
      <c r="B608" s="3" t="str">
        <f>_xlfn.IFNA(VLOOKUP(C608,Master!$J:$K,2,0),"")</f>
        <v/>
      </c>
      <c r="D608" s="4" t="str">
        <f>_xlfn.IFNA(VLOOKUP(E608,Master!$J:$K,2,0),"")</f>
        <v/>
      </c>
      <c r="F608" s="4" t="str">
        <f>_xlfn.IFNA(VLOOKUP(G608,Master!B:C,2,0),"")</f>
        <v/>
      </c>
      <c r="I608" s="3" t="str">
        <f>_xlfn.IFNA(VLOOKUP(E608,Master!$J:$M,4,0),"")</f>
        <v/>
      </c>
      <c r="J608" s="3" t="str">
        <f>_xlfn.IFNA(VLOOKUP($E608,Master!$J:$M,3,0),"")</f>
        <v/>
      </c>
      <c r="AC608" s="26">
        <f t="shared" si="20"/>
        <v>0</v>
      </c>
      <c r="AD608" s="26">
        <f t="shared" si="21"/>
        <v>0</v>
      </c>
    </row>
    <row r="609" spans="2:30" ht="15" customHeight="1">
      <c r="B609" s="3" t="str">
        <f>_xlfn.IFNA(VLOOKUP(C609,Master!$J:$K,2,0),"")</f>
        <v/>
      </c>
      <c r="D609" s="4" t="str">
        <f>_xlfn.IFNA(VLOOKUP(E609,Master!$J:$K,2,0),"")</f>
        <v/>
      </c>
      <c r="F609" s="4" t="str">
        <f>_xlfn.IFNA(VLOOKUP(G609,Master!B:C,2,0),"")</f>
        <v/>
      </c>
      <c r="I609" s="3" t="str">
        <f>_xlfn.IFNA(VLOOKUP(E609,Master!$J:$M,4,0),"")</f>
        <v/>
      </c>
      <c r="J609" s="3" t="str">
        <f>_xlfn.IFNA(VLOOKUP($E609,Master!$J:$M,3,0),"")</f>
        <v/>
      </c>
      <c r="AC609" s="26">
        <f t="shared" si="20"/>
        <v>0</v>
      </c>
      <c r="AD609" s="26">
        <f t="shared" si="21"/>
        <v>0</v>
      </c>
    </row>
    <row r="610" spans="2:30" ht="15" customHeight="1">
      <c r="B610" s="3" t="str">
        <f>_xlfn.IFNA(VLOOKUP(C610,Master!$J:$K,2,0),"")</f>
        <v/>
      </c>
      <c r="D610" s="4" t="str">
        <f>_xlfn.IFNA(VLOOKUP(E610,Master!$J:$K,2,0),"")</f>
        <v/>
      </c>
      <c r="F610" s="4" t="str">
        <f>_xlfn.IFNA(VLOOKUP(G610,Master!B:C,2,0),"")</f>
        <v/>
      </c>
      <c r="I610" s="3" t="str">
        <f>_xlfn.IFNA(VLOOKUP(E610,Master!$J:$M,4,0),"")</f>
        <v/>
      </c>
      <c r="J610" s="3" t="str">
        <f>_xlfn.IFNA(VLOOKUP($E610,Master!$J:$M,3,0),"")</f>
        <v/>
      </c>
      <c r="AC610" s="26">
        <f t="shared" si="20"/>
        <v>0</v>
      </c>
      <c r="AD610" s="26">
        <f t="shared" si="21"/>
        <v>0</v>
      </c>
    </row>
    <row r="611" spans="2:30" ht="15" customHeight="1">
      <c r="B611" s="3" t="str">
        <f>_xlfn.IFNA(VLOOKUP(C611,Master!$J:$K,2,0),"")</f>
        <v/>
      </c>
      <c r="D611" s="4" t="str">
        <f>_xlfn.IFNA(VLOOKUP(E611,Master!$J:$K,2,0),"")</f>
        <v/>
      </c>
      <c r="F611" s="4" t="str">
        <f>_xlfn.IFNA(VLOOKUP(G611,Master!B:C,2,0),"")</f>
        <v/>
      </c>
      <c r="I611" s="3" t="str">
        <f>_xlfn.IFNA(VLOOKUP(E611,Master!$J:$M,4,0),"")</f>
        <v/>
      </c>
      <c r="J611" s="3" t="str">
        <f>_xlfn.IFNA(VLOOKUP($E611,Master!$J:$M,3,0),"")</f>
        <v/>
      </c>
      <c r="AC611" s="26">
        <f t="shared" si="20"/>
        <v>0</v>
      </c>
      <c r="AD611" s="26">
        <f t="shared" si="21"/>
        <v>0</v>
      </c>
    </row>
    <row r="612" spans="2:30" ht="15" customHeight="1">
      <c r="B612" s="3" t="str">
        <f>_xlfn.IFNA(VLOOKUP(C612,Master!$J:$K,2,0),"")</f>
        <v/>
      </c>
      <c r="D612" s="4" t="str">
        <f>_xlfn.IFNA(VLOOKUP(E612,Master!$J:$K,2,0),"")</f>
        <v/>
      </c>
      <c r="F612" s="4" t="str">
        <f>_xlfn.IFNA(VLOOKUP(G612,Master!B:C,2,0),"")</f>
        <v/>
      </c>
      <c r="I612" s="3" t="str">
        <f>_xlfn.IFNA(VLOOKUP(E612,Master!$J:$M,4,0),"")</f>
        <v/>
      </c>
      <c r="J612" s="3" t="str">
        <f>_xlfn.IFNA(VLOOKUP($E612,Master!$J:$M,3,0),"")</f>
        <v/>
      </c>
      <c r="AC612" s="26">
        <f t="shared" si="20"/>
        <v>0</v>
      </c>
      <c r="AD612" s="26">
        <f t="shared" si="21"/>
        <v>0</v>
      </c>
    </row>
    <row r="613" spans="2:30" ht="15" customHeight="1">
      <c r="B613" s="3" t="str">
        <f>_xlfn.IFNA(VLOOKUP(C613,Master!$J:$K,2,0),"")</f>
        <v/>
      </c>
      <c r="D613" s="4" t="str">
        <f>_xlfn.IFNA(VLOOKUP(E613,Master!$J:$K,2,0),"")</f>
        <v/>
      </c>
      <c r="F613" s="4" t="str">
        <f>_xlfn.IFNA(VLOOKUP(G613,Master!B:C,2,0),"")</f>
        <v/>
      </c>
      <c r="I613" s="3" t="str">
        <f>_xlfn.IFNA(VLOOKUP(E613,Master!$J:$M,4,0),"")</f>
        <v/>
      </c>
      <c r="J613" s="3" t="str">
        <f>_xlfn.IFNA(VLOOKUP($E613,Master!$J:$M,3,0),"")</f>
        <v/>
      </c>
      <c r="AC613" s="26">
        <f t="shared" si="20"/>
        <v>0</v>
      </c>
      <c r="AD613" s="26">
        <f t="shared" si="21"/>
        <v>0</v>
      </c>
    </row>
    <row r="614" spans="2:30" ht="15" customHeight="1">
      <c r="B614" s="3" t="str">
        <f>_xlfn.IFNA(VLOOKUP(C614,Master!$J:$K,2,0),"")</f>
        <v/>
      </c>
      <c r="D614" s="4" t="str">
        <f>_xlfn.IFNA(VLOOKUP(E614,Master!$J:$K,2,0),"")</f>
        <v/>
      </c>
      <c r="F614" s="4" t="str">
        <f>_xlfn.IFNA(VLOOKUP(G614,Master!B:C,2,0),"")</f>
        <v/>
      </c>
      <c r="I614" s="3" t="str">
        <f>_xlfn.IFNA(VLOOKUP(E614,Master!$J:$M,4,0),"")</f>
        <v/>
      </c>
      <c r="J614" s="3" t="str">
        <f>_xlfn.IFNA(VLOOKUP($E614,Master!$J:$M,3,0),"")</f>
        <v/>
      </c>
      <c r="AC614" s="26">
        <f t="shared" si="20"/>
        <v>0</v>
      </c>
      <c r="AD614" s="26">
        <f t="shared" si="21"/>
        <v>0</v>
      </c>
    </row>
    <row r="615" spans="2:30" ht="15" customHeight="1">
      <c r="B615" s="3" t="str">
        <f>_xlfn.IFNA(VLOOKUP(C615,Master!$J:$K,2,0),"")</f>
        <v/>
      </c>
      <c r="D615" s="4" t="str">
        <f>_xlfn.IFNA(VLOOKUP(E615,Master!$J:$K,2,0),"")</f>
        <v/>
      </c>
      <c r="F615" s="4" t="str">
        <f>_xlfn.IFNA(VLOOKUP(G615,Master!B:C,2,0),"")</f>
        <v/>
      </c>
      <c r="I615" s="3" t="str">
        <f>_xlfn.IFNA(VLOOKUP(E615,Master!$J:$M,4,0),"")</f>
        <v/>
      </c>
      <c r="J615" s="3" t="str">
        <f>_xlfn.IFNA(VLOOKUP($E615,Master!$J:$M,3,0),"")</f>
        <v/>
      </c>
      <c r="AC615" s="26">
        <f t="shared" si="20"/>
        <v>0</v>
      </c>
      <c r="AD615" s="26">
        <f t="shared" si="21"/>
        <v>0</v>
      </c>
    </row>
    <row r="616" spans="2:30" ht="15" customHeight="1">
      <c r="B616" s="3" t="str">
        <f>_xlfn.IFNA(VLOOKUP(C616,Master!$J:$K,2,0),"")</f>
        <v/>
      </c>
      <c r="D616" s="4" t="str">
        <f>_xlfn.IFNA(VLOOKUP(E616,Master!$J:$K,2,0),"")</f>
        <v/>
      </c>
      <c r="F616" s="4" t="str">
        <f>_xlfn.IFNA(VLOOKUP(G616,Master!B:C,2,0),"")</f>
        <v/>
      </c>
      <c r="I616" s="3" t="str">
        <f>_xlfn.IFNA(VLOOKUP(E616,Master!$J:$M,4,0),"")</f>
        <v/>
      </c>
      <c r="J616" s="3" t="str">
        <f>_xlfn.IFNA(VLOOKUP($E616,Master!$J:$M,3,0),"")</f>
        <v/>
      </c>
      <c r="AC616" s="26">
        <f t="shared" si="20"/>
        <v>0</v>
      </c>
      <c r="AD616" s="26">
        <f t="shared" si="21"/>
        <v>0</v>
      </c>
    </row>
    <row r="617" spans="2:30" ht="15" customHeight="1">
      <c r="B617" s="3" t="str">
        <f>_xlfn.IFNA(VLOOKUP(C617,Master!$J:$K,2,0),"")</f>
        <v/>
      </c>
      <c r="D617" s="4" t="str">
        <f>_xlfn.IFNA(VLOOKUP(E617,Master!$J:$K,2,0),"")</f>
        <v/>
      </c>
      <c r="F617" s="4" t="str">
        <f>_xlfn.IFNA(VLOOKUP(G617,Master!B:C,2,0),"")</f>
        <v/>
      </c>
      <c r="I617" s="3" t="str">
        <f>_xlfn.IFNA(VLOOKUP(E617,Master!$J:$M,4,0),"")</f>
        <v/>
      </c>
      <c r="J617" s="3" t="str">
        <f>_xlfn.IFNA(VLOOKUP($E617,Master!$J:$M,3,0),"")</f>
        <v/>
      </c>
      <c r="AC617" s="26">
        <f t="shared" si="20"/>
        <v>0</v>
      </c>
      <c r="AD617" s="26">
        <f t="shared" si="21"/>
        <v>0</v>
      </c>
    </row>
    <row r="618" spans="2:30" ht="15" customHeight="1">
      <c r="B618" s="3" t="str">
        <f>_xlfn.IFNA(VLOOKUP(C618,Master!$J:$K,2,0),"")</f>
        <v/>
      </c>
      <c r="D618" s="4" t="str">
        <f>_xlfn.IFNA(VLOOKUP(E618,Master!$J:$K,2,0),"")</f>
        <v/>
      </c>
      <c r="F618" s="4" t="str">
        <f>_xlfn.IFNA(VLOOKUP(G618,Master!B:C,2,0),"")</f>
        <v/>
      </c>
      <c r="I618" s="3" t="str">
        <f>_xlfn.IFNA(VLOOKUP(E618,Master!$J:$M,4,0),"")</f>
        <v/>
      </c>
      <c r="J618" s="3" t="str">
        <f>_xlfn.IFNA(VLOOKUP($E618,Master!$J:$M,3,0),"")</f>
        <v/>
      </c>
      <c r="AC618" s="26">
        <f t="shared" si="20"/>
        <v>0</v>
      </c>
      <c r="AD618" s="26">
        <f t="shared" si="21"/>
        <v>0</v>
      </c>
    </row>
    <row r="619" spans="2:30" ht="15" customHeight="1">
      <c r="B619" s="3" t="str">
        <f>_xlfn.IFNA(VLOOKUP(C619,Master!$J:$K,2,0),"")</f>
        <v/>
      </c>
      <c r="D619" s="4" t="str">
        <f>_xlfn.IFNA(VLOOKUP(E619,Master!$J:$K,2,0),"")</f>
        <v/>
      </c>
      <c r="F619" s="4" t="str">
        <f>_xlfn.IFNA(VLOOKUP(G619,Master!B:C,2,0),"")</f>
        <v/>
      </c>
      <c r="I619" s="3" t="str">
        <f>_xlfn.IFNA(VLOOKUP(E619,Master!$J:$M,4,0),"")</f>
        <v/>
      </c>
      <c r="J619" s="3" t="str">
        <f>_xlfn.IFNA(VLOOKUP($E619,Master!$J:$M,3,0),"")</f>
        <v/>
      </c>
      <c r="AC619" s="26">
        <f t="shared" si="20"/>
        <v>0</v>
      </c>
      <c r="AD619" s="26">
        <f t="shared" si="21"/>
        <v>0</v>
      </c>
    </row>
    <row r="620" spans="2:30" ht="15" customHeight="1">
      <c r="B620" s="3" t="str">
        <f>_xlfn.IFNA(VLOOKUP(C620,Master!$J:$K,2,0),"")</f>
        <v/>
      </c>
      <c r="D620" s="4" t="str">
        <f>_xlfn.IFNA(VLOOKUP(E620,Master!$J:$K,2,0),"")</f>
        <v/>
      </c>
      <c r="F620" s="4" t="str">
        <f>_xlfn.IFNA(VLOOKUP(G620,Master!B:C,2,0),"")</f>
        <v/>
      </c>
      <c r="I620" s="3" t="str">
        <f>_xlfn.IFNA(VLOOKUP(E620,Master!$J:$M,4,0),"")</f>
        <v/>
      </c>
      <c r="J620" s="3" t="str">
        <f>_xlfn.IFNA(VLOOKUP($E620,Master!$J:$M,3,0),"")</f>
        <v/>
      </c>
      <c r="AC620" s="26">
        <f t="shared" si="20"/>
        <v>0</v>
      </c>
      <c r="AD620" s="26">
        <f t="shared" si="21"/>
        <v>0</v>
      </c>
    </row>
    <row r="621" spans="2:30" ht="15" customHeight="1">
      <c r="B621" s="3" t="str">
        <f>_xlfn.IFNA(VLOOKUP(C621,Master!$J:$K,2,0),"")</f>
        <v/>
      </c>
      <c r="D621" s="4" t="str">
        <f>_xlfn.IFNA(VLOOKUP(E621,Master!$J:$K,2,0),"")</f>
        <v/>
      </c>
      <c r="F621" s="4" t="str">
        <f>_xlfn.IFNA(VLOOKUP(G621,Master!B:C,2,0),"")</f>
        <v/>
      </c>
      <c r="I621" s="3" t="str">
        <f>_xlfn.IFNA(VLOOKUP(E621,Master!$J:$M,4,0),"")</f>
        <v/>
      </c>
      <c r="J621" s="3" t="str">
        <f>_xlfn.IFNA(VLOOKUP($E621,Master!$J:$M,3,0),"")</f>
        <v/>
      </c>
      <c r="AC621" s="26">
        <f t="shared" si="20"/>
        <v>0</v>
      </c>
      <c r="AD621" s="26">
        <f t="shared" si="21"/>
        <v>0</v>
      </c>
    </row>
    <row r="622" spans="2:30" ht="15" customHeight="1">
      <c r="B622" s="3" t="str">
        <f>_xlfn.IFNA(VLOOKUP(C622,Master!$J:$K,2,0),"")</f>
        <v/>
      </c>
      <c r="D622" s="4" t="str">
        <f>_xlfn.IFNA(VLOOKUP(E622,Master!$J:$K,2,0),"")</f>
        <v/>
      </c>
      <c r="F622" s="4" t="str">
        <f>_xlfn.IFNA(VLOOKUP(G622,Master!B:C,2,0),"")</f>
        <v/>
      </c>
      <c r="I622" s="3" t="str">
        <f>_xlfn.IFNA(VLOOKUP(E622,Master!$J:$M,4,0),"")</f>
        <v/>
      </c>
      <c r="J622" s="3" t="str">
        <f>_xlfn.IFNA(VLOOKUP($E622,Master!$J:$M,3,0),"")</f>
        <v/>
      </c>
      <c r="AC622" s="26">
        <f t="shared" si="20"/>
        <v>0</v>
      </c>
      <c r="AD622" s="26">
        <f t="shared" si="21"/>
        <v>0</v>
      </c>
    </row>
    <row r="623" spans="2:30" ht="15" customHeight="1">
      <c r="B623" s="3" t="str">
        <f>_xlfn.IFNA(VLOOKUP(C623,Master!$J:$K,2,0),"")</f>
        <v/>
      </c>
      <c r="D623" s="4" t="str">
        <f>_xlfn.IFNA(VLOOKUP(E623,Master!$J:$K,2,0),"")</f>
        <v/>
      </c>
      <c r="F623" s="4" t="str">
        <f>_xlfn.IFNA(VLOOKUP(G623,Master!B:C,2,0),"")</f>
        <v/>
      </c>
      <c r="I623" s="3" t="str">
        <f>_xlfn.IFNA(VLOOKUP(E623,Master!$J:$M,4,0),"")</f>
        <v/>
      </c>
      <c r="J623" s="3" t="str">
        <f>_xlfn.IFNA(VLOOKUP($E623,Master!$J:$M,3,0),"")</f>
        <v/>
      </c>
      <c r="AC623" s="26">
        <f t="shared" si="20"/>
        <v>0</v>
      </c>
      <c r="AD623" s="26">
        <f t="shared" si="21"/>
        <v>0</v>
      </c>
    </row>
    <row r="624" spans="2:30" ht="15" customHeight="1">
      <c r="B624" s="3" t="str">
        <f>_xlfn.IFNA(VLOOKUP(C624,Master!$J:$K,2,0),"")</f>
        <v/>
      </c>
      <c r="D624" s="4" t="str">
        <f>_xlfn.IFNA(VLOOKUP(E624,Master!$J:$K,2,0),"")</f>
        <v/>
      </c>
      <c r="F624" s="4" t="str">
        <f>_xlfn.IFNA(VLOOKUP(G624,Master!B:C,2,0),"")</f>
        <v/>
      </c>
      <c r="I624" s="3" t="str">
        <f>_xlfn.IFNA(VLOOKUP(E624,Master!$J:$M,4,0),"")</f>
        <v/>
      </c>
      <c r="J624" s="3" t="str">
        <f>_xlfn.IFNA(VLOOKUP($E624,Master!$J:$M,3,0),"")</f>
        <v/>
      </c>
      <c r="AC624" s="26">
        <f t="shared" si="20"/>
        <v>0</v>
      </c>
      <c r="AD624" s="26">
        <f t="shared" si="21"/>
        <v>0</v>
      </c>
    </row>
    <row r="625" spans="2:30" ht="15" customHeight="1">
      <c r="B625" s="3" t="str">
        <f>_xlfn.IFNA(VLOOKUP(C625,Master!$J:$K,2,0),"")</f>
        <v/>
      </c>
      <c r="D625" s="4" t="str">
        <f>_xlfn.IFNA(VLOOKUP(E625,Master!$J:$K,2,0),"")</f>
        <v/>
      </c>
      <c r="F625" s="4" t="str">
        <f>_xlfn.IFNA(VLOOKUP(G625,Master!B:C,2,0),"")</f>
        <v/>
      </c>
      <c r="I625" s="3" t="str">
        <f>_xlfn.IFNA(VLOOKUP(E625,Master!$J:$M,4,0),"")</f>
        <v/>
      </c>
      <c r="J625" s="3" t="str">
        <f>_xlfn.IFNA(VLOOKUP($E625,Master!$J:$M,3,0),"")</f>
        <v/>
      </c>
      <c r="AC625" s="26">
        <f t="shared" si="20"/>
        <v>0</v>
      </c>
      <c r="AD625" s="26">
        <f t="shared" si="21"/>
        <v>0</v>
      </c>
    </row>
    <row r="626" spans="2:30" ht="15" customHeight="1">
      <c r="B626" s="3" t="str">
        <f>_xlfn.IFNA(VLOOKUP(C626,Master!$J:$K,2,0),"")</f>
        <v/>
      </c>
      <c r="D626" s="4" t="str">
        <f>_xlfn.IFNA(VLOOKUP(E626,Master!$J:$K,2,0),"")</f>
        <v/>
      </c>
      <c r="F626" s="4" t="str">
        <f>_xlfn.IFNA(VLOOKUP(G626,Master!B:C,2,0),"")</f>
        <v/>
      </c>
      <c r="I626" s="3" t="str">
        <f>_xlfn.IFNA(VLOOKUP(E626,Master!$J:$M,4,0),"")</f>
        <v/>
      </c>
      <c r="J626" s="3" t="str">
        <f>_xlfn.IFNA(VLOOKUP($E626,Master!$J:$M,3,0),"")</f>
        <v/>
      </c>
      <c r="AC626" s="26">
        <f t="shared" si="20"/>
        <v>0</v>
      </c>
      <c r="AD626" s="26">
        <f t="shared" si="21"/>
        <v>0</v>
      </c>
    </row>
    <row r="627" spans="2:30" ht="15" customHeight="1">
      <c r="B627" s="3" t="str">
        <f>_xlfn.IFNA(VLOOKUP(C627,Master!$J:$K,2,0),"")</f>
        <v/>
      </c>
      <c r="D627" s="4" t="str">
        <f>_xlfn.IFNA(VLOOKUP(E627,Master!$J:$K,2,0),"")</f>
        <v/>
      </c>
      <c r="F627" s="4" t="str">
        <f>_xlfn.IFNA(VLOOKUP(G627,Master!B:C,2,0),"")</f>
        <v/>
      </c>
      <c r="I627" s="3" t="str">
        <f>_xlfn.IFNA(VLOOKUP(E627,Master!$J:$M,4,0),"")</f>
        <v/>
      </c>
      <c r="J627" s="3" t="str">
        <f>_xlfn.IFNA(VLOOKUP($E627,Master!$J:$M,3,0),"")</f>
        <v/>
      </c>
      <c r="AC627" s="26">
        <f t="shared" si="20"/>
        <v>0</v>
      </c>
      <c r="AD627" s="26">
        <f t="shared" si="21"/>
        <v>0</v>
      </c>
    </row>
    <row r="628" spans="2:30" ht="15" customHeight="1">
      <c r="B628" s="3" t="str">
        <f>_xlfn.IFNA(VLOOKUP(C628,Master!$J:$K,2,0),"")</f>
        <v/>
      </c>
      <c r="D628" s="4" t="str">
        <f>_xlfn.IFNA(VLOOKUP(E628,Master!$J:$K,2,0),"")</f>
        <v/>
      </c>
      <c r="F628" s="4" t="str">
        <f>_xlfn.IFNA(VLOOKUP(G628,Master!B:C,2,0),"")</f>
        <v/>
      </c>
      <c r="I628" s="3" t="str">
        <f>_xlfn.IFNA(VLOOKUP(E628,Master!$J:$M,4,0),"")</f>
        <v/>
      </c>
      <c r="J628" s="3" t="str">
        <f>_xlfn.IFNA(VLOOKUP($E628,Master!$J:$M,3,0),"")</f>
        <v/>
      </c>
      <c r="AC628" s="26">
        <f t="shared" si="20"/>
        <v>0</v>
      </c>
      <c r="AD628" s="26">
        <f t="shared" si="21"/>
        <v>0</v>
      </c>
    </row>
    <row r="629" spans="2:30" ht="15" customHeight="1">
      <c r="B629" s="3" t="str">
        <f>_xlfn.IFNA(VLOOKUP(C629,Master!$J:$K,2,0),"")</f>
        <v/>
      </c>
      <c r="D629" s="4" t="str">
        <f>_xlfn.IFNA(VLOOKUP(E629,Master!$J:$K,2,0),"")</f>
        <v/>
      </c>
      <c r="F629" s="4" t="str">
        <f>_xlfn.IFNA(VLOOKUP(G629,Master!B:C,2,0),"")</f>
        <v/>
      </c>
      <c r="I629" s="3" t="str">
        <f>_xlfn.IFNA(VLOOKUP(E629,Master!$J:$M,4,0),"")</f>
        <v/>
      </c>
      <c r="J629" s="3" t="str">
        <f>_xlfn.IFNA(VLOOKUP($E629,Master!$J:$M,3,0),"")</f>
        <v/>
      </c>
      <c r="AC629" s="26">
        <f t="shared" si="20"/>
        <v>0</v>
      </c>
      <c r="AD629" s="26">
        <f t="shared" si="21"/>
        <v>0</v>
      </c>
    </row>
    <row r="630" spans="2:30" ht="15" customHeight="1">
      <c r="B630" s="3" t="str">
        <f>_xlfn.IFNA(VLOOKUP(C630,Master!$J:$K,2,0),"")</f>
        <v/>
      </c>
      <c r="D630" s="4" t="str">
        <f>_xlfn.IFNA(VLOOKUP(E630,Master!$J:$K,2,0),"")</f>
        <v/>
      </c>
      <c r="F630" s="4" t="str">
        <f>_xlfn.IFNA(VLOOKUP(G630,Master!B:C,2,0),"")</f>
        <v/>
      </c>
      <c r="I630" s="3" t="str">
        <f>_xlfn.IFNA(VLOOKUP(E630,Master!$J:$M,4,0),"")</f>
        <v/>
      </c>
      <c r="J630" s="3" t="str">
        <f>_xlfn.IFNA(VLOOKUP($E630,Master!$J:$M,3,0),"")</f>
        <v/>
      </c>
      <c r="AC630" s="26">
        <f t="shared" si="20"/>
        <v>0</v>
      </c>
      <c r="AD630" s="26">
        <f t="shared" si="21"/>
        <v>0</v>
      </c>
    </row>
    <row r="631" spans="2:30" ht="15" customHeight="1">
      <c r="B631" s="3" t="str">
        <f>_xlfn.IFNA(VLOOKUP(C631,Master!$J:$K,2,0),"")</f>
        <v/>
      </c>
      <c r="D631" s="4" t="str">
        <f>_xlfn.IFNA(VLOOKUP(E631,Master!$J:$K,2,0),"")</f>
        <v/>
      </c>
      <c r="F631" s="4" t="str">
        <f>_xlfn.IFNA(VLOOKUP(G631,Master!B:C,2,0),"")</f>
        <v/>
      </c>
      <c r="I631" s="3" t="str">
        <f>_xlfn.IFNA(VLOOKUP(E631,Master!$J:$M,4,0),"")</f>
        <v/>
      </c>
      <c r="J631" s="3" t="str">
        <f>_xlfn.IFNA(VLOOKUP($E631,Master!$J:$M,3,0),"")</f>
        <v/>
      </c>
      <c r="AC631" s="26">
        <f t="shared" si="20"/>
        <v>0</v>
      </c>
      <c r="AD631" s="26">
        <f t="shared" si="21"/>
        <v>0</v>
      </c>
    </row>
    <row r="632" spans="2:30" ht="15" customHeight="1">
      <c r="B632" s="3" t="str">
        <f>_xlfn.IFNA(VLOOKUP(C632,Master!$J:$K,2,0),"")</f>
        <v/>
      </c>
      <c r="D632" s="4" t="str">
        <f>_xlfn.IFNA(VLOOKUP(E632,Master!$J:$K,2,0),"")</f>
        <v/>
      </c>
      <c r="F632" s="4" t="str">
        <f>_xlfn.IFNA(VLOOKUP(G632,Master!B:C,2,0),"")</f>
        <v/>
      </c>
      <c r="I632" s="3" t="str">
        <f>_xlfn.IFNA(VLOOKUP(E632,Master!$J:$M,4,0),"")</f>
        <v/>
      </c>
      <c r="J632" s="3" t="str">
        <f>_xlfn.IFNA(VLOOKUP($E632,Master!$J:$M,3,0),"")</f>
        <v/>
      </c>
      <c r="AC632" s="26">
        <f t="shared" si="20"/>
        <v>0</v>
      </c>
      <c r="AD632" s="26">
        <f t="shared" si="21"/>
        <v>0</v>
      </c>
    </row>
    <row r="633" spans="2:30" ht="15" customHeight="1">
      <c r="B633" s="3" t="str">
        <f>_xlfn.IFNA(VLOOKUP(C633,Master!$J:$K,2,0),"")</f>
        <v/>
      </c>
      <c r="D633" s="4" t="str">
        <f>_xlfn.IFNA(VLOOKUP(E633,Master!$J:$K,2,0),"")</f>
        <v/>
      </c>
      <c r="F633" s="4" t="str">
        <f>_xlfn.IFNA(VLOOKUP(G633,Master!B:C,2,0),"")</f>
        <v/>
      </c>
      <c r="I633" s="3" t="str">
        <f>_xlfn.IFNA(VLOOKUP(E633,Master!$J:$M,4,0),"")</f>
        <v/>
      </c>
      <c r="J633" s="3" t="str">
        <f>_xlfn.IFNA(VLOOKUP($E633,Master!$J:$M,3,0),"")</f>
        <v/>
      </c>
      <c r="AC633" s="26">
        <f t="shared" si="20"/>
        <v>0</v>
      </c>
      <c r="AD633" s="26">
        <f t="shared" si="21"/>
        <v>0</v>
      </c>
    </row>
    <row r="634" spans="2:30" ht="15" customHeight="1">
      <c r="B634" s="3" t="str">
        <f>_xlfn.IFNA(VLOOKUP(C634,Master!$J:$K,2,0),"")</f>
        <v/>
      </c>
      <c r="D634" s="4" t="str">
        <f>_xlfn.IFNA(VLOOKUP(E634,Master!$J:$K,2,0),"")</f>
        <v/>
      </c>
      <c r="F634" s="4" t="str">
        <f>_xlfn.IFNA(VLOOKUP(G634,Master!B:C,2,0),"")</f>
        <v/>
      </c>
      <c r="I634" s="3" t="str">
        <f>_xlfn.IFNA(VLOOKUP(E634,Master!$J:$M,4,0),"")</f>
        <v/>
      </c>
      <c r="J634" s="3" t="str">
        <f>_xlfn.IFNA(VLOOKUP($E634,Master!$J:$M,3,0),"")</f>
        <v/>
      </c>
      <c r="AC634" s="26">
        <f t="shared" si="20"/>
        <v>0</v>
      </c>
      <c r="AD634" s="26">
        <f t="shared" si="21"/>
        <v>0</v>
      </c>
    </row>
    <row r="635" spans="2:30" ht="15" customHeight="1">
      <c r="B635" s="3" t="str">
        <f>_xlfn.IFNA(VLOOKUP(C635,Master!$J:$K,2,0),"")</f>
        <v/>
      </c>
      <c r="D635" s="4" t="str">
        <f>_xlfn.IFNA(VLOOKUP(E635,Master!$J:$K,2,0),"")</f>
        <v/>
      </c>
      <c r="F635" s="4" t="str">
        <f>_xlfn.IFNA(VLOOKUP(G635,Master!B:C,2,0),"")</f>
        <v/>
      </c>
      <c r="I635" s="3" t="str">
        <f>_xlfn.IFNA(VLOOKUP(E635,Master!$J:$M,4,0),"")</f>
        <v/>
      </c>
      <c r="J635" s="3" t="str">
        <f>_xlfn.IFNA(VLOOKUP($E635,Master!$J:$M,3,0),"")</f>
        <v/>
      </c>
      <c r="AC635" s="26">
        <f t="shared" si="20"/>
        <v>0</v>
      </c>
      <c r="AD635" s="26">
        <f t="shared" si="21"/>
        <v>0</v>
      </c>
    </row>
    <row r="636" spans="2:30" ht="15" customHeight="1">
      <c r="B636" s="3" t="str">
        <f>_xlfn.IFNA(VLOOKUP(C636,Master!$J:$K,2,0),"")</f>
        <v/>
      </c>
      <c r="D636" s="4" t="str">
        <f>_xlfn.IFNA(VLOOKUP(E636,Master!$J:$K,2,0),"")</f>
        <v/>
      </c>
      <c r="F636" s="4" t="str">
        <f>_xlfn.IFNA(VLOOKUP(G636,Master!B:C,2,0),"")</f>
        <v/>
      </c>
      <c r="I636" s="3" t="str">
        <f>_xlfn.IFNA(VLOOKUP(E636,Master!$J:$M,4,0),"")</f>
        <v/>
      </c>
      <c r="J636" s="3" t="str">
        <f>_xlfn.IFNA(VLOOKUP($E636,Master!$J:$M,3,0),"")</f>
        <v/>
      </c>
      <c r="AC636" s="26">
        <f t="shared" si="20"/>
        <v>0</v>
      </c>
      <c r="AD636" s="26">
        <f t="shared" si="21"/>
        <v>0</v>
      </c>
    </row>
    <row r="637" spans="2:30" ht="15" customHeight="1">
      <c r="B637" s="3" t="str">
        <f>_xlfn.IFNA(VLOOKUP(C637,Master!$J:$K,2,0),"")</f>
        <v/>
      </c>
      <c r="D637" s="4" t="str">
        <f>_xlfn.IFNA(VLOOKUP(E637,Master!$J:$K,2,0),"")</f>
        <v/>
      </c>
      <c r="F637" s="4" t="str">
        <f>_xlfn.IFNA(VLOOKUP(G637,Master!B:C,2,0),"")</f>
        <v/>
      </c>
      <c r="I637" s="3" t="str">
        <f>_xlfn.IFNA(VLOOKUP(E637,Master!$J:$M,4,0),"")</f>
        <v/>
      </c>
      <c r="J637" s="3" t="str">
        <f>_xlfn.IFNA(VLOOKUP($E637,Master!$J:$M,3,0),"")</f>
        <v/>
      </c>
      <c r="AC637" s="26">
        <f t="shared" si="20"/>
        <v>0</v>
      </c>
      <c r="AD637" s="26">
        <f t="shared" si="21"/>
        <v>0</v>
      </c>
    </row>
    <row r="638" spans="2:30" ht="15" customHeight="1">
      <c r="B638" s="3" t="str">
        <f>_xlfn.IFNA(VLOOKUP(C638,Master!$J:$K,2,0),"")</f>
        <v/>
      </c>
      <c r="D638" s="4" t="str">
        <f>_xlfn.IFNA(VLOOKUP(E638,Master!$J:$K,2,0),"")</f>
        <v/>
      </c>
      <c r="F638" s="4" t="str">
        <f>_xlfn.IFNA(VLOOKUP(G638,Master!B:C,2,0),"")</f>
        <v/>
      </c>
      <c r="I638" s="3" t="str">
        <f>_xlfn.IFNA(VLOOKUP(E638,Master!$J:$M,4,0),"")</f>
        <v/>
      </c>
      <c r="J638" s="3" t="str">
        <f>_xlfn.IFNA(VLOOKUP($E638,Master!$J:$M,3,0),"")</f>
        <v/>
      </c>
      <c r="AC638" s="26">
        <f t="shared" si="20"/>
        <v>0</v>
      </c>
      <c r="AD638" s="26">
        <f t="shared" si="21"/>
        <v>0</v>
      </c>
    </row>
    <row r="639" spans="2:30" ht="15" customHeight="1">
      <c r="B639" s="3" t="str">
        <f>_xlfn.IFNA(VLOOKUP(C639,Master!$J:$K,2,0),"")</f>
        <v/>
      </c>
      <c r="D639" s="4" t="str">
        <f>_xlfn.IFNA(VLOOKUP(E639,Master!$J:$K,2,0),"")</f>
        <v/>
      </c>
      <c r="F639" s="4" t="str">
        <f>_xlfn.IFNA(VLOOKUP(G639,Master!B:C,2,0),"")</f>
        <v/>
      </c>
      <c r="I639" s="3" t="str">
        <f>_xlfn.IFNA(VLOOKUP(E639,Master!$J:$M,4,0),"")</f>
        <v/>
      </c>
      <c r="J639" s="3" t="str">
        <f>_xlfn.IFNA(VLOOKUP($E639,Master!$J:$M,3,0),"")</f>
        <v/>
      </c>
      <c r="AC639" s="26">
        <f t="shared" si="20"/>
        <v>0</v>
      </c>
      <c r="AD639" s="26">
        <f t="shared" si="21"/>
        <v>0</v>
      </c>
    </row>
    <row r="640" spans="2:30" ht="15" customHeight="1">
      <c r="B640" s="3" t="str">
        <f>_xlfn.IFNA(VLOOKUP(C640,Master!$J:$K,2,0),"")</f>
        <v/>
      </c>
      <c r="D640" s="4" t="str">
        <f>_xlfn.IFNA(VLOOKUP(E640,Master!$J:$K,2,0),"")</f>
        <v/>
      </c>
      <c r="F640" s="4" t="str">
        <f>_xlfn.IFNA(VLOOKUP(G640,Master!B:C,2,0),"")</f>
        <v/>
      </c>
      <c r="I640" s="3" t="str">
        <f>_xlfn.IFNA(VLOOKUP(E640,Master!$J:$M,4,0),"")</f>
        <v/>
      </c>
      <c r="J640" s="3" t="str">
        <f>_xlfn.IFNA(VLOOKUP($E640,Master!$J:$M,3,0),"")</f>
        <v/>
      </c>
      <c r="AC640" s="26">
        <f t="shared" si="20"/>
        <v>0</v>
      </c>
      <c r="AD640" s="26">
        <f t="shared" si="21"/>
        <v>0</v>
      </c>
    </row>
    <row r="641" spans="2:30" ht="15" customHeight="1">
      <c r="B641" s="3" t="str">
        <f>_xlfn.IFNA(VLOOKUP(C641,Master!$J:$K,2,0),"")</f>
        <v/>
      </c>
      <c r="D641" s="4" t="str">
        <f>_xlfn.IFNA(VLOOKUP(E641,Master!$J:$K,2,0),"")</f>
        <v/>
      </c>
      <c r="F641" s="4" t="str">
        <f>_xlfn.IFNA(VLOOKUP(G641,Master!B:C,2,0),"")</f>
        <v/>
      </c>
      <c r="I641" s="3" t="str">
        <f>_xlfn.IFNA(VLOOKUP(E641,Master!$J:$M,4,0),"")</f>
        <v/>
      </c>
      <c r="J641" s="3" t="str">
        <f>_xlfn.IFNA(VLOOKUP($E641,Master!$J:$M,3,0),"")</f>
        <v/>
      </c>
      <c r="AC641" s="26">
        <f t="shared" si="20"/>
        <v>0</v>
      </c>
      <c r="AD641" s="26">
        <f t="shared" si="21"/>
        <v>0</v>
      </c>
    </row>
    <row r="642" spans="2:30" ht="15" customHeight="1">
      <c r="B642" s="3" t="str">
        <f>_xlfn.IFNA(VLOOKUP(C642,Master!$J:$K,2,0),"")</f>
        <v/>
      </c>
      <c r="D642" s="4" t="str">
        <f>_xlfn.IFNA(VLOOKUP(E642,Master!$J:$K,2,0),"")</f>
        <v/>
      </c>
      <c r="F642" s="4" t="str">
        <f>_xlfn.IFNA(VLOOKUP(G642,Master!B:C,2,0),"")</f>
        <v/>
      </c>
      <c r="I642" s="3" t="str">
        <f>_xlfn.IFNA(VLOOKUP(E642,Master!$J:$M,4,0),"")</f>
        <v/>
      </c>
      <c r="J642" s="3" t="str">
        <f>_xlfn.IFNA(VLOOKUP($E642,Master!$J:$M,3,0),"")</f>
        <v/>
      </c>
      <c r="AC642" s="26">
        <f t="shared" si="20"/>
        <v>0</v>
      </c>
      <c r="AD642" s="26">
        <f t="shared" si="21"/>
        <v>0</v>
      </c>
    </row>
    <row r="643" spans="2:30" ht="15" customHeight="1">
      <c r="B643" s="3" t="str">
        <f>_xlfn.IFNA(VLOOKUP(C643,Master!$J:$K,2,0),"")</f>
        <v/>
      </c>
      <c r="D643" s="4" t="str">
        <f>_xlfn.IFNA(VLOOKUP(E643,Master!$J:$K,2,0),"")</f>
        <v/>
      </c>
      <c r="F643" s="4" t="str">
        <f>_xlfn.IFNA(VLOOKUP(G643,Master!B:C,2,0),"")</f>
        <v/>
      </c>
      <c r="I643" s="3" t="str">
        <f>_xlfn.IFNA(VLOOKUP(E643,Master!$J:$M,4,0),"")</f>
        <v/>
      </c>
      <c r="J643" s="3" t="str">
        <f>_xlfn.IFNA(VLOOKUP($E643,Master!$J:$M,3,0),"")</f>
        <v/>
      </c>
      <c r="AC643" s="26">
        <f t="shared" si="20"/>
        <v>0</v>
      </c>
      <c r="AD643" s="26">
        <f t="shared" si="21"/>
        <v>0</v>
      </c>
    </row>
    <row r="644" spans="2:30" ht="15" customHeight="1">
      <c r="B644" s="3" t="str">
        <f>_xlfn.IFNA(VLOOKUP(C644,Master!$J:$K,2,0),"")</f>
        <v/>
      </c>
      <c r="D644" s="4" t="str">
        <f>_xlfn.IFNA(VLOOKUP(E644,Master!$J:$K,2,0),"")</f>
        <v/>
      </c>
      <c r="F644" s="4" t="str">
        <f>_xlfn.IFNA(VLOOKUP(G644,Master!B:C,2,0),"")</f>
        <v/>
      </c>
      <c r="I644" s="3" t="str">
        <f>_xlfn.IFNA(VLOOKUP(E644,Master!$J:$M,4,0),"")</f>
        <v/>
      </c>
      <c r="J644" s="3" t="str">
        <f>_xlfn.IFNA(VLOOKUP($E644,Master!$J:$M,3,0),"")</f>
        <v/>
      </c>
      <c r="AC644" s="26">
        <f t="shared" si="20"/>
        <v>0</v>
      </c>
      <c r="AD644" s="26">
        <f t="shared" si="21"/>
        <v>0</v>
      </c>
    </row>
    <row r="645" spans="2:30" ht="15" customHeight="1">
      <c r="B645" s="3" t="str">
        <f>_xlfn.IFNA(VLOOKUP(C645,Master!$J:$K,2,0),"")</f>
        <v/>
      </c>
      <c r="D645" s="4" t="str">
        <f>_xlfn.IFNA(VLOOKUP(E645,Master!$J:$K,2,0),"")</f>
        <v/>
      </c>
      <c r="F645" s="4" t="str">
        <f>_xlfn.IFNA(VLOOKUP(G645,Master!B:C,2,0),"")</f>
        <v/>
      </c>
      <c r="I645" s="3" t="str">
        <f>_xlfn.IFNA(VLOOKUP(E645,Master!$J:$M,4,0),"")</f>
        <v/>
      </c>
      <c r="J645" s="3" t="str">
        <f>_xlfn.IFNA(VLOOKUP($E645,Master!$J:$M,3,0),"")</f>
        <v/>
      </c>
      <c r="AC645" s="26">
        <f t="shared" si="20"/>
        <v>0</v>
      </c>
      <c r="AD645" s="26">
        <f t="shared" si="21"/>
        <v>0</v>
      </c>
    </row>
    <row r="646" spans="2:30" ht="15" customHeight="1">
      <c r="B646" s="3" t="str">
        <f>_xlfn.IFNA(VLOOKUP(C646,Master!$J:$K,2,0),"")</f>
        <v/>
      </c>
      <c r="D646" s="4" t="str">
        <f>_xlfn.IFNA(VLOOKUP(E646,Master!$J:$K,2,0),"")</f>
        <v/>
      </c>
      <c r="F646" s="4" t="str">
        <f>_xlfn.IFNA(VLOOKUP(G646,Master!B:C,2,0),"")</f>
        <v/>
      </c>
      <c r="I646" s="3" t="str">
        <f>_xlfn.IFNA(VLOOKUP(E646,Master!$J:$M,4,0),"")</f>
        <v/>
      </c>
      <c r="J646" s="3" t="str">
        <f>_xlfn.IFNA(VLOOKUP($E646,Master!$J:$M,3,0),"")</f>
        <v/>
      </c>
      <c r="AC646" s="26">
        <f t="shared" si="20"/>
        <v>0</v>
      </c>
      <c r="AD646" s="26">
        <f t="shared" si="21"/>
        <v>0</v>
      </c>
    </row>
    <row r="647" spans="2:30" ht="15" customHeight="1">
      <c r="B647" s="3" t="str">
        <f>_xlfn.IFNA(VLOOKUP(C647,Master!$J:$K,2,0),"")</f>
        <v/>
      </c>
      <c r="D647" s="4" t="str">
        <f>_xlfn.IFNA(VLOOKUP(E647,Master!$J:$K,2,0),"")</f>
        <v/>
      </c>
      <c r="F647" s="4" t="str">
        <f>_xlfn.IFNA(VLOOKUP(G647,Master!B:C,2,0),"")</f>
        <v/>
      </c>
      <c r="I647" s="3" t="str">
        <f>_xlfn.IFNA(VLOOKUP(E647,Master!$J:$M,4,0),"")</f>
        <v/>
      </c>
      <c r="J647" s="3" t="str">
        <f>_xlfn.IFNA(VLOOKUP($E647,Master!$J:$M,3,0),"")</f>
        <v/>
      </c>
      <c r="AC647" s="26">
        <f t="shared" si="20"/>
        <v>0</v>
      </c>
      <c r="AD647" s="26">
        <f t="shared" si="21"/>
        <v>0</v>
      </c>
    </row>
    <row r="648" spans="2:30" ht="15" customHeight="1">
      <c r="B648" s="3" t="str">
        <f>_xlfn.IFNA(VLOOKUP(C648,Master!$J:$K,2,0),"")</f>
        <v/>
      </c>
      <c r="D648" s="4" t="str">
        <f>_xlfn.IFNA(VLOOKUP(E648,Master!$J:$K,2,0),"")</f>
        <v/>
      </c>
      <c r="F648" s="4" t="str">
        <f>_xlfn.IFNA(VLOOKUP(G648,Master!B:C,2,0),"")</f>
        <v/>
      </c>
      <c r="I648" s="3" t="str">
        <f>_xlfn.IFNA(VLOOKUP(E648,Master!$J:$M,4,0),"")</f>
        <v/>
      </c>
      <c r="J648" s="3" t="str">
        <f>_xlfn.IFNA(VLOOKUP($E648,Master!$J:$M,3,0),"")</f>
        <v/>
      </c>
      <c r="AC648" s="26">
        <f t="shared" si="20"/>
        <v>0</v>
      </c>
      <c r="AD648" s="26">
        <f t="shared" si="21"/>
        <v>0</v>
      </c>
    </row>
    <row r="649" spans="2:30" ht="15" customHeight="1">
      <c r="B649" s="3" t="str">
        <f>_xlfn.IFNA(VLOOKUP(C649,Master!$J:$K,2,0),"")</f>
        <v/>
      </c>
      <c r="D649" s="4" t="str">
        <f>_xlfn.IFNA(VLOOKUP(E649,Master!$J:$K,2,0),"")</f>
        <v/>
      </c>
      <c r="F649" s="4" t="str">
        <f>_xlfn.IFNA(VLOOKUP(G649,Master!B:C,2,0),"")</f>
        <v/>
      </c>
      <c r="I649" s="3" t="str">
        <f>_xlfn.IFNA(VLOOKUP(E649,Master!$J:$M,4,0),"")</f>
        <v/>
      </c>
      <c r="J649" s="3" t="str">
        <f>_xlfn.IFNA(VLOOKUP($E649,Master!$J:$M,3,0),"")</f>
        <v/>
      </c>
      <c r="AC649" s="26">
        <f t="shared" si="20"/>
        <v>0</v>
      </c>
      <c r="AD649" s="26">
        <f t="shared" si="21"/>
        <v>0</v>
      </c>
    </row>
    <row r="650" spans="2:30" ht="15" customHeight="1">
      <c r="B650" s="3" t="str">
        <f>_xlfn.IFNA(VLOOKUP(C650,Master!$J:$K,2,0),"")</f>
        <v/>
      </c>
      <c r="D650" s="4" t="str">
        <f>_xlfn.IFNA(VLOOKUP(E650,Master!$J:$K,2,0),"")</f>
        <v/>
      </c>
      <c r="F650" s="4" t="str">
        <f>_xlfn.IFNA(VLOOKUP(G650,Master!B:C,2,0),"")</f>
        <v/>
      </c>
      <c r="I650" s="3" t="str">
        <f>_xlfn.IFNA(VLOOKUP(E650,Master!$J:$M,4,0),"")</f>
        <v/>
      </c>
      <c r="J650" s="3" t="str">
        <f>_xlfn.IFNA(VLOOKUP($E650,Master!$J:$M,3,0),"")</f>
        <v/>
      </c>
      <c r="AC650" s="26">
        <f t="shared" si="20"/>
        <v>0</v>
      </c>
      <c r="AD650" s="26">
        <f t="shared" si="21"/>
        <v>0</v>
      </c>
    </row>
    <row r="651" spans="2:30" ht="15" customHeight="1">
      <c r="B651" s="3" t="str">
        <f>_xlfn.IFNA(VLOOKUP(C651,Master!$J:$K,2,0),"")</f>
        <v/>
      </c>
      <c r="D651" s="4" t="str">
        <f>_xlfn.IFNA(VLOOKUP(E651,Master!$J:$K,2,0),"")</f>
        <v/>
      </c>
      <c r="F651" s="4" t="str">
        <f>_xlfn.IFNA(VLOOKUP(G651,Master!B:C,2,0),"")</f>
        <v/>
      </c>
      <c r="I651" s="3" t="str">
        <f>_xlfn.IFNA(VLOOKUP(E651,Master!$J:$M,4,0),"")</f>
        <v/>
      </c>
      <c r="J651" s="3" t="str">
        <f>_xlfn.IFNA(VLOOKUP($E651,Master!$J:$M,3,0),"")</f>
        <v/>
      </c>
      <c r="AC651" s="26">
        <f t="shared" si="20"/>
        <v>0</v>
      </c>
      <c r="AD651" s="26">
        <f t="shared" si="21"/>
        <v>0</v>
      </c>
    </row>
    <row r="652" spans="2:30" ht="15" customHeight="1">
      <c r="B652" s="3" t="str">
        <f>_xlfn.IFNA(VLOOKUP(C652,Master!$J:$K,2,0),"")</f>
        <v/>
      </c>
      <c r="D652" s="4" t="str">
        <f>_xlfn.IFNA(VLOOKUP(E652,Master!$J:$K,2,0),"")</f>
        <v/>
      </c>
      <c r="F652" s="4" t="str">
        <f>_xlfn.IFNA(VLOOKUP(G652,Master!B:C,2,0),"")</f>
        <v/>
      </c>
      <c r="I652" s="3" t="str">
        <f>_xlfn.IFNA(VLOOKUP(E652,Master!$J:$M,4,0),"")</f>
        <v/>
      </c>
      <c r="J652" s="3" t="str">
        <f>_xlfn.IFNA(VLOOKUP($E652,Master!$J:$M,3,0),"")</f>
        <v/>
      </c>
      <c r="AC652" s="26">
        <f t="shared" si="20"/>
        <v>0</v>
      </c>
      <c r="AD652" s="26">
        <f t="shared" si="21"/>
        <v>0</v>
      </c>
    </row>
    <row r="653" spans="2:30" ht="15" customHeight="1">
      <c r="B653" s="3" t="str">
        <f>_xlfn.IFNA(VLOOKUP(C653,Master!$J:$K,2,0),"")</f>
        <v/>
      </c>
      <c r="D653" s="4" t="str">
        <f>_xlfn.IFNA(VLOOKUP(E653,Master!$J:$K,2,0),"")</f>
        <v/>
      </c>
      <c r="F653" s="4" t="str">
        <f>_xlfn.IFNA(VLOOKUP(G653,Master!B:C,2,0),"")</f>
        <v/>
      </c>
      <c r="I653" s="3" t="str">
        <f>_xlfn.IFNA(VLOOKUP(E653,Master!$J:$M,4,0),"")</f>
        <v/>
      </c>
      <c r="J653" s="3" t="str">
        <f>_xlfn.IFNA(VLOOKUP($E653,Master!$J:$M,3,0),"")</f>
        <v/>
      </c>
      <c r="AC653" s="26">
        <f t="shared" ref="AC653:AC716" si="22">SUM(K653:P653)</f>
        <v>0</v>
      </c>
      <c r="AD653" s="26">
        <f t="shared" ref="AD653:AD716" si="23">SUM(Q653:AB653)</f>
        <v>0</v>
      </c>
    </row>
    <row r="654" spans="2:30" ht="15" customHeight="1">
      <c r="B654" s="3" t="str">
        <f>_xlfn.IFNA(VLOOKUP(C654,Master!$J:$K,2,0),"")</f>
        <v/>
      </c>
      <c r="D654" s="4" t="str">
        <f>_xlfn.IFNA(VLOOKUP(E654,Master!$J:$K,2,0),"")</f>
        <v/>
      </c>
      <c r="F654" s="4" t="str">
        <f>_xlfn.IFNA(VLOOKUP(G654,Master!B:C,2,0),"")</f>
        <v/>
      </c>
      <c r="I654" s="3" t="str">
        <f>_xlfn.IFNA(VLOOKUP(E654,Master!$J:$M,4,0),"")</f>
        <v/>
      </c>
      <c r="J654" s="3" t="str">
        <f>_xlfn.IFNA(VLOOKUP($E654,Master!$J:$M,3,0),"")</f>
        <v/>
      </c>
      <c r="AC654" s="26">
        <f t="shared" si="22"/>
        <v>0</v>
      </c>
      <c r="AD654" s="26">
        <f t="shared" si="23"/>
        <v>0</v>
      </c>
    </row>
    <row r="655" spans="2:30" ht="15" customHeight="1">
      <c r="B655" s="3" t="str">
        <f>_xlfn.IFNA(VLOOKUP(C655,Master!$J:$K,2,0),"")</f>
        <v/>
      </c>
      <c r="D655" s="4" t="str">
        <f>_xlfn.IFNA(VLOOKUP(E655,Master!$J:$K,2,0),"")</f>
        <v/>
      </c>
      <c r="F655" s="4" t="str">
        <f>_xlfn.IFNA(VLOOKUP(G655,Master!B:C,2,0),"")</f>
        <v/>
      </c>
      <c r="I655" s="3" t="str">
        <f>_xlfn.IFNA(VLOOKUP(E655,Master!$J:$M,4,0),"")</f>
        <v/>
      </c>
      <c r="J655" s="3" t="str">
        <f>_xlfn.IFNA(VLOOKUP($E655,Master!$J:$M,3,0),"")</f>
        <v/>
      </c>
      <c r="AC655" s="26">
        <f t="shared" si="22"/>
        <v>0</v>
      </c>
      <c r="AD655" s="26">
        <f t="shared" si="23"/>
        <v>0</v>
      </c>
    </row>
    <row r="656" spans="2:30" ht="15" customHeight="1">
      <c r="B656" s="3" t="str">
        <f>_xlfn.IFNA(VLOOKUP(C656,Master!$J:$K,2,0),"")</f>
        <v/>
      </c>
      <c r="D656" s="4" t="str">
        <f>_xlfn.IFNA(VLOOKUP(E656,Master!$J:$K,2,0),"")</f>
        <v/>
      </c>
      <c r="F656" s="4" t="str">
        <f>_xlfn.IFNA(VLOOKUP(G656,Master!B:C,2,0),"")</f>
        <v/>
      </c>
      <c r="I656" s="3" t="str">
        <f>_xlfn.IFNA(VLOOKUP(E656,Master!$J:$M,4,0),"")</f>
        <v/>
      </c>
      <c r="J656" s="3" t="str">
        <f>_xlfn.IFNA(VLOOKUP($E656,Master!$J:$M,3,0),"")</f>
        <v/>
      </c>
      <c r="AC656" s="26">
        <f t="shared" si="22"/>
        <v>0</v>
      </c>
      <c r="AD656" s="26">
        <f t="shared" si="23"/>
        <v>0</v>
      </c>
    </row>
    <row r="657" spans="2:30" ht="15" customHeight="1">
      <c r="B657" s="3" t="str">
        <f>_xlfn.IFNA(VLOOKUP(C657,Master!$J:$K,2,0),"")</f>
        <v/>
      </c>
      <c r="D657" s="4" t="str">
        <f>_xlfn.IFNA(VLOOKUP(E657,Master!$J:$K,2,0),"")</f>
        <v/>
      </c>
      <c r="F657" s="4" t="str">
        <f>_xlfn.IFNA(VLOOKUP(G657,Master!B:C,2,0),"")</f>
        <v/>
      </c>
      <c r="I657" s="3" t="str">
        <f>_xlfn.IFNA(VLOOKUP(E657,Master!$J:$M,4,0),"")</f>
        <v/>
      </c>
      <c r="J657" s="3" t="str">
        <f>_xlfn.IFNA(VLOOKUP($E657,Master!$J:$M,3,0),"")</f>
        <v/>
      </c>
      <c r="AC657" s="26">
        <f t="shared" si="22"/>
        <v>0</v>
      </c>
      <c r="AD657" s="26">
        <f t="shared" si="23"/>
        <v>0</v>
      </c>
    </row>
    <row r="658" spans="2:30" ht="15" customHeight="1">
      <c r="B658" s="3" t="str">
        <f>_xlfn.IFNA(VLOOKUP(C658,Master!$J:$K,2,0),"")</f>
        <v/>
      </c>
      <c r="D658" s="4" t="str">
        <f>_xlfn.IFNA(VLOOKUP(E658,Master!$J:$K,2,0),"")</f>
        <v/>
      </c>
      <c r="F658" s="4" t="str">
        <f>_xlfn.IFNA(VLOOKUP(G658,Master!B:C,2,0),"")</f>
        <v/>
      </c>
      <c r="I658" s="3" t="str">
        <f>_xlfn.IFNA(VLOOKUP(E658,Master!$J:$M,4,0),"")</f>
        <v/>
      </c>
      <c r="J658" s="3" t="str">
        <f>_xlfn.IFNA(VLOOKUP($E658,Master!$J:$M,3,0),"")</f>
        <v/>
      </c>
      <c r="AC658" s="26">
        <f t="shared" si="22"/>
        <v>0</v>
      </c>
      <c r="AD658" s="26">
        <f t="shared" si="23"/>
        <v>0</v>
      </c>
    </row>
    <row r="659" spans="2:30" ht="15" customHeight="1">
      <c r="B659" s="3" t="str">
        <f>_xlfn.IFNA(VLOOKUP(C659,Master!$J:$K,2,0),"")</f>
        <v/>
      </c>
      <c r="D659" s="4" t="str">
        <f>_xlfn.IFNA(VLOOKUP(E659,Master!$J:$K,2,0),"")</f>
        <v/>
      </c>
      <c r="F659" s="4" t="str">
        <f>_xlfn.IFNA(VLOOKUP(G659,Master!B:C,2,0),"")</f>
        <v/>
      </c>
      <c r="I659" s="3" t="str">
        <f>_xlfn.IFNA(VLOOKUP(E659,Master!$J:$M,4,0),"")</f>
        <v/>
      </c>
      <c r="J659" s="3" t="str">
        <f>_xlfn.IFNA(VLOOKUP($E659,Master!$J:$M,3,0),"")</f>
        <v/>
      </c>
      <c r="AC659" s="26">
        <f t="shared" si="22"/>
        <v>0</v>
      </c>
      <c r="AD659" s="26">
        <f t="shared" si="23"/>
        <v>0</v>
      </c>
    </row>
    <row r="660" spans="2:30" ht="15" customHeight="1">
      <c r="B660" s="3" t="str">
        <f>_xlfn.IFNA(VLOOKUP(C660,Master!$J:$K,2,0),"")</f>
        <v/>
      </c>
      <c r="D660" s="4" t="str">
        <f>_xlfn.IFNA(VLOOKUP(E660,Master!$J:$K,2,0),"")</f>
        <v/>
      </c>
      <c r="F660" s="4" t="str">
        <f>_xlfn.IFNA(VLOOKUP(G660,Master!B:C,2,0),"")</f>
        <v/>
      </c>
      <c r="I660" s="3" t="str">
        <f>_xlfn.IFNA(VLOOKUP(E660,Master!$J:$M,4,0),"")</f>
        <v/>
      </c>
      <c r="J660" s="3" t="str">
        <f>_xlfn.IFNA(VLOOKUP($E660,Master!$J:$M,3,0),"")</f>
        <v/>
      </c>
      <c r="AC660" s="26">
        <f t="shared" si="22"/>
        <v>0</v>
      </c>
      <c r="AD660" s="26">
        <f t="shared" si="23"/>
        <v>0</v>
      </c>
    </row>
    <row r="661" spans="2:30" ht="15" customHeight="1">
      <c r="B661" s="3" t="str">
        <f>_xlfn.IFNA(VLOOKUP(C661,Master!$J:$K,2,0),"")</f>
        <v/>
      </c>
      <c r="D661" s="4" t="str">
        <f>_xlfn.IFNA(VLOOKUP(E661,Master!$J:$K,2,0),"")</f>
        <v/>
      </c>
      <c r="F661" s="4" t="str">
        <f>_xlfn.IFNA(VLOOKUP(G661,Master!B:C,2,0),"")</f>
        <v/>
      </c>
      <c r="I661" s="3" t="str">
        <f>_xlfn.IFNA(VLOOKUP(E661,Master!$J:$M,4,0),"")</f>
        <v/>
      </c>
      <c r="J661" s="3" t="str">
        <f>_xlfn.IFNA(VLOOKUP($E661,Master!$J:$M,3,0),"")</f>
        <v/>
      </c>
      <c r="AC661" s="26">
        <f t="shared" si="22"/>
        <v>0</v>
      </c>
      <c r="AD661" s="26">
        <f t="shared" si="23"/>
        <v>0</v>
      </c>
    </row>
    <row r="662" spans="2:30" ht="15" customHeight="1">
      <c r="B662" s="3" t="str">
        <f>_xlfn.IFNA(VLOOKUP(C662,Master!$J:$K,2,0),"")</f>
        <v/>
      </c>
      <c r="D662" s="4" t="str">
        <f>_xlfn.IFNA(VLOOKUP(E662,Master!$J:$K,2,0),"")</f>
        <v/>
      </c>
      <c r="F662" s="4" t="str">
        <f>_xlfn.IFNA(VLOOKUP(G662,Master!B:C,2,0),"")</f>
        <v/>
      </c>
      <c r="I662" s="3" t="str">
        <f>_xlfn.IFNA(VLOOKUP(E662,Master!$J:$M,4,0),"")</f>
        <v/>
      </c>
      <c r="J662" s="3" t="str">
        <f>_xlfn.IFNA(VLOOKUP($E662,Master!$J:$M,3,0),"")</f>
        <v/>
      </c>
      <c r="AC662" s="26">
        <f t="shared" si="22"/>
        <v>0</v>
      </c>
      <c r="AD662" s="26">
        <f t="shared" si="23"/>
        <v>0</v>
      </c>
    </row>
    <row r="663" spans="2:30" ht="15" customHeight="1">
      <c r="B663" s="3" t="str">
        <f>_xlfn.IFNA(VLOOKUP(C663,Master!$J:$K,2,0),"")</f>
        <v/>
      </c>
      <c r="D663" s="4" t="str">
        <f>_xlfn.IFNA(VLOOKUP(E663,Master!$J:$K,2,0),"")</f>
        <v/>
      </c>
      <c r="F663" s="4" t="str">
        <f>_xlfn.IFNA(VLOOKUP(G663,Master!B:C,2,0),"")</f>
        <v/>
      </c>
      <c r="I663" s="3" t="str">
        <f>_xlfn.IFNA(VLOOKUP(E663,Master!$J:$M,4,0),"")</f>
        <v/>
      </c>
      <c r="J663" s="3" t="str">
        <f>_xlfn.IFNA(VLOOKUP($E663,Master!$J:$M,3,0),"")</f>
        <v/>
      </c>
      <c r="AC663" s="26">
        <f t="shared" si="22"/>
        <v>0</v>
      </c>
      <c r="AD663" s="26">
        <f t="shared" si="23"/>
        <v>0</v>
      </c>
    </row>
    <row r="664" spans="2:30" ht="15" customHeight="1">
      <c r="B664" s="3" t="str">
        <f>_xlfn.IFNA(VLOOKUP(C664,Master!$J:$K,2,0),"")</f>
        <v/>
      </c>
      <c r="D664" s="4" t="str">
        <f>_xlfn.IFNA(VLOOKUP(E664,Master!$J:$K,2,0),"")</f>
        <v/>
      </c>
      <c r="F664" s="4" t="str">
        <f>_xlfn.IFNA(VLOOKUP(G664,Master!B:C,2,0),"")</f>
        <v/>
      </c>
      <c r="I664" s="3" t="str">
        <f>_xlfn.IFNA(VLOOKUP(E664,Master!$J:$M,4,0),"")</f>
        <v/>
      </c>
      <c r="J664" s="3" t="str">
        <f>_xlfn.IFNA(VLOOKUP($E664,Master!$J:$M,3,0),"")</f>
        <v/>
      </c>
      <c r="AC664" s="26">
        <f t="shared" si="22"/>
        <v>0</v>
      </c>
      <c r="AD664" s="26">
        <f t="shared" si="23"/>
        <v>0</v>
      </c>
    </row>
    <row r="665" spans="2:30" ht="15" customHeight="1">
      <c r="B665" s="3" t="str">
        <f>_xlfn.IFNA(VLOOKUP(C665,Master!$J:$K,2,0),"")</f>
        <v/>
      </c>
      <c r="D665" s="4" t="str">
        <f>_xlfn.IFNA(VLOOKUP(E665,Master!$J:$K,2,0),"")</f>
        <v/>
      </c>
      <c r="F665" s="4" t="str">
        <f>_xlfn.IFNA(VLOOKUP(G665,Master!B:C,2,0),"")</f>
        <v/>
      </c>
      <c r="I665" s="3" t="str">
        <f>_xlfn.IFNA(VLOOKUP(E665,Master!$J:$M,4,0),"")</f>
        <v/>
      </c>
      <c r="J665" s="3" t="str">
        <f>_xlfn.IFNA(VLOOKUP($E665,Master!$J:$M,3,0),"")</f>
        <v/>
      </c>
      <c r="AC665" s="26">
        <f t="shared" si="22"/>
        <v>0</v>
      </c>
      <c r="AD665" s="26">
        <f t="shared" si="23"/>
        <v>0</v>
      </c>
    </row>
    <row r="666" spans="2:30" ht="15" customHeight="1">
      <c r="B666" s="3" t="str">
        <f>_xlfn.IFNA(VLOOKUP(C666,Master!$J:$K,2,0),"")</f>
        <v/>
      </c>
      <c r="D666" s="4" t="str">
        <f>_xlfn.IFNA(VLOOKUP(E666,Master!$J:$K,2,0),"")</f>
        <v/>
      </c>
      <c r="F666" s="4" t="str">
        <f>_xlfn.IFNA(VLOOKUP(G666,Master!B:C,2,0),"")</f>
        <v/>
      </c>
      <c r="I666" s="3" t="str">
        <f>_xlfn.IFNA(VLOOKUP(E666,Master!$J:$M,4,0),"")</f>
        <v/>
      </c>
      <c r="J666" s="3" t="str">
        <f>_xlfn.IFNA(VLOOKUP($E666,Master!$J:$M,3,0),"")</f>
        <v/>
      </c>
      <c r="AC666" s="26">
        <f t="shared" si="22"/>
        <v>0</v>
      </c>
      <c r="AD666" s="26">
        <f t="shared" si="23"/>
        <v>0</v>
      </c>
    </row>
    <row r="667" spans="2:30" ht="15" customHeight="1">
      <c r="B667" s="3" t="str">
        <f>_xlfn.IFNA(VLOOKUP(C667,Master!$J:$K,2,0),"")</f>
        <v/>
      </c>
      <c r="D667" s="4" t="str">
        <f>_xlfn.IFNA(VLOOKUP(E667,Master!$J:$K,2,0),"")</f>
        <v/>
      </c>
      <c r="F667" s="4" t="str">
        <f>_xlfn.IFNA(VLOOKUP(G667,Master!B:C,2,0),"")</f>
        <v/>
      </c>
      <c r="I667" s="3" t="str">
        <f>_xlfn.IFNA(VLOOKUP(E667,Master!$J:$M,4,0),"")</f>
        <v/>
      </c>
      <c r="J667" s="3" t="str">
        <f>_xlfn.IFNA(VLOOKUP($E667,Master!$J:$M,3,0),"")</f>
        <v/>
      </c>
      <c r="AC667" s="26">
        <f t="shared" si="22"/>
        <v>0</v>
      </c>
      <c r="AD667" s="26">
        <f t="shared" si="23"/>
        <v>0</v>
      </c>
    </row>
    <row r="668" spans="2:30" ht="15" customHeight="1">
      <c r="B668" s="3" t="str">
        <f>_xlfn.IFNA(VLOOKUP(C668,Master!$J:$K,2,0),"")</f>
        <v/>
      </c>
      <c r="D668" s="4" t="str">
        <f>_xlfn.IFNA(VLOOKUP(E668,Master!$J:$K,2,0),"")</f>
        <v/>
      </c>
      <c r="F668" s="4" t="str">
        <f>_xlfn.IFNA(VLOOKUP(G668,Master!B:C,2,0),"")</f>
        <v/>
      </c>
      <c r="I668" s="3" t="str">
        <f>_xlfn.IFNA(VLOOKUP(E668,Master!$J:$M,4,0),"")</f>
        <v/>
      </c>
      <c r="J668" s="3" t="str">
        <f>_xlfn.IFNA(VLOOKUP($E668,Master!$J:$M,3,0),"")</f>
        <v/>
      </c>
      <c r="AC668" s="26">
        <f t="shared" si="22"/>
        <v>0</v>
      </c>
      <c r="AD668" s="26">
        <f t="shared" si="23"/>
        <v>0</v>
      </c>
    </row>
    <row r="669" spans="2:30" ht="15" customHeight="1">
      <c r="B669" s="3" t="str">
        <f>_xlfn.IFNA(VLOOKUP(C669,Master!$J:$K,2,0),"")</f>
        <v/>
      </c>
      <c r="D669" s="4" t="str">
        <f>_xlfn.IFNA(VLOOKUP(E669,Master!$J:$K,2,0),"")</f>
        <v/>
      </c>
      <c r="F669" s="4" t="str">
        <f>_xlfn.IFNA(VLOOKUP(G669,Master!B:C,2,0),"")</f>
        <v/>
      </c>
      <c r="I669" s="3" t="str">
        <f>_xlfn.IFNA(VLOOKUP(E669,Master!$J:$M,4,0),"")</f>
        <v/>
      </c>
      <c r="J669" s="3" t="str">
        <f>_xlfn.IFNA(VLOOKUP($E669,Master!$J:$M,3,0),"")</f>
        <v/>
      </c>
      <c r="AC669" s="26">
        <f t="shared" si="22"/>
        <v>0</v>
      </c>
      <c r="AD669" s="26">
        <f t="shared" si="23"/>
        <v>0</v>
      </c>
    </row>
    <row r="670" spans="2:30" ht="15" customHeight="1">
      <c r="B670" s="3" t="str">
        <f>_xlfn.IFNA(VLOOKUP(C670,Master!$J:$K,2,0),"")</f>
        <v/>
      </c>
      <c r="D670" s="4" t="str">
        <f>_xlfn.IFNA(VLOOKUP(E670,Master!$J:$K,2,0),"")</f>
        <v/>
      </c>
      <c r="F670" s="4" t="str">
        <f>_xlfn.IFNA(VLOOKUP(G670,Master!B:C,2,0),"")</f>
        <v/>
      </c>
      <c r="I670" s="3" t="str">
        <f>_xlfn.IFNA(VLOOKUP(E670,Master!$J:$M,4,0),"")</f>
        <v/>
      </c>
      <c r="J670" s="3" t="str">
        <f>_xlfn.IFNA(VLOOKUP($E670,Master!$J:$M,3,0),"")</f>
        <v/>
      </c>
      <c r="AC670" s="26">
        <f t="shared" si="22"/>
        <v>0</v>
      </c>
      <c r="AD670" s="26">
        <f t="shared" si="23"/>
        <v>0</v>
      </c>
    </row>
    <row r="671" spans="2:30" ht="15" customHeight="1">
      <c r="B671" s="3" t="str">
        <f>_xlfn.IFNA(VLOOKUP(C671,Master!$J:$K,2,0),"")</f>
        <v/>
      </c>
      <c r="D671" s="4" t="str">
        <f>_xlfn.IFNA(VLOOKUP(E671,Master!$J:$K,2,0),"")</f>
        <v/>
      </c>
      <c r="F671" s="4" t="str">
        <f>_xlfn.IFNA(VLOOKUP(G671,Master!B:C,2,0),"")</f>
        <v/>
      </c>
      <c r="I671" s="3" t="str">
        <f>_xlfn.IFNA(VLOOKUP(E671,Master!$J:$M,4,0),"")</f>
        <v/>
      </c>
      <c r="J671" s="3" t="str">
        <f>_xlfn.IFNA(VLOOKUP($E671,Master!$J:$M,3,0),"")</f>
        <v/>
      </c>
      <c r="AC671" s="26">
        <f t="shared" si="22"/>
        <v>0</v>
      </c>
      <c r="AD671" s="26">
        <f t="shared" si="23"/>
        <v>0</v>
      </c>
    </row>
    <row r="672" spans="2:30" ht="15" customHeight="1">
      <c r="B672" s="3" t="str">
        <f>_xlfn.IFNA(VLOOKUP(C672,Master!$J:$K,2,0),"")</f>
        <v/>
      </c>
      <c r="D672" s="4" t="str">
        <f>_xlfn.IFNA(VLOOKUP(E672,Master!$J:$K,2,0),"")</f>
        <v/>
      </c>
      <c r="F672" s="4" t="str">
        <f>_xlfn.IFNA(VLOOKUP(G672,Master!B:C,2,0),"")</f>
        <v/>
      </c>
      <c r="I672" s="3" t="str">
        <f>_xlfn.IFNA(VLOOKUP(E672,Master!$J:$M,4,0),"")</f>
        <v/>
      </c>
      <c r="J672" s="3" t="str">
        <f>_xlfn.IFNA(VLOOKUP($E672,Master!$J:$M,3,0),"")</f>
        <v/>
      </c>
      <c r="AC672" s="26">
        <f t="shared" si="22"/>
        <v>0</v>
      </c>
      <c r="AD672" s="26">
        <f t="shared" si="23"/>
        <v>0</v>
      </c>
    </row>
    <row r="673" spans="2:30" ht="15" customHeight="1">
      <c r="B673" s="3" t="str">
        <f>_xlfn.IFNA(VLOOKUP(C673,Master!$J:$K,2,0),"")</f>
        <v/>
      </c>
      <c r="D673" s="4" t="str">
        <f>_xlfn.IFNA(VLOOKUP(E673,Master!$J:$K,2,0),"")</f>
        <v/>
      </c>
      <c r="F673" s="4" t="str">
        <f>_xlfn.IFNA(VLOOKUP(G673,Master!B:C,2,0),"")</f>
        <v/>
      </c>
      <c r="I673" s="3" t="str">
        <f>_xlfn.IFNA(VLOOKUP(E673,Master!$J:$M,4,0),"")</f>
        <v/>
      </c>
      <c r="J673" s="3" t="str">
        <f>_xlfn.IFNA(VLOOKUP($E673,Master!$J:$M,3,0),"")</f>
        <v/>
      </c>
      <c r="AC673" s="26">
        <f t="shared" si="22"/>
        <v>0</v>
      </c>
      <c r="AD673" s="26">
        <f t="shared" si="23"/>
        <v>0</v>
      </c>
    </row>
    <row r="674" spans="2:30" ht="15" customHeight="1">
      <c r="B674" s="3" t="str">
        <f>_xlfn.IFNA(VLOOKUP(C674,Master!$J:$K,2,0),"")</f>
        <v/>
      </c>
      <c r="D674" s="4" t="str">
        <f>_xlfn.IFNA(VLOOKUP(E674,Master!$J:$K,2,0),"")</f>
        <v/>
      </c>
      <c r="F674" s="4" t="str">
        <f>_xlfn.IFNA(VLOOKUP(G674,Master!B:C,2,0),"")</f>
        <v/>
      </c>
      <c r="I674" s="3" t="str">
        <f>_xlfn.IFNA(VLOOKUP(E674,Master!$J:$M,4,0),"")</f>
        <v/>
      </c>
      <c r="J674" s="3" t="str">
        <f>_xlfn.IFNA(VLOOKUP($E674,Master!$J:$M,3,0),"")</f>
        <v/>
      </c>
      <c r="AC674" s="26">
        <f t="shared" si="22"/>
        <v>0</v>
      </c>
      <c r="AD674" s="26">
        <f t="shared" si="23"/>
        <v>0</v>
      </c>
    </row>
    <row r="675" spans="2:30" ht="15" customHeight="1">
      <c r="B675" s="3" t="str">
        <f>_xlfn.IFNA(VLOOKUP(C675,Master!$J:$K,2,0),"")</f>
        <v/>
      </c>
      <c r="D675" s="4" t="str">
        <f>_xlfn.IFNA(VLOOKUP(E675,Master!$J:$K,2,0),"")</f>
        <v/>
      </c>
      <c r="F675" s="4" t="str">
        <f>_xlfn.IFNA(VLOOKUP(G675,Master!B:C,2,0),"")</f>
        <v/>
      </c>
      <c r="I675" s="3" t="str">
        <f>_xlfn.IFNA(VLOOKUP(E675,Master!$J:$M,4,0),"")</f>
        <v/>
      </c>
      <c r="J675" s="3" t="str">
        <f>_xlfn.IFNA(VLOOKUP($E675,Master!$J:$M,3,0),"")</f>
        <v/>
      </c>
      <c r="AC675" s="26">
        <f t="shared" si="22"/>
        <v>0</v>
      </c>
      <c r="AD675" s="26">
        <f t="shared" si="23"/>
        <v>0</v>
      </c>
    </row>
    <row r="676" spans="2:30" ht="15" customHeight="1">
      <c r="B676" s="3" t="str">
        <f>_xlfn.IFNA(VLOOKUP(C676,Master!$J:$K,2,0),"")</f>
        <v/>
      </c>
      <c r="D676" s="4" t="str">
        <f>_xlfn.IFNA(VLOOKUP(E676,Master!$J:$K,2,0),"")</f>
        <v/>
      </c>
      <c r="F676" s="4" t="str">
        <f>_xlfn.IFNA(VLOOKUP(G676,Master!B:C,2,0),"")</f>
        <v/>
      </c>
      <c r="I676" s="3" t="str">
        <f>_xlfn.IFNA(VLOOKUP(E676,Master!$J:$M,4,0),"")</f>
        <v/>
      </c>
      <c r="J676" s="3" t="str">
        <f>_xlfn.IFNA(VLOOKUP($E676,Master!$J:$M,3,0),"")</f>
        <v/>
      </c>
      <c r="AC676" s="26">
        <f t="shared" si="22"/>
        <v>0</v>
      </c>
      <c r="AD676" s="26">
        <f t="shared" si="23"/>
        <v>0</v>
      </c>
    </row>
    <row r="677" spans="2:30" ht="15" customHeight="1">
      <c r="B677" s="3" t="str">
        <f>_xlfn.IFNA(VLOOKUP(C677,Master!$J:$K,2,0),"")</f>
        <v/>
      </c>
      <c r="D677" s="4" t="str">
        <f>_xlfn.IFNA(VLOOKUP(E677,Master!$J:$K,2,0),"")</f>
        <v/>
      </c>
      <c r="F677" s="4" t="str">
        <f>_xlfn.IFNA(VLOOKUP(G677,Master!B:C,2,0),"")</f>
        <v/>
      </c>
      <c r="I677" s="3" t="str">
        <f>_xlfn.IFNA(VLOOKUP(E677,Master!$J:$M,4,0),"")</f>
        <v/>
      </c>
      <c r="J677" s="3" t="str">
        <f>_xlfn.IFNA(VLOOKUP($E677,Master!$J:$M,3,0),"")</f>
        <v/>
      </c>
      <c r="AC677" s="26">
        <f t="shared" si="22"/>
        <v>0</v>
      </c>
      <c r="AD677" s="26">
        <f t="shared" si="23"/>
        <v>0</v>
      </c>
    </row>
    <row r="678" spans="2:30" ht="15" customHeight="1">
      <c r="B678" s="3" t="str">
        <f>_xlfn.IFNA(VLOOKUP(C678,Master!$J:$K,2,0),"")</f>
        <v/>
      </c>
      <c r="D678" s="4" t="str">
        <f>_xlfn.IFNA(VLOOKUP(E678,Master!$J:$K,2,0),"")</f>
        <v/>
      </c>
      <c r="F678" s="4" t="str">
        <f>_xlfn.IFNA(VLOOKUP(G678,Master!B:C,2,0),"")</f>
        <v/>
      </c>
      <c r="I678" s="3" t="str">
        <f>_xlfn.IFNA(VLOOKUP(E678,Master!$J:$M,4,0),"")</f>
        <v/>
      </c>
      <c r="J678" s="3" t="str">
        <f>_xlfn.IFNA(VLOOKUP($E678,Master!$J:$M,3,0),"")</f>
        <v/>
      </c>
      <c r="AC678" s="26">
        <f t="shared" si="22"/>
        <v>0</v>
      </c>
      <c r="AD678" s="26">
        <f t="shared" si="23"/>
        <v>0</v>
      </c>
    </row>
    <row r="679" spans="2:30" ht="15" customHeight="1">
      <c r="B679" s="3" t="str">
        <f>_xlfn.IFNA(VLOOKUP(C679,Master!$J:$K,2,0),"")</f>
        <v/>
      </c>
      <c r="D679" s="4" t="str">
        <f>_xlfn.IFNA(VLOOKUP(E679,Master!$J:$K,2,0),"")</f>
        <v/>
      </c>
      <c r="F679" s="4" t="str">
        <f>_xlfn.IFNA(VLOOKUP(G679,Master!B:C,2,0),"")</f>
        <v/>
      </c>
      <c r="I679" s="3" t="str">
        <f>_xlfn.IFNA(VLOOKUP(E679,Master!$J:$M,4,0),"")</f>
        <v/>
      </c>
      <c r="J679" s="3" t="str">
        <f>_xlfn.IFNA(VLOOKUP($E679,Master!$J:$M,3,0),"")</f>
        <v/>
      </c>
      <c r="AC679" s="26">
        <f t="shared" si="22"/>
        <v>0</v>
      </c>
      <c r="AD679" s="26">
        <f t="shared" si="23"/>
        <v>0</v>
      </c>
    </row>
    <row r="680" spans="2:30" ht="15" customHeight="1">
      <c r="B680" s="3" t="str">
        <f>_xlfn.IFNA(VLOOKUP(C680,Master!$J:$K,2,0),"")</f>
        <v/>
      </c>
      <c r="D680" s="4" t="str">
        <f>_xlfn.IFNA(VLOOKUP(E680,Master!$J:$K,2,0),"")</f>
        <v/>
      </c>
      <c r="F680" s="4" t="str">
        <f>_xlfn.IFNA(VLOOKUP(G680,Master!B:C,2,0),"")</f>
        <v/>
      </c>
      <c r="I680" s="3" t="str">
        <f>_xlfn.IFNA(VLOOKUP(E680,Master!$J:$M,4,0),"")</f>
        <v/>
      </c>
      <c r="J680" s="3" t="str">
        <f>_xlfn.IFNA(VLOOKUP($E680,Master!$J:$M,3,0),"")</f>
        <v/>
      </c>
      <c r="AC680" s="26">
        <f t="shared" si="22"/>
        <v>0</v>
      </c>
      <c r="AD680" s="26">
        <f t="shared" si="23"/>
        <v>0</v>
      </c>
    </row>
    <row r="681" spans="2:30" ht="15" customHeight="1">
      <c r="B681" s="3" t="str">
        <f>_xlfn.IFNA(VLOOKUP(C681,Master!$J:$K,2,0),"")</f>
        <v/>
      </c>
      <c r="D681" s="4" t="str">
        <f>_xlfn.IFNA(VLOOKUP(E681,Master!$J:$K,2,0),"")</f>
        <v/>
      </c>
      <c r="F681" s="4" t="str">
        <f>_xlfn.IFNA(VLOOKUP(G681,Master!B:C,2,0),"")</f>
        <v/>
      </c>
      <c r="I681" s="3" t="str">
        <f>_xlfn.IFNA(VLOOKUP(E681,Master!$J:$M,4,0),"")</f>
        <v/>
      </c>
      <c r="J681" s="3" t="str">
        <f>_xlfn.IFNA(VLOOKUP($E681,Master!$J:$M,3,0),"")</f>
        <v/>
      </c>
      <c r="AC681" s="26">
        <f t="shared" si="22"/>
        <v>0</v>
      </c>
      <c r="AD681" s="26">
        <f t="shared" si="23"/>
        <v>0</v>
      </c>
    </row>
    <row r="682" spans="2:30" ht="15" customHeight="1">
      <c r="B682" s="3" t="str">
        <f>_xlfn.IFNA(VLOOKUP(C682,Master!$J:$K,2,0),"")</f>
        <v/>
      </c>
      <c r="D682" s="4" t="str">
        <f>_xlfn.IFNA(VLOOKUP(E682,Master!$J:$K,2,0),"")</f>
        <v/>
      </c>
      <c r="F682" s="4" t="str">
        <f>_xlfn.IFNA(VLOOKUP(G682,Master!B:C,2,0),"")</f>
        <v/>
      </c>
      <c r="I682" s="3" t="str">
        <f>_xlfn.IFNA(VLOOKUP(E682,Master!$J:$M,4,0),"")</f>
        <v/>
      </c>
      <c r="J682" s="3" t="str">
        <f>_xlfn.IFNA(VLOOKUP($E682,Master!$J:$M,3,0),"")</f>
        <v/>
      </c>
      <c r="AC682" s="26">
        <f t="shared" si="22"/>
        <v>0</v>
      </c>
      <c r="AD682" s="26">
        <f t="shared" si="23"/>
        <v>0</v>
      </c>
    </row>
    <row r="683" spans="2:30" ht="15" customHeight="1">
      <c r="B683" s="3" t="str">
        <f>_xlfn.IFNA(VLOOKUP(C683,Master!$J:$K,2,0),"")</f>
        <v/>
      </c>
      <c r="D683" s="4" t="str">
        <f>_xlfn.IFNA(VLOOKUP(E683,Master!$J:$K,2,0),"")</f>
        <v/>
      </c>
      <c r="F683" s="4" t="str">
        <f>_xlfn.IFNA(VLOOKUP(G683,Master!B:C,2,0),"")</f>
        <v/>
      </c>
      <c r="I683" s="3" t="str">
        <f>_xlfn.IFNA(VLOOKUP(E683,Master!$J:$M,4,0),"")</f>
        <v/>
      </c>
      <c r="J683" s="3" t="str">
        <f>_xlfn.IFNA(VLOOKUP($E683,Master!$J:$M,3,0),"")</f>
        <v/>
      </c>
      <c r="AC683" s="26">
        <f t="shared" si="22"/>
        <v>0</v>
      </c>
      <c r="AD683" s="26">
        <f t="shared" si="23"/>
        <v>0</v>
      </c>
    </row>
    <row r="684" spans="2:30" ht="15" customHeight="1">
      <c r="B684" s="3" t="str">
        <f>_xlfn.IFNA(VLOOKUP(C684,Master!$J:$K,2,0),"")</f>
        <v/>
      </c>
      <c r="D684" s="4" t="str">
        <f>_xlfn.IFNA(VLOOKUP(E684,Master!$J:$K,2,0),"")</f>
        <v/>
      </c>
      <c r="F684" s="4" t="str">
        <f>_xlfn.IFNA(VLOOKUP(G684,Master!B:C,2,0),"")</f>
        <v/>
      </c>
      <c r="I684" s="3" t="str">
        <f>_xlfn.IFNA(VLOOKUP(E684,Master!$J:$M,4,0),"")</f>
        <v/>
      </c>
      <c r="J684" s="3" t="str">
        <f>_xlfn.IFNA(VLOOKUP($E684,Master!$J:$M,3,0),"")</f>
        <v/>
      </c>
      <c r="AC684" s="26">
        <f t="shared" si="22"/>
        <v>0</v>
      </c>
      <c r="AD684" s="26">
        <f t="shared" si="23"/>
        <v>0</v>
      </c>
    </row>
    <row r="685" spans="2:30" ht="15" customHeight="1">
      <c r="B685" s="3" t="str">
        <f>_xlfn.IFNA(VLOOKUP(C685,Master!$J:$K,2,0),"")</f>
        <v/>
      </c>
      <c r="D685" s="4" t="str">
        <f>_xlfn.IFNA(VLOOKUP(E685,Master!$J:$K,2,0),"")</f>
        <v/>
      </c>
      <c r="F685" s="4" t="str">
        <f>_xlfn.IFNA(VLOOKUP(G685,Master!B:C,2,0),"")</f>
        <v/>
      </c>
      <c r="I685" s="3" t="str">
        <f>_xlfn.IFNA(VLOOKUP(E685,Master!$J:$M,4,0),"")</f>
        <v/>
      </c>
      <c r="J685" s="3" t="str">
        <f>_xlfn.IFNA(VLOOKUP($E685,Master!$J:$M,3,0),"")</f>
        <v/>
      </c>
      <c r="AC685" s="26">
        <f t="shared" si="22"/>
        <v>0</v>
      </c>
      <c r="AD685" s="26">
        <f t="shared" si="23"/>
        <v>0</v>
      </c>
    </row>
    <row r="686" spans="2:30" ht="15" customHeight="1">
      <c r="B686" s="3" t="str">
        <f>_xlfn.IFNA(VLOOKUP(C686,Master!$J:$K,2,0),"")</f>
        <v/>
      </c>
      <c r="D686" s="4" t="str">
        <f>_xlfn.IFNA(VLOOKUP(E686,Master!$J:$K,2,0),"")</f>
        <v/>
      </c>
      <c r="F686" s="4" t="str">
        <f>_xlfn.IFNA(VLOOKUP(G686,Master!B:C,2,0),"")</f>
        <v/>
      </c>
      <c r="I686" s="3" t="str">
        <f>_xlfn.IFNA(VLOOKUP(E686,Master!$J:$M,4,0),"")</f>
        <v/>
      </c>
      <c r="J686" s="3" t="str">
        <f>_xlfn.IFNA(VLOOKUP($E686,Master!$J:$M,3,0),"")</f>
        <v/>
      </c>
      <c r="AC686" s="26">
        <f t="shared" si="22"/>
        <v>0</v>
      </c>
      <c r="AD686" s="26">
        <f t="shared" si="23"/>
        <v>0</v>
      </c>
    </row>
    <row r="687" spans="2:30" ht="15" customHeight="1">
      <c r="B687" s="3" t="str">
        <f>_xlfn.IFNA(VLOOKUP(C687,Master!$J:$K,2,0),"")</f>
        <v/>
      </c>
      <c r="D687" s="4" t="str">
        <f>_xlfn.IFNA(VLOOKUP(E687,Master!$J:$K,2,0),"")</f>
        <v/>
      </c>
      <c r="F687" s="4" t="str">
        <f>_xlfn.IFNA(VLOOKUP(G687,Master!B:C,2,0),"")</f>
        <v/>
      </c>
      <c r="I687" s="3" t="str">
        <f>_xlfn.IFNA(VLOOKUP(E687,Master!$J:$M,4,0),"")</f>
        <v/>
      </c>
      <c r="J687" s="3" t="str">
        <f>_xlfn.IFNA(VLOOKUP($E687,Master!$J:$M,3,0),"")</f>
        <v/>
      </c>
      <c r="AC687" s="26">
        <f t="shared" si="22"/>
        <v>0</v>
      </c>
      <c r="AD687" s="26">
        <f t="shared" si="23"/>
        <v>0</v>
      </c>
    </row>
    <row r="688" spans="2:30" ht="15" customHeight="1">
      <c r="B688" s="3" t="str">
        <f>_xlfn.IFNA(VLOOKUP(C688,Master!$J:$K,2,0),"")</f>
        <v/>
      </c>
      <c r="D688" s="4" t="str">
        <f>_xlfn.IFNA(VLOOKUP(E688,Master!$J:$K,2,0),"")</f>
        <v/>
      </c>
      <c r="F688" s="4" t="str">
        <f>_xlfn.IFNA(VLOOKUP(G688,Master!B:C,2,0),"")</f>
        <v/>
      </c>
      <c r="I688" s="3" t="str">
        <f>_xlfn.IFNA(VLOOKUP(E688,Master!$J:$M,4,0),"")</f>
        <v/>
      </c>
      <c r="J688" s="3" t="str">
        <f>_xlfn.IFNA(VLOOKUP($E688,Master!$J:$M,3,0),"")</f>
        <v/>
      </c>
      <c r="AC688" s="26">
        <f t="shared" si="22"/>
        <v>0</v>
      </c>
      <c r="AD688" s="26">
        <f t="shared" si="23"/>
        <v>0</v>
      </c>
    </row>
    <row r="689" spans="2:30" ht="15" customHeight="1">
      <c r="B689" s="3" t="str">
        <f>_xlfn.IFNA(VLOOKUP(C689,Master!$J:$K,2,0),"")</f>
        <v/>
      </c>
      <c r="D689" s="4" t="str">
        <f>_xlfn.IFNA(VLOOKUP(E689,Master!$J:$K,2,0),"")</f>
        <v/>
      </c>
      <c r="F689" s="4" t="str">
        <f>_xlfn.IFNA(VLOOKUP(G689,Master!B:C,2,0),"")</f>
        <v/>
      </c>
      <c r="I689" s="3" t="str">
        <f>_xlfn.IFNA(VLOOKUP(E689,Master!$J:$M,4,0),"")</f>
        <v/>
      </c>
      <c r="J689" s="3" t="str">
        <f>_xlfn.IFNA(VLOOKUP($E689,Master!$J:$M,3,0),"")</f>
        <v/>
      </c>
      <c r="AC689" s="26">
        <f t="shared" si="22"/>
        <v>0</v>
      </c>
      <c r="AD689" s="26">
        <f t="shared" si="23"/>
        <v>0</v>
      </c>
    </row>
    <row r="690" spans="2:30" ht="15" customHeight="1">
      <c r="B690" s="3" t="str">
        <f>_xlfn.IFNA(VLOOKUP(C690,Master!$J:$K,2,0),"")</f>
        <v/>
      </c>
      <c r="D690" s="4" t="str">
        <f>_xlfn.IFNA(VLOOKUP(E690,Master!$J:$K,2,0),"")</f>
        <v/>
      </c>
      <c r="F690" s="4" t="str">
        <f>_xlfn.IFNA(VLOOKUP(G690,Master!B:C,2,0),"")</f>
        <v/>
      </c>
      <c r="I690" s="3" t="str">
        <f>_xlfn.IFNA(VLOOKUP(E690,Master!$J:$M,4,0),"")</f>
        <v/>
      </c>
      <c r="J690" s="3" t="str">
        <f>_xlfn.IFNA(VLOOKUP($E690,Master!$J:$M,3,0),"")</f>
        <v/>
      </c>
      <c r="AC690" s="26">
        <f t="shared" si="22"/>
        <v>0</v>
      </c>
      <c r="AD690" s="26">
        <f t="shared" si="23"/>
        <v>0</v>
      </c>
    </row>
    <row r="691" spans="2:30" ht="15" customHeight="1">
      <c r="B691" s="3" t="str">
        <f>_xlfn.IFNA(VLOOKUP(C691,Master!$J:$K,2,0),"")</f>
        <v/>
      </c>
      <c r="D691" s="4" t="str">
        <f>_xlfn.IFNA(VLOOKUP(E691,Master!$J:$K,2,0),"")</f>
        <v/>
      </c>
      <c r="F691" s="4" t="str">
        <f>_xlfn.IFNA(VLOOKUP(G691,Master!B:C,2,0),"")</f>
        <v/>
      </c>
      <c r="I691" s="3" t="str">
        <f>_xlfn.IFNA(VLOOKUP(E691,Master!$J:$M,4,0),"")</f>
        <v/>
      </c>
      <c r="J691" s="3" t="str">
        <f>_xlfn.IFNA(VLOOKUP($E691,Master!$J:$M,3,0),"")</f>
        <v/>
      </c>
      <c r="AC691" s="26">
        <f t="shared" si="22"/>
        <v>0</v>
      </c>
      <c r="AD691" s="26">
        <f t="shared" si="23"/>
        <v>0</v>
      </c>
    </row>
    <row r="692" spans="2:30" ht="15" customHeight="1">
      <c r="B692" s="3" t="str">
        <f>_xlfn.IFNA(VLOOKUP(C692,Master!$J:$K,2,0),"")</f>
        <v/>
      </c>
      <c r="D692" s="4" t="str">
        <f>_xlfn.IFNA(VLOOKUP(E692,Master!$J:$K,2,0),"")</f>
        <v/>
      </c>
      <c r="F692" s="4" t="str">
        <f>_xlfn.IFNA(VLOOKUP(G692,Master!B:C,2,0),"")</f>
        <v/>
      </c>
      <c r="I692" s="3" t="str">
        <f>_xlfn.IFNA(VLOOKUP(E692,Master!$J:$M,4,0),"")</f>
        <v/>
      </c>
      <c r="J692" s="3" t="str">
        <f>_xlfn.IFNA(VLOOKUP($E692,Master!$J:$M,3,0),"")</f>
        <v/>
      </c>
      <c r="AC692" s="26">
        <f t="shared" si="22"/>
        <v>0</v>
      </c>
      <c r="AD692" s="26">
        <f t="shared" si="23"/>
        <v>0</v>
      </c>
    </row>
    <row r="693" spans="2:30" ht="15" customHeight="1">
      <c r="B693" s="3" t="str">
        <f>_xlfn.IFNA(VLOOKUP(C693,Master!$J:$K,2,0),"")</f>
        <v/>
      </c>
      <c r="D693" s="4" t="str">
        <f>_xlfn.IFNA(VLOOKUP(E693,Master!$J:$K,2,0),"")</f>
        <v/>
      </c>
      <c r="F693" s="4" t="str">
        <f>_xlfn.IFNA(VLOOKUP(G693,Master!B:C,2,0),"")</f>
        <v/>
      </c>
      <c r="I693" s="3" t="str">
        <f>_xlfn.IFNA(VLOOKUP(E693,Master!$J:$M,4,0),"")</f>
        <v/>
      </c>
      <c r="J693" s="3" t="str">
        <f>_xlfn.IFNA(VLOOKUP($E693,Master!$J:$M,3,0),"")</f>
        <v/>
      </c>
      <c r="AC693" s="26">
        <f t="shared" si="22"/>
        <v>0</v>
      </c>
      <c r="AD693" s="26">
        <f t="shared" si="23"/>
        <v>0</v>
      </c>
    </row>
    <row r="694" spans="2:30" ht="15" customHeight="1">
      <c r="B694" s="3" t="str">
        <f>_xlfn.IFNA(VLOOKUP(C694,Master!$J:$K,2,0),"")</f>
        <v/>
      </c>
      <c r="D694" s="4" t="str">
        <f>_xlfn.IFNA(VLOOKUP(E694,Master!$J:$K,2,0),"")</f>
        <v/>
      </c>
      <c r="F694" s="4" t="str">
        <f>_xlfn.IFNA(VLOOKUP(G694,Master!B:C,2,0),"")</f>
        <v/>
      </c>
      <c r="I694" s="3" t="str">
        <f>_xlfn.IFNA(VLOOKUP(E694,Master!$J:$M,4,0),"")</f>
        <v/>
      </c>
      <c r="J694" s="3" t="str">
        <f>_xlfn.IFNA(VLOOKUP($E694,Master!$J:$M,3,0),"")</f>
        <v/>
      </c>
      <c r="AC694" s="26">
        <f t="shared" si="22"/>
        <v>0</v>
      </c>
      <c r="AD694" s="26">
        <f t="shared" si="23"/>
        <v>0</v>
      </c>
    </row>
    <row r="695" spans="2:30" ht="15" customHeight="1">
      <c r="B695" s="3" t="str">
        <f>_xlfn.IFNA(VLOOKUP(C695,Master!$J:$K,2,0),"")</f>
        <v/>
      </c>
      <c r="D695" s="4" t="str">
        <f>_xlfn.IFNA(VLOOKUP(E695,Master!$J:$K,2,0),"")</f>
        <v/>
      </c>
      <c r="F695" s="4" t="str">
        <f>_xlfn.IFNA(VLOOKUP(G695,Master!B:C,2,0),"")</f>
        <v/>
      </c>
      <c r="I695" s="3" t="str">
        <f>_xlfn.IFNA(VLOOKUP(E695,Master!$J:$M,4,0),"")</f>
        <v/>
      </c>
      <c r="J695" s="3" t="str">
        <f>_xlfn.IFNA(VLOOKUP($E695,Master!$J:$M,3,0),"")</f>
        <v/>
      </c>
      <c r="AC695" s="26">
        <f t="shared" si="22"/>
        <v>0</v>
      </c>
      <c r="AD695" s="26">
        <f t="shared" si="23"/>
        <v>0</v>
      </c>
    </row>
    <row r="696" spans="2:30" ht="15" customHeight="1">
      <c r="B696" s="3" t="str">
        <f>_xlfn.IFNA(VLOOKUP(C696,Master!$J:$K,2,0),"")</f>
        <v/>
      </c>
      <c r="D696" s="4" t="str">
        <f>_xlfn.IFNA(VLOOKUP(E696,Master!$J:$K,2,0),"")</f>
        <v/>
      </c>
      <c r="F696" s="4" t="str">
        <f>_xlfn.IFNA(VLOOKUP(G696,Master!B:C,2,0),"")</f>
        <v/>
      </c>
      <c r="I696" s="3" t="str">
        <f>_xlfn.IFNA(VLOOKUP(E696,Master!$J:$M,4,0),"")</f>
        <v/>
      </c>
      <c r="J696" s="3" t="str">
        <f>_xlfn.IFNA(VLOOKUP($E696,Master!$J:$M,3,0),"")</f>
        <v/>
      </c>
      <c r="AC696" s="26">
        <f t="shared" si="22"/>
        <v>0</v>
      </c>
      <c r="AD696" s="26">
        <f t="shared" si="23"/>
        <v>0</v>
      </c>
    </row>
    <row r="697" spans="2:30" ht="15" customHeight="1">
      <c r="B697" s="3" t="str">
        <f>_xlfn.IFNA(VLOOKUP(C697,Master!$J:$K,2,0),"")</f>
        <v/>
      </c>
      <c r="D697" s="4" t="str">
        <f>_xlfn.IFNA(VLOOKUP(E697,Master!$J:$K,2,0),"")</f>
        <v/>
      </c>
      <c r="F697" s="4" t="str">
        <f>_xlfn.IFNA(VLOOKUP(G697,Master!B:C,2,0),"")</f>
        <v/>
      </c>
      <c r="I697" s="3" t="str">
        <f>_xlfn.IFNA(VLOOKUP(E697,Master!$J:$M,4,0),"")</f>
        <v/>
      </c>
      <c r="J697" s="3" t="str">
        <f>_xlfn.IFNA(VLOOKUP($E697,Master!$J:$M,3,0),"")</f>
        <v/>
      </c>
      <c r="AC697" s="26">
        <f t="shared" si="22"/>
        <v>0</v>
      </c>
      <c r="AD697" s="26">
        <f t="shared" si="23"/>
        <v>0</v>
      </c>
    </row>
    <row r="698" spans="2:30" ht="15" customHeight="1">
      <c r="B698" s="3" t="str">
        <f>_xlfn.IFNA(VLOOKUP(C698,Master!$J:$K,2,0),"")</f>
        <v/>
      </c>
      <c r="D698" s="4" t="str">
        <f>_xlfn.IFNA(VLOOKUP(E698,Master!$J:$K,2,0),"")</f>
        <v/>
      </c>
      <c r="F698" s="4" t="str">
        <f>_xlfn.IFNA(VLOOKUP(G698,Master!B:C,2,0),"")</f>
        <v/>
      </c>
      <c r="I698" s="3" t="str">
        <f>_xlfn.IFNA(VLOOKUP(E698,Master!$J:$M,4,0),"")</f>
        <v/>
      </c>
      <c r="J698" s="3" t="str">
        <f>_xlfn.IFNA(VLOOKUP($E698,Master!$J:$M,3,0),"")</f>
        <v/>
      </c>
      <c r="AC698" s="26">
        <f t="shared" si="22"/>
        <v>0</v>
      </c>
      <c r="AD698" s="26">
        <f t="shared" si="23"/>
        <v>0</v>
      </c>
    </row>
    <row r="699" spans="2:30" ht="15" customHeight="1">
      <c r="B699" s="3" t="str">
        <f>_xlfn.IFNA(VLOOKUP(C699,Master!$J:$K,2,0),"")</f>
        <v/>
      </c>
      <c r="D699" s="4" t="str">
        <f>_xlfn.IFNA(VLOOKUP(E699,Master!$J:$K,2,0),"")</f>
        <v/>
      </c>
      <c r="F699" s="4" t="str">
        <f>_xlfn.IFNA(VLOOKUP(G699,Master!B:C,2,0),"")</f>
        <v/>
      </c>
      <c r="I699" s="3" t="str">
        <f>_xlfn.IFNA(VLOOKUP(E699,Master!$J:$M,4,0),"")</f>
        <v/>
      </c>
      <c r="J699" s="3" t="str">
        <f>_xlfn.IFNA(VLOOKUP($E699,Master!$J:$M,3,0),"")</f>
        <v/>
      </c>
      <c r="AC699" s="26">
        <f t="shared" si="22"/>
        <v>0</v>
      </c>
      <c r="AD699" s="26">
        <f t="shared" si="23"/>
        <v>0</v>
      </c>
    </row>
    <row r="700" spans="2:30" ht="15" customHeight="1">
      <c r="B700" s="3" t="str">
        <f>_xlfn.IFNA(VLOOKUP(C700,Master!$J:$K,2,0),"")</f>
        <v/>
      </c>
      <c r="D700" s="4" t="str">
        <f>_xlfn.IFNA(VLOOKUP(E700,Master!$J:$K,2,0),"")</f>
        <v/>
      </c>
      <c r="F700" s="4" t="str">
        <f>_xlfn.IFNA(VLOOKUP(G700,Master!B:C,2,0),"")</f>
        <v/>
      </c>
      <c r="I700" s="3" t="str">
        <f>_xlfn.IFNA(VLOOKUP(E700,Master!$J:$M,4,0),"")</f>
        <v/>
      </c>
      <c r="J700" s="3" t="str">
        <f>_xlfn.IFNA(VLOOKUP($E700,Master!$J:$M,3,0),"")</f>
        <v/>
      </c>
      <c r="AC700" s="26">
        <f t="shared" si="22"/>
        <v>0</v>
      </c>
      <c r="AD700" s="26">
        <f t="shared" si="23"/>
        <v>0</v>
      </c>
    </row>
    <row r="701" spans="2:30" ht="15" customHeight="1">
      <c r="B701" s="3" t="str">
        <f>_xlfn.IFNA(VLOOKUP(C701,Master!$J:$K,2,0),"")</f>
        <v/>
      </c>
      <c r="D701" s="4" t="str">
        <f>_xlfn.IFNA(VLOOKUP(E701,Master!$J:$K,2,0),"")</f>
        <v/>
      </c>
      <c r="F701" s="4" t="str">
        <f>_xlfn.IFNA(VLOOKUP(G701,Master!B:C,2,0),"")</f>
        <v/>
      </c>
      <c r="I701" s="3" t="str">
        <f>_xlfn.IFNA(VLOOKUP(E701,Master!$J:$M,4,0),"")</f>
        <v/>
      </c>
      <c r="J701" s="3" t="str">
        <f>_xlfn.IFNA(VLOOKUP($E701,Master!$J:$M,3,0),"")</f>
        <v/>
      </c>
      <c r="AC701" s="26">
        <f t="shared" si="22"/>
        <v>0</v>
      </c>
      <c r="AD701" s="26">
        <f t="shared" si="23"/>
        <v>0</v>
      </c>
    </row>
    <row r="702" spans="2:30" ht="15" customHeight="1">
      <c r="B702" s="3" t="str">
        <f>_xlfn.IFNA(VLOOKUP(C702,Master!$J:$K,2,0),"")</f>
        <v/>
      </c>
      <c r="D702" s="4" t="str">
        <f>_xlfn.IFNA(VLOOKUP(E702,Master!$J:$K,2,0),"")</f>
        <v/>
      </c>
      <c r="F702" s="4" t="str">
        <f>_xlfn.IFNA(VLOOKUP(G702,Master!B:C,2,0),"")</f>
        <v/>
      </c>
      <c r="I702" s="3" t="str">
        <f>_xlfn.IFNA(VLOOKUP(E702,Master!$J:$M,4,0),"")</f>
        <v/>
      </c>
      <c r="J702" s="3" t="str">
        <f>_xlfn.IFNA(VLOOKUP($E702,Master!$J:$M,3,0),"")</f>
        <v/>
      </c>
      <c r="AC702" s="26">
        <f t="shared" si="22"/>
        <v>0</v>
      </c>
      <c r="AD702" s="26">
        <f t="shared" si="23"/>
        <v>0</v>
      </c>
    </row>
    <row r="703" spans="2:30" ht="15" customHeight="1">
      <c r="B703" s="3" t="str">
        <f>_xlfn.IFNA(VLOOKUP(C703,Master!$J:$K,2,0),"")</f>
        <v/>
      </c>
      <c r="D703" s="4" t="str">
        <f>_xlfn.IFNA(VLOOKUP(E703,Master!$J:$K,2,0),"")</f>
        <v/>
      </c>
      <c r="F703" s="4" t="str">
        <f>_xlfn.IFNA(VLOOKUP(G703,Master!B:C,2,0),"")</f>
        <v/>
      </c>
      <c r="I703" s="3" t="str">
        <f>_xlfn.IFNA(VLOOKUP(E703,Master!$J:$M,4,0),"")</f>
        <v/>
      </c>
      <c r="J703" s="3" t="str">
        <f>_xlfn.IFNA(VLOOKUP($E703,Master!$J:$M,3,0),"")</f>
        <v/>
      </c>
      <c r="AC703" s="26">
        <f t="shared" si="22"/>
        <v>0</v>
      </c>
      <c r="AD703" s="26">
        <f t="shared" si="23"/>
        <v>0</v>
      </c>
    </row>
    <row r="704" spans="2:30" ht="15" customHeight="1">
      <c r="B704" s="3" t="str">
        <f>_xlfn.IFNA(VLOOKUP(C704,Master!$J:$K,2,0),"")</f>
        <v/>
      </c>
      <c r="D704" s="4" t="str">
        <f>_xlfn.IFNA(VLOOKUP(E704,Master!$J:$K,2,0),"")</f>
        <v/>
      </c>
      <c r="F704" s="4" t="str">
        <f>_xlfn.IFNA(VLOOKUP(G704,Master!B:C,2,0),"")</f>
        <v/>
      </c>
      <c r="I704" s="3" t="str">
        <f>_xlfn.IFNA(VLOOKUP(E704,Master!$J:$M,4,0),"")</f>
        <v/>
      </c>
      <c r="J704" s="3" t="str">
        <f>_xlfn.IFNA(VLOOKUP($E704,Master!$J:$M,3,0),"")</f>
        <v/>
      </c>
      <c r="AC704" s="26">
        <f t="shared" si="22"/>
        <v>0</v>
      </c>
      <c r="AD704" s="26">
        <f t="shared" si="23"/>
        <v>0</v>
      </c>
    </row>
    <row r="705" spans="2:30" ht="15" customHeight="1">
      <c r="B705" s="3" t="str">
        <f>_xlfn.IFNA(VLOOKUP(C705,Master!$J:$K,2,0),"")</f>
        <v/>
      </c>
      <c r="D705" s="4" t="str">
        <f>_xlfn.IFNA(VLOOKUP(E705,Master!$J:$K,2,0),"")</f>
        <v/>
      </c>
      <c r="F705" s="4" t="str">
        <f>_xlfn.IFNA(VLOOKUP(G705,Master!B:C,2,0),"")</f>
        <v/>
      </c>
      <c r="I705" s="3" t="str">
        <f>_xlfn.IFNA(VLOOKUP(E705,Master!$J:$M,4,0),"")</f>
        <v/>
      </c>
      <c r="J705" s="3" t="str">
        <f>_xlfn.IFNA(VLOOKUP($E705,Master!$J:$M,3,0),"")</f>
        <v/>
      </c>
      <c r="AC705" s="26">
        <f t="shared" si="22"/>
        <v>0</v>
      </c>
      <c r="AD705" s="26">
        <f t="shared" si="23"/>
        <v>0</v>
      </c>
    </row>
    <row r="706" spans="2:30" ht="15" customHeight="1">
      <c r="B706" s="3" t="str">
        <f>_xlfn.IFNA(VLOOKUP(C706,Master!$J:$K,2,0),"")</f>
        <v/>
      </c>
      <c r="D706" s="4" t="str">
        <f>_xlfn.IFNA(VLOOKUP(E706,Master!$J:$K,2,0),"")</f>
        <v/>
      </c>
      <c r="F706" s="4" t="str">
        <f>_xlfn.IFNA(VLOOKUP(G706,Master!B:C,2,0),"")</f>
        <v/>
      </c>
      <c r="I706" s="3" t="str">
        <f>_xlfn.IFNA(VLOOKUP(E706,Master!$J:$M,4,0),"")</f>
        <v/>
      </c>
      <c r="J706" s="3" t="str">
        <f>_xlfn.IFNA(VLOOKUP($E706,Master!$J:$M,3,0),"")</f>
        <v/>
      </c>
      <c r="AC706" s="26">
        <f t="shared" si="22"/>
        <v>0</v>
      </c>
      <c r="AD706" s="26">
        <f t="shared" si="23"/>
        <v>0</v>
      </c>
    </row>
    <row r="707" spans="2:30" ht="15" customHeight="1">
      <c r="B707" s="3" t="str">
        <f>_xlfn.IFNA(VLOOKUP(C707,Master!$J:$K,2,0),"")</f>
        <v/>
      </c>
      <c r="D707" s="4" t="str">
        <f>_xlfn.IFNA(VLOOKUP(E707,Master!$J:$K,2,0),"")</f>
        <v/>
      </c>
      <c r="F707" s="4" t="str">
        <f>_xlfn.IFNA(VLOOKUP(G707,Master!B:C,2,0),"")</f>
        <v/>
      </c>
      <c r="I707" s="3" t="str">
        <f>_xlfn.IFNA(VLOOKUP(E707,Master!$J:$M,4,0),"")</f>
        <v/>
      </c>
      <c r="J707" s="3" t="str">
        <f>_xlfn.IFNA(VLOOKUP($E707,Master!$J:$M,3,0),"")</f>
        <v/>
      </c>
      <c r="AC707" s="26">
        <f t="shared" si="22"/>
        <v>0</v>
      </c>
      <c r="AD707" s="26">
        <f t="shared" si="23"/>
        <v>0</v>
      </c>
    </row>
    <row r="708" spans="2:30" ht="15" customHeight="1">
      <c r="B708" s="3" t="str">
        <f>_xlfn.IFNA(VLOOKUP(C708,Master!$J:$K,2,0),"")</f>
        <v/>
      </c>
      <c r="D708" s="4" t="str">
        <f>_xlfn.IFNA(VLOOKUP(E708,Master!$J:$K,2,0),"")</f>
        <v/>
      </c>
      <c r="F708" s="4" t="str">
        <f>_xlfn.IFNA(VLOOKUP(G708,Master!B:C,2,0),"")</f>
        <v/>
      </c>
      <c r="I708" s="3" t="str">
        <f>_xlfn.IFNA(VLOOKUP(E708,Master!$J:$M,4,0),"")</f>
        <v/>
      </c>
      <c r="J708" s="3" t="str">
        <f>_xlfn.IFNA(VLOOKUP($E708,Master!$J:$M,3,0),"")</f>
        <v/>
      </c>
      <c r="AC708" s="26">
        <f t="shared" si="22"/>
        <v>0</v>
      </c>
      <c r="AD708" s="26">
        <f t="shared" si="23"/>
        <v>0</v>
      </c>
    </row>
    <row r="709" spans="2:30" ht="15" customHeight="1">
      <c r="B709" s="3" t="str">
        <f>_xlfn.IFNA(VLOOKUP(C709,Master!$J:$K,2,0),"")</f>
        <v/>
      </c>
      <c r="D709" s="4" t="str">
        <f>_xlfn.IFNA(VLOOKUP(E709,Master!$J:$K,2,0),"")</f>
        <v/>
      </c>
      <c r="F709" s="4" t="str">
        <f>_xlfn.IFNA(VLOOKUP(G709,Master!B:C,2,0),"")</f>
        <v/>
      </c>
      <c r="I709" s="3" t="str">
        <f>_xlfn.IFNA(VLOOKUP(E709,Master!$J:$M,4,0),"")</f>
        <v/>
      </c>
      <c r="J709" s="3" t="str">
        <f>_xlfn.IFNA(VLOOKUP($E709,Master!$J:$M,3,0),"")</f>
        <v/>
      </c>
      <c r="AC709" s="26">
        <f t="shared" si="22"/>
        <v>0</v>
      </c>
      <c r="AD709" s="26">
        <f t="shared" si="23"/>
        <v>0</v>
      </c>
    </row>
    <row r="710" spans="2:30" ht="15" customHeight="1">
      <c r="B710" s="3" t="str">
        <f>_xlfn.IFNA(VLOOKUP(C710,Master!$J:$K,2,0),"")</f>
        <v/>
      </c>
      <c r="D710" s="4" t="str">
        <f>_xlfn.IFNA(VLOOKUP(E710,Master!$J:$K,2,0),"")</f>
        <v/>
      </c>
      <c r="F710" s="4" t="str">
        <f>_xlfn.IFNA(VLOOKUP(G710,Master!B:C,2,0),"")</f>
        <v/>
      </c>
      <c r="I710" s="3" t="str">
        <f>_xlfn.IFNA(VLOOKUP(E710,Master!$J:$M,4,0),"")</f>
        <v/>
      </c>
      <c r="J710" s="3" t="str">
        <f>_xlfn.IFNA(VLOOKUP($E710,Master!$J:$M,3,0),"")</f>
        <v/>
      </c>
      <c r="AC710" s="26">
        <f t="shared" si="22"/>
        <v>0</v>
      </c>
      <c r="AD710" s="26">
        <f t="shared" si="23"/>
        <v>0</v>
      </c>
    </row>
    <row r="711" spans="2:30" ht="15" customHeight="1">
      <c r="B711" s="3" t="str">
        <f>_xlfn.IFNA(VLOOKUP(C711,Master!$J:$K,2,0),"")</f>
        <v/>
      </c>
      <c r="D711" s="4" t="str">
        <f>_xlfn.IFNA(VLOOKUP(E711,Master!$J:$K,2,0),"")</f>
        <v/>
      </c>
      <c r="F711" s="4" t="str">
        <f>_xlfn.IFNA(VLOOKUP(G711,Master!B:C,2,0),"")</f>
        <v/>
      </c>
      <c r="I711" s="3" t="str">
        <f>_xlfn.IFNA(VLOOKUP(E711,Master!$J:$M,4,0),"")</f>
        <v/>
      </c>
      <c r="J711" s="3" t="str">
        <f>_xlfn.IFNA(VLOOKUP($E711,Master!$J:$M,3,0),"")</f>
        <v/>
      </c>
      <c r="AC711" s="26">
        <f t="shared" si="22"/>
        <v>0</v>
      </c>
      <c r="AD711" s="26">
        <f t="shared" si="23"/>
        <v>0</v>
      </c>
    </row>
    <row r="712" spans="2:30" ht="15" customHeight="1">
      <c r="B712" s="3" t="str">
        <f>_xlfn.IFNA(VLOOKUP(C712,Master!$J:$K,2,0),"")</f>
        <v/>
      </c>
      <c r="D712" s="4" t="str">
        <f>_xlfn.IFNA(VLOOKUP(E712,Master!$J:$K,2,0),"")</f>
        <v/>
      </c>
      <c r="F712" s="4" t="str">
        <f>_xlfn.IFNA(VLOOKUP(G712,Master!B:C,2,0),"")</f>
        <v/>
      </c>
      <c r="I712" s="3" t="str">
        <f>_xlfn.IFNA(VLOOKUP(E712,Master!$J:$M,4,0),"")</f>
        <v/>
      </c>
      <c r="J712" s="3" t="str">
        <f>_xlfn.IFNA(VLOOKUP($E712,Master!$J:$M,3,0),"")</f>
        <v/>
      </c>
      <c r="AC712" s="26">
        <f t="shared" si="22"/>
        <v>0</v>
      </c>
      <c r="AD712" s="26">
        <f t="shared" si="23"/>
        <v>0</v>
      </c>
    </row>
    <row r="713" spans="2:30" ht="15" customHeight="1">
      <c r="B713" s="3" t="str">
        <f>_xlfn.IFNA(VLOOKUP(C713,Master!$J:$K,2,0),"")</f>
        <v/>
      </c>
      <c r="D713" s="4" t="str">
        <f>_xlfn.IFNA(VLOOKUP(E713,Master!$J:$K,2,0),"")</f>
        <v/>
      </c>
      <c r="F713" s="4" t="str">
        <f>_xlfn.IFNA(VLOOKUP(G713,Master!B:C,2,0),"")</f>
        <v/>
      </c>
      <c r="I713" s="3" t="str">
        <f>_xlfn.IFNA(VLOOKUP(E713,Master!$J:$M,4,0),"")</f>
        <v/>
      </c>
      <c r="J713" s="3" t="str">
        <f>_xlfn.IFNA(VLOOKUP($E713,Master!$J:$M,3,0),"")</f>
        <v/>
      </c>
      <c r="AC713" s="26">
        <f t="shared" si="22"/>
        <v>0</v>
      </c>
      <c r="AD713" s="26">
        <f t="shared" si="23"/>
        <v>0</v>
      </c>
    </row>
    <row r="714" spans="2:30" ht="15" customHeight="1">
      <c r="B714" s="3" t="str">
        <f>_xlfn.IFNA(VLOOKUP(C714,Master!$J:$K,2,0),"")</f>
        <v/>
      </c>
      <c r="D714" s="4" t="str">
        <f>_xlfn.IFNA(VLOOKUP(E714,Master!$J:$K,2,0),"")</f>
        <v/>
      </c>
      <c r="F714" s="4" t="str">
        <f>_xlfn.IFNA(VLOOKUP(G714,Master!B:C,2,0),"")</f>
        <v/>
      </c>
      <c r="I714" s="3" t="str">
        <f>_xlfn.IFNA(VLOOKUP(E714,Master!$J:$M,4,0),"")</f>
        <v/>
      </c>
      <c r="J714" s="3" t="str">
        <f>_xlfn.IFNA(VLOOKUP($E714,Master!$J:$M,3,0),"")</f>
        <v/>
      </c>
      <c r="AC714" s="26">
        <f t="shared" si="22"/>
        <v>0</v>
      </c>
      <c r="AD714" s="26">
        <f t="shared" si="23"/>
        <v>0</v>
      </c>
    </row>
    <row r="715" spans="2:30" ht="15" customHeight="1">
      <c r="B715" s="3" t="str">
        <f>_xlfn.IFNA(VLOOKUP(C715,Master!$J:$K,2,0),"")</f>
        <v/>
      </c>
      <c r="D715" s="4" t="str">
        <f>_xlfn.IFNA(VLOOKUP(E715,Master!$J:$K,2,0),"")</f>
        <v/>
      </c>
      <c r="F715" s="4" t="str">
        <f>_xlfn.IFNA(VLOOKUP(G715,Master!B:C,2,0),"")</f>
        <v/>
      </c>
      <c r="I715" s="3" t="str">
        <f>_xlfn.IFNA(VLOOKUP(E715,Master!$J:$M,4,0),"")</f>
        <v/>
      </c>
      <c r="J715" s="3" t="str">
        <f>_xlfn.IFNA(VLOOKUP($E715,Master!$J:$M,3,0),"")</f>
        <v/>
      </c>
      <c r="AC715" s="26">
        <f t="shared" si="22"/>
        <v>0</v>
      </c>
      <c r="AD715" s="26">
        <f t="shared" si="23"/>
        <v>0</v>
      </c>
    </row>
    <row r="716" spans="2:30" ht="15" customHeight="1">
      <c r="B716" s="3" t="str">
        <f>_xlfn.IFNA(VLOOKUP(C716,Master!$J:$K,2,0),"")</f>
        <v/>
      </c>
      <c r="D716" s="4" t="str">
        <f>_xlfn.IFNA(VLOOKUP(E716,Master!$J:$K,2,0),"")</f>
        <v/>
      </c>
      <c r="F716" s="4" t="str">
        <f>_xlfn.IFNA(VLOOKUP(G716,Master!B:C,2,0),"")</f>
        <v/>
      </c>
      <c r="I716" s="3" t="str">
        <f>_xlfn.IFNA(VLOOKUP(E716,Master!$J:$M,4,0),"")</f>
        <v/>
      </c>
      <c r="J716" s="3" t="str">
        <f>_xlfn.IFNA(VLOOKUP($E716,Master!$J:$M,3,0),"")</f>
        <v/>
      </c>
      <c r="AC716" s="26">
        <f t="shared" si="22"/>
        <v>0</v>
      </c>
      <c r="AD716" s="26">
        <f t="shared" si="23"/>
        <v>0</v>
      </c>
    </row>
    <row r="717" spans="2:30" ht="15" customHeight="1">
      <c r="B717" s="3" t="str">
        <f>_xlfn.IFNA(VLOOKUP(C717,Master!$J:$K,2,0),"")</f>
        <v/>
      </c>
      <c r="D717" s="4" t="str">
        <f>_xlfn.IFNA(VLOOKUP(E717,Master!$J:$K,2,0),"")</f>
        <v/>
      </c>
      <c r="F717" s="4" t="str">
        <f>_xlfn.IFNA(VLOOKUP(G717,Master!B:C,2,0),"")</f>
        <v/>
      </c>
      <c r="I717" s="3" t="str">
        <f>_xlfn.IFNA(VLOOKUP(E717,Master!$J:$M,4,0),"")</f>
        <v/>
      </c>
      <c r="J717" s="3" t="str">
        <f>_xlfn.IFNA(VLOOKUP($E717,Master!$J:$M,3,0),"")</f>
        <v/>
      </c>
      <c r="AC717" s="26">
        <f t="shared" ref="AC717:AC780" si="24">SUM(K717:P717)</f>
        <v>0</v>
      </c>
      <c r="AD717" s="26">
        <f t="shared" ref="AD717:AD780" si="25">SUM(Q717:AB717)</f>
        <v>0</v>
      </c>
    </row>
    <row r="718" spans="2:30" ht="15" customHeight="1">
      <c r="B718" s="3" t="str">
        <f>_xlfn.IFNA(VLOOKUP(C718,Master!$J:$K,2,0),"")</f>
        <v/>
      </c>
      <c r="D718" s="4" t="str">
        <f>_xlfn.IFNA(VLOOKUP(E718,Master!$J:$K,2,0),"")</f>
        <v/>
      </c>
      <c r="F718" s="4" t="str">
        <f>_xlfn.IFNA(VLOOKUP(G718,Master!B:C,2,0),"")</f>
        <v/>
      </c>
      <c r="I718" s="3" t="str">
        <f>_xlfn.IFNA(VLOOKUP(E718,Master!$J:$M,4,0),"")</f>
        <v/>
      </c>
      <c r="J718" s="3" t="str">
        <f>_xlfn.IFNA(VLOOKUP($E718,Master!$J:$M,3,0),"")</f>
        <v/>
      </c>
      <c r="AC718" s="26">
        <f t="shared" si="24"/>
        <v>0</v>
      </c>
      <c r="AD718" s="26">
        <f t="shared" si="25"/>
        <v>0</v>
      </c>
    </row>
    <row r="719" spans="2:30" ht="15" customHeight="1">
      <c r="B719" s="3" t="str">
        <f>_xlfn.IFNA(VLOOKUP(C719,Master!$J:$K,2,0),"")</f>
        <v/>
      </c>
      <c r="D719" s="4" t="str">
        <f>_xlfn.IFNA(VLOOKUP(E719,Master!$J:$K,2,0),"")</f>
        <v/>
      </c>
      <c r="F719" s="4" t="str">
        <f>_xlfn.IFNA(VLOOKUP(G719,Master!B:C,2,0),"")</f>
        <v/>
      </c>
      <c r="I719" s="3" t="str">
        <f>_xlfn.IFNA(VLOOKUP(E719,Master!$J:$M,4,0),"")</f>
        <v/>
      </c>
      <c r="J719" s="3" t="str">
        <f>_xlfn.IFNA(VLOOKUP($E719,Master!$J:$M,3,0),"")</f>
        <v/>
      </c>
      <c r="AC719" s="26">
        <f t="shared" si="24"/>
        <v>0</v>
      </c>
      <c r="AD719" s="26">
        <f t="shared" si="25"/>
        <v>0</v>
      </c>
    </row>
    <row r="720" spans="2:30" ht="15" customHeight="1">
      <c r="B720" s="3" t="str">
        <f>_xlfn.IFNA(VLOOKUP(C720,Master!$J:$K,2,0),"")</f>
        <v/>
      </c>
      <c r="D720" s="4" t="str">
        <f>_xlfn.IFNA(VLOOKUP(E720,Master!$J:$K,2,0),"")</f>
        <v/>
      </c>
      <c r="F720" s="4" t="str">
        <f>_xlfn.IFNA(VLOOKUP(G720,Master!B:C,2,0),"")</f>
        <v/>
      </c>
      <c r="I720" s="3" t="str">
        <f>_xlfn.IFNA(VLOOKUP(E720,Master!$J:$M,4,0),"")</f>
        <v/>
      </c>
      <c r="J720" s="3" t="str">
        <f>_xlfn.IFNA(VLOOKUP($E720,Master!$J:$M,3,0),"")</f>
        <v/>
      </c>
      <c r="AC720" s="26">
        <f t="shared" si="24"/>
        <v>0</v>
      </c>
      <c r="AD720" s="26">
        <f t="shared" si="25"/>
        <v>0</v>
      </c>
    </row>
    <row r="721" spans="2:30" ht="15" customHeight="1">
      <c r="B721" s="3" t="str">
        <f>_xlfn.IFNA(VLOOKUP(C721,Master!$J:$K,2,0),"")</f>
        <v/>
      </c>
      <c r="D721" s="4" t="str">
        <f>_xlfn.IFNA(VLOOKUP(E721,Master!$J:$K,2,0),"")</f>
        <v/>
      </c>
      <c r="F721" s="4" t="str">
        <f>_xlfn.IFNA(VLOOKUP(G721,Master!B:C,2,0),"")</f>
        <v/>
      </c>
      <c r="I721" s="3" t="str">
        <f>_xlfn.IFNA(VLOOKUP(E721,Master!$J:$M,4,0),"")</f>
        <v/>
      </c>
      <c r="J721" s="3" t="str">
        <f>_xlfn.IFNA(VLOOKUP($E721,Master!$J:$M,3,0),"")</f>
        <v/>
      </c>
      <c r="AC721" s="26">
        <f t="shared" si="24"/>
        <v>0</v>
      </c>
      <c r="AD721" s="26">
        <f t="shared" si="25"/>
        <v>0</v>
      </c>
    </row>
    <row r="722" spans="2:30" ht="15" customHeight="1">
      <c r="B722" s="3" t="str">
        <f>_xlfn.IFNA(VLOOKUP(C722,Master!$J:$K,2,0),"")</f>
        <v/>
      </c>
      <c r="D722" s="4" t="str">
        <f>_xlfn.IFNA(VLOOKUP(E722,Master!$J:$K,2,0),"")</f>
        <v/>
      </c>
      <c r="F722" s="4" t="str">
        <f>_xlfn.IFNA(VLOOKUP(G722,Master!B:C,2,0),"")</f>
        <v/>
      </c>
      <c r="I722" s="3" t="str">
        <f>_xlfn.IFNA(VLOOKUP(E722,Master!$J:$M,4,0),"")</f>
        <v/>
      </c>
      <c r="J722" s="3" t="str">
        <f>_xlfn.IFNA(VLOOKUP($E722,Master!$J:$M,3,0),"")</f>
        <v/>
      </c>
      <c r="AC722" s="26">
        <f t="shared" si="24"/>
        <v>0</v>
      </c>
      <c r="AD722" s="26">
        <f t="shared" si="25"/>
        <v>0</v>
      </c>
    </row>
    <row r="723" spans="2:30" ht="15" customHeight="1">
      <c r="B723" s="3" t="str">
        <f>_xlfn.IFNA(VLOOKUP(C723,Master!$J:$K,2,0),"")</f>
        <v/>
      </c>
      <c r="D723" s="4" t="str">
        <f>_xlfn.IFNA(VLOOKUP(E723,Master!$J:$K,2,0),"")</f>
        <v/>
      </c>
      <c r="F723" s="4" t="str">
        <f>_xlfn.IFNA(VLOOKUP(G723,Master!B:C,2,0),"")</f>
        <v/>
      </c>
      <c r="I723" s="3" t="str">
        <f>_xlfn.IFNA(VLOOKUP(E723,Master!$J:$M,4,0),"")</f>
        <v/>
      </c>
      <c r="J723" s="3" t="str">
        <f>_xlfn.IFNA(VLOOKUP($E723,Master!$J:$M,3,0),"")</f>
        <v/>
      </c>
      <c r="AC723" s="26">
        <f t="shared" si="24"/>
        <v>0</v>
      </c>
      <c r="AD723" s="26">
        <f t="shared" si="25"/>
        <v>0</v>
      </c>
    </row>
    <row r="724" spans="2:30" ht="15" customHeight="1">
      <c r="B724" s="3" t="str">
        <f>_xlfn.IFNA(VLOOKUP(C724,Master!$J:$K,2,0),"")</f>
        <v/>
      </c>
      <c r="D724" s="4" t="str">
        <f>_xlfn.IFNA(VLOOKUP(E724,Master!$J:$K,2,0),"")</f>
        <v/>
      </c>
      <c r="F724" s="4" t="str">
        <f>_xlfn.IFNA(VLOOKUP(G724,Master!B:C,2,0),"")</f>
        <v/>
      </c>
      <c r="I724" s="3" t="str">
        <f>_xlfn.IFNA(VLOOKUP(E724,Master!$J:$M,4,0),"")</f>
        <v/>
      </c>
      <c r="J724" s="3" t="str">
        <f>_xlfn.IFNA(VLOOKUP($E724,Master!$J:$M,3,0),"")</f>
        <v/>
      </c>
      <c r="AC724" s="26">
        <f t="shared" si="24"/>
        <v>0</v>
      </c>
      <c r="AD724" s="26">
        <f t="shared" si="25"/>
        <v>0</v>
      </c>
    </row>
    <row r="725" spans="2:30" ht="15" customHeight="1">
      <c r="B725" s="3" t="str">
        <f>_xlfn.IFNA(VLOOKUP(C725,Master!$J:$K,2,0),"")</f>
        <v/>
      </c>
      <c r="D725" s="4" t="str">
        <f>_xlfn.IFNA(VLOOKUP(E725,Master!$J:$K,2,0),"")</f>
        <v/>
      </c>
      <c r="F725" s="4" t="str">
        <f>_xlfn.IFNA(VLOOKUP(G725,Master!B:C,2,0),"")</f>
        <v/>
      </c>
      <c r="I725" s="3" t="str">
        <f>_xlfn.IFNA(VLOOKUP(E725,Master!$J:$M,4,0),"")</f>
        <v/>
      </c>
      <c r="J725" s="3" t="str">
        <f>_xlfn.IFNA(VLOOKUP($E725,Master!$J:$M,3,0),"")</f>
        <v/>
      </c>
      <c r="AC725" s="26">
        <f t="shared" si="24"/>
        <v>0</v>
      </c>
      <c r="AD725" s="26">
        <f t="shared" si="25"/>
        <v>0</v>
      </c>
    </row>
    <row r="726" spans="2:30" ht="15" customHeight="1">
      <c r="B726" s="3" t="str">
        <f>_xlfn.IFNA(VLOOKUP(C726,Master!$J:$K,2,0),"")</f>
        <v/>
      </c>
      <c r="D726" s="4" t="str">
        <f>_xlfn.IFNA(VLOOKUP(E726,Master!$J:$K,2,0),"")</f>
        <v/>
      </c>
      <c r="F726" s="4" t="str">
        <f>_xlfn.IFNA(VLOOKUP(G726,Master!B:C,2,0),"")</f>
        <v/>
      </c>
      <c r="I726" s="3" t="str">
        <f>_xlfn.IFNA(VLOOKUP(E726,Master!$J:$M,4,0),"")</f>
        <v/>
      </c>
      <c r="J726" s="3" t="str">
        <f>_xlfn.IFNA(VLOOKUP($E726,Master!$J:$M,3,0),"")</f>
        <v/>
      </c>
      <c r="AC726" s="26">
        <f t="shared" si="24"/>
        <v>0</v>
      </c>
      <c r="AD726" s="26">
        <f t="shared" si="25"/>
        <v>0</v>
      </c>
    </row>
    <row r="727" spans="2:30" ht="15" customHeight="1">
      <c r="B727" s="3" t="str">
        <f>_xlfn.IFNA(VLOOKUP(C727,Master!$J:$K,2,0),"")</f>
        <v/>
      </c>
      <c r="D727" s="4" t="str">
        <f>_xlfn.IFNA(VLOOKUP(E727,Master!$J:$K,2,0),"")</f>
        <v/>
      </c>
      <c r="F727" s="4" t="str">
        <f>_xlfn.IFNA(VLOOKUP(G727,Master!B:C,2,0),"")</f>
        <v/>
      </c>
      <c r="I727" s="3" t="str">
        <f>_xlfn.IFNA(VLOOKUP(E727,Master!$J:$M,4,0),"")</f>
        <v/>
      </c>
      <c r="J727" s="3" t="str">
        <f>_xlfn.IFNA(VLOOKUP($E727,Master!$J:$M,3,0),"")</f>
        <v/>
      </c>
      <c r="AC727" s="26">
        <f t="shared" si="24"/>
        <v>0</v>
      </c>
      <c r="AD727" s="26">
        <f t="shared" si="25"/>
        <v>0</v>
      </c>
    </row>
    <row r="728" spans="2:30" ht="15" customHeight="1">
      <c r="B728" s="3" t="str">
        <f>_xlfn.IFNA(VLOOKUP(C728,Master!$J:$K,2,0),"")</f>
        <v/>
      </c>
      <c r="D728" s="4" t="str">
        <f>_xlfn.IFNA(VLOOKUP(E728,Master!$J:$K,2,0),"")</f>
        <v/>
      </c>
      <c r="F728" s="4" t="str">
        <f>_xlfn.IFNA(VLOOKUP(G728,Master!B:C,2,0),"")</f>
        <v/>
      </c>
      <c r="I728" s="3" t="str">
        <f>_xlfn.IFNA(VLOOKUP(E728,Master!$J:$M,4,0),"")</f>
        <v/>
      </c>
      <c r="J728" s="3" t="str">
        <f>_xlfn.IFNA(VLOOKUP($E728,Master!$J:$M,3,0),"")</f>
        <v/>
      </c>
      <c r="AC728" s="26">
        <f t="shared" si="24"/>
        <v>0</v>
      </c>
      <c r="AD728" s="26">
        <f t="shared" si="25"/>
        <v>0</v>
      </c>
    </row>
    <row r="729" spans="2:30" ht="15" customHeight="1">
      <c r="B729" s="3" t="str">
        <f>_xlfn.IFNA(VLOOKUP(C729,Master!$J:$K,2,0),"")</f>
        <v/>
      </c>
      <c r="D729" s="4" t="str">
        <f>_xlfn.IFNA(VLOOKUP(E729,Master!$J:$K,2,0),"")</f>
        <v/>
      </c>
      <c r="F729" s="4" t="str">
        <f>_xlfn.IFNA(VLOOKUP(G729,Master!B:C,2,0),"")</f>
        <v/>
      </c>
      <c r="I729" s="3" t="str">
        <f>_xlfn.IFNA(VLOOKUP(E729,Master!$J:$M,4,0),"")</f>
        <v/>
      </c>
      <c r="J729" s="3" t="str">
        <f>_xlfn.IFNA(VLOOKUP($E729,Master!$J:$M,3,0),"")</f>
        <v/>
      </c>
      <c r="AC729" s="26">
        <f t="shared" si="24"/>
        <v>0</v>
      </c>
      <c r="AD729" s="26">
        <f t="shared" si="25"/>
        <v>0</v>
      </c>
    </row>
    <row r="730" spans="2:30" ht="15" customHeight="1">
      <c r="B730" s="3" t="str">
        <f>_xlfn.IFNA(VLOOKUP(C730,Master!$J:$K,2,0),"")</f>
        <v/>
      </c>
      <c r="D730" s="4" t="str">
        <f>_xlfn.IFNA(VLOOKUP(E730,Master!$J:$K,2,0),"")</f>
        <v/>
      </c>
      <c r="F730" s="4" t="str">
        <f>_xlfn.IFNA(VLOOKUP(G730,Master!B:C,2,0),"")</f>
        <v/>
      </c>
      <c r="I730" s="3" t="str">
        <f>_xlfn.IFNA(VLOOKUP(E730,Master!$J:$M,4,0),"")</f>
        <v/>
      </c>
      <c r="J730" s="3" t="str">
        <f>_xlfn.IFNA(VLOOKUP($E730,Master!$J:$M,3,0),"")</f>
        <v/>
      </c>
      <c r="AC730" s="26">
        <f t="shared" si="24"/>
        <v>0</v>
      </c>
      <c r="AD730" s="26">
        <f t="shared" si="25"/>
        <v>0</v>
      </c>
    </row>
    <row r="731" spans="2:30" ht="15" customHeight="1">
      <c r="B731" s="3" t="str">
        <f>_xlfn.IFNA(VLOOKUP(C731,Master!$J:$K,2,0),"")</f>
        <v/>
      </c>
      <c r="D731" s="4" t="str">
        <f>_xlfn.IFNA(VLOOKUP(E731,Master!$J:$K,2,0),"")</f>
        <v/>
      </c>
      <c r="F731" s="4" t="str">
        <f>_xlfn.IFNA(VLOOKUP(G731,Master!B:C,2,0),"")</f>
        <v/>
      </c>
      <c r="I731" s="3" t="str">
        <f>_xlfn.IFNA(VLOOKUP(E731,Master!$J:$M,4,0),"")</f>
        <v/>
      </c>
      <c r="J731" s="3" t="str">
        <f>_xlfn.IFNA(VLOOKUP($E731,Master!$J:$M,3,0),"")</f>
        <v/>
      </c>
      <c r="AC731" s="26">
        <f t="shared" si="24"/>
        <v>0</v>
      </c>
      <c r="AD731" s="26">
        <f t="shared" si="25"/>
        <v>0</v>
      </c>
    </row>
    <row r="732" spans="2:30" ht="15" customHeight="1">
      <c r="B732" s="3" t="str">
        <f>_xlfn.IFNA(VLOOKUP(C732,Master!$J:$K,2,0),"")</f>
        <v/>
      </c>
      <c r="D732" s="4" t="str">
        <f>_xlfn.IFNA(VLOOKUP(E732,Master!$J:$K,2,0),"")</f>
        <v/>
      </c>
      <c r="F732" s="4" t="str">
        <f>_xlfn.IFNA(VLOOKUP(G732,Master!B:C,2,0),"")</f>
        <v/>
      </c>
      <c r="I732" s="3" t="str">
        <f>_xlfn.IFNA(VLOOKUP(E732,Master!$J:$M,4,0),"")</f>
        <v/>
      </c>
      <c r="J732" s="3" t="str">
        <f>_xlfn.IFNA(VLOOKUP($E732,Master!$J:$M,3,0),"")</f>
        <v/>
      </c>
      <c r="AC732" s="26">
        <f t="shared" si="24"/>
        <v>0</v>
      </c>
      <c r="AD732" s="26">
        <f t="shared" si="25"/>
        <v>0</v>
      </c>
    </row>
    <row r="733" spans="2:30" ht="15" customHeight="1">
      <c r="B733" s="3" t="str">
        <f>_xlfn.IFNA(VLOOKUP(C733,Master!$J:$K,2,0),"")</f>
        <v/>
      </c>
      <c r="D733" s="4" t="str">
        <f>_xlfn.IFNA(VLOOKUP(E733,Master!$J:$K,2,0),"")</f>
        <v/>
      </c>
      <c r="F733" s="4" t="str">
        <f>_xlfn.IFNA(VLOOKUP(G733,Master!B:C,2,0),"")</f>
        <v/>
      </c>
      <c r="I733" s="3" t="str">
        <f>_xlfn.IFNA(VLOOKUP(E733,Master!$J:$M,4,0),"")</f>
        <v/>
      </c>
      <c r="J733" s="3" t="str">
        <f>_xlfn.IFNA(VLOOKUP($E733,Master!$J:$M,3,0),"")</f>
        <v/>
      </c>
      <c r="AC733" s="26">
        <f t="shared" si="24"/>
        <v>0</v>
      </c>
      <c r="AD733" s="26">
        <f t="shared" si="25"/>
        <v>0</v>
      </c>
    </row>
    <row r="734" spans="2:30" ht="15" customHeight="1">
      <c r="B734" s="3" t="str">
        <f>_xlfn.IFNA(VLOOKUP(C734,Master!$J:$K,2,0),"")</f>
        <v/>
      </c>
      <c r="D734" s="4" t="str">
        <f>_xlfn.IFNA(VLOOKUP(E734,Master!$J:$K,2,0),"")</f>
        <v/>
      </c>
      <c r="F734" s="4" t="str">
        <f>_xlfn.IFNA(VLOOKUP(G734,Master!B:C,2,0),"")</f>
        <v/>
      </c>
      <c r="I734" s="3" t="str">
        <f>_xlfn.IFNA(VLOOKUP(E734,Master!$J:$M,4,0),"")</f>
        <v/>
      </c>
      <c r="J734" s="3" t="str">
        <f>_xlfn.IFNA(VLOOKUP($E734,Master!$J:$M,3,0),"")</f>
        <v/>
      </c>
      <c r="AC734" s="26">
        <f t="shared" si="24"/>
        <v>0</v>
      </c>
      <c r="AD734" s="26">
        <f t="shared" si="25"/>
        <v>0</v>
      </c>
    </row>
    <row r="735" spans="2:30" ht="15" customHeight="1">
      <c r="B735" s="3" t="str">
        <f>_xlfn.IFNA(VLOOKUP(C735,Master!$J:$K,2,0),"")</f>
        <v/>
      </c>
      <c r="D735" s="4" t="str">
        <f>_xlfn.IFNA(VLOOKUP(E735,Master!$J:$K,2,0),"")</f>
        <v/>
      </c>
      <c r="F735" s="4" t="str">
        <f>_xlfn.IFNA(VLOOKUP(G735,Master!B:C,2,0),"")</f>
        <v/>
      </c>
      <c r="I735" s="3" t="str">
        <f>_xlfn.IFNA(VLOOKUP(E735,Master!$J:$M,4,0),"")</f>
        <v/>
      </c>
      <c r="J735" s="3" t="str">
        <f>_xlfn.IFNA(VLOOKUP($E735,Master!$J:$M,3,0),"")</f>
        <v/>
      </c>
      <c r="AC735" s="26">
        <f t="shared" si="24"/>
        <v>0</v>
      </c>
      <c r="AD735" s="26">
        <f t="shared" si="25"/>
        <v>0</v>
      </c>
    </row>
    <row r="736" spans="2:30" ht="15" customHeight="1">
      <c r="B736" s="3" t="str">
        <f>_xlfn.IFNA(VLOOKUP(C736,Master!$J:$K,2,0),"")</f>
        <v/>
      </c>
      <c r="D736" s="4" t="str">
        <f>_xlfn.IFNA(VLOOKUP(E736,Master!$J:$K,2,0),"")</f>
        <v/>
      </c>
      <c r="F736" s="4" t="str">
        <f>_xlfn.IFNA(VLOOKUP(G736,Master!B:C,2,0),"")</f>
        <v/>
      </c>
      <c r="I736" s="3" t="str">
        <f>_xlfn.IFNA(VLOOKUP(E736,Master!$J:$M,4,0),"")</f>
        <v/>
      </c>
      <c r="J736" s="3" t="str">
        <f>_xlfn.IFNA(VLOOKUP($E736,Master!$J:$M,3,0),"")</f>
        <v/>
      </c>
      <c r="AC736" s="26">
        <f t="shared" si="24"/>
        <v>0</v>
      </c>
      <c r="AD736" s="26">
        <f t="shared" si="25"/>
        <v>0</v>
      </c>
    </row>
    <row r="737" spans="2:30" ht="15" customHeight="1">
      <c r="B737" s="3" t="str">
        <f>_xlfn.IFNA(VLOOKUP(C737,Master!$J:$K,2,0),"")</f>
        <v/>
      </c>
      <c r="D737" s="4" t="str">
        <f>_xlfn.IFNA(VLOOKUP(E737,Master!$J:$K,2,0),"")</f>
        <v/>
      </c>
      <c r="F737" s="4" t="str">
        <f>_xlfn.IFNA(VLOOKUP(G737,Master!B:C,2,0),"")</f>
        <v/>
      </c>
      <c r="I737" s="3" t="str">
        <f>_xlfn.IFNA(VLOOKUP(E737,Master!$J:$M,4,0),"")</f>
        <v/>
      </c>
      <c r="J737" s="3" t="str">
        <f>_xlfn.IFNA(VLOOKUP($E737,Master!$J:$M,3,0),"")</f>
        <v/>
      </c>
      <c r="AC737" s="26">
        <f t="shared" si="24"/>
        <v>0</v>
      </c>
      <c r="AD737" s="26">
        <f t="shared" si="25"/>
        <v>0</v>
      </c>
    </row>
    <row r="738" spans="2:30" ht="15" customHeight="1">
      <c r="B738" s="3" t="str">
        <f>_xlfn.IFNA(VLOOKUP(C738,Master!$J:$K,2,0),"")</f>
        <v/>
      </c>
      <c r="D738" s="4" t="str">
        <f>_xlfn.IFNA(VLOOKUP(E738,Master!$J:$K,2,0),"")</f>
        <v/>
      </c>
      <c r="F738" s="4" t="str">
        <f>_xlfn.IFNA(VLOOKUP(G738,Master!B:C,2,0),"")</f>
        <v/>
      </c>
      <c r="I738" s="3" t="str">
        <f>_xlfn.IFNA(VLOOKUP(E738,Master!$J:$M,4,0),"")</f>
        <v/>
      </c>
      <c r="J738" s="3" t="str">
        <f>_xlfn.IFNA(VLOOKUP($E738,Master!$J:$M,3,0),"")</f>
        <v/>
      </c>
      <c r="AC738" s="26">
        <f t="shared" si="24"/>
        <v>0</v>
      </c>
      <c r="AD738" s="26">
        <f t="shared" si="25"/>
        <v>0</v>
      </c>
    </row>
    <row r="739" spans="2:30" ht="15" customHeight="1">
      <c r="B739" s="3" t="str">
        <f>_xlfn.IFNA(VLOOKUP(C739,Master!$J:$K,2,0),"")</f>
        <v/>
      </c>
      <c r="D739" s="4" t="str">
        <f>_xlfn.IFNA(VLOOKUP(E739,Master!$J:$K,2,0),"")</f>
        <v/>
      </c>
      <c r="F739" s="4" t="str">
        <f>_xlfn.IFNA(VLOOKUP(G739,Master!B:C,2,0),"")</f>
        <v/>
      </c>
      <c r="I739" s="3" t="str">
        <f>_xlfn.IFNA(VLOOKUP(E739,Master!$J:$M,4,0),"")</f>
        <v/>
      </c>
      <c r="J739" s="3" t="str">
        <f>_xlfn.IFNA(VLOOKUP($E739,Master!$J:$M,3,0),"")</f>
        <v/>
      </c>
      <c r="AC739" s="26">
        <f t="shared" si="24"/>
        <v>0</v>
      </c>
      <c r="AD739" s="26">
        <f t="shared" si="25"/>
        <v>0</v>
      </c>
    </row>
    <row r="740" spans="2:30" ht="15" customHeight="1">
      <c r="B740" s="3" t="str">
        <f>_xlfn.IFNA(VLOOKUP(C740,Master!$J:$K,2,0),"")</f>
        <v/>
      </c>
      <c r="D740" s="4" t="str">
        <f>_xlfn.IFNA(VLOOKUP(E740,Master!$J:$K,2,0),"")</f>
        <v/>
      </c>
      <c r="F740" s="4" t="str">
        <f>_xlfn.IFNA(VLOOKUP(G740,Master!B:C,2,0),"")</f>
        <v/>
      </c>
      <c r="I740" s="3" t="str">
        <f>_xlfn.IFNA(VLOOKUP(E740,Master!$J:$M,4,0),"")</f>
        <v/>
      </c>
      <c r="J740" s="3" t="str">
        <f>_xlfn.IFNA(VLOOKUP($E740,Master!$J:$M,3,0),"")</f>
        <v/>
      </c>
      <c r="AC740" s="26">
        <f t="shared" si="24"/>
        <v>0</v>
      </c>
      <c r="AD740" s="26">
        <f t="shared" si="25"/>
        <v>0</v>
      </c>
    </row>
    <row r="741" spans="2:30" ht="15" customHeight="1">
      <c r="B741" s="3" t="str">
        <f>_xlfn.IFNA(VLOOKUP(C741,Master!$J:$K,2,0),"")</f>
        <v/>
      </c>
      <c r="D741" s="4" t="str">
        <f>_xlfn.IFNA(VLOOKUP(E741,Master!$J:$K,2,0),"")</f>
        <v/>
      </c>
      <c r="F741" s="4" t="str">
        <f>_xlfn.IFNA(VLOOKUP(G741,Master!B:C,2,0),"")</f>
        <v/>
      </c>
      <c r="I741" s="3" t="str">
        <f>_xlfn.IFNA(VLOOKUP(E741,Master!$J:$M,4,0),"")</f>
        <v/>
      </c>
      <c r="J741" s="3" t="str">
        <f>_xlfn.IFNA(VLOOKUP($E741,Master!$J:$M,3,0),"")</f>
        <v/>
      </c>
      <c r="AC741" s="26">
        <f t="shared" si="24"/>
        <v>0</v>
      </c>
      <c r="AD741" s="26">
        <f t="shared" si="25"/>
        <v>0</v>
      </c>
    </row>
    <row r="742" spans="2:30" ht="15" customHeight="1">
      <c r="B742" s="3" t="str">
        <f>_xlfn.IFNA(VLOOKUP(C742,Master!$J:$K,2,0),"")</f>
        <v/>
      </c>
      <c r="D742" s="4" t="str">
        <f>_xlfn.IFNA(VLOOKUP(E742,Master!$J:$K,2,0),"")</f>
        <v/>
      </c>
      <c r="F742" s="4" t="str">
        <f>_xlfn.IFNA(VLOOKUP(G742,Master!B:C,2,0),"")</f>
        <v/>
      </c>
      <c r="I742" s="3" t="str">
        <f>_xlfn.IFNA(VLOOKUP(E742,Master!$J:$M,4,0),"")</f>
        <v/>
      </c>
      <c r="J742" s="3" t="str">
        <f>_xlfn.IFNA(VLOOKUP($E742,Master!$J:$M,3,0),"")</f>
        <v/>
      </c>
      <c r="AC742" s="26">
        <f t="shared" si="24"/>
        <v>0</v>
      </c>
      <c r="AD742" s="26">
        <f t="shared" si="25"/>
        <v>0</v>
      </c>
    </row>
    <row r="743" spans="2:30" ht="15" customHeight="1">
      <c r="B743" s="3" t="str">
        <f>_xlfn.IFNA(VLOOKUP(C743,Master!$J:$K,2,0),"")</f>
        <v/>
      </c>
      <c r="D743" s="4" t="str">
        <f>_xlfn.IFNA(VLOOKUP(E743,Master!$J:$K,2,0),"")</f>
        <v/>
      </c>
      <c r="F743" s="4" t="str">
        <f>_xlfn.IFNA(VLOOKUP(G743,Master!B:C,2,0),"")</f>
        <v/>
      </c>
      <c r="I743" s="3" t="str">
        <f>_xlfn.IFNA(VLOOKUP(E743,Master!$J:$M,4,0),"")</f>
        <v/>
      </c>
      <c r="J743" s="3" t="str">
        <f>_xlfn.IFNA(VLOOKUP($E743,Master!$J:$M,3,0),"")</f>
        <v/>
      </c>
      <c r="AC743" s="26">
        <f t="shared" si="24"/>
        <v>0</v>
      </c>
      <c r="AD743" s="26">
        <f t="shared" si="25"/>
        <v>0</v>
      </c>
    </row>
    <row r="744" spans="2:30" ht="15" customHeight="1">
      <c r="B744" s="3" t="str">
        <f>_xlfn.IFNA(VLOOKUP(C744,Master!$J:$K,2,0),"")</f>
        <v/>
      </c>
      <c r="D744" s="4" t="str">
        <f>_xlfn.IFNA(VLOOKUP(E744,Master!$J:$K,2,0),"")</f>
        <v/>
      </c>
      <c r="F744" s="4" t="str">
        <f>_xlfn.IFNA(VLOOKUP(G744,Master!B:C,2,0),"")</f>
        <v/>
      </c>
      <c r="I744" s="3" t="str">
        <f>_xlfn.IFNA(VLOOKUP(E744,Master!$J:$M,4,0),"")</f>
        <v/>
      </c>
      <c r="J744" s="3" t="str">
        <f>_xlfn.IFNA(VLOOKUP($E744,Master!$J:$M,3,0),"")</f>
        <v/>
      </c>
      <c r="AC744" s="26">
        <f t="shared" si="24"/>
        <v>0</v>
      </c>
      <c r="AD744" s="26">
        <f t="shared" si="25"/>
        <v>0</v>
      </c>
    </row>
    <row r="745" spans="2:30" ht="15" customHeight="1">
      <c r="B745" s="3" t="str">
        <f>_xlfn.IFNA(VLOOKUP(C745,Master!$J:$K,2,0),"")</f>
        <v/>
      </c>
      <c r="D745" s="4" t="str">
        <f>_xlfn.IFNA(VLOOKUP(E745,Master!$J:$K,2,0),"")</f>
        <v/>
      </c>
      <c r="F745" s="4" t="str">
        <f>_xlfn.IFNA(VLOOKUP(G745,Master!B:C,2,0),"")</f>
        <v/>
      </c>
      <c r="I745" s="3" t="str">
        <f>_xlfn.IFNA(VLOOKUP(E745,Master!$J:$M,4,0),"")</f>
        <v/>
      </c>
      <c r="J745" s="3" t="str">
        <f>_xlfn.IFNA(VLOOKUP($E745,Master!$J:$M,3,0),"")</f>
        <v/>
      </c>
      <c r="AC745" s="26">
        <f t="shared" si="24"/>
        <v>0</v>
      </c>
      <c r="AD745" s="26">
        <f t="shared" si="25"/>
        <v>0</v>
      </c>
    </row>
    <row r="746" spans="2:30" ht="15" customHeight="1">
      <c r="B746" s="3" t="str">
        <f>_xlfn.IFNA(VLOOKUP(C746,Master!$J:$K,2,0),"")</f>
        <v/>
      </c>
      <c r="D746" s="4" t="str">
        <f>_xlfn.IFNA(VLOOKUP(E746,Master!$J:$K,2,0),"")</f>
        <v/>
      </c>
      <c r="F746" s="4" t="str">
        <f>_xlfn.IFNA(VLOOKUP(G746,Master!B:C,2,0),"")</f>
        <v/>
      </c>
      <c r="I746" s="3" t="str">
        <f>_xlfn.IFNA(VLOOKUP(E746,Master!$J:$M,4,0),"")</f>
        <v/>
      </c>
      <c r="J746" s="3" t="str">
        <f>_xlfn.IFNA(VLOOKUP($E746,Master!$J:$M,3,0),"")</f>
        <v/>
      </c>
      <c r="AC746" s="26">
        <f t="shared" si="24"/>
        <v>0</v>
      </c>
      <c r="AD746" s="26">
        <f t="shared" si="25"/>
        <v>0</v>
      </c>
    </row>
    <row r="747" spans="2:30" ht="15" customHeight="1">
      <c r="B747" s="3" t="str">
        <f>_xlfn.IFNA(VLOOKUP(C747,Master!$J:$K,2,0),"")</f>
        <v/>
      </c>
      <c r="D747" s="4" t="str">
        <f>_xlfn.IFNA(VLOOKUP(E747,Master!$J:$K,2,0),"")</f>
        <v/>
      </c>
      <c r="F747" s="4" t="str">
        <f>_xlfn.IFNA(VLOOKUP(G747,Master!B:C,2,0),"")</f>
        <v/>
      </c>
      <c r="I747" s="3" t="str">
        <f>_xlfn.IFNA(VLOOKUP(E747,Master!$J:$M,4,0),"")</f>
        <v/>
      </c>
      <c r="J747" s="3" t="str">
        <f>_xlfn.IFNA(VLOOKUP($E747,Master!$J:$M,3,0),"")</f>
        <v/>
      </c>
      <c r="AC747" s="26">
        <f t="shared" si="24"/>
        <v>0</v>
      </c>
      <c r="AD747" s="26">
        <f t="shared" si="25"/>
        <v>0</v>
      </c>
    </row>
    <row r="748" spans="2:30" ht="15" customHeight="1">
      <c r="B748" s="3" t="str">
        <f>_xlfn.IFNA(VLOOKUP(C748,Master!$J:$K,2,0),"")</f>
        <v/>
      </c>
      <c r="D748" s="4" t="str">
        <f>_xlfn.IFNA(VLOOKUP(E748,Master!$J:$K,2,0),"")</f>
        <v/>
      </c>
      <c r="F748" s="4" t="str">
        <f>_xlfn.IFNA(VLOOKUP(G748,Master!B:C,2,0),"")</f>
        <v/>
      </c>
      <c r="I748" s="3" t="str">
        <f>_xlfn.IFNA(VLOOKUP(E748,Master!$J:$M,4,0),"")</f>
        <v/>
      </c>
      <c r="J748" s="3" t="str">
        <f>_xlfn.IFNA(VLOOKUP($E748,Master!$J:$M,3,0),"")</f>
        <v/>
      </c>
      <c r="AC748" s="26">
        <f t="shared" si="24"/>
        <v>0</v>
      </c>
      <c r="AD748" s="26">
        <f t="shared" si="25"/>
        <v>0</v>
      </c>
    </row>
    <row r="749" spans="2:30" ht="15" customHeight="1">
      <c r="B749" s="3" t="str">
        <f>_xlfn.IFNA(VLOOKUP(C749,Master!$J:$K,2,0),"")</f>
        <v/>
      </c>
      <c r="D749" s="4" t="str">
        <f>_xlfn.IFNA(VLOOKUP(E749,Master!$J:$K,2,0),"")</f>
        <v/>
      </c>
      <c r="F749" s="4" t="str">
        <f>_xlfn.IFNA(VLOOKUP(G749,Master!B:C,2,0),"")</f>
        <v/>
      </c>
      <c r="I749" s="3" t="str">
        <f>_xlfn.IFNA(VLOOKUP(E749,Master!$J:$M,4,0),"")</f>
        <v/>
      </c>
      <c r="J749" s="3" t="str">
        <f>_xlfn.IFNA(VLOOKUP($E749,Master!$J:$M,3,0),"")</f>
        <v/>
      </c>
      <c r="AC749" s="26">
        <f t="shared" si="24"/>
        <v>0</v>
      </c>
      <c r="AD749" s="26">
        <f t="shared" si="25"/>
        <v>0</v>
      </c>
    </row>
    <row r="750" spans="2:30" ht="15" customHeight="1">
      <c r="B750" s="3" t="str">
        <f>_xlfn.IFNA(VLOOKUP(C750,Master!$J:$K,2,0),"")</f>
        <v/>
      </c>
      <c r="D750" s="4" t="str">
        <f>_xlfn.IFNA(VLOOKUP(E750,Master!$J:$K,2,0),"")</f>
        <v/>
      </c>
      <c r="F750" s="4" t="str">
        <f>_xlfn.IFNA(VLOOKUP(G750,Master!B:C,2,0),"")</f>
        <v/>
      </c>
      <c r="I750" s="3" t="str">
        <f>_xlfn.IFNA(VLOOKUP(E750,Master!$J:$M,4,0),"")</f>
        <v/>
      </c>
      <c r="J750" s="3" t="str">
        <f>_xlfn.IFNA(VLOOKUP($E750,Master!$J:$M,3,0),"")</f>
        <v/>
      </c>
      <c r="AC750" s="26">
        <f t="shared" si="24"/>
        <v>0</v>
      </c>
      <c r="AD750" s="26">
        <f t="shared" si="25"/>
        <v>0</v>
      </c>
    </row>
    <row r="751" spans="2:30" ht="15" customHeight="1">
      <c r="B751" s="3" t="str">
        <f>_xlfn.IFNA(VLOOKUP(C751,Master!$J:$K,2,0),"")</f>
        <v/>
      </c>
      <c r="D751" s="4" t="str">
        <f>_xlfn.IFNA(VLOOKUP(E751,Master!$J:$K,2,0),"")</f>
        <v/>
      </c>
      <c r="F751" s="4" t="str">
        <f>_xlfn.IFNA(VLOOKUP(G751,Master!B:C,2,0),"")</f>
        <v/>
      </c>
      <c r="I751" s="3" t="str">
        <f>_xlfn.IFNA(VLOOKUP(E751,Master!$J:$M,4,0),"")</f>
        <v/>
      </c>
      <c r="J751" s="3" t="str">
        <f>_xlfn.IFNA(VLOOKUP($E751,Master!$J:$M,3,0),"")</f>
        <v/>
      </c>
      <c r="AC751" s="26">
        <f t="shared" si="24"/>
        <v>0</v>
      </c>
      <c r="AD751" s="26">
        <f t="shared" si="25"/>
        <v>0</v>
      </c>
    </row>
    <row r="752" spans="2:30" ht="15" customHeight="1">
      <c r="B752" s="3" t="str">
        <f>_xlfn.IFNA(VLOOKUP(C752,Master!$J:$K,2,0),"")</f>
        <v/>
      </c>
      <c r="D752" s="4" t="str">
        <f>_xlfn.IFNA(VLOOKUP(E752,Master!$J:$K,2,0),"")</f>
        <v/>
      </c>
      <c r="F752" s="4" t="str">
        <f>_xlfn.IFNA(VLOOKUP(G752,Master!B:C,2,0),"")</f>
        <v/>
      </c>
      <c r="I752" s="3" t="str">
        <f>_xlfn.IFNA(VLOOKUP(E752,Master!$J:$M,4,0),"")</f>
        <v/>
      </c>
      <c r="J752" s="3" t="str">
        <f>_xlfn.IFNA(VLOOKUP($E752,Master!$J:$M,3,0),"")</f>
        <v/>
      </c>
      <c r="AC752" s="26">
        <f t="shared" si="24"/>
        <v>0</v>
      </c>
      <c r="AD752" s="26">
        <f t="shared" si="25"/>
        <v>0</v>
      </c>
    </row>
    <row r="753" spans="2:30" ht="15" customHeight="1">
      <c r="B753" s="3" t="str">
        <f>_xlfn.IFNA(VLOOKUP(C753,Master!$J:$K,2,0),"")</f>
        <v/>
      </c>
      <c r="D753" s="4" t="str">
        <f>_xlfn.IFNA(VLOOKUP(E753,Master!$J:$K,2,0),"")</f>
        <v/>
      </c>
      <c r="F753" s="4" t="str">
        <f>_xlfn.IFNA(VLOOKUP(G753,Master!B:C,2,0),"")</f>
        <v/>
      </c>
      <c r="I753" s="3" t="str">
        <f>_xlfn.IFNA(VLOOKUP(E753,Master!$J:$M,4,0),"")</f>
        <v/>
      </c>
      <c r="J753" s="3" t="str">
        <f>_xlfn.IFNA(VLOOKUP($E753,Master!$J:$M,3,0),"")</f>
        <v/>
      </c>
      <c r="AC753" s="26">
        <f t="shared" si="24"/>
        <v>0</v>
      </c>
      <c r="AD753" s="26">
        <f t="shared" si="25"/>
        <v>0</v>
      </c>
    </row>
    <row r="754" spans="2:30" ht="15" customHeight="1">
      <c r="B754" s="3" t="str">
        <f>_xlfn.IFNA(VLOOKUP(C754,Master!$J:$K,2,0),"")</f>
        <v/>
      </c>
      <c r="D754" s="4" t="str">
        <f>_xlfn.IFNA(VLOOKUP(E754,Master!$J:$K,2,0),"")</f>
        <v/>
      </c>
      <c r="F754" s="4" t="str">
        <f>_xlfn.IFNA(VLOOKUP(G754,Master!B:C,2,0),"")</f>
        <v/>
      </c>
      <c r="I754" s="3" t="str">
        <f>_xlfn.IFNA(VLOOKUP(E754,Master!$J:$M,4,0),"")</f>
        <v/>
      </c>
      <c r="J754" s="3" t="str">
        <f>_xlfn.IFNA(VLOOKUP($E754,Master!$J:$M,3,0),"")</f>
        <v/>
      </c>
      <c r="AC754" s="26">
        <f t="shared" si="24"/>
        <v>0</v>
      </c>
      <c r="AD754" s="26">
        <f t="shared" si="25"/>
        <v>0</v>
      </c>
    </row>
    <row r="755" spans="2:30" ht="15" customHeight="1">
      <c r="B755" s="3" t="str">
        <f>_xlfn.IFNA(VLOOKUP(C755,Master!$J:$K,2,0),"")</f>
        <v/>
      </c>
      <c r="D755" s="4" t="str">
        <f>_xlfn.IFNA(VLOOKUP(E755,Master!$J:$K,2,0),"")</f>
        <v/>
      </c>
      <c r="F755" s="4" t="str">
        <f>_xlfn.IFNA(VLOOKUP(G755,Master!B:C,2,0),"")</f>
        <v/>
      </c>
      <c r="I755" s="3" t="str">
        <f>_xlfn.IFNA(VLOOKUP(E755,Master!$J:$M,4,0),"")</f>
        <v/>
      </c>
      <c r="J755" s="3" t="str">
        <f>_xlfn.IFNA(VLOOKUP($E755,Master!$J:$M,3,0),"")</f>
        <v/>
      </c>
      <c r="AC755" s="26">
        <f t="shared" si="24"/>
        <v>0</v>
      </c>
      <c r="AD755" s="26">
        <f t="shared" si="25"/>
        <v>0</v>
      </c>
    </row>
    <row r="756" spans="2:30" ht="15" customHeight="1">
      <c r="B756" s="3" t="str">
        <f>_xlfn.IFNA(VLOOKUP(C756,Master!$J:$K,2,0),"")</f>
        <v/>
      </c>
      <c r="D756" s="4" t="str">
        <f>_xlfn.IFNA(VLOOKUP(E756,Master!$J:$K,2,0),"")</f>
        <v/>
      </c>
      <c r="F756" s="4" t="str">
        <f>_xlfn.IFNA(VLOOKUP(G756,Master!B:C,2,0),"")</f>
        <v/>
      </c>
      <c r="I756" s="3" t="str">
        <f>_xlfn.IFNA(VLOOKUP(E756,Master!$J:$M,4,0),"")</f>
        <v/>
      </c>
      <c r="J756" s="3" t="str">
        <f>_xlfn.IFNA(VLOOKUP($E756,Master!$J:$M,3,0),"")</f>
        <v/>
      </c>
      <c r="AC756" s="26">
        <f t="shared" si="24"/>
        <v>0</v>
      </c>
      <c r="AD756" s="26">
        <f t="shared" si="25"/>
        <v>0</v>
      </c>
    </row>
    <row r="757" spans="2:30" ht="15" customHeight="1">
      <c r="B757" s="3" t="str">
        <f>_xlfn.IFNA(VLOOKUP(C757,Master!$J:$K,2,0),"")</f>
        <v/>
      </c>
      <c r="D757" s="4" t="str">
        <f>_xlfn.IFNA(VLOOKUP(E757,Master!$J:$K,2,0),"")</f>
        <v/>
      </c>
      <c r="F757" s="4" t="str">
        <f>_xlfn.IFNA(VLOOKUP(G757,Master!B:C,2,0),"")</f>
        <v/>
      </c>
      <c r="I757" s="3" t="str">
        <f>_xlfn.IFNA(VLOOKUP(E757,Master!$J:$M,4,0),"")</f>
        <v/>
      </c>
      <c r="J757" s="3" t="str">
        <f>_xlfn.IFNA(VLOOKUP($E757,Master!$J:$M,3,0),"")</f>
        <v/>
      </c>
      <c r="AC757" s="26">
        <f t="shared" si="24"/>
        <v>0</v>
      </c>
      <c r="AD757" s="26">
        <f t="shared" si="25"/>
        <v>0</v>
      </c>
    </row>
    <row r="758" spans="2:30" ht="15" customHeight="1">
      <c r="B758" s="3" t="str">
        <f>_xlfn.IFNA(VLOOKUP(C758,Master!$J:$K,2,0),"")</f>
        <v/>
      </c>
      <c r="D758" s="4" t="str">
        <f>_xlfn.IFNA(VLOOKUP(E758,Master!$J:$K,2,0),"")</f>
        <v/>
      </c>
      <c r="F758" s="4" t="str">
        <f>_xlfn.IFNA(VLOOKUP(G758,Master!B:C,2,0),"")</f>
        <v/>
      </c>
      <c r="I758" s="3" t="str">
        <f>_xlfn.IFNA(VLOOKUP(E758,Master!$J:$M,4,0),"")</f>
        <v/>
      </c>
      <c r="J758" s="3" t="str">
        <f>_xlfn.IFNA(VLOOKUP($E758,Master!$J:$M,3,0),"")</f>
        <v/>
      </c>
      <c r="AC758" s="26">
        <f t="shared" si="24"/>
        <v>0</v>
      </c>
      <c r="AD758" s="26">
        <f t="shared" si="25"/>
        <v>0</v>
      </c>
    </row>
    <row r="759" spans="2:30" ht="15" customHeight="1">
      <c r="B759" s="3" t="str">
        <f>_xlfn.IFNA(VLOOKUP(C759,Master!$J:$K,2,0),"")</f>
        <v/>
      </c>
      <c r="D759" s="4" t="str">
        <f>_xlfn.IFNA(VLOOKUP(E759,Master!$J:$K,2,0),"")</f>
        <v/>
      </c>
      <c r="F759" s="4" t="str">
        <f>_xlfn.IFNA(VLOOKUP(G759,Master!B:C,2,0),"")</f>
        <v/>
      </c>
      <c r="I759" s="3" t="str">
        <f>_xlfn.IFNA(VLOOKUP(E759,Master!$J:$M,4,0),"")</f>
        <v/>
      </c>
      <c r="J759" s="3" t="str">
        <f>_xlfn.IFNA(VLOOKUP($E759,Master!$J:$M,3,0),"")</f>
        <v/>
      </c>
      <c r="AC759" s="26">
        <f t="shared" si="24"/>
        <v>0</v>
      </c>
      <c r="AD759" s="26">
        <f t="shared" si="25"/>
        <v>0</v>
      </c>
    </row>
    <row r="760" spans="2:30" ht="15" customHeight="1">
      <c r="B760" s="3" t="str">
        <f>_xlfn.IFNA(VLOOKUP(C760,Master!$J:$K,2,0),"")</f>
        <v/>
      </c>
      <c r="D760" s="4" t="str">
        <f>_xlfn.IFNA(VLOOKUP(E760,Master!$J:$K,2,0),"")</f>
        <v/>
      </c>
      <c r="F760" s="4" t="str">
        <f>_xlfn.IFNA(VLOOKUP(G760,Master!B:C,2,0),"")</f>
        <v/>
      </c>
      <c r="I760" s="3" t="str">
        <f>_xlfn.IFNA(VLOOKUP(E760,Master!$J:$M,4,0),"")</f>
        <v/>
      </c>
      <c r="J760" s="3" t="str">
        <f>_xlfn.IFNA(VLOOKUP($E760,Master!$J:$M,3,0),"")</f>
        <v/>
      </c>
      <c r="AC760" s="26">
        <f t="shared" si="24"/>
        <v>0</v>
      </c>
      <c r="AD760" s="26">
        <f t="shared" si="25"/>
        <v>0</v>
      </c>
    </row>
    <row r="761" spans="2:30" ht="15" customHeight="1">
      <c r="B761" s="3" t="str">
        <f>_xlfn.IFNA(VLOOKUP(C761,Master!$J:$K,2,0),"")</f>
        <v/>
      </c>
      <c r="D761" s="4" t="str">
        <f>_xlfn.IFNA(VLOOKUP(E761,Master!$J:$K,2,0),"")</f>
        <v/>
      </c>
      <c r="F761" s="4" t="str">
        <f>_xlfn.IFNA(VLOOKUP(G761,Master!B:C,2,0),"")</f>
        <v/>
      </c>
      <c r="I761" s="3" t="str">
        <f>_xlfn.IFNA(VLOOKUP(E761,Master!$J:$M,4,0),"")</f>
        <v/>
      </c>
      <c r="J761" s="3" t="str">
        <f>_xlfn.IFNA(VLOOKUP($E761,Master!$J:$M,3,0),"")</f>
        <v/>
      </c>
      <c r="AC761" s="26">
        <f t="shared" si="24"/>
        <v>0</v>
      </c>
      <c r="AD761" s="26">
        <f t="shared" si="25"/>
        <v>0</v>
      </c>
    </row>
    <row r="762" spans="2:30" ht="15" customHeight="1">
      <c r="B762" s="3" t="str">
        <f>_xlfn.IFNA(VLOOKUP(C762,Master!$J:$K,2,0),"")</f>
        <v/>
      </c>
      <c r="D762" s="4" t="str">
        <f>_xlfn.IFNA(VLOOKUP(E762,Master!$J:$K,2,0),"")</f>
        <v/>
      </c>
      <c r="F762" s="4" t="str">
        <f>_xlfn.IFNA(VLOOKUP(G762,Master!B:C,2,0),"")</f>
        <v/>
      </c>
      <c r="I762" s="3" t="str">
        <f>_xlfn.IFNA(VLOOKUP(E762,Master!$J:$M,4,0),"")</f>
        <v/>
      </c>
      <c r="J762" s="3" t="str">
        <f>_xlfn.IFNA(VLOOKUP($E762,Master!$J:$M,3,0),"")</f>
        <v/>
      </c>
      <c r="AC762" s="26">
        <f t="shared" si="24"/>
        <v>0</v>
      </c>
      <c r="AD762" s="26">
        <f t="shared" si="25"/>
        <v>0</v>
      </c>
    </row>
    <row r="763" spans="2:30" ht="15" customHeight="1">
      <c r="B763" s="3" t="str">
        <f>_xlfn.IFNA(VLOOKUP(C763,Master!$J:$K,2,0),"")</f>
        <v/>
      </c>
      <c r="D763" s="4" t="str">
        <f>_xlfn.IFNA(VLOOKUP(E763,Master!$J:$K,2,0),"")</f>
        <v/>
      </c>
      <c r="F763" s="4" t="str">
        <f>_xlfn.IFNA(VLOOKUP(G763,Master!B:C,2,0),"")</f>
        <v/>
      </c>
      <c r="I763" s="3" t="str">
        <f>_xlfn.IFNA(VLOOKUP(E763,Master!$J:$M,4,0),"")</f>
        <v/>
      </c>
      <c r="J763" s="3" t="str">
        <f>_xlfn.IFNA(VLOOKUP($E763,Master!$J:$M,3,0),"")</f>
        <v/>
      </c>
      <c r="AC763" s="26">
        <f t="shared" si="24"/>
        <v>0</v>
      </c>
      <c r="AD763" s="26">
        <f t="shared" si="25"/>
        <v>0</v>
      </c>
    </row>
    <row r="764" spans="2:30" ht="15" customHeight="1">
      <c r="B764" s="3" t="str">
        <f>_xlfn.IFNA(VLOOKUP(C764,Master!$J:$K,2,0),"")</f>
        <v/>
      </c>
      <c r="D764" s="4" t="str">
        <f>_xlfn.IFNA(VLOOKUP(E764,Master!$J:$K,2,0),"")</f>
        <v/>
      </c>
      <c r="F764" s="4" t="str">
        <f>_xlfn.IFNA(VLOOKUP(G764,Master!B:C,2,0),"")</f>
        <v/>
      </c>
      <c r="I764" s="3" t="str">
        <f>_xlfn.IFNA(VLOOKUP(E764,Master!$J:$M,4,0),"")</f>
        <v/>
      </c>
      <c r="J764" s="3" t="str">
        <f>_xlfn.IFNA(VLOOKUP($E764,Master!$J:$M,3,0),"")</f>
        <v/>
      </c>
      <c r="AC764" s="26">
        <f t="shared" si="24"/>
        <v>0</v>
      </c>
      <c r="AD764" s="26">
        <f t="shared" si="25"/>
        <v>0</v>
      </c>
    </row>
    <row r="765" spans="2:30" ht="15" customHeight="1">
      <c r="B765" s="3" t="str">
        <f>_xlfn.IFNA(VLOOKUP(C765,Master!$J:$K,2,0),"")</f>
        <v/>
      </c>
      <c r="D765" s="4" t="str">
        <f>_xlfn.IFNA(VLOOKUP(E765,Master!$J:$K,2,0),"")</f>
        <v/>
      </c>
      <c r="F765" s="4" t="str">
        <f>_xlfn.IFNA(VLOOKUP(G765,Master!B:C,2,0),"")</f>
        <v/>
      </c>
      <c r="I765" s="3" t="str">
        <f>_xlfn.IFNA(VLOOKUP(E765,Master!$J:$M,4,0),"")</f>
        <v/>
      </c>
      <c r="J765" s="3" t="str">
        <f>_xlfn.IFNA(VLOOKUP($E765,Master!$J:$M,3,0),"")</f>
        <v/>
      </c>
      <c r="AC765" s="26">
        <f t="shared" si="24"/>
        <v>0</v>
      </c>
      <c r="AD765" s="26">
        <f t="shared" si="25"/>
        <v>0</v>
      </c>
    </row>
    <row r="766" spans="2:30" ht="15" customHeight="1">
      <c r="B766" s="3" t="str">
        <f>_xlfn.IFNA(VLOOKUP(C766,Master!$J:$K,2,0),"")</f>
        <v/>
      </c>
      <c r="D766" s="4" t="str">
        <f>_xlfn.IFNA(VLOOKUP(E766,Master!$J:$K,2,0),"")</f>
        <v/>
      </c>
      <c r="F766" s="4" t="str">
        <f>_xlfn.IFNA(VLOOKUP(G766,Master!B:C,2,0),"")</f>
        <v/>
      </c>
      <c r="I766" s="3" t="str">
        <f>_xlfn.IFNA(VLOOKUP(E766,Master!$J:$M,4,0),"")</f>
        <v/>
      </c>
      <c r="J766" s="3" t="str">
        <f>_xlfn.IFNA(VLOOKUP($E766,Master!$J:$M,3,0),"")</f>
        <v/>
      </c>
      <c r="AC766" s="26">
        <f t="shared" si="24"/>
        <v>0</v>
      </c>
      <c r="AD766" s="26">
        <f t="shared" si="25"/>
        <v>0</v>
      </c>
    </row>
    <row r="767" spans="2:30" ht="15" customHeight="1">
      <c r="B767" s="3" t="str">
        <f>_xlfn.IFNA(VLOOKUP(C767,Master!$J:$K,2,0),"")</f>
        <v/>
      </c>
      <c r="D767" s="4" t="str">
        <f>_xlfn.IFNA(VLOOKUP(E767,Master!$J:$K,2,0),"")</f>
        <v/>
      </c>
      <c r="F767" s="4" t="str">
        <f>_xlfn.IFNA(VLOOKUP(G767,Master!B:C,2,0),"")</f>
        <v/>
      </c>
      <c r="I767" s="3" t="str">
        <f>_xlfn.IFNA(VLOOKUP(E767,Master!$J:$M,4,0),"")</f>
        <v/>
      </c>
      <c r="J767" s="3" t="str">
        <f>_xlfn.IFNA(VLOOKUP($E767,Master!$J:$M,3,0),"")</f>
        <v/>
      </c>
      <c r="AC767" s="26">
        <f t="shared" si="24"/>
        <v>0</v>
      </c>
      <c r="AD767" s="26">
        <f t="shared" si="25"/>
        <v>0</v>
      </c>
    </row>
    <row r="768" spans="2:30" ht="15" customHeight="1">
      <c r="B768" s="3" t="str">
        <f>_xlfn.IFNA(VLOOKUP(C768,Master!$J:$K,2,0),"")</f>
        <v/>
      </c>
      <c r="D768" s="4" t="str">
        <f>_xlfn.IFNA(VLOOKUP(E768,Master!$J:$K,2,0),"")</f>
        <v/>
      </c>
      <c r="F768" s="4" t="str">
        <f>_xlfn.IFNA(VLOOKUP(G768,Master!B:C,2,0),"")</f>
        <v/>
      </c>
      <c r="I768" s="3" t="str">
        <f>_xlfn.IFNA(VLOOKUP(E768,Master!$J:$M,4,0),"")</f>
        <v/>
      </c>
      <c r="J768" s="3" t="str">
        <f>_xlfn.IFNA(VLOOKUP($E768,Master!$J:$M,3,0),"")</f>
        <v/>
      </c>
      <c r="AC768" s="26">
        <f t="shared" si="24"/>
        <v>0</v>
      </c>
      <c r="AD768" s="26">
        <f t="shared" si="25"/>
        <v>0</v>
      </c>
    </row>
    <row r="769" spans="2:30" ht="15" customHeight="1">
      <c r="B769" s="3" t="str">
        <f>_xlfn.IFNA(VLOOKUP(C769,Master!$J:$K,2,0),"")</f>
        <v/>
      </c>
      <c r="D769" s="4" t="str">
        <f>_xlfn.IFNA(VLOOKUP(E769,Master!$J:$K,2,0),"")</f>
        <v/>
      </c>
      <c r="F769" s="4" t="str">
        <f>_xlfn.IFNA(VLOOKUP(G769,Master!B:C,2,0),"")</f>
        <v/>
      </c>
      <c r="I769" s="3" t="str">
        <f>_xlfn.IFNA(VLOOKUP(E769,Master!$J:$M,4,0),"")</f>
        <v/>
      </c>
      <c r="J769" s="3" t="str">
        <f>_xlfn.IFNA(VLOOKUP($E769,Master!$J:$M,3,0),"")</f>
        <v/>
      </c>
      <c r="AC769" s="26">
        <f t="shared" si="24"/>
        <v>0</v>
      </c>
      <c r="AD769" s="26">
        <f t="shared" si="25"/>
        <v>0</v>
      </c>
    </row>
    <row r="770" spans="2:30" ht="15" customHeight="1">
      <c r="B770" s="3" t="str">
        <f>_xlfn.IFNA(VLOOKUP(C770,Master!$J:$K,2,0),"")</f>
        <v/>
      </c>
      <c r="D770" s="4" t="str">
        <f>_xlfn.IFNA(VLOOKUP(E770,Master!$J:$K,2,0),"")</f>
        <v/>
      </c>
      <c r="F770" s="4" t="str">
        <f>_xlfn.IFNA(VLOOKUP(G770,Master!B:C,2,0),"")</f>
        <v/>
      </c>
      <c r="I770" s="3" t="str">
        <f>_xlfn.IFNA(VLOOKUP(E770,Master!$J:$M,4,0),"")</f>
        <v/>
      </c>
      <c r="J770" s="3" t="str">
        <f>_xlfn.IFNA(VLOOKUP($E770,Master!$J:$M,3,0),"")</f>
        <v/>
      </c>
      <c r="AC770" s="26">
        <f t="shared" si="24"/>
        <v>0</v>
      </c>
      <c r="AD770" s="26">
        <f t="shared" si="25"/>
        <v>0</v>
      </c>
    </row>
    <row r="771" spans="2:30" ht="15" customHeight="1">
      <c r="B771" s="3" t="str">
        <f>_xlfn.IFNA(VLOOKUP(C771,Master!$J:$K,2,0),"")</f>
        <v/>
      </c>
      <c r="D771" s="4" t="str">
        <f>_xlfn.IFNA(VLOOKUP(E771,Master!$J:$K,2,0),"")</f>
        <v/>
      </c>
      <c r="F771" s="4" t="str">
        <f>_xlfn.IFNA(VLOOKUP(G771,Master!B:C,2,0),"")</f>
        <v/>
      </c>
      <c r="I771" s="3" t="str">
        <f>_xlfn.IFNA(VLOOKUP(E771,Master!$J:$M,4,0),"")</f>
        <v/>
      </c>
      <c r="J771" s="3" t="str">
        <f>_xlfn.IFNA(VLOOKUP($E771,Master!$J:$M,3,0),"")</f>
        <v/>
      </c>
      <c r="AC771" s="26">
        <f t="shared" si="24"/>
        <v>0</v>
      </c>
      <c r="AD771" s="26">
        <f t="shared" si="25"/>
        <v>0</v>
      </c>
    </row>
    <row r="772" spans="2:30" ht="15" customHeight="1">
      <c r="B772" s="3" t="str">
        <f>_xlfn.IFNA(VLOOKUP(C772,Master!$J:$K,2,0),"")</f>
        <v/>
      </c>
      <c r="D772" s="4" t="str">
        <f>_xlfn.IFNA(VLOOKUP(E772,Master!$J:$K,2,0),"")</f>
        <v/>
      </c>
      <c r="F772" s="4" t="str">
        <f>_xlfn.IFNA(VLOOKUP(G772,Master!B:C,2,0),"")</f>
        <v/>
      </c>
      <c r="I772" s="3" t="str">
        <f>_xlfn.IFNA(VLOOKUP(E772,Master!$J:$M,4,0),"")</f>
        <v/>
      </c>
      <c r="J772" s="3" t="str">
        <f>_xlfn.IFNA(VLOOKUP($E772,Master!$J:$M,3,0),"")</f>
        <v/>
      </c>
      <c r="AC772" s="26">
        <f t="shared" si="24"/>
        <v>0</v>
      </c>
      <c r="AD772" s="26">
        <f t="shared" si="25"/>
        <v>0</v>
      </c>
    </row>
    <row r="773" spans="2:30" ht="15" customHeight="1">
      <c r="B773" s="3" t="str">
        <f>_xlfn.IFNA(VLOOKUP(C773,Master!$J:$K,2,0),"")</f>
        <v/>
      </c>
      <c r="D773" s="4" t="str">
        <f>_xlfn.IFNA(VLOOKUP(E773,Master!$J:$K,2,0),"")</f>
        <v/>
      </c>
      <c r="F773" s="4" t="str">
        <f>_xlfn.IFNA(VLOOKUP(G773,Master!B:C,2,0),"")</f>
        <v/>
      </c>
      <c r="I773" s="3" t="str">
        <f>_xlfn.IFNA(VLOOKUP(E773,Master!$J:$M,4,0),"")</f>
        <v/>
      </c>
      <c r="J773" s="3" t="str">
        <f>_xlfn.IFNA(VLOOKUP($E773,Master!$J:$M,3,0),"")</f>
        <v/>
      </c>
      <c r="AC773" s="26">
        <f t="shared" si="24"/>
        <v>0</v>
      </c>
      <c r="AD773" s="26">
        <f t="shared" si="25"/>
        <v>0</v>
      </c>
    </row>
    <row r="774" spans="2:30" ht="15" customHeight="1">
      <c r="B774" s="3" t="str">
        <f>_xlfn.IFNA(VLOOKUP(C774,Master!$J:$K,2,0),"")</f>
        <v/>
      </c>
      <c r="D774" s="4" t="str">
        <f>_xlfn.IFNA(VLOOKUP(E774,Master!$J:$K,2,0),"")</f>
        <v/>
      </c>
      <c r="F774" s="4" t="str">
        <f>_xlfn.IFNA(VLOOKUP(G774,Master!B:C,2,0),"")</f>
        <v/>
      </c>
      <c r="I774" s="3" t="str">
        <f>_xlfn.IFNA(VLOOKUP(E774,Master!$J:$M,4,0),"")</f>
        <v/>
      </c>
      <c r="J774" s="3" t="str">
        <f>_xlfn.IFNA(VLOOKUP($E774,Master!$J:$M,3,0),"")</f>
        <v/>
      </c>
      <c r="AC774" s="26">
        <f t="shared" si="24"/>
        <v>0</v>
      </c>
      <c r="AD774" s="26">
        <f t="shared" si="25"/>
        <v>0</v>
      </c>
    </row>
    <row r="775" spans="2:30" ht="15" customHeight="1">
      <c r="B775" s="3" t="str">
        <f>_xlfn.IFNA(VLOOKUP(C775,Master!$J:$K,2,0),"")</f>
        <v/>
      </c>
      <c r="D775" s="4" t="str">
        <f>_xlfn.IFNA(VLOOKUP(E775,Master!$J:$K,2,0),"")</f>
        <v/>
      </c>
      <c r="F775" s="4" t="str">
        <f>_xlfn.IFNA(VLOOKUP(G775,Master!B:C,2,0),"")</f>
        <v/>
      </c>
      <c r="I775" s="3" t="str">
        <f>_xlfn.IFNA(VLOOKUP(E775,Master!$J:$M,4,0),"")</f>
        <v/>
      </c>
      <c r="J775" s="3" t="str">
        <f>_xlfn.IFNA(VLOOKUP($E775,Master!$J:$M,3,0),"")</f>
        <v/>
      </c>
      <c r="AC775" s="26">
        <f t="shared" si="24"/>
        <v>0</v>
      </c>
      <c r="AD775" s="26">
        <f t="shared" si="25"/>
        <v>0</v>
      </c>
    </row>
    <row r="776" spans="2:30" ht="15" customHeight="1">
      <c r="B776" s="3" t="str">
        <f>_xlfn.IFNA(VLOOKUP(C776,Master!$J:$K,2,0),"")</f>
        <v/>
      </c>
      <c r="D776" s="4" t="str">
        <f>_xlfn.IFNA(VLOOKUP(E776,Master!$J:$K,2,0),"")</f>
        <v/>
      </c>
      <c r="F776" s="4" t="str">
        <f>_xlfn.IFNA(VLOOKUP(G776,Master!B:C,2,0),"")</f>
        <v/>
      </c>
      <c r="I776" s="3" t="str">
        <f>_xlfn.IFNA(VLOOKUP(E776,Master!$J:$M,4,0),"")</f>
        <v/>
      </c>
      <c r="J776" s="3" t="str">
        <f>_xlfn.IFNA(VLOOKUP($E776,Master!$J:$M,3,0),"")</f>
        <v/>
      </c>
      <c r="AC776" s="26">
        <f t="shared" si="24"/>
        <v>0</v>
      </c>
      <c r="AD776" s="26">
        <f t="shared" si="25"/>
        <v>0</v>
      </c>
    </row>
    <row r="777" spans="2:30" ht="15" customHeight="1">
      <c r="B777" s="3" t="str">
        <f>_xlfn.IFNA(VLOOKUP(C777,Master!$J:$K,2,0),"")</f>
        <v/>
      </c>
      <c r="D777" s="4" t="str">
        <f>_xlfn.IFNA(VLOOKUP(E777,Master!$J:$K,2,0),"")</f>
        <v/>
      </c>
      <c r="F777" s="4" t="str">
        <f>_xlfn.IFNA(VLOOKUP(G777,Master!B:C,2,0),"")</f>
        <v/>
      </c>
      <c r="I777" s="3" t="str">
        <f>_xlfn.IFNA(VLOOKUP(E777,Master!$J:$M,4,0),"")</f>
        <v/>
      </c>
      <c r="J777" s="3" t="str">
        <f>_xlfn.IFNA(VLOOKUP($E777,Master!$J:$M,3,0),"")</f>
        <v/>
      </c>
      <c r="AC777" s="26">
        <f t="shared" si="24"/>
        <v>0</v>
      </c>
      <c r="AD777" s="26">
        <f t="shared" si="25"/>
        <v>0</v>
      </c>
    </row>
    <row r="778" spans="2:30" ht="15" customHeight="1">
      <c r="B778" s="3" t="str">
        <f>_xlfn.IFNA(VLOOKUP(C778,Master!$J:$K,2,0),"")</f>
        <v/>
      </c>
      <c r="D778" s="4" t="str">
        <f>_xlfn.IFNA(VLOOKUP(E778,Master!$J:$K,2,0),"")</f>
        <v/>
      </c>
      <c r="F778" s="4" t="str">
        <f>_xlfn.IFNA(VLOOKUP(G778,Master!B:C,2,0),"")</f>
        <v/>
      </c>
      <c r="I778" s="3" t="str">
        <f>_xlfn.IFNA(VLOOKUP(E778,Master!$J:$M,4,0),"")</f>
        <v/>
      </c>
      <c r="J778" s="3" t="str">
        <f>_xlfn.IFNA(VLOOKUP($E778,Master!$J:$M,3,0),"")</f>
        <v/>
      </c>
      <c r="AC778" s="26">
        <f t="shared" si="24"/>
        <v>0</v>
      </c>
      <c r="AD778" s="26">
        <f t="shared" si="25"/>
        <v>0</v>
      </c>
    </row>
    <row r="779" spans="2:30" ht="15" customHeight="1">
      <c r="B779" s="3" t="str">
        <f>_xlfn.IFNA(VLOOKUP(C779,Master!$J:$K,2,0),"")</f>
        <v/>
      </c>
      <c r="D779" s="4" t="str">
        <f>_xlfn.IFNA(VLOOKUP(E779,Master!$J:$K,2,0),"")</f>
        <v/>
      </c>
      <c r="F779" s="4" t="str">
        <f>_xlfn.IFNA(VLOOKUP(G779,Master!B:C,2,0),"")</f>
        <v/>
      </c>
      <c r="I779" s="3" t="str">
        <f>_xlfn.IFNA(VLOOKUP(E779,Master!$J:$M,4,0),"")</f>
        <v/>
      </c>
      <c r="J779" s="3" t="str">
        <f>_xlfn.IFNA(VLOOKUP($E779,Master!$J:$M,3,0),"")</f>
        <v/>
      </c>
      <c r="AC779" s="26">
        <f t="shared" si="24"/>
        <v>0</v>
      </c>
      <c r="AD779" s="26">
        <f t="shared" si="25"/>
        <v>0</v>
      </c>
    </row>
    <row r="780" spans="2:30" ht="15" customHeight="1">
      <c r="B780" s="3" t="str">
        <f>_xlfn.IFNA(VLOOKUP(C780,Master!$J:$K,2,0),"")</f>
        <v/>
      </c>
      <c r="D780" s="4" t="str">
        <f>_xlfn.IFNA(VLOOKUP(E780,Master!$J:$K,2,0),"")</f>
        <v/>
      </c>
      <c r="F780" s="4" t="str">
        <f>_xlfn.IFNA(VLOOKUP(G780,Master!B:C,2,0),"")</f>
        <v/>
      </c>
      <c r="I780" s="3" t="str">
        <f>_xlfn.IFNA(VLOOKUP(E780,Master!$J:$M,4,0),"")</f>
        <v/>
      </c>
      <c r="J780" s="3" t="str">
        <f>_xlfn.IFNA(VLOOKUP($E780,Master!$J:$M,3,0),"")</f>
        <v/>
      </c>
      <c r="AC780" s="26">
        <f t="shared" si="24"/>
        <v>0</v>
      </c>
      <c r="AD780" s="26">
        <f t="shared" si="25"/>
        <v>0</v>
      </c>
    </row>
    <row r="781" spans="2:30" ht="15" customHeight="1">
      <c r="B781" s="3" t="str">
        <f>_xlfn.IFNA(VLOOKUP(C781,Master!$J:$K,2,0),"")</f>
        <v/>
      </c>
      <c r="D781" s="4" t="str">
        <f>_xlfn.IFNA(VLOOKUP(E781,Master!$J:$K,2,0),"")</f>
        <v/>
      </c>
      <c r="F781" s="4" t="str">
        <f>_xlfn.IFNA(VLOOKUP(G781,Master!B:C,2,0),"")</f>
        <v/>
      </c>
      <c r="I781" s="3" t="str">
        <f>_xlfn.IFNA(VLOOKUP(E781,Master!$J:$M,4,0),"")</f>
        <v/>
      </c>
      <c r="J781" s="3" t="str">
        <f>_xlfn.IFNA(VLOOKUP($E781,Master!$J:$M,3,0),"")</f>
        <v/>
      </c>
      <c r="AC781" s="26">
        <f t="shared" ref="AC781:AC844" si="26">SUM(K781:P781)</f>
        <v>0</v>
      </c>
      <c r="AD781" s="26">
        <f t="shared" ref="AD781:AD844" si="27">SUM(Q781:AB781)</f>
        <v>0</v>
      </c>
    </row>
    <row r="782" spans="2:30" ht="15" customHeight="1">
      <c r="B782" s="3" t="str">
        <f>_xlfn.IFNA(VLOOKUP(C782,Master!$J:$K,2,0),"")</f>
        <v/>
      </c>
      <c r="D782" s="4" t="str">
        <f>_xlfn.IFNA(VLOOKUP(E782,Master!$J:$K,2,0),"")</f>
        <v/>
      </c>
      <c r="F782" s="4" t="str">
        <f>_xlfn.IFNA(VLOOKUP(G782,Master!B:C,2,0),"")</f>
        <v/>
      </c>
      <c r="I782" s="3" t="str">
        <f>_xlfn.IFNA(VLOOKUP(E782,Master!$J:$M,4,0),"")</f>
        <v/>
      </c>
      <c r="J782" s="3" t="str">
        <f>_xlfn.IFNA(VLOOKUP($E782,Master!$J:$M,3,0),"")</f>
        <v/>
      </c>
      <c r="AC782" s="26">
        <f t="shared" si="26"/>
        <v>0</v>
      </c>
      <c r="AD782" s="26">
        <f t="shared" si="27"/>
        <v>0</v>
      </c>
    </row>
    <row r="783" spans="2:30" ht="15" customHeight="1">
      <c r="B783" s="3" t="str">
        <f>_xlfn.IFNA(VLOOKUP(C783,Master!$J:$K,2,0),"")</f>
        <v/>
      </c>
      <c r="D783" s="4" t="str">
        <f>_xlfn.IFNA(VLOOKUP(E783,Master!$J:$K,2,0),"")</f>
        <v/>
      </c>
      <c r="F783" s="4" t="str">
        <f>_xlfn.IFNA(VLOOKUP(G783,Master!B:C,2,0),"")</f>
        <v/>
      </c>
      <c r="I783" s="3" t="str">
        <f>_xlfn.IFNA(VLOOKUP(E783,Master!$J:$M,4,0),"")</f>
        <v/>
      </c>
      <c r="J783" s="3" t="str">
        <f>_xlfn.IFNA(VLOOKUP($E783,Master!$J:$M,3,0),"")</f>
        <v/>
      </c>
      <c r="AC783" s="26">
        <f t="shared" si="26"/>
        <v>0</v>
      </c>
      <c r="AD783" s="26">
        <f t="shared" si="27"/>
        <v>0</v>
      </c>
    </row>
    <row r="784" spans="2:30" ht="15" customHeight="1">
      <c r="B784" s="3" t="str">
        <f>_xlfn.IFNA(VLOOKUP(C784,Master!$J:$K,2,0),"")</f>
        <v/>
      </c>
      <c r="D784" s="4" t="str">
        <f>_xlfn.IFNA(VLOOKUP(E784,Master!$J:$K,2,0),"")</f>
        <v/>
      </c>
      <c r="F784" s="4" t="str">
        <f>_xlfn.IFNA(VLOOKUP(G784,Master!B:C,2,0),"")</f>
        <v/>
      </c>
      <c r="I784" s="3" t="str">
        <f>_xlfn.IFNA(VLOOKUP(E784,Master!$J:$M,4,0),"")</f>
        <v/>
      </c>
      <c r="J784" s="3" t="str">
        <f>_xlfn.IFNA(VLOOKUP($E784,Master!$J:$M,3,0),"")</f>
        <v/>
      </c>
      <c r="AC784" s="26">
        <f t="shared" si="26"/>
        <v>0</v>
      </c>
      <c r="AD784" s="26">
        <f t="shared" si="27"/>
        <v>0</v>
      </c>
    </row>
    <row r="785" spans="2:30" ht="15" customHeight="1">
      <c r="B785" s="3" t="str">
        <f>_xlfn.IFNA(VLOOKUP(C785,Master!$J:$K,2,0),"")</f>
        <v/>
      </c>
      <c r="D785" s="4" t="str">
        <f>_xlfn.IFNA(VLOOKUP(E785,Master!$J:$K,2,0),"")</f>
        <v/>
      </c>
      <c r="F785" s="4" t="str">
        <f>_xlfn.IFNA(VLOOKUP(G785,Master!B:C,2,0),"")</f>
        <v/>
      </c>
      <c r="I785" s="3" t="str">
        <f>_xlfn.IFNA(VLOOKUP(E785,Master!$J:$M,4,0),"")</f>
        <v/>
      </c>
      <c r="J785" s="3" t="str">
        <f>_xlfn.IFNA(VLOOKUP($E785,Master!$J:$M,3,0),"")</f>
        <v/>
      </c>
      <c r="AC785" s="26">
        <f t="shared" si="26"/>
        <v>0</v>
      </c>
      <c r="AD785" s="26">
        <f t="shared" si="27"/>
        <v>0</v>
      </c>
    </row>
    <row r="786" spans="2:30" ht="15" customHeight="1">
      <c r="B786" s="3" t="str">
        <f>_xlfn.IFNA(VLOOKUP(C786,Master!$J:$K,2,0),"")</f>
        <v/>
      </c>
      <c r="D786" s="4" t="str">
        <f>_xlfn.IFNA(VLOOKUP(E786,Master!$J:$K,2,0),"")</f>
        <v/>
      </c>
      <c r="F786" s="4" t="str">
        <f>_xlfn.IFNA(VLOOKUP(G786,Master!B:C,2,0),"")</f>
        <v/>
      </c>
      <c r="I786" s="3" t="str">
        <f>_xlfn.IFNA(VLOOKUP(E786,Master!$J:$M,4,0),"")</f>
        <v/>
      </c>
      <c r="J786" s="3" t="str">
        <f>_xlfn.IFNA(VLOOKUP($E786,Master!$J:$M,3,0),"")</f>
        <v/>
      </c>
      <c r="AC786" s="26">
        <f t="shared" si="26"/>
        <v>0</v>
      </c>
      <c r="AD786" s="26">
        <f t="shared" si="27"/>
        <v>0</v>
      </c>
    </row>
    <row r="787" spans="2:30" ht="15" customHeight="1">
      <c r="B787" s="3" t="str">
        <f>_xlfn.IFNA(VLOOKUP(C787,Master!$J:$K,2,0),"")</f>
        <v/>
      </c>
      <c r="D787" s="4" t="str">
        <f>_xlfn.IFNA(VLOOKUP(E787,Master!$J:$K,2,0),"")</f>
        <v/>
      </c>
      <c r="F787" s="4" t="str">
        <f>_xlfn.IFNA(VLOOKUP(G787,Master!B:C,2,0),"")</f>
        <v/>
      </c>
      <c r="I787" s="3" t="str">
        <f>_xlfn.IFNA(VLOOKUP(E787,Master!$J:$M,4,0),"")</f>
        <v/>
      </c>
      <c r="J787" s="3" t="str">
        <f>_xlfn.IFNA(VLOOKUP($E787,Master!$J:$M,3,0),"")</f>
        <v/>
      </c>
      <c r="AC787" s="26">
        <f t="shared" si="26"/>
        <v>0</v>
      </c>
      <c r="AD787" s="26">
        <f t="shared" si="27"/>
        <v>0</v>
      </c>
    </row>
    <row r="788" spans="2:30" ht="15" customHeight="1">
      <c r="B788" s="3" t="str">
        <f>_xlfn.IFNA(VLOOKUP(C788,Master!$J:$K,2,0),"")</f>
        <v/>
      </c>
      <c r="D788" s="4" t="str">
        <f>_xlfn.IFNA(VLOOKUP(E788,Master!$J:$K,2,0),"")</f>
        <v/>
      </c>
      <c r="F788" s="4" t="str">
        <f>_xlfn.IFNA(VLOOKUP(G788,Master!B:C,2,0),"")</f>
        <v/>
      </c>
      <c r="I788" s="3" t="str">
        <f>_xlfn.IFNA(VLOOKUP(E788,Master!$J:$M,4,0),"")</f>
        <v/>
      </c>
      <c r="J788" s="3" t="str">
        <f>_xlfn.IFNA(VLOOKUP($E788,Master!$J:$M,3,0),"")</f>
        <v/>
      </c>
      <c r="AC788" s="26">
        <f t="shared" si="26"/>
        <v>0</v>
      </c>
      <c r="AD788" s="26">
        <f t="shared" si="27"/>
        <v>0</v>
      </c>
    </row>
    <row r="789" spans="2:30" ht="15" customHeight="1">
      <c r="B789" s="3" t="str">
        <f>_xlfn.IFNA(VLOOKUP(C789,Master!$J:$K,2,0),"")</f>
        <v/>
      </c>
      <c r="D789" s="4" t="str">
        <f>_xlfn.IFNA(VLOOKUP(E789,Master!$J:$K,2,0),"")</f>
        <v/>
      </c>
      <c r="F789" s="4" t="str">
        <f>_xlfn.IFNA(VLOOKUP(G789,Master!B:C,2,0),"")</f>
        <v/>
      </c>
      <c r="I789" s="3" t="str">
        <f>_xlfn.IFNA(VLOOKUP(E789,Master!$J:$M,4,0),"")</f>
        <v/>
      </c>
      <c r="J789" s="3" t="str">
        <f>_xlfn.IFNA(VLOOKUP($E789,Master!$J:$M,3,0),"")</f>
        <v/>
      </c>
      <c r="AC789" s="26">
        <f t="shared" si="26"/>
        <v>0</v>
      </c>
      <c r="AD789" s="26">
        <f t="shared" si="27"/>
        <v>0</v>
      </c>
    </row>
    <row r="790" spans="2:30" ht="15" customHeight="1">
      <c r="B790" s="3" t="str">
        <f>_xlfn.IFNA(VLOOKUP(C790,Master!$J:$K,2,0),"")</f>
        <v/>
      </c>
      <c r="D790" s="4" t="str">
        <f>_xlfn.IFNA(VLOOKUP(E790,Master!$J:$K,2,0),"")</f>
        <v/>
      </c>
      <c r="F790" s="4" t="str">
        <f>_xlfn.IFNA(VLOOKUP(G790,Master!B:C,2,0),"")</f>
        <v/>
      </c>
      <c r="I790" s="3" t="str">
        <f>_xlfn.IFNA(VLOOKUP(E790,Master!$J:$M,4,0),"")</f>
        <v/>
      </c>
      <c r="J790" s="3" t="str">
        <f>_xlfn.IFNA(VLOOKUP($E790,Master!$J:$M,3,0),"")</f>
        <v/>
      </c>
      <c r="AC790" s="26">
        <f t="shared" si="26"/>
        <v>0</v>
      </c>
      <c r="AD790" s="26">
        <f t="shared" si="27"/>
        <v>0</v>
      </c>
    </row>
    <row r="791" spans="2:30" ht="15" customHeight="1">
      <c r="B791" s="3" t="str">
        <f>_xlfn.IFNA(VLOOKUP(C791,Master!$J:$K,2,0),"")</f>
        <v/>
      </c>
      <c r="D791" s="4" t="str">
        <f>_xlfn.IFNA(VLOOKUP(E791,Master!$J:$K,2,0),"")</f>
        <v/>
      </c>
      <c r="F791" s="4" t="str">
        <f>_xlfn.IFNA(VLOOKUP(G791,Master!B:C,2,0),"")</f>
        <v/>
      </c>
      <c r="I791" s="3" t="str">
        <f>_xlfn.IFNA(VLOOKUP(E791,Master!$J:$M,4,0),"")</f>
        <v/>
      </c>
      <c r="J791" s="3" t="str">
        <f>_xlfn.IFNA(VLOOKUP($E791,Master!$J:$M,3,0),"")</f>
        <v/>
      </c>
      <c r="AC791" s="26">
        <f t="shared" si="26"/>
        <v>0</v>
      </c>
      <c r="AD791" s="26">
        <f t="shared" si="27"/>
        <v>0</v>
      </c>
    </row>
    <row r="792" spans="2:30" ht="15" customHeight="1">
      <c r="B792" s="3" t="str">
        <f>_xlfn.IFNA(VLOOKUP(C792,Master!$J:$K,2,0),"")</f>
        <v/>
      </c>
      <c r="D792" s="4" t="str">
        <f>_xlfn.IFNA(VLOOKUP(E792,Master!$J:$K,2,0),"")</f>
        <v/>
      </c>
      <c r="F792" s="4" t="str">
        <f>_xlfn.IFNA(VLOOKUP(G792,Master!B:C,2,0),"")</f>
        <v/>
      </c>
      <c r="I792" s="3" t="str">
        <f>_xlfn.IFNA(VLOOKUP(E792,Master!$J:$M,4,0),"")</f>
        <v/>
      </c>
      <c r="J792" s="3" t="str">
        <f>_xlfn.IFNA(VLOOKUP($E792,Master!$J:$M,3,0),"")</f>
        <v/>
      </c>
      <c r="AC792" s="26">
        <f t="shared" si="26"/>
        <v>0</v>
      </c>
      <c r="AD792" s="26">
        <f t="shared" si="27"/>
        <v>0</v>
      </c>
    </row>
    <row r="793" spans="2:30" ht="15" customHeight="1">
      <c r="B793" s="3" t="str">
        <f>_xlfn.IFNA(VLOOKUP(C793,Master!$J:$K,2,0),"")</f>
        <v/>
      </c>
      <c r="D793" s="4" t="str">
        <f>_xlfn.IFNA(VLOOKUP(E793,Master!$J:$K,2,0),"")</f>
        <v/>
      </c>
      <c r="F793" s="4" t="str">
        <f>_xlfn.IFNA(VLOOKUP(G793,Master!B:C,2,0),"")</f>
        <v/>
      </c>
      <c r="I793" s="3" t="str">
        <f>_xlfn.IFNA(VLOOKUP(E793,Master!$J:$M,4,0),"")</f>
        <v/>
      </c>
      <c r="J793" s="3" t="str">
        <f>_xlfn.IFNA(VLOOKUP($E793,Master!$J:$M,3,0),"")</f>
        <v/>
      </c>
      <c r="AC793" s="26">
        <f t="shared" si="26"/>
        <v>0</v>
      </c>
      <c r="AD793" s="26">
        <f t="shared" si="27"/>
        <v>0</v>
      </c>
    </row>
    <row r="794" spans="2:30" ht="15" customHeight="1">
      <c r="B794" s="3" t="str">
        <f>_xlfn.IFNA(VLOOKUP(C794,Master!$J:$K,2,0),"")</f>
        <v/>
      </c>
      <c r="D794" s="4" t="str">
        <f>_xlfn.IFNA(VLOOKUP(E794,Master!$J:$K,2,0),"")</f>
        <v/>
      </c>
      <c r="F794" s="4" t="str">
        <f>_xlfn.IFNA(VLOOKUP(G794,Master!B:C,2,0),"")</f>
        <v/>
      </c>
      <c r="I794" s="3" t="str">
        <f>_xlfn.IFNA(VLOOKUP(E794,Master!$J:$M,4,0),"")</f>
        <v/>
      </c>
      <c r="J794" s="3" t="str">
        <f>_xlfn.IFNA(VLOOKUP($E794,Master!$J:$M,3,0),"")</f>
        <v/>
      </c>
      <c r="AC794" s="26">
        <f t="shared" si="26"/>
        <v>0</v>
      </c>
      <c r="AD794" s="26">
        <f t="shared" si="27"/>
        <v>0</v>
      </c>
    </row>
    <row r="795" spans="2:30" ht="15" customHeight="1">
      <c r="B795" s="3" t="str">
        <f>_xlfn.IFNA(VLOOKUP(C795,Master!$J:$K,2,0),"")</f>
        <v/>
      </c>
      <c r="D795" s="4" t="str">
        <f>_xlfn.IFNA(VLOOKUP(E795,Master!$J:$K,2,0),"")</f>
        <v/>
      </c>
      <c r="F795" s="4" t="str">
        <f>_xlfn.IFNA(VLOOKUP(G795,Master!B:C,2,0),"")</f>
        <v/>
      </c>
      <c r="I795" s="3" t="str">
        <f>_xlfn.IFNA(VLOOKUP(E795,Master!$J:$M,4,0),"")</f>
        <v/>
      </c>
      <c r="J795" s="3" t="str">
        <f>_xlfn.IFNA(VLOOKUP($E795,Master!$J:$M,3,0),"")</f>
        <v/>
      </c>
      <c r="AC795" s="26">
        <f t="shared" si="26"/>
        <v>0</v>
      </c>
      <c r="AD795" s="26">
        <f t="shared" si="27"/>
        <v>0</v>
      </c>
    </row>
    <row r="796" spans="2:30" ht="15" customHeight="1">
      <c r="B796" s="3" t="str">
        <f>_xlfn.IFNA(VLOOKUP(C796,Master!$J:$K,2,0),"")</f>
        <v/>
      </c>
      <c r="D796" s="4" t="str">
        <f>_xlfn.IFNA(VLOOKUP(E796,Master!$J:$K,2,0),"")</f>
        <v/>
      </c>
      <c r="F796" s="4" t="str">
        <f>_xlfn.IFNA(VLOOKUP(G796,Master!B:C,2,0),"")</f>
        <v/>
      </c>
      <c r="I796" s="3" t="str">
        <f>_xlfn.IFNA(VLOOKUP(E796,Master!$J:$M,4,0),"")</f>
        <v/>
      </c>
      <c r="J796" s="3" t="str">
        <f>_xlfn.IFNA(VLOOKUP($E796,Master!$J:$M,3,0),"")</f>
        <v/>
      </c>
      <c r="AC796" s="26">
        <f t="shared" si="26"/>
        <v>0</v>
      </c>
      <c r="AD796" s="26">
        <f t="shared" si="27"/>
        <v>0</v>
      </c>
    </row>
    <row r="797" spans="2:30" ht="15" customHeight="1">
      <c r="B797" s="3" t="str">
        <f>_xlfn.IFNA(VLOOKUP(C797,Master!$J:$K,2,0),"")</f>
        <v/>
      </c>
      <c r="D797" s="4" t="str">
        <f>_xlfn.IFNA(VLOOKUP(E797,Master!$J:$K,2,0),"")</f>
        <v/>
      </c>
      <c r="F797" s="4" t="str">
        <f>_xlfn.IFNA(VLOOKUP(G797,Master!B:C,2,0),"")</f>
        <v/>
      </c>
      <c r="I797" s="3" t="str">
        <f>_xlfn.IFNA(VLOOKUP(E797,Master!$J:$M,4,0),"")</f>
        <v/>
      </c>
      <c r="J797" s="3" t="str">
        <f>_xlfn.IFNA(VLOOKUP($E797,Master!$J:$M,3,0),"")</f>
        <v/>
      </c>
      <c r="AC797" s="26">
        <f t="shared" si="26"/>
        <v>0</v>
      </c>
      <c r="AD797" s="26">
        <f t="shared" si="27"/>
        <v>0</v>
      </c>
    </row>
    <row r="798" spans="2:30" ht="15" customHeight="1">
      <c r="B798" s="3" t="str">
        <f>_xlfn.IFNA(VLOOKUP(C798,Master!$J:$K,2,0),"")</f>
        <v/>
      </c>
      <c r="D798" s="4" t="str">
        <f>_xlfn.IFNA(VLOOKUP(E798,Master!$J:$K,2,0),"")</f>
        <v/>
      </c>
      <c r="F798" s="4" t="str">
        <f>_xlfn.IFNA(VLOOKUP(G798,Master!B:C,2,0),"")</f>
        <v/>
      </c>
      <c r="I798" s="3" t="str">
        <f>_xlfn.IFNA(VLOOKUP(E798,Master!$J:$M,4,0),"")</f>
        <v/>
      </c>
      <c r="J798" s="3" t="str">
        <f>_xlfn.IFNA(VLOOKUP($E798,Master!$J:$M,3,0),"")</f>
        <v/>
      </c>
      <c r="AC798" s="26">
        <f t="shared" si="26"/>
        <v>0</v>
      </c>
      <c r="AD798" s="26">
        <f t="shared" si="27"/>
        <v>0</v>
      </c>
    </row>
    <row r="799" spans="2:30" ht="15" customHeight="1">
      <c r="B799" s="3" t="str">
        <f>_xlfn.IFNA(VLOOKUP(C799,Master!$J:$K,2,0),"")</f>
        <v/>
      </c>
      <c r="D799" s="4" t="str">
        <f>_xlfn.IFNA(VLOOKUP(E799,Master!$J:$K,2,0),"")</f>
        <v/>
      </c>
      <c r="F799" s="4" t="str">
        <f>_xlfn.IFNA(VLOOKUP(G799,Master!B:C,2,0),"")</f>
        <v/>
      </c>
      <c r="I799" s="3" t="str">
        <f>_xlfn.IFNA(VLOOKUP(E799,Master!$J:$M,4,0),"")</f>
        <v/>
      </c>
      <c r="J799" s="3" t="str">
        <f>_xlfn.IFNA(VLOOKUP($E799,Master!$J:$M,3,0),"")</f>
        <v/>
      </c>
      <c r="AC799" s="26">
        <f t="shared" si="26"/>
        <v>0</v>
      </c>
      <c r="AD799" s="26">
        <f t="shared" si="27"/>
        <v>0</v>
      </c>
    </row>
    <row r="800" spans="2:30" ht="15" customHeight="1">
      <c r="B800" s="3" t="str">
        <f>_xlfn.IFNA(VLOOKUP(C800,Master!$J:$K,2,0),"")</f>
        <v/>
      </c>
      <c r="D800" s="4" t="str">
        <f>_xlfn.IFNA(VLOOKUP(E800,Master!$J:$K,2,0),"")</f>
        <v/>
      </c>
      <c r="F800" s="4" t="str">
        <f>_xlfn.IFNA(VLOOKUP(G800,Master!B:C,2,0),"")</f>
        <v/>
      </c>
      <c r="I800" s="3" t="str">
        <f>_xlfn.IFNA(VLOOKUP(E800,Master!$J:$M,4,0),"")</f>
        <v/>
      </c>
      <c r="J800" s="3" t="str">
        <f>_xlfn.IFNA(VLOOKUP($E800,Master!$J:$M,3,0),"")</f>
        <v/>
      </c>
      <c r="AC800" s="26">
        <f t="shared" si="26"/>
        <v>0</v>
      </c>
      <c r="AD800" s="26">
        <f t="shared" si="27"/>
        <v>0</v>
      </c>
    </row>
    <row r="801" spans="2:30" ht="15" customHeight="1">
      <c r="B801" s="3" t="str">
        <f>_xlfn.IFNA(VLOOKUP(C801,Master!$J:$K,2,0),"")</f>
        <v/>
      </c>
      <c r="D801" s="4" t="str">
        <f>_xlfn.IFNA(VLOOKUP(E801,Master!$J:$K,2,0),"")</f>
        <v/>
      </c>
      <c r="F801" s="4" t="str">
        <f>_xlfn.IFNA(VLOOKUP(G801,Master!B:C,2,0),"")</f>
        <v/>
      </c>
      <c r="I801" s="3" t="str">
        <f>_xlfn.IFNA(VLOOKUP(E801,Master!$J:$M,4,0),"")</f>
        <v/>
      </c>
      <c r="J801" s="3" t="str">
        <f>_xlfn.IFNA(VLOOKUP($E801,Master!$J:$M,3,0),"")</f>
        <v/>
      </c>
      <c r="AC801" s="26">
        <f t="shared" si="26"/>
        <v>0</v>
      </c>
      <c r="AD801" s="26">
        <f t="shared" si="27"/>
        <v>0</v>
      </c>
    </row>
    <row r="802" spans="2:30" ht="15" customHeight="1">
      <c r="B802" s="3" t="str">
        <f>_xlfn.IFNA(VLOOKUP(C802,Master!$J:$K,2,0),"")</f>
        <v/>
      </c>
      <c r="D802" s="4" t="str">
        <f>_xlfn.IFNA(VLOOKUP(E802,Master!$J:$K,2,0),"")</f>
        <v/>
      </c>
      <c r="F802" s="4" t="str">
        <f>_xlfn.IFNA(VLOOKUP(G802,Master!B:C,2,0),"")</f>
        <v/>
      </c>
      <c r="I802" s="3" t="str">
        <f>_xlfn.IFNA(VLOOKUP(E802,Master!$J:$M,4,0),"")</f>
        <v/>
      </c>
      <c r="J802" s="3" t="str">
        <f>_xlfn.IFNA(VLOOKUP($E802,Master!$J:$M,3,0),"")</f>
        <v/>
      </c>
      <c r="AC802" s="26">
        <f t="shared" si="26"/>
        <v>0</v>
      </c>
      <c r="AD802" s="26">
        <f t="shared" si="27"/>
        <v>0</v>
      </c>
    </row>
    <row r="803" spans="2:30" ht="15" customHeight="1">
      <c r="B803" s="3" t="str">
        <f>_xlfn.IFNA(VLOOKUP(C803,Master!$J:$K,2,0),"")</f>
        <v/>
      </c>
      <c r="D803" s="4" t="str">
        <f>_xlfn.IFNA(VLOOKUP(E803,Master!$J:$K,2,0),"")</f>
        <v/>
      </c>
      <c r="F803" s="4" t="str">
        <f>_xlfn.IFNA(VLOOKUP(G803,Master!B:C,2,0),"")</f>
        <v/>
      </c>
      <c r="I803" s="3" t="str">
        <f>_xlfn.IFNA(VLOOKUP(E803,Master!$J:$M,4,0),"")</f>
        <v/>
      </c>
      <c r="J803" s="3" t="str">
        <f>_xlfn.IFNA(VLOOKUP($E803,Master!$J:$M,3,0),"")</f>
        <v/>
      </c>
      <c r="AC803" s="26">
        <f t="shared" si="26"/>
        <v>0</v>
      </c>
      <c r="AD803" s="26">
        <f t="shared" si="27"/>
        <v>0</v>
      </c>
    </row>
    <row r="804" spans="2:30" ht="15" customHeight="1">
      <c r="B804" s="3" t="str">
        <f>_xlfn.IFNA(VLOOKUP(C804,Master!$J:$K,2,0),"")</f>
        <v/>
      </c>
      <c r="D804" s="4" t="str">
        <f>_xlfn.IFNA(VLOOKUP(E804,Master!$J:$K,2,0),"")</f>
        <v/>
      </c>
      <c r="F804" s="4" t="str">
        <f>_xlfn.IFNA(VLOOKUP(G804,Master!B:C,2,0),"")</f>
        <v/>
      </c>
      <c r="I804" s="3" t="str">
        <f>_xlfn.IFNA(VLOOKUP(E804,Master!$J:$M,4,0),"")</f>
        <v/>
      </c>
      <c r="J804" s="3" t="str">
        <f>_xlfn.IFNA(VLOOKUP($E804,Master!$J:$M,3,0),"")</f>
        <v/>
      </c>
      <c r="AC804" s="26">
        <f t="shared" si="26"/>
        <v>0</v>
      </c>
      <c r="AD804" s="26">
        <f t="shared" si="27"/>
        <v>0</v>
      </c>
    </row>
    <row r="805" spans="2:30" ht="15" customHeight="1">
      <c r="B805" s="3" t="str">
        <f>_xlfn.IFNA(VLOOKUP(C805,Master!$J:$K,2,0),"")</f>
        <v/>
      </c>
      <c r="D805" s="4" t="str">
        <f>_xlfn.IFNA(VLOOKUP(E805,Master!$J:$K,2,0),"")</f>
        <v/>
      </c>
      <c r="F805" s="4" t="str">
        <f>_xlfn.IFNA(VLOOKUP(G805,Master!B:C,2,0),"")</f>
        <v/>
      </c>
      <c r="I805" s="3" t="str">
        <f>_xlfn.IFNA(VLOOKUP(E805,Master!$J:$M,4,0),"")</f>
        <v/>
      </c>
      <c r="J805" s="3" t="str">
        <f>_xlfn.IFNA(VLOOKUP($E805,Master!$J:$M,3,0),"")</f>
        <v/>
      </c>
      <c r="AC805" s="26">
        <f t="shared" si="26"/>
        <v>0</v>
      </c>
      <c r="AD805" s="26">
        <f t="shared" si="27"/>
        <v>0</v>
      </c>
    </row>
    <row r="806" spans="2:30" ht="15" customHeight="1">
      <c r="B806" s="3" t="str">
        <f>_xlfn.IFNA(VLOOKUP(C806,Master!$J:$K,2,0),"")</f>
        <v/>
      </c>
      <c r="D806" s="4" t="str">
        <f>_xlfn.IFNA(VLOOKUP(E806,Master!$J:$K,2,0),"")</f>
        <v/>
      </c>
      <c r="F806" s="4" t="str">
        <f>_xlfn.IFNA(VLOOKUP(G806,Master!B:C,2,0),"")</f>
        <v/>
      </c>
      <c r="I806" s="3" t="str">
        <f>_xlfn.IFNA(VLOOKUP(E806,Master!$J:$M,4,0),"")</f>
        <v/>
      </c>
      <c r="J806" s="3" t="str">
        <f>_xlfn.IFNA(VLOOKUP($E806,Master!$J:$M,3,0),"")</f>
        <v/>
      </c>
      <c r="AC806" s="26">
        <f t="shared" si="26"/>
        <v>0</v>
      </c>
      <c r="AD806" s="26">
        <f t="shared" si="27"/>
        <v>0</v>
      </c>
    </row>
    <row r="807" spans="2:30" ht="15" customHeight="1">
      <c r="B807" s="3" t="str">
        <f>_xlfn.IFNA(VLOOKUP(C807,Master!$J:$K,2,0),"")</f>
        <v/>
      </c>
      <c r="D807" s="4" t="str">
        <f>_xlfn.IFNA(VLOOKUP(E807,Master!$J:$K,2,0),"")</f>
        <v/>
      </c>
      <c r="F807" s="4" t="str">
        <f>_xlfn.IFNA(VLOOKUP(G807,Master!B:C,2,0),"")</f>
        <v/>
      </c>
      <c r="I807" s="3" t="str">
        <f>_xlfn.IFNA(VLOOKUP(E807,Master!$J:$M,4,0),"")</f>
        <v/>
      </c>
      <c r="J807" s="3" t="str">
        <f>_xlfn.IFNA(VLOOKUP($E807,Master!$J:$M,3,0),"")</f>
        <v/>
      </c>
      <c r="AC807" s="26">
        <f t="shared" si="26"/>
        <v>0</v>
      </c>
      <c r="AD807" s="26">
        <f t="shared" si="27"/>
        <v>0</v>
      </c>
    </row>
    <row r="808" spans="2:30" ht="15" customHeight="1">
      <c r="B808" s="3" t="str">
        <f>_xlfn.IFNA(VLOOKUP(C808,Master!$J:$K,2,0),"")</f>
        <v/>
      </c>
      <c r="D808" s="4" t="str">
        <f>_xlfn.IFNA(VLOOKUP(E808,Master!$J:$K,2,0),"")</f>
        <v/>
      </c>
      <c r="F808" s="4" t="str">
        <f>_xlfn.IFNA(VLOOKUP(G808,Master!B:C,2,0),"")</f>
        <v/>
      </c>
      <c r="I808" s="3" t="str">
        <f>_xlfn.IFNA(VLOOKUP(E808,Master!$J:$M,4,0),"")</f>
        <v/>
      </c>
      <c r="J808" s="3" t="str">
        <f>_xlfn.IFNA(VLOOKUP($E808,Master!$J:$M,3,0),"")</f>
        <v/>
      </c>
      <c r="AC808" s="26">
        <f t="shared" si="26"/>
        <v>0</v>
      </c>
      <c r="AD808" s="26">
        <f t="shared" si="27"/>
        <v>0</v>
      </c>
    </row>
    <row r="809" spans="2:30" ht="15" customHeight="1">
      <c r="B809" s="3" t="str">
        <f>_xlfn.IFNA(VLOOKUP(C809,Master!$J:$K,2,0),"")</f>
        <v/>
      </c>
      <c r="D809" s="4" t="str">
        <f>_xlfn.IFNA(VLOOKUP(E809,Master!$J:$K,2,0),"")</f>
        <v/>
      </c>
      <c r="F809" s="4" t="str">
        <f>_xlfn.IFNA(VLOOKUP(G809,Master!B:C,2,0),"")</f>
        <v/>
      </c>
      <c r="I809" s="3" t="str">
        <f>_xlfn.IFNA(VLOOKUP(E809,Master!$J:$M,4,0),"")</f>
        <v/>
      </c>
      <c r="J809" s="3" t="str">
        <f>_xlfn.IFNA(VLOOKUP($E809,Master!$J:$M,3,0),"")</f>
        <v/>
      </c>
      <c r="AC809" s="26">
        <f t="shared" si="26"/>
        <v>0</v>
      </c>
      <c r="AD809" s="26">
        <f t="shared" si="27"/>
        <v>0</v>
      </c>
    </row>
    <row r="810" spans="2:30" ht="15" customHeight="1">
      <c r="B810" s="3" t="str">
        <f>_xlfn.IFNA(VLOOKUP(C810,Master!$J:$K,2,0),"")</f>
        <v/>
      </c>
      <c r="D810" s="4" t="str">
        <f>_xlfn.IFNA(VLOOKUP(E810,Master!$J:$K,2,0),"")</f>
        <v/>
      </c>
      <c r="F810" s="4" t="str">
        <f>_xlfn.IFNA(VLOOKUP(G810,Master!B:C,2,0),"")</f>
        <v/>
      </c>
      <c r="I810" s="3" t="str">
        <f>_xlfn.IFNA(VLOOKUP(E810,Master!$J:$M,4,0),"")</f>
        <v/>
      </c>
      <c r="J810" s="3" t="str">
        <f>_xlfn.IFNA(VLOOKUP($E810,Master!$J:$M,3,0),"")</f>
        <v/>
      </c>
      <c r="AC810" s="26">
        <f t="shared" si="26"/>
        <v>0</v>
      </c>
      <c r="AD810" s="26">
        <f t="shared" si="27"/>
        <v>0</v>
      </c>
    </row>
    <row r="811" spans="2:30" ht="15" customHeight="1">
      <c r="B811" s="3" t="str">
        <f>_xlfn.IFNA(VLOOKUP(C811,Master!$J:$K,2,0),"")</f>
        <v/>
      </c>
      <c r="D811" s="4" t="str">
        <f>_xlfn.IFNA(VLOOKUP(E811,Master!$J:$K,2,0),"")</f>
        <v/>
      </c>
      <c r="F811" s="4" t="str">
        <f>_xlfn.IFNA(VLOOKUP(G811,Master!B:C,2,0),"")</f>
        <v/>
      </c>
      <c r="I811" s="3" t="str">
        <f>_xlfn.IFNA(VLOOKUP(E811,Master!$J:$M,4,0),"")</f>
        <v/>
      </c>
      <c r="J811" s="3" t="str">
        <f>_xlfn.IFNA(VLOOKUP($E811,Master!$J:$M,3,0),"")</f>
        <v/>
      </c>
      <c r="AC811" s="26">
        <f t="shared" si="26"/>
        <v>0</v>
      </c>
      <c r="AD811" s="26">
        <f t="shared" si="27"/>
        <v>0</v>
      </c>
    </row>
    <row r="812" spans="2:30" ht="15" customHeight="1">
      <c r="B812" s="3" t="str">
        <f>_xlfn.IFNA(VLOOKUP(C812,Master!$J:$K,2,0),"")</f>
        <v/>
      </c>
      <c r="D812" s="4" t="str">
        <f>_xlfn.IFNA(VLOOKUP(E812,Master!$J:$K,2,0),"")</f>
        <v/>
      </c>
      <c r="F812" s="4" t="str">
        <f>_xlfn.IFNA(VLOOKUP(G812,Master!B:C,2,0),"")</f>
        <v/>
      </c>
      <c r="I812" s="3" t="str">
        <f>_xlfn.IFNA(VLOOKUP(E812,Master!$J:$M,4,0),"")</f>
        <v/>
      </c>
      <c r="J812" s="3" t="str">
        <f>_xlfn.IFNA(VLOOKUP($E812,Master!$J:$M,3,0),"")</f>
        <v/>
      </c>
      <c r="AC812" s="26">
        <f t="shared" si="26"/>
        <v>0</v>
      </c>
      <c r="AD812" s="26">
        <f t="shared" si="27"/>
        <v>0</v>
      </c>
    </row>
    <row r="813" spans="2:30" ht="15" customHeight="1">
      <c r="B813" s="3" t="str">
        <f>_xlfn.IFNA(VLOOKUP(C813,Master!$J:$K,2,0),"")</f>
        <v/>
      </c>
      <c r="D813" s="4" t="str">
        <f>_xlfn.IFNA(VLOOKUP(E813,Master!$J:$K,2,0),"")</f>
        <v/>
      </c>
      <c r="F813" s="4" t="str">
        <f>_xlfn.IFNA(VLOOKUP(G813,Master!B:C,2,0),"")</f>
        <v/>
      </c>
      <c r="I813" s="3" t="str">
        <f>_xlfn.IFNA(VLOOKUP(E813,Master!$J:$M,4,0),"")</f>
        <v/>
      </c>
      <c r="J813" s="3" t="str">
        <f>_xlfn.IFNA(VLOOKUP($E813,Master!$J:$M,3,0),"")</f>
        <v/>
      </c>
      <c r="AC813" s="26">
        <f t="shared" si="26"/>
        <v>0</v>
      </c>
      <c r="AD813" s="26">
        <f t="shared" si="27"/>
        <v>0</v>
      </c>
    </row>
    <row r="814" spans="2:30" ht="15" customHeight="1">
      <c r="B814" s="3" t="str">
        <f>_xlfn.IFNA(VLOOKUP(C814,Master!$J:$K,2,0),"")</f>
        <v/>
      </c>
      <c r="D814" s="4" t="str">
        <f>_xlfn.IFNA(VLOOKUP(E814,Master!$J:$K,2,0),"")</f>
        <v/>
      </c>
      <c r="F814" s="4" t="str">
        <f>_xlfn.IFNA(VLOOKUP(G814,Master!B:C,2,0),"")</f>
        <v/>
      </c>
      <c r="I814" s="3" t="str">
        <f>_xlfn.IFNA(VLOOKUP(E814,Master!$J:$M,4,0),"")</f>
        <v/>
      </c>
      <c r="J814" s="3" t="str">
        <f>_xlfn.IFNA(VLOOKUP($E814,Master!$J:$M,3,0),"")</f>
        <v/>
      </c>
      <c r="AC814" s="26">
        <f t="shared" si="26"/>
        <v>0</v>
      </c>
      <c r="AD814" s="26">
        <f t="shared" si="27"/>
        <v>0</v>
      </c>
    </row>
    <row r="815" spans="2:30" ht="15" customHeight="1">
      <c r="B815" s="3" t="str">
        <f>_xlfn.IFNA(VLOOKUP(C815,Master!$J:$K,2,0),"")</f>
        <v/>
      </c>
      <c r="D815" s="4" t="str">
        <f>_xlfn.IFNA(VLOOKUP(E815,Master!$J:$K,2,0),"")</f>
        <v/>
      </c>
      <c r="F815" s="4" t="str">
        <f>_xlfn.IFNA(VLOOKUP(G815,Master!B:C,2,0),"")</f>
        <v/>
      </c>
      <c r="I815" s="3" t="str">
        <f>_xlfn.IFNA(VLOOKUP(E815,Master!$J:$M,4,0),"")</f>
        <v/>
      </c>
      <c r="J815" s="3" t="str">
        <f>_xlfn.IFNA(VLOOKUP($E815,Master!$J:$M,3,0),"")</f>
        <v/>
      </c>
      <c r="AC815" s="26">
        <f t="shared" si="26"/>
        <v>0</v>
      </c>
      <c r="AD815" s="26">
        <f t="shared" si="27"/>
        <v>0</v>
      </c>
    </row>
    <row r="816" spans="2:30" ht="15" customHeight="1">
      <c r="B816" s="3" t="str">
        <f>_xlfn.IFNA(VLOOKUP(C816,Master!$J:$K,2,0),"")</f>
        <v/>
      </c>
      <c r="D816" s="4" t="str">
        <f>_xlfn.IFNA(VLOOKUP(E816,Master!$J:$K,2,0),"")</f>
        <v/>
      </c>
      <c r="F816" s="4" t="str">
        <f>_xlfn.IFNA(VLOOKUP(G816,Master!B:C,2,0),"")</f>
        <v/>
      </c>
      <c r="I816" s="3" t="str">
        <f>_xlfn.IFNA(VLOOKUP(E816,Master!$J:$M,4,0),"")</f>
        <v/>
      </c>
      <c r="J816" s="3" t="str">
        <f>_xlfn.IFNA(VLOOKUP($E816,Master!$J:$M,3,0),"")</f>
        <v/>
      </c>
      <c r="AC816" s="26">
        <f t="shared" si="26"/>
        <v>0</v>
      </c>
      <c r="AD816" s="26">
        <f t="shared" si="27"/>
        <v>0</v>
      </c>
    </row>
    <row r="817" spans="2:30" ht="15" customHeight="1">
      <c r="B817" s="3" t="str">
        <f>_xlfn.IFNA(VLOOKUP(C817,Master!$J:$K,2,0),"")</f>
        <v/>
      </c>
      <c r="D817" s="4" t="str">
        <f>_xlfn.IFNA(VLOOKUP(E817,Master!$J:$K,2,0),"")</f>
        <v/>
      </c>
      <c r="F817" s="4" t="str">
        <f>_xlfn.IFNA(VLOOKUP(G817,Master!B:C,2,0),"")</f>
        <v/>
      </c>
      <c r="I817" s="3" t="str">
        <f>_xlfn.IFNA(VLOOKUP(E817,Master!$J:$M,4,0),"")</f>
        <v/>
      </c>
      <c r="J817" s="3" t="str">
        <f>_xlfn.IFNA(VLOOKUP($E817,Master!$J:$M,3,0),"")</f>
        <v/>
      </c>
      <c r="AC817" s="26">
        <f t="shared" si="26"/>
        <v>0</v>
      </c>
      <c r="AD817" s="26">
        <f t="shared" si="27"/>
        <v>0</v>
      </c>
    </row>
    <row r="818" spans="2:30" ht="15" customHeight="1">
      <c r="B818" s="3" t="str">
        <f>_xlfn.IFNA(VLOOKUP(C818,Master!$J:$K,2,0),"")</f>
        <v/>
      </c>
      <c r="D818" s="4" t="str">
        <f>_xlfn.IFNA(VLOOKUP(E818,Master!$J:$K,2,0),"")</f>
        <v/>
      </c>
      <c r="F818" s="4" t="str">
        <f>_xlfn.IFNA(VLOOKUP(G818,Master!B:C,2,0),"")</f>
        <v/>
      </c>
      <c r="I818" s="3" t="str">
        <f>_xlfn.IFNA(VLOOKUP(E818,Master!$J:$M,4,0),"")</f>
        <v/>
      </c>
      <c r="J818" s="3" t="str">
        <f>_xlfn.IFNA(VLOOKUP($E818,Master!$J:$M,3,0),"")</f>
        <v/>
      </c>
      <c r="AC818" s="26">
        <f t="shared" si="26"/>
        <v>0</v>
      </c>
      <c r="AD818" s="26">
        <f t="shared" si="27"/>
        <v>0</v>
      </c>
    </row>
    <row r="819" spans="2:30" ht="15" customHeight="1">
      <c r="B819" s="3" t="str">
        <f>_xlfn.IFNA(VLOOKUP(C819,Master!$J:$K,2,0),"")</f>
        <v/>
      </c>
      <c r="D819" s="4" t="str">
        <f>_xlfn.IFNA(VLOOKUP(E819,Master!$J:$K,2,0),"")</f>
        <v/>
      </c>
      <c r="F819" s="4" t="str">
        <f>_xlfn.IFNA(VLOOKUP(G819,Master!B:C,2,0),"")</f>
        <v/>
      </c>
      <c r="I819" s="3" t="str">
        <f>_xlfn.IFNA(VLOOKUP(E819,Master!$J:$M,4,0),"")</f>
        <v/>
      </c>
      <c r="J819" s="3" t="str">
        <f>_xlfn.IFNA(VLOOKUP($E819,Master!$J:$M,3,0),"")</f>
        <v/>
      </c>
      <c r="AC819" s="26">
        <f t="shared" si="26"/>
        <v>0</v>
      </c>
      <c r="AD819" s="26">
        <f t="shared" si="27"/>
        <v>0</v>
      </c>
    </row>
    <row r="820" spans="2:30" ht="15" customHeight="1">
      <c r="B820" s="3" t="str">
        <f>_xlfn.IFNA(VLOOKUP(C820,Master!$J:$K,2,0),"")</f>
        <v/>
      </c>
      <c r="D820" s="4" t="str">
        <f>_xlfn.IFNA(VLOOKUP(E820,Master!$J:$K,2,0),"")</f>
        <v/>
      </c>
      <c r="F820" s="4" t="str">
        <f>_xlfn.IFNA(VLOOKUP(G820,Master!B:C,2,0),"")</f>
        <v/>
      </c>
      <c r="I820" s="3" t="str">
        <f>_xlfn.IFNA(VLOOKUP(E820,Master!$J:$M,4,0),"")</f>
        <v/>
      </c>
      <c r="J820" s="3" t="str">
        <f>_xlfn.IFNA(VLOOKUP($E820,Master!$J:$M,3,0),"")</f>
        <v/>
      </c>
      <c r="AC820" s="26">
        <f t="shared" si="26"/>
        <v>0</v>
      </c>
      <c r="AD820" s="26">
        <f t="shared" si="27"/>
        <v>0</v>
      </c>
    </row>
    <row r="821" spans="2:30" ht="15" customHeight="1">
      <c r="B821" s="3" t="str">
        <f>_xlfn.IFNA(VLOOKUP(C821,Master!$J:$K,2,0),"")</f>
        <v/>
      </c>
      <c r="D821" s="4" t="str">
        <f>_xlfn.IFNA(VLOOKUP(E821,Master!$J:$K,2,0),"")</f>
        <v/>
      </c>
      <c r="F821" s="4" t="str">
        <f>_xlfn.IFNA(VLOOKUP(G821,Master!B:C,2,0),"")</f>
        <v/>
      </c>
      <c r="I821" s="3" t="str">
        <f>_xlfn.IFNA(VLOOKUP(E821,Master!$J:$M,4,0),"")</f>
        <v/>
      </c>
      <c r="J821" s="3" t="str">
        <f>_xlfn.IFNA(VLOOKUP($E821,Master!$J:$M,3,0),"")</f>
        <v/>
      </c>
      <c r="AC821" s="26">
        <f t="shared" si="26"/>
        <v>0</v>
      </c>
      <c r="AD821" s="26">
        <f t="shared" si="27"/>
        <v>0</v>
      </c>
    </row>
    <row r="822" spans="2:30" ht="15" customHeight="1">
      <c r="B822" s="3" t="str">
        <f>_xlfn.IFNA(VLOOKUP(C822,Master!$J:$K,2,0),"")</f>
        <v/>
      </c>
      <c r="D822" s="4" t="str">
        <f>_xlfn.IFNA(VLOOKUP(E822,Master!$J:$K,2,0),"")</f>
        <v/>
      </c>
      <c r="F822" s="4" t="str">
        <f>_xlfn.IFNA(VLOOKUP(G822,Master!B:C,2,0),"")</f>
        <v/>
      </c>
      <c r="I822" s="3" t="str">
        <f>_xlfn.IFNA(VLOOKUP(E822,Master!$J:$M,4,0),"")</f>
        <v/>
      </c>
      <c r="J822" s="3" t="str">
        <f>_xlfn.IFNA(VLOOKUP($E822,Master!$J:$M,3,0),"")</f>
        <v/>
      </c>
      <c r="AC822" s="26">
        <f t="shared" si="26"/>
        <v>0</v>
      </c>
      <c r="AD822" s="26">
        <f t="shared" si="27"/>
        <v>0</v>
      </c>
    </row>
    <row r="823" spans="2:30" ht="15" customHeight="1">
      <c r="B823" s="3" t="str">
        <f>_xlfn.IFNA(VLOOKUP(C823,Master!$J:$K,2,0),"")</f>
        <v/>
      </c>
      <c r="D823" s="4" t="str">
        <f>_xlfn.IFNA(VLOOKUP(E823,Master!$J:$K,2,0),"")</f>
        <v/>
      </c>
      <c r="F823" s="4" t="str">
        <f>_xlfn.IFNA(VLOOKUP(G823,Master!B:C,2,0),"")</f>
        <v/>
      </c>
      <c r="I823" s="3" t="str">
        <f>_xlfn.IFNA(VLOOKUP(E823,Master!$J:$M,4,0),"")</f>
        <v/>
      </c>
      <c r="J823" s="3" t="str">
        <f>_xlfn.IFNA(VLOOKUP($E823,Master!$J:$M,3,0),"")</f>
        <v/>
      </c>
      <c r="AC823" s="26">
        <f t="shared" si="26"/>
        <v>0</v>
      </c>
      <c r="AD823" s="26">
        <f t="shared" si="27"/>
        <v>0</v>
      </c>
    </row>
    <row r="824" spans="2:30" ht="15" customHeight="1">
      <c r="B824" s="3" t="str">
        <f>_xlfn.IFNA(VLOOKUP(C824,Master!$J:$K,2,0),"")</f>
        <v/>
      </c>
      <c r="D824" s="4" t="str">
        <f>_xlfn.IFNA(VLOOKUP(E824,Master!$J:$K,2,0),"")</f>
        <v/>
      </c>
      <c r="F824" s="4" t="str">
        <f>_xlfn.IFNA(VLOOKUP(G824,Master!B:C,2,0),"")</f>
        <v/>
      </c>
      <c r="I824" s="3" t="str">
        <f>_xlfn.IFNA(VLOOKUP(E824,Master!$J:$M,4,0),"")</f>
        <v/>
      </c>
      <c r="J824" s="3" t="str">
        <f>_xlfn.IFNA(VLOOKUP($E824,Master!$J:$M,3,0),"")</f>
        <v/>
      </c>
      <c r="AC824" s="26">
        <f t="shared" si="26"/>
        <v>0</v>
      </c>
      <c r="AD824" s="26">
        <f t="shared" si="27"/>
        <v>0</v>
      </c>
    </row>
    <row r="825" spans="2:30" ht="15" customHeight="1">
      <c r="B825" s="3" t="str">
        <f>_xlfn.IFNA(VLOOKUP(C825,Master!$J:$K,2,0),"")</f>
        <v/>
      </c>
      <c r="D825" s="4" t="str">
        <f>_xlfn.IFNA(VLOOKUP(E825,Master!$J:$K,2,0),"")</f>
        <v/>
      </c>
      <c r="F825" s="4" t="str">
        <f>_xlfn.IFNA(VLOOKUP(G825,Master!B:C,2,0),"")</f>
        <v/>
      </c>
      <c r="I825" s="3" t="str">
        <f>_xlfn.IFNA(VLOOKUP(E825,Master!$J:$M,4,0),"")</f>
        <v/>
      </c>
      <c r="J825" s="3" t="str">
        <f>_xlfn.IFNA(VLOOKUP($E825,Master!$J:$M,3,0),"")</f>
        <v/>
      </c>
      <c r="AC825" s="26">
        <f t="shared" si="26"/>
        <v>0</v>
      </c>
      <c r="AD825" s="26">
        <f t="shared" si="27"/>
        <v>0</v>
      </c>
    </row>
    <row r="826" spans="2:30" ht="15" customHeight="1">
      <c r="B826" s="3" t="str">
        <f>_xlfn.IFNA(VLOOKUP(C826,Master!$J:$K,2,0),"")</f>
        <v/>
      </c>
      <c r="D826" s="4" t="str">
        <f>_xlfn.IFNA(VLOOKUP(E826,Master!$J:$K,2,0),"")</f>
        <v/>
      </c>
      <c r="F826" s="4" t="str">
        <f>_xlfn.IFNA(VLOOKUP(G826,Master!B:C,2,0),"")</f>
        <v/>
      </c>
      <c r="I826" s="3" t="str">
        <f>_xlfn.IFNA(VLOOKUP(E826,Master!$J:$M,4,0),"")</f>
        <v/>
      </c>
      <c r="J826" s="3" t="str">
        <f>_xlfn.IFNA(VLOOKUP($E826,Master!$J:$M,3,0),"")</f>
        <v/>
      </c>
      <c r="AC826" s="26">
        <f t="shared" si="26"/>
        <v>0</v>
      </c>
      <c r="AD826" s="26">
        <f t="shared" si="27"/>
        <v>0</v>
      </c>
    </row>
    <row r="827" spans="2:30" ht="15" customHeight="1">
      <c r="B827" s="3" t="str">
        <f>_xlfn.IFNA(VLOOKUP(C827,Master!$J:$K,2,0),"")</f>
        <v/>
      </c>
      <c r="D827" s="4" t="str">
        <f>_xlfn.IFNA(VLOOKUP(E827,Master!$J:$K,2,0),"")</f>
        <v/>
      </c>
      <c r="F827" s="4" t="str">
        <f>_xlfn.IFNA(VLOOKUP(G827,Master!B:C,2,0),"")</f>
        <v/>
      </c>
      <c r="I827" s="3" t="str">
        <f>_xlfn.IFNA(VLOOKUP(E827,Master!$J:$M,4,0),"")</f>
        <v/>
      </c>
      <c r="J827" s="3" t="str">
        <f>_xlfn.IFNA(VLOOKUP($E827,Master!$J:$M,3,0),"")</f>
        <v/>
      </c>
      <c r="AC827" s="26">
        <f t="shared" si="26"/>
        <v>0</v>
      </c>
      <c r="AD827" s="26">
        <f t="shared" si="27"/>
        <v>0</v>
      </c>
    </row>
    <row r="828" spans="2:30" ht="15" customHeight="1">
      <c r="B828" s="3" t="str">
        <f>_xlfn.IFNA(VLOOKUP(C828,Master!$J:$K,2,0),"")</f>
        <v/>
      </c>
      <c r="D828" s="4" t="str">
        <f>_xlfn.IFNA(VLOOKUP(E828,Master!$J:$K,2,0),"")</f>
        <v/>
      </c>
      <c r="F828" s="4" t="str">
        <f>_xlfn.IFNA(VLOOKUP(G828,Master!B:C,2,0),"")</f>
        <v/>
      </c>
      <c r="I828" s="3" t="str">
        <f>_xlfn.IFNA(VLOOKUP(E828,Master!$J:$M,4,0),"")</f>
        <v/>
      </c>
      <c r="J828" s="3" t="str">
        <f>_xlfn.IFNA(VLOOKUP($E828,Master!$J:$M,3,0),"")</f>
        <v/>
      </c>
      <c r="AC828" s="26">
        <f t="shared" si="26"/>
        <v>0</v>
      </c>
      <c r="AD828" s="26">
        <f t="shared" si="27"/>
        <v>0</v>
      </c>
    </row>
    <row r="829" spans="2:30" ht="15" customHeight="1">
      <c r="B829" s="3" t="str">
        <f>_xlfn.IFNA(VLOOKUP(C829,Master!$J:$K,2,0),"")</f>
        <v/>
      </c>
      <c r="D829" s="4" t="str">
        <f>_xlfn.IFNA(VLOOKUP(E829,Master!$J:$K,2,0),"")</f>
        <v/>
      </c>
      <c r="F829" s="4" t="str">
        <f>_xlfn.IFNA(VLOOKUP(G829,Master!B:C,2,0),"")</f>
        <v/>
      </c>
      <c r="I829" s="3" t="str">
        <f>_xlfn.IFNA(VLOOKUP(E829,Master!$J:$M,4,0),"")</f>
        <v/>
      </c>
      <c r="J829" s="3" t="str">
        <f>_xlfn.IFNA(VLOOKUP($E829,Master!$J:$M,3,0),"")</f>
        <v/>
      </c>
      <c r="AC829" s="26">
        <f t="shared" si="26"/>
        <v>0</v>
      </c>
      <c r="AD829" s="26">
        <f t="shared" si="27"/>
        <v>0</v>
      </c>
    </row>
    <row r="830" spans="2:30" ht="15" customHeight="1">
      <c r="B830" s="3" t="str">
        <f>_xlfn.IFNA(VLOOKUP(C830,Master!$J:$K,2,0),"")</f>
        <v/>
      </c>
      <c r="D830" s="4" t="str">
        <f>_xlfn.IFNA(VLOOKUP(E830,Master!$J:$K,2,0),"")</f>
        <v/>
      </c>
      <c r="F830" s="4" t="str">
        <f>_xlfn.IFNA(VLOOKUP(G830,Master!B:C,2,0),"")</f>
        <v/>
      </c>
      <c r="I830" s="3" t="str">
        <f>_xlfn.IFNA(VLOOKUP(E830,Master!$J:$M,4,0),"")</f>
        <v/>
      </c>
      <c r="J830" s="3" t="str">
        <f>_xlfn.IFNA(VLOOKUP($E830,Master!$J:$M,3,0),"")</f>
        <v/>
      </c>
      <c r="AC830" s="26">
        <f t="shared" si="26"/>
        <v>0</v>
      </c>
      <c r="AD830" s="26">
        <f t="shared" si="27"/>
        <v>0</v>
      </c>
    </row>
    <row r="831" spans="2:30" ht="15" customHeight="1">
      <c r="B831" s="3" t="str">
        <f>_xlfn.IFNA(VLOOKUP(C831,Master!$J:$K,2,0),"")</f>
        <v/>
      </c>
      <c r="D831" s="4" t="str">
        <f>_xlfn.IFNA(VLOOKUP(E831,Master!$J:$K,2,0),"")</f>
        <v/>
      </c>
      <c r="F831" s="4" t="str">
        <f>_xlfn.IFNA(VLOOKUP(G831,Master!B:C,2,0),"")</f>
        <v/>
      </c>
      <c r="I831" s="3" t="str">
        <f>_xlfn.IFNA(VLOOKUP(E831,Master!$J:$M,4,0),"")</f>
        <v/>
      </c>
      <c r="J831" s="3" t="str">
        <f>_xlfn.IFNA(VLOOKUP($E831,Master!$J:$M,3,0),"")</f>
        <v/>
      </c>
      <c r="AC831" s="26">
        <f t="shared" si="26"/>
        <v>0</v>
      </c>
      <c r="AD831" s="26">
        <f t="shared" si="27"/>
        <v>0</v>
      </c>
    </row>
    <row r="832" spans="2:30" ht="15" customHeight="1">
      <c r="B832" s="3" t="str">
        <f>_xlfn.IFNA(VLOOKUP(C832,Master!$J:$K,2,0),"")</f>
        <v/>
      </c>
      <c r="D832" s="4" t="str">
        <f>_xlfn.IFNA(VLOOKUP(E832,Master!$J:$K,2,0),"")</f>
        <v/>
      </c>
      <c r="F832" s="4" t="str">
        <f>_xlfn.IFNA(VLOOKUP(G832,Master!B:C,2,0),"")</f>
        <v/>
      </c>
      <c r="I832" s="3" t="str">
        <f>_xlfn.IFNA(VLOOKUP(E832,Master!$J:$M,4,0),"")</f>
        <v/>
      </c>
      <c r="J832" s="3" t="str">
        <f>_xlfn.IFNA(VLOOKUP($E832,Master!$J:$M,3,0),"")</f>
        <v/>
      </c>
      <c r="AC832" s="26">
        <f t="shared" si="26"/>
        <v>0</v>
      </c>
      <c r="AD832" s="26">
        <f t="shared" si="27"/>
        <v>0</v>
      </c>
    </row>
    <row r="833" spans="2:30" ht="15" customHeight="1">
      <c r="B833" s="3" t="str">
        <f>_xlfn.IFNA(VLOOKUP(C833,Master!$J:$K,2,0),"")</f>
        <v/>
      </c>
      <c r="D833" s="4" t="str">
        <f>_xlfn.IFNA(VLOOKUP(E833,Master!$J:$K,2,0),"")</f>
        <v/>
      </c>
      <c r="F833" s="4" t="str">
        <f>_xlfn.IFNA(VLOOKUP(G833,Master!B:C,2,0),"")</f>
        <v/>
      </c>
      <c r="I833" s="3" t="str">
        <f>_xlfn.IFNA(VLOOKUP(E833,Master!$J:$M,4,0),"")</f>
        <v/>
      </c>
      <c r="J833" s="3" t="str">
        <f>_xlfn.IFNA(VLOOKUP($E833,Master!$J:$M,3,0),"")</f>
        <v/>
      </c>
      <c r="AC833" s="26">
        <f t="shared" si="26"/>
        <v>0</v>
      </c>
      <c r="AD833" s="26">
        <f t="shared" si="27"/>
        <v>0</v>
      </c>
    </row>
    <row r="834" spans="2:30" ht="15" customHeight="1">
      <c r="B834" s="3" t="str">
        <f>_xlfn.IFNA(VLOOKUP(C834,Master!$J:$K,2,0),"")</f>
        <v/>
      </c>
      <c r="D834" s="4" t="str">
        <f>_xlfn.IFNA(VLOOKUP(E834,Master!$J:$K,2,0),"")</f>
        <v/>
      </c>
      <c r="F834" s="4" t="str">
        <f>_xlfn.IFNA(VLOOKUP(G834,Master!B:C,2,0),"")</f>
        <v/>
      </c>
      <c r="I834" s="3" t="str">
        <f>_xlfn.IFNA(VLOOKUP(E834,Master!$J:$M,4,0),"")</f>
        <v/>
      </c>
      <c r="J834" s="3" t="str">
        <f>_xlfn.IFNA(VLOOKUP($E834,Master!$J:$M,3,0),"")</f>
        <v/>
      </c>
      <c r="AC834" s="26">
        <f t="shared" si="26"/>
        <v>0</v>
      </c>
      <c r="AD834" s="26">
        <f t="shared" si="27"/>
        <v>0</v>
      </c>
    </row>
    <row r="835" spans="2:30" ht="15" customHeight="1">
      <c r="B835" s="3" t="str">
        <f>_xlfn.IFNA(VLOOKUP(C835,Master!$J:$K,2,0),"")</f>
        <v/>
      </c>
      <c r="D835" s="4" t="str">
        <f>_xlfn.IFNA(VLOOKUP(E835,Master!$J:$K,2,0),"")</f>
        <v/>
      </c>
      <c r="F835" s="4" t="str">
        <f>_xlfn.IFNA(VLOOKUP(G835,Master!B:C,2,0),"")</f>
        <v/>
      </c>
      <c r="I835" s="3" t="str">
        <f>_xlfn.IFNA(VLOOKUP(E835,Master!$J:$M,4,0),"")</f>
        <v/>
      </c>
      <c r="J835" s="3" t="str">
        <f>_xlfn.IFNA(VLOOKUP($E835,Master!$J:$M,3,0),"")</f>
        <v/>
      </c>
      <c r="AC835" s="26">
        <f t="shared" si="26"/>
        <v>0</v>
      </c>
      <c r="AD835" s="26">
        <f t="shared" si="27"/>
        <v>0</v>
      </c>
    </row>
    <row r="836" spans="2:30" ht="15" customHeight="1">
      <c r="B836" s="3" t="str">
        <f>_xlfn.IFNA(VLOOKUP(C836,Master!$J:$K,2,0),"")</f>
        <v/>
      </c>
      <c r="D836" s="4" t="str">
        <f>_xlfn.IFNA(VLOOKUP(E836,Master!$J:$K,2,0),"")</f>
        <v/>
      </c>
      <c r="F836" s="4" t="str">
        <f>_xlfn.IFNA(VLOOKUP(G836,Master!B:C,2,0),"")</f>
        <v/>
      </c>
      <c r="I836" s="3" t="str">
        <f>_xlfn.IFNA(VLOOKUP(E836,Master!$J:$M,4,0),"")</f>
        <v/>
      </c>
      <c r="J836" s="3" t="str">
        <f>_xlfn.IFNA(VLOOKUP($E836,Master!$J:$M,3,0),"")</f>
        <v/>
      </c>
      <c r="AC836" s="26">
        <f t="shared" si="26"/>
        <v>0</v>
      </c>
      <c r="AD836" s="26">
        <f t="shared" si="27"/>
        <v>0</v>
      </c>
    </row>
    <row r="837" spans="2:30" ht="15" customHeight="1">
      <c r="B837" s="3" t="str">
        <f>_xlfn.IFNA(VLOOKUP(C837,Master!$J:$K,2,0),"")</f>
        <v/>
      </c>
      <c r="D837" s="4" t="str">
        <f>_xlfn.IFNA(VLOOKUP(E837,Master!$J:$K,2,0),"")</f>
        <v/>
      </c>
      <c r="F837" s="4" t="str">
        <f>_xlfn.IFNA(VLOOKUP(G837,Master!B:C,2,0),"")</f>
        <v/>
      </c>
      <c r="I837" s="3" t="str">
        <f>_xlfn.IFNA(VLOOKUP(E837,Master!$J:$M,4,0),"")</f>
        <v/>
      </c>
      <c r="J837" s="3" t="str">
        <f>_xlfn.IFNA(VLOOKUP($E837,Master!$J:$M,3,0),"")</f>
        <v/>
      </c>
      <c r="AC837" s="26">
        <f t="shared" si="26"/>
        <v>0</v>
      </c>
      <c r="AD837" s="26">
        <f t="shared" si="27"/>
        <v>0</v>
      </c>
    </row>
    <row r="838" spans="2:30" ht="15" customHeight="1">
      <c r="B838" s="3" t="str">
        <f>_xlfn.IFNA(VLOOKUP(C838,Master!$J:$K,2,0),"")</f>
        <v/>
      </c>
      <c r="D838" s="4" t="str">
        <f>_xlfn.IFNA(VLOOKUP(E838,Master!$J:$K,2,0),"")</f>
        <v/>
      </c>
      <c r="F838" s="4" t="str">
        <f>_xlfn.IFNA(VLOOKUP(G838,Master!B:C,2,0),"")</f>
        <v/>
      </c>
      <c r="I838" s="3" t="str">
        <f>_xlfn.IFNA(VLOOKUP(E838,Master!$J:$M,4,0),"")</f>
        <v/>
      </c>
      <c r="J838" s="3" t="str">
        <f>_xlfn.IFNA(VLOOKUP($E838,Master!$J:$M,3,0),"")</f>
        <v/>
      </c>
      <c r="AC838" s="26">
        <f t="shared" si="26"/>
        <v>0</v>
      </c>
      <c r="AD838" s="26">
        <f t="shared" si="27"/>
        <v>0</v>
      </c>
    </row>
    <row r="839" spans="2:30" ht="15" customHeight="1">
      <c r="B839" s="3" t="str">
        <f>_xlfn.IFNA(VLOOKUP(C839,Master!$J:$K,2,0),"")</f>
        <v/>
      </c>
      <c r="D839" s="4" t="str">
        <f>_xlfn.IFNA(VLOOKUP(E839,Master!$J:$K,2,0),"")</f>
        <v/>
      </c>
      <c r="F839" s="4" t="str">
        <f>_xlfn.IFNA(VLOOKUP(G839,Master!B:C,2,0),"")</f>
        <v/>
      </c>
      <c r="I839" s="3" t="str">
        <f>_xlfn.IFNA(VLOOKUP(E839,Master!$J:$M,4,0),"")</f>
        <v/>
      </c>
      <c r="J839" s="3" t="str">
        <f>_xlfn.IFNA(VLOOKUP($E839,Master!$J:$M,3,0),"")</f>
        <v/>
      </c>
      <c r="AC839" s="26">
        <f t="shared" si="26"/>
        <v>0</v>
      </c>
      <c r="AD839" s="26">
        <f t="shared" si="27"/>
        <v>0</v>
      </c>
    </row>
    <row r="840" spans="2:30" ht="15" customHeight="1">
      <c r="B840" s="3" t="str">
        <f>_xlfn.IFNA(VLOOKUP(C840,Master!$J:$K,2,0),"")</f>
        <v/>
      </c>
      <c r="D840" s="4" t="str">
        <f>_xlfn.IFNA(VLOOKUP(E840,Master!$J:$K,2,0),"")</f>
        <v/>
      </c>
      <c r="F840" s="4" t="str">
        <f>_xlfn.IFNA(VLOOKUP(G840,Master!B:C,2,0),"")</f>
        <v/>
      </c>
      <c r="I840" s="3" t="str">
        <f>_xlfn.IFNA(VLOOKUP(E840,Master!$J:$M,4,0),"")</f>
        <v/>
      </c>
      <c r="J840" s="3" t="str">
        <f>_xlfn.IFNA(VLOOKUP($E840,Master!$J:$M,3,0),"")</f>
        <v/>
      </c>
      <c r="AC840" s="26">
        <f t="shared" si="26"/>
        <v>0</v>
      </c>
      <c r="AD840" s="26">
        <f t="shared" si="27"/>
        <v>0</v>
      </c>
    </row>
    <row r="841" spans="2:30" ht="15" customHeight="1">
      <c r="B841" s="3" t="str">
        <f>_xlfn.IFNA(VLOOKUP(C841,Master!$J:$K,2,0),"")</f>
        <v/>
      </c>
      <c r="D841" s="4" t="str">
        <f>_xlfn.IFNA(VLOOKUP(E841,Master!$J:$K,2,0),"")</f>
        <v/>
      </c>
      <c r="F841" s="4" t="str">
        <f>_xlfn.IFNA(VLOOKUP(G841,Master!B:C,2,0),"")</f>
        <v/>
      </c>
      <c r="I841" s="3" t="str">
        <f>_xlfn.IFNA(VLOOKUP(E841,Master!$J:$M,4,0),"")</f>
        <v/>
      </c>
      <c r="J841" s="3" t="str">
        <f>_xlfn.IFNA(VLOOKUP($E841,Master!$J:$M,3,0),"")</f>
        <v/>
      </c>
      <c r="AC841" s="26">
        <f t="shared" si="26"/>
        <v>0</v>
      </c>
      <c r="AD841" s="26">
        <f t="shared" si="27"/>
        <v>0</v>
      </c>
    </row>
    <row r="842" spans="2:30" ht="15" customHeight="1">
      <c r="B842" s="3" t="str">
        <f>_xlfn.IFNA(VLOOKUP(C842,Master!$J:$K,2,0),"")</f>
        <v/>
      </c>
      <c r="D842" s="4" t="str">
        <f>_xlfn.IFNA(VLOOKUP(E842,Master!$J:$K,2,0),"")</f>
        <v/>
      </c>
      <c r="F842" s="4" t="str">
        <f>_xlfn.IFNA(VLOOKUP(G842,Master!B:C,2,0),"")</f>
        <v/>
      </c>
      <c r="I842" s="3" t="str">
        <f>_xlfn.IFNA(VLOOKUP(E842,Master!$J:$M,4,0),"")</f>
        <v/>
      </c>
      <c r="J842" s="3" t="str">
        <f>_xlfn.IFNA(VLOOKUP($E842,Master!$J:$M,3,0),"")</f>
        <v/>
      </c>
      <c r="AC842" s="26">
        <f t="shared" si="26"/>
        <v>0</v>
      </c>
      <c r="AD842" s="26">
        <f t="shared" si="27"/>
        <v>0</v>
      </c>
    </row>
    <row r="843" spans="2:30" ht="15" customHeight="1">
      <c r="B843" s="3" t="str">
        <f>_xlfn.IFNA(VLOOKUP(C843,Master!$J:$K,2,0),"")</f>
        <v/>
      </c>
      <c r="D843" s="4" t="str">
        <f>_xlfn.IFNA(VLOOKUP(E843,Master!$J:$K,2,0),"")</f>
        <v/>
      </c>
      <c r="F843" s="4" t="str">
        <f>_xlfn.IFNA(VLOOKUP(G843,Master!B:C,2,0),"")</f>
        <v/>
      </c>
      <c r="I843" s="3" t="str">
        <f>_xlfn.IFNA(VLOOKUP(E843,Master!$J:$M,4,0),"")</f>
        <v/>
      </c>
      <c r="J843" s="3" t="str">
        <f>_xlfn.IFNA(VLOOKUP($E843,Master!$J:$M,3,0),"")</f>
        <v/>
      </c>
      <c r="AC843" s="26">
        <f t="shared" si="26"/>
        <v>0</v>
      </c>
      <c r="AD843" s="26">
        <f t="shared" si="27"/>
        <v>0</v>
      </c>
    </row>
    <row r="844" spans="2:30" ht="15" customHeight="1">
      <c r="B844" s="3" t="str">
        <f>_xlfn.IFNA(VLOOKUP(C844,Master!$J:$K,2,0),"")</f>
        <v/>
      </c>
      <c r="D844" s="4" t="str">
        <f>_xlfn.IFNA(VLOOKUP(E844,Master!$J:$K,2,0),"")</f>
        <v/>
      </c>
      <c r="F844" s="4" t="str">
        <f>_xlfn.IFNA(VLOOKUP(G844,Master!B:C,2,0),"")</f>
        <v/>
      </c>
      <c r="I844" s="3" t="str">
        <f>_xlfn.IFNA(VLOOKUP(E844,Master!$J:$M,4,0),"")</f>
        <v/>
      </c>
      <c r="J844" s="3" t="str">
        <f>_xlfn.IFNA(VLOOKUP($E844,Master!$J:$M,3,0),"")</f>
        <v/>
      </c>
      <c r="AC844" s="26">
        <f t="shared" si="26"/>
        <v>0</v>
      </c>
      <c r="AD844" s="26">
        <f t="shared" si="27"/>
        <v>0</v>
      </c>
    </row>
    <row r="845" spans="2:30" ht="15" customHeight="1">
      <c r="B845" s="3" t="str">
        <f>_xlfn.IFNA(VLOOKUP(C845,Master!$J:$K,2,0),"")</f>
        <v/>
      </c>
      <c r="D845" s="4" t="str">
        <f>_xlfn.IFNA(VLOOKUP(E845,Master!$J:$K,2,0),"")</f>
        <v/>
      </c>
      <c r="F845" s="4" t="str">
        <f>_xlfn.IFNA(VLOOKUP(G845,Master!B:C,2,0),"")</f>
        <v/>
      </c>
      <c r="I845" s="3" t="str">
        <f>_xlfn.IFNA(VLOOKUP(E845,Master!$J:$M,4,0),"")</f>
        <v/>
      </c>
      <c r="J845" s="3" t="str">
        <f>_xlfn.IFNA(VLOOKUP($E845,Master!$J:$M,3,0),"")</f>
        <v/>
      </c>
      <c r="AC845" s="26">
        <f t="shared" ref="AC845:AC908" si="28">SUM(K845:P845)</f>
        <v>0</v>
      </c>
      <c r="AD845" s="26">
        <f t="shared" ref="AD845:AD908" si="29">SUM(Q845:AB845)</f>
        <v>0</v>
      </c>
    </row>
    <row r="846" spans="2:30" ht="15" customHeight="1">
      <c r="B846" s="3" t="str">
        <f>_xlfn.IFNA(VLOOKUP(C846,Master!$J:$K,2,0),"")</f>
        <v/>
      </c>
      <c r="D846" s="4" t="str">
        <f>_xlfn.IFNA(VLOOKUP(E846,Master!$J:$K,2,0),"")</f>
        <v/>
      </c>
      <c r="F846" s="4" t="str">
        <f>_xlfn.IFNA(VLOOKUP(G846,Master!B:C,2,0),"")</f>
        <v/>
      </c>
      <c r="I846" s="3" t="str">
        <f>_xlfn.IFNA(VLOOKUP(E846,Master!$J:$M,4,0),"")</f>
        <v/>
      </c>
      <c r="J846" s="3" t="str">
        <f>_xlfn.IFNA(VLOOKUP($E846,Master!$J:$M,3,0),"")</f>
        <v/>
      </c>
      <c r="AC846" s="26">
        <f t="shared" si="28"/>
        <v>0</v>
      </c>
      <c r="AD846" s="26">
        <f t="shared" si="29"/>
        <v>0</v>
      </c>
    </row>
    <row r="847" spans="2:30" ht="15" customHeight="1">
      <c r="B847" s="3" t="str">
        <f>_xlfn.IFNA(VLOOKUP(C847,Master!$J:$K,2,0),"")</f>
        <v/>
      </c>
      <c r="D847" s="4" t="str">
        <f>_xlfn.IFNA(VLOOKUP(E847,Master!$J:$K,2,0),"")</f>
        <v/>
      </c>
      <c r="F847" s="4" t="str">
        <f>_xlfn.IFNA(VLOOKUP(G847,Master!B:C,2,0),"")</f>
        <v/>
      </c>
      <c r="I847" s="3" t="str">
        <f>_xlfn.IFNA(VLOOKUP(E847,Master!$J:$M,4,0),"")</f>
        <v/>
      </c>
      <c r="J847" s="3" t="str">
        <f>_xlfn.IFNA(VLOOKUP($E847,Master!$J:$M,3,0),"")</f>
        <v/>
      </c>
      <c r="AC847" s="26">
        <f t="shared" si="28"/>
        <v>0</v>
      </c>
      <c r="AD847" s="26">
        <f t="shared" si="29"/>
        <v>0</v>
      </c>
    </row>
    <row r="848" spans="2:30" ht="15" customHeight="1">
      <c r="B848" s="3" t="str">
        <f>_xlfn.IFNA(VLOOKUP(C848,Master!$J:$K,2,0),"")</f>
        <v/>
      </c>
      <c r="D848" s="4" t="str">
        <f>_xlfn.IFNA(VLOOKUP(E848,Master!$J:$K,2,0),"")</f>
        <v/>
      </c>
      <c r="F848" s="4" t="str">
        <f>_xlfn.IFNA(VLOOKUP(G848,Master!B:C,2,0),"")</f>
        <v/>
      </c>
      <c r="I848" s="3" t="str">
        <f>_xlfn.IFNA(VLOOKUP(E848,Master!$J:$M,4,0),"")</f>
        <v/>
      </c>
      <c r="J848" s="3" t="str">
        <f>_xlfn.IFNA(VLOOKUP($E848,Master!$J:$M,3,0),"")</f>
        <v/>
      </c>
      <c r="AC848" s="26">
        <f t="shared" si="28"/>
        <v>0</v>
      </c>
      <c r="AD848" s="26">
        <f t="shared" si="29"/>
        <v>0</v>
      </c>
    </row>
    <row r="849" spans="2:30" ht="15" customHeight="1">
      <c r="B849" s="3" t="str">
        <f>_xlfn.IFNA(VLOOKUP(C849,Master!$J:$K,2,0),"")</f>
        <v/>
      </c>
      <c r="D849" s="4" t="str">
        <f>_xlfn.IFNA(VLOOKUP(E849,Master!$J:$K,2,0),"")</f>
        <v/>
      </c>
      <c r="F849" s="4" t="str">
        <f>_xlfn.IFNA(VLOOKUP(G849,Master!B:C,2,0),"")</f>
        <v/>
      </c>
      <c r="I849" s="3" t="str">
        <f>_xlfn.IFNA(VLOOKUP(E849,Master!$J:$M,4,0),"")</f>
        <v/>
      </c>
      <c r="J849" s="3" t="str">
        <f>_xlfn.IFNA(VLOOKUP($E849,Master!$J:$M,3,0),"")</f>
        <v/>
      </c>
      <c r="AC849" s="26">
        <f t="shared" si="28"/>
        <v>0</v>
      </c>
      <c r="AD849" s="26">
        <f t="shared" si="29"/>
        <v>0</v>
      </c>
    </row>
    <row r="850" spans="2:30" ht="15" customHeight="1">
      <c r="B850" s="3" t="str">
        <f>_xlfn.IFNA(VLOOKUP(C850,Master!$J:$K,2,0),"")</f>
        <v/>
      </c>
      <c r="D850" s="4" t="str">
        <f>_xlfn.IFNA(VLOOKUP(E850,Master!$J:$K,2,0),"")</f>
        <v/>
      </c>
      <c r="F850" s="4" t="str">
        <f>_xlfn.IFNA(VLOOKUP(G850,Master!B:C,2,0),"")</f>
        <v/>
      </c>
      <c r="I850" s="3" t="str">
        <f>_xlfn.IFNA(VLOOKUP(E850,Master!$J:$M,4,0),"")</f>
        <v/>
      </c>
      <c r="J850" s="3" t="str">
        <f>_xlfn.IFNA(VLOOKUP($E850,Master!$J:$M,3,0),"")</f>
        <v/>
      </c>
      <c r="AC850" s="26">
        <f t="shared" si="28"/>
        <v>0</v>
      </c>
      <c r="AD850" s="26">
        <f t="shared" si="29"/>
        <v>0</v>
      </c>
    </row>
    <row r="851" spans="2:30" ht="15" customHeight="1">
      <c r="B851" s="3" t="str">
        <f>_xlfn.IFNA(VLOOKUP(C851,Master!$J:$K,2,0),"")</f>
        <v/>
      </c>
      <c r="D851" s="4" t="str">
        <f>_xlfn.IFNA(VLOOKUP(E851,Master!$J:$K,2,0),"")</f>
        <v/>
      </c>
      <c r="F851" s="4" t="str">
        <f>_xlfn.IFNA(VLOOKUP(G851,Master!B:C,2,0),"")</f>
        <v/>
      </c>
      <c r="I851" s="3" t="str">
        <f>_xlfn.IFNA(VLOOKUP(E851,Master!$J:$M,4,0),"")</f>
        <v/>
      </c>
      <c r="J851" s="3" t="str">
        <f>_xlfn.IFNA(VLOOKUP($E851,Master!$J:$M,3,0),"")</f>
        <v/>
      </c>
      <c r="AC851" s="26">
        <f t="shared" si="28"/>
        <v>0</v>
      </c>
      <c r="AD851" s="26">
        <f t="shared" si="29"/>
        <v>0</v>
      </c>
    </row>
    <row r="852" spans="2:30" ht="15" customHeight="1">
      <c r="B852" s="3" t="str">
        <f>_xlfn.IFNA(VLOOKUP(C852,Master!$J:$K,2,0),"")</f>
        <v/>
      </c>
      <c r="D852" s="4" t="str">
        <f>_xlfn.IFNA(VLOOKUP(E852,Master!$J:$K,2,0),"")</f>
        <v/>
      </c>
      <c r="F852" s="4" t="str">
        <f>_xlfn.IFNA(VLOOKUP(G852,Master!B:C,2,0),"")</f>
        <v/>
      </c>
      <c r="I852" s="3" t="str">
        <f>_xlfn.IFNA(VLOOKUP(E852,Master!$J:$M,4,0),"")</f>
        <v/>
      </c>
      <c r="J852" s="3" t="str">
        <f>_xlfn.IFNA(VLOOKUP($E852,Master!$J:$M,3,0),"")</f>
        <v/>
      </c>
      <c r="AC852" s="26">
        <f t="shared" si="28"/>
        <v>0</v>
      </c>
      <c r="AD852" s="26">
        <f t="shared" si="29"/>
        <v>0</v>
      </c>
    </row>
    <row r="853" spans="2:30" ht="15" customHeight="1">
      <c r="B853" s="3" t="str">
        <f>_xlfn.IFNA(VLOOKUP(C853,Master!$J:$K,2,0),"")</f>
        <v/>
      </c>
      <c r="D853" s="4" t="str">
        <f>_xlfn.IFNA(VLOOKUP(E853,Master!$J:$K,2,0),"")</f>
        <v/>
      </c>
      <c r="F853" s="4" t="str">
        <f>_xlfn.IFNA(VLOOKUP(G853,Master!B:C,2,0),"")</f>
        <v/>
      </c>
      <c r="I853" s="3" t="str">
        <f>_xlfn.IFNA(VLOOKUP(E853,Master!$J:$M,4,0),"")</f>
        <v/>
      </c>
      <c r="J853" s="3" t="str">
        <f>_xlfn.IFNA(VLOOKUP($E853,Master!$J:$M,3,0),"")</f>
        <v/>
      </c>
      <c r="AC853" s="26">
        <f t="shared" si="28"/>
        <v>0</v>
      </c>
      <c r="AD853" s="26">
        <f t="shared" si="29"/>
        <v>0</v>
      </c>
    </row>
    <row r="854" spans="2:30" ht="15" customHeight="1">
      <c r="B854" s="3" t="str">
        <f>_xlfn.IFNA(VLOOKUP(C854,Master!$J:$K,2,0),"")</f>
        <v/>
      </c>
      <c r="D854" s="4" t="str">
        <f>_xlfn.IFNA(VLOOKUP(E854,Master!$J:$K,2,0),"")</f>
        <v/>
      </c>
      <c r="F854" s="4" t="str">
        <f>_xlfn.IFNA(VLOOKUP(G854,Master!B:C,2,0),"")</f>
        <v/>
      </c>
      <c r="I854" s="3" t="str">
        <f>_xlfn.IFNA(VLOOKUP(E854,Master!$J:$M,4,0),"")</f>
        <v/>
      </c>
      <c r="J854" s="3" t="str">
        <f>_xlfn.IFNA(VLOOKUP($E854,Master!$J:$M,3,0),"")</f>
        <v/>
      </c>
      <c r="AC854" s="26">
        <f t="shared" si="28"/>
        <v>0</v>
      </c>
      <c r="AD854" s="26">
        <f t="shared" si="29"/>
        <v>0</v>
      </c>
    </row>
    <row r="855" spans="2:30" ht="15" customHeight="1">
      <c r="B855" s="3" t="str">
        <f>_xlfn.IFNA(VLOOKUP(C855,Master!$J:$K,2,0),"")</f>
        <v/>
      </c>
      <c r="D855" s="4" t="str">
        <f>_xlfn.IFNA(VLOOKUP(E855,Master!$J:$K,2,0),"")</f>
        <v/>
      </c>
      <c r="F855" s="4" t="str">
        <f>_xlfn.IFNA(VLOOKUP(G855,Master!B:C,2,0),"")</f>
        <v/>
      </c>
      <c r="I855" s="3" t="str">
        <f>_xlfn.IFNA(VLOOKUP(E855,Master!$J:$M,4,0),"")</f>
        <v/>
      </c>
      <c r="J855" s="3" t="str">
        <f>_xlfn.IFNA(VLOOKUP($E855,Master!$J:$M,3,0),"")</f>
        <v/>
      </c>
      <c r="AC855" s="26">
        <f t="shared" si="28"/>
        <v>0</v>
      </c>
      <c r="AD855" s="26">
        <f t="shared" si="29"/>
        <v>0</v>
      </c>
    </row>
    <row r="856" spans="2:30" ht="15" customHeight="1">
      <c r="B856" s="3" t="str">
        <f>_xlfn.IFNA(VLOOKUP(C856,Master!$J:$K,2,0),"")</f>
        <v/>
      </c>
      <c r="D856" s="4" t="str">
        <f>_xlfn.IFNA(VLOOKUP(E856,Master!$J:$K,2,0),"")</f>
        <v/>
      </c>
      <c r="F856" s="4" t="str">
        <f>_xlfn.IFNA(VLOOKUP(G856,Master!B:C,2,0),"")</f>
        <v/>
      </c>
      <c r="I856" s="3" t="str">
        <f>_xlfn.IFNA(VLOOKUP(E856,Master!$J:$M,4,0),"")</f>
        <v/>
      </c>
      <c r="J856" s="3" t="str">
        <f>_xlfn.IFNA(VLOOKUP($E856,Master!$J:$M,3,0),"")</f>
        <v/>
      </c>
      <c r="AC856" s="26">
        <f t="shared" si="28"/>
        <v>0</v>
      </c>
      <c r="AD856" s="26">
        <f t="shared" si="29"/>
        <v>0</v>
      </c>
    </row>
    <row r="857" spans="2:30" ht="15" customHeight="1">
      <c r="B857" s="3" t="str">
        <f>_xlfn.IFNA(VLOOKUP(C857,Master!$J:$K,2,0),"")</f>
        <v/>
      </c>
      <c r="D857" s="4" t="str">
        <f>_xlfn.IFNA(VLOOKUP(E857,Master!$J:$K,2,0),"")</f>
        <v/>
      </c>
      <c r="F857" s="4" t="str">
        <f>_xlfn.IFNA(VLOOKUP(G857,Master!B:C,2,0),"")</f>
        <v/>
      </c>
      <c r="I857" s="3" t="str">
        <f>_xlfn.IFNA(VLOOKUP(E857,Master!$J:$M,4,0),"")</f>
        <v/>
      </c>
      <c r="J857" s="3" t="str">
        <f>_xlfn.IFNA(VLOOKUP($E857,Master!$J:$M,3,0),"")</f>
        <v/>
      </c>
      <c r="AC857" s="26">
        <f t="shared" si="28"/>
        <v>0</v>
      </c>
      <c r="AD857" s="26">
        <f t="shared" si="29"/>
        <v>0</v>
      </c>
    </row>
    <row r="858" spans="2:30" ht="15" customHeight="1">
      <c r="B858" s="3" t="str">
        <f>_xlfn.IFNA(VLOOKUP(C858,Master!$J:$K,2,0),"")</f>
        <v/>
      </c>
      <c r="D858" s="4" t="str">
        <f>_xlfn.IFNA(VLOOKUP(E858,Master!$J:$K,2,0),"")</f>
        <v/>
      </c>
      <c r="F858" s="4" t="str">
        <f>_xlfn.IFNA(VLOOKUP(G858,Master!B:C,2,0),"")</f>
        <v/>
      </c>
      <c r="I858" s="3" t="str">
        <f>_xlfn.IFNA(VLOOKUP(E858,Master!$J:$M,4,0),"")</f>
        <v/>
      </c>
      <c r="J858" s="3" t="str">
        <f>_xlfn.IFNA(VLOOKUP($E858,Master!$J:$M,3,0),"")</f>
        <v/>
      </c>
      <c r="AC858" s="26">
        <f t="shared" si="28"/>
        <v>0</v>
      </c>
      <c r="AD858" s="26">
        <f t="shared" si="29"/>
        <v>0</v>
      </c>
    </row>
    <row r="859" spans="2:30" ht="15" customHeight="1">
      <c r="B859" s="3" t="str">
        <f>_xlfn.IFNA(VLOOKUP(C859,Master!$J:$K,2,0),"")</f>
        <v/>
      </c>
      <c r="D859" s="4" t="str">
        <f>_xlfn.IFNA(VLOOKUP(E859,Master!$J:$K,2,0),"")</f>
        <v/>
      </c>
      <c r="F859" s="4" t="str">
        <f>_xlfn.IFNA(VLOOKUP(G859,Master!B:C,2,0),"")</f>
        <v/>
      </c>
      <c r="I859" s="3" t="str">
        <f>_xlfn.IFNA(VLOOKUP(E859,Master!$J:$M,4,0),"")</f>
        <v/>
      </c>
      <c r="J859" s="3" t="str">
        <f>_xlfn.IFNA(VLOOKUP($E859,Master!$J:$M,3,0),"")</f>
        <v/>
      </c>
      <c r="AC859" s="26">
        <f t="shared" si="28"/>
        <v>0</v>
      </c>
      <c r="AD859" s="26">
        <f t="shared" si="29"/>
        <v>0</v>
      </c>
    </row>
    <row r="860" spans="2:30" ht="15" customHeight="1">
      <c r="B860" s="3" t="str">
        <f>_xlfn.IFNA(VLOOKUP(C860,Master!$J:$K,2,0),"")</f>
        <v/>
      </c>
      <c r="D860" s="4" t="str">
        <f>_xlfn.IFNA(VLOOKUP(E860,Master!$J:$K,2,0),"")</f>
        <v/>
      </c>
      <c r="F860" s="4" t="str">
        <f>_xlfn.IFNA(VLOOKUP(G860,Master!B:C,2,0),"")</f>
        <v/>
      </c>
      <c r="I860" s="3" t="str">
        <f>_xlfn.IFNA(VLOOKUP(E860,Master!$J:$M,4,0),"")</f>
        <v/>
      </c>
      <c r="J860" s="3" t="str">
        <f>_xlfn.IFNA(VLOOKUP($E860,Master!$J:$M,3,0),"")</f>
        <v/>
      </c>
      <c r="AC860" s="26">
        <f t="shared" si="28"/>
        <v>0</v>
      </c>
      <c r="AD860" s="26">
        <f t="shared" si="29"/>
        <v>0</v>
      </c>
    </row>
    <row r="861" spans="2:30" ht="15" customHeight="1">
      <c r="B861" s="3" t="str">
        <f>_xlfn.IFNA(VLOOKUP(C861,Master!$J:$K,2,0),"")</f>
        <v/>
      </c>
      <c r="D861" s="4" t="str">
        <f>_xlfn.IFNA(VLOOKUP(E861,Master!$J:$K,2,0),"")</f>
        <v/>
      </c>
      <c r="F861" s="4" t="str">
        <f>_xlfn.IFNA(VLOOKUP(G861,Master!B:C,2,0),"")</f>
        <v/>
      </c>
      <c r="I861" s="3" t="str">
        <f>_xlfn.IFNA(VLOOKUP(E861,Master!$J:$M,4,0),"")</f>
        <v/>
      </c>
      <c r="J861" s="3" t="str">
        <f>_xlfn.IFNA(VLOOKUP($E861,Master!$J:$M,3,0),"")</f>
        <v/>
      </c>
      <c r="AC861" s="26">
        <f t="shared" si="28"/>
        <v>0</v>
      </c>
      <c r="AD861" s="26">
        <f t="shared" si="29"/>
        <v>0</v>
      </c>
    </row>
    <row r="862" spans="2:30" ht="15" customHeight="1">
      <c r="B862" s="3" t="str">
        <f>_xlfn.IFNA(VLOOKUP(C862,Master!$J:$K,2,0),"")</f>
        <v/>
      </c>
      <c r="D862" s="4" t="str">
        <f>_xlfn.IFNA(VLOOKUP(E862,Master!$J:$K,2,0),"")</f>
        <v/>
      </c>
      <c r="F862" s="4" t="str">
        <f>_xlfn.IFNA(VLOOKUP(G862,Master!B:C,2,0),"")</f>
        <v/>
      </c>
      <c r="I862" s="3" t="str">
        <f>_xlfn.IFNA(VLOOKUP(E862,Master!$J:$M,4,0),"")</f>
        <v/>
      </c>
      <c r="J862" s="3" t="str">
        <f>_xlfn.IFNA(VLOOKUP($E862,Master!$J:$M,3,0),"")</f>
        <v/>
      </c>
      <c r="AC862" s="26">
        <f t="shared" si="28"/>
        <v>0</v>
      </c>
      <c r="AD862" s="26">
        <f t="shared" si="29"/>
        <v>0</v>
      </c>
    </row>
    <row r="863" spans="2:30" ht="15" customHeight="1">
      <c r="B863" s="3" t="str">
        <f>_xlfn.IFNA(VLOOKUP(C863,Master!$J:$K,2,0),"")</f>
        <v/>
      </c>
      <c r="D863" s="4" t="str">
        <f>_xlfn.IFNA(VLOOKUP(E863,Master!$J:$K,2,0),"")</f>
        <v/>
      </c>
      <c r="F863" s="4" t="str">
        <f>_xlfn.IFNA(VLOOKUP(G863,Master!B:C,2,0),"")</f>
        <v/>
      </c>
      <c r="I863" s="3" t="str">
        <f>_xlfn.IFNA(VLOOKUP(E863,Master!$J:$M,4,0),"")</f>
        <v/>
      </c>
      <c r="J863" s="3" t="str">
        <f>_xlfn.IFNA(VLOOKUP($E863,Master!$J:$M,3,0),"")</f>
        <v/>
      </c>
      <c r="AC863" s="26">
        <f t="shared" si="28"/>
        <v>0</v>
      </c>
      <c r="AD863" s="26">
        <f t="shared" si="29"/>
        <v>0</v>
      </c>
    </row>
    <row r="864" spans="2:30" ht="15" customHeight="1">
      <c r="B864" s="3" t="str">
        <f>_xlfn.IFNA(VLOOKUP(C864,Master!$J:$K,2,0),"")</f>
        <v/>
      </c>
      <c r="D864" s="4" t="str">
        <f>_xlfn.IFNA(VLOOKUP(E864,Master!$J:$K,2,0),"")</f>
        <v/>
      </c>
      <c r="F864" s="4" t="str">
        <f>_xlfn.IFNA(VLOOKUP(G864,Master!B:C,2,0),"")</f>
        <v/>
      </c>
      <c r="I864" s="3" t="str">
        <f>_xlfn.IFNA(VLOOKUP(E864,Master!$J:$M,4,0),"")</f>
        <v/>
      </c>
      <c r="J864" s="3" t="str">
        <f>_xlfn.IFNA(VLOOKUP($E864,Master!$J:$M,3,0),"")</f>
        <v/>
      </c>
      <c r="AC864" s="26">
        <f t="shared" si="28"/>
        <v>0</v>
      </c>
      <c r="AD864" s="26">
        <f t="shared" si="29"/>
        <v>0</v>
      </c>
    </row>
    <row r="865" spans="2:30" ht="15" customHeight="1">
      <c r="B865" s="3" t="str">
        <f>_xlfn.IFNA(VLOOKUP(C865,Master!$J:$K,2,0),"")</f>
        <v/>
      </c>
      <c r="D865" s="4" t="str">
        <f>_xlfn.IFNA(VLOOKUP(E865,Master!$J:$K,2,0),"")</f>
        <v/>
      </c>
      <c r="F865" s="4" t="str">
        <f>_xlfn.IFNA(VLOOKUP(G865,Master!B:C,2,0),"")</f>
        <v/>
      </c>
      <c r="I865" s="3" t="str">
        <f>_xlfn.IFNA(VLOOKUP(E865,Master!$J:$M,4,0),"")</f>
        <v/>
      </c>
      <c r="J865" s="3" t="str">
        <f>_xlfn.IFNA(VLOOKUP($E865,Master!$J:$M,3,0),"")</f>
        <v/>
      </c>
      <c r="AC865" s="26">
        <f t="shared" si="28"/>
        <v>0</v>
      </c>
      <c r="AD865" s="26">
        <f t="shared" si="29"/>
        <v>0</v>
      </c>
    </row>
    <row r="866" spans="2:30" ht="15" customHeight="1">
      <c r="B866" s="3" t="str">
        <f>_xlfn.IFNA(VLOOKUP(C866,Master!$J:$K,2,0),"")</f>
        <v/>
      </c>
      <c r="D866" s="4" t="str">
        <f>_xlfn.IFNA(VLOOKUP(E866,Master!$J:$K,2,0),"")</f>
        <v/>
      </c>
      <c r="F866" s="4" t="str">
        <f>_xlfn.IFNA(VLOOKUP(G866,Master!B:C,2,0),"")</f>
        <v/>
      </c>
      <c r="I866" s="3" t="str">
        <f>_xlfn.IFNA(VLOOKUP(E866,Master!$J:$M,4,0),"")</f>
        <v/>
      </c>
      <c r="J866" s="3" t="str">
        <f>_xlfn.IFNA(VLOOKUP($E866,Master!$J:$M,3,0),"")</f>
        <v/>
      </c>
      <c r="AC866" s="26">
        <f t="shared" si="28"/>
        <v>0</v>
      </c>
      <c r="AD866" s="26">
        <f t="shared" si="29"/>
        <v>0</v>
      </c>
    </row>
    <row r="867" spans="2:30" ht="15" customHeight="1">
      <c r="B867" s="3" t="str">
        <f>_xlfn.IFNA(VLOOKUP(C867,Master!$J:$K,2,0),"")</f>
        <v/>
      </c>
      <c r="D867" s="4" t="str">
        <f>_xlfn.IFNA(VLOOKUP(E867,Master!$J:$K,2,0),"")</f>
        <v/>
      </c>
      <c r="F867" s="4" t="str">
        <f>_xlfn.IFNA(VLOOKUP(G867,Master!B:C,2,0),"")</f>
        <v/>
      </c>
      <c r="I867" s="3" t="str">
        <f>_xlfn.IFNA(VLOOKUP(E867,Master!$J:$M,4,0),"")</f>
        <v/>
      </c>
      <c r="J867" s="3" t="str">
        <f>_xlfn.IFNA(VLOOKUP($E867,Master!$J:$M,3,0),"")</f>
        <v/>
      </c>
      <c r="AC867" s="26">
        <f t="shared" si="28"/>
        <v>0</v>
      </c>
      <c r="AD867" s="26">
        <f t="shared" si="29"/>
        <v>0</v>
      </c>
    </row>
    <row r="868" spans="2:30" ht="15" customHeight="1">
      <c r="B868" s="3" t="str">
        <f>_xlfn.IFNA(VLOOKUP(C868,Master!$J:$K,2,0),"")</f>
        <v/>
      </c>
      <c r="D868" s="4" t="str">
        <f>_xlfn.IFNA(VLOOKUP(E868,Master!$J:$K,2,0),"")</f>
        <v/>
      </c>
      <c r="F868" s="4" t="str">
        <f>_xlfn.IFNA(VLOOKUP(G868,Master!B:C,2,0),"")</f>
        <v/>
      </c>
      <c r="I868" s="3" t="str">
        <f>_xlfn.IFNA(VLOOKUP(E868,Master!$J:$M,4,0),"")</f>
        <v/>
      </c>
      <c r="J868" s="3" t="str">
        <f>_xlfn.IFNA(VLOOKUP($E868,Master!$J:$M,3,0),"")</f>
        <v/>
      </c>
      <c r="AC868" s="26">
        <f t="shared" si="28"/>
        <v>0</v>
      </c>
      <c r="AD868" s="26">
        <f t="shared" si="29"/>
        <v>0</v>
      </c>
    </row>
    <row r="869" spans="2:30" ht="15" customHeight="1">
      <c r="B869" s="3" t="str">
        <f>_xlfn.IFNA(VLOOKUP(C869,Master!$J:$K,2,0),"")</f>
        <v/>
      </c>
      <c r="D869" s="4" t="str">
        <f>_xlfn.IFNA(VLOOKUP(E869,Master!$J:$K,2,0),"")</f>
        <v/>
      </c>
      <c r="F869" s="4" t="str">
        <f>_xlfn.IFNA(VLOOKUP(G869,Master!B:C,2,0),"")</f>
        <v/>
      </c>
      <c r="I869" s="3" t="str">
        <f>_xlfn.IFNA(VLOOKUP(E869,Master!$J:$M,4,0),"")</f>
        <v/>
      </c>
      <c r="J869" s="3" t="str">
        <f>_xlfn.IFNA(VLOOKUP($E869,Master!$J:$M,3,0),"")</f>
        <v/>
      </c>
      <c r="AC869" s="26">
        <f t="shared" si="28"/>
        <v>0</v>
      </c>
      <c r="AD869" s="26">
        <f t="shared" si="29"/>
        <v>0</v>
      </c>
    </row>
    <row r="870" spans="2:30" ht="15" customHeight="1">
      <c r="B870" s="3" t="str">
        <f>_xlfn.IFNA(VLOOKUP(C870,Master!$J:$K,2,0),"")</f>
        <v/>
      </c>
      <c r="D870" s="4" t="str">
        <f>_xlfn.IFNA(VLOOKUP(E870,Master!$J:$K,2,0),"")</f>
        <v/>
      </c>
      <c r="F870" s="4" t="str">
        <f>_xlfn.IFNA(VLOOKUP(G870,Master!B:C,2,0),"")</f>
        <v/>
      </c>
      <c r="I870" s="3" t="str">
        <f>_xlfn.IFNA(VLOOKUP(E870,Master!$J:$M,4,0),"")</f>
        <v/>
      </c>
      <c r="J870" s="3" t="str">
        <f>_xlfn.IFNA(VLOOKUP($E870,Master!$J:$M,3,0),"")</f>
        <v/>
      </c>
      <c r="AC870" s="26">
        <f t="shared" si="28"/>
        <v>0</v>
      </c>
      <c r="AD870" s="26">
        <f t="shared" si="29"/>
        <v>0</v>
      </c>
    </row>
    <row r="871" spans="2:30" ht="15" customHeight="1">
      <c r="B871" s="3" t="str">
        <f>_xlfn.IFNA(VLOOKUP(C871,Master!$J:$K,2,0),"")</f>
        <v/>
      </c>
      <c r="D871" s="4" t="str">
        <f>_xlfn.IFNA(VLOOKUP(E871,Master!$J:$K,2,0),"")</f>
        <v/>
      </c>
      <c r="F871" s="4" t="str">
        <f>_xlfn.IFNA(VLOOKUP(G871,Master!B:C,2,0),"")</f>
        <v/>
      </c>
      <c r="I871" s="3" t="str">
        <f>_xlfn.IFNA(VLOOKUP(E871,Master!$J:$M,4,0),"")</f>
        <v/>
      </c>
      <c r="J871" s="3" t="str">
        <f>_xlfn.IFNA(VLOOKUP($E871,Master!$J:$M,3,0),"")</f>
        <v/>
      </c>
      <c r="AC871" s="26">
        <f t="shared" si="28"/>
        <v>0</v>
      </c>
      <c r="AD871" s="26">
        <f t="shared" si="29"/>
        <v>0</v>
      </c>
    </row>
    <row r="872" spans="2:30" ht="15" customHeight="1">
      <c r="B872" s="3" t="str">
        <f>_xlfn.IFNA(VLOOKUP(C872,Master!$J:$K,2,0),"")</f>
        <v/>
      </c>
      <c r="D872" s="4" t="str">
        <f>_xlfn.IFNA(VLOOKUP(E872,Master!$J:$K,2,0),"")</f>
        <v/>
      </c>
      <c r="F872" s="4" t="str">
        <f>_xlfn.IFNA(VLOOKUP(G872,Master!B:C,2,0),"")</f>
        <v/>
      </c>
      <c r="I872" s="3" t="str">
        <f>_xlfn.IFNA(VLOOKUP(E872,Master!$J:$M,4,0),"")</f>
        <v/>
      </c>
      <c r="J872" s="3" t="str">
        <f>_xlfn.IFNA(VLOOKUP($E872,Master!$J:$M,3,0),"")</f>
        <v/>
      </c>
      <c r="AC872" s="26">
        <f t="shared" si="28"/>
        <v>0</v>
      </c>
      <c r="AD872" s="26">
        <f t="shared" si="29"/>
        <v>0</v>
      </c>
    </row>
    <row r="873" spans="2:30" ht="15" customHeight="1">
      <c r="B873" s="3" t="str">
        <f>_xlfn.IFNA(VLOOKUP(C873,Master!$J:$K,2,0),"")</f>
        <v/>
      </c>
      <c r="D873" s="4" t="str">
        <f>_xlfn.IFNA(VLOOKUP(E873,Master!$J:$K,2,0),"")</f>
        <v/>
      </c>
      <c r="F873" s="4" t="str">
        <f>_xlfn.IFNA(VLOOKUP(G873,Master!B:C,2,0),"")</f>
        <v/>
      </c>
      <c r="I873" s="3" t="str">
        <f>_xlfn.IFNA(VLOOKUP(E873,Master!$J:$M,4,0),"")</f>
        <v/>
      </c>
      <c r="J873" s="3" t="str">
        <f>_xlfn.IFNA(VLOOKUP($E873,Master!$J:$M,3,0),"")</f>
        <v/>
      </c>
      <c r="AC873" s="26">
        <f t="shared" si="28"/>
        <v>0</v>
      </c>
      <c r="AD873" s="26">
        <f t="shared" si="29"/>
        <v>0</v>
      </c>
    </row>
    <row r="874" spans="2:30" ht="15" customHeight="1">
      <c r="B874" s="3" t="str">
        <f>_xlfn.IFNA(VLOOKUP(C874,Master!$J:$K,2,0),"")</f>
        <v/>
      </c>
      <c r="D874" s="4" t="str">
        <f>_xlfn.IFNA(VLOOKUP(E874,Master!$J:$K,2,0),"")</f>
        <v/>
      </c>
      <c r="F874" s="4" t="str">
        <f>_xlfn.IFNA(VLOOKUP(G874,Master!B:C,2,0),"")</f>
        <v/>
      </c>
      <c r="I874" s="3" t="str">
        <f>_xlfn.IFNA(VLOOKUP(E874,Master!$J:$M,4,0),"")</f>
        <v/>
      </c>
      <c r="J874" s="3" t="str">
        <f>_xlfn.IFNA(VLOOKUP($E874,Master!$J:$M,3,0),"")</f>
        <v/>
      </c>
      <c r="AC874" s="26">
        <f t="shared" si="28"/>
        <v>0</v>
      </c>
      <c r="AD874" s="26">
        <f t="shared" si="29"/>
        <v>0</v>
      </c>
    </row>
    <row r="875" spans="2:30" ht="15" customHeight="1">
      <c r="B875" s="3" t="str">
        <f>_xlfn.IFNA(VLOOKUP(C875,Master!$J:$K,2,0),"")</f>
        <v/>
      </c>
      <c r="D875" s="4" t="str">
        <f>_xlfn.IFNA(VLOOKUP(E875,Master!$J:$K,2,0),"")</f>
        <v/>
      </c>
      <c r="F875" s="4" t="str">
        <f>_xlfn.IFNA(VLOOKUP(G875,Master!B:C,2,0),"")</f>
        <v/>
      </c>
      <c r="I875" s="3" t="str">
        <f>_xlfn.IFNA(VLOOKUP(E875,Master!$J:$M,4,0),"")</f>
        <v/>
      </c>
      <c r="J875" s="3" t="str">
        <f>_xlfn.IFNA(VLOOKUP($E875,Master!$J:$M,3,0),"")</f>
        <v/>
      </c>
      <c r="AC875" s="26">
        <f t="shared" si="28"/>
        <v>0</v>
      </c>
      <c r="AD875" s="26">
        <f t="shared" si="29"/>
        <v>0</v>
      </c>
    </row>
    <row r="876" spans="2:30" ht="15" customHeight="1">
      <c r="B876" s="3" t="str">
        <f>_xlfn.IFNA(VLOOKUP(C876,Master!$J:$K,2,0),"")</f>
        <v/>
      </c>
      <c r="D876" s="4" t="str">
        <f>_xlfn.IFNA(VLOOKUP(E876,Master!$J:$K,2,0),"")</f>
        <v/>
      </c>
      <c r="F876" s="4" t="str">
        <f>_xlfn.IFNA(VLOOKUP(G876,Master!B:C,2,0),"")</f>
        <v/>
      </c>
      <c r="I876" s="3" t="str">
        <f>_xlfn.IFNA(VLOOKUP(E876,Master!$J:$M,4,0),"")</f>
        <v/>
      </c>
      <c r="J876" s="3" t="str">
        <f>_xlfn.IFNA(VLOOKUP($E876,Master!$J:$M,3,0),"")</f>
        <v/>
      </c>
      <c r="AC876" s="26">
        <f t="shared" si="28"/>
        <v>0</v>
      </c>
      <c r="AD876" s="26">
        <f t="shared" si="29"/>
        <v>0</v>
      </c>
    </row>
    <row r="877" spans="2:30" ht="15" customHeight="1">
      <c r="B877" s="3" t="str">
        <f>_xlfn.IFNA(VLOOKUP(C877,Master!$J:$K,2,0),"")</f>
        <v/>
      </c>
      <c r="D877" s="4" t="str">
        <f>_xlfn.IFNA(VLOOKUP(E877,Master!$J:$K,2,0),"")</f>
        <v/>
      </c>
      <c r="F877" s="4" t="str">
        <f>_xlfn.IFNA(VLOOKUP(G877,Master!B:C,2,0),"")</f>
        <v/>
      </c>
      <c r="I877" s="3" t="str">
        <f>_xlfn.IFNA(VLOOKUP(E877,Master!$J:$M,4,0),"")</f>
        <v/>
      </c>
      <c r="J877" s="3" t="str">
        <f>_xlfn.IFNA(VLOOKUP($E877,Master!$J:$M,3,0),"")</f>
        <v/>
      </c>
      <c r="AC877" s="26">
        <f t="shared" si="28"/>
        <v>0</v>
      </c>
      <c r="AD877" s="26">
        <f t="shared" si="29"/>
        <v>0</v>
      </c>
    </row>
    <row r="878" spans="2:30" ht="15" customHeight="1">
      <c r="B878" s="3" t="str">
        <f>_xlfn.IFNA(VLOOKUP(C878,Master!$J:$K,2,0),"")</f>
        <v/>
      </c>
      <c r="D878" s="4" t="str">
        <f>_xlfn.IFNA(VLOOKUP(E878,Master!$J:$K,2,0),"")</f>
        <v/>
      </c>
      <c r="F878" s="4" t="str">
        <f>_xlfn.IFNA(VLOOKUP(G878,Master!B:C,2,0),"")</f>
        <v/>
      </c>
      <c r="I878" s="3" t="str">
        <f>_xlfn.IFNA(VLOOKUP(E878,Master!$J:$M,4,0),"")</f>
        <v/>
      </c>
      <c r="J878" s="3" t="str">
        <f>_xlfn.IFNA(VLOOKUP($E878,Master!$J:$M,3,0),"")</f>
        <v/>
      </c>
      <c r="AC878" s="26">
        <f t="shared" si="28"/>
        <v>0</v>
      </c>
      <c r="AD878" s="26">
        <f t="shared" si="29"/>
        <v>0</v>
      </c>
    </row>
    <row r="879" spans="2:30" ht="15" customHeight="1">
      <c r="B879" s="3" t="str">
        <f>_xlfn.IFNA(VLOOKUP(C879,Master!$J:$K,2,0),"")</f>
        <v/>
      </c>
      <c r="D879" s="4" t="str">
        <f>_xlfn.IFNA(VLOOKUP(E879,Master!$J:$K,2,0),"")</f>
        <v/>
      </c>
      <c r="F879" s="4" t="str">
        <f>_xlfn.IFNA(VLOOKUP(G879,Master!B:C,2,0),"")</f>
        <v/>
      </c>
      <c r="I879" s="3" t="str">
        <f>_xlfn.IFNA(VLOOKUP(E879,Master!$J:$M,4,0),"")</f>
        <v/>
      </c>
      <c r="J879" s="3" t="str">
        <f>_xlfn.IFNA(VLOOKUP($E879,Master!$J:$M,3,0),"")</f>
        <v/>
      </c>
      <c r="AC879" s="26">
        <f t="shared" si="28"/>
        <v>0</v>
      </c>
      <c r="AD879" s="26">
        <f t="shared" si="29"/>
        <v>0</v>
      </c>
    </row>
    <row r="880" spans="2:30" ht="15" customHeight="1">
      <c r="B880" s="3" t="str">
        <f>_xlfn.IFNA(VLOOKUP(C880,Master!$J:$K,2,0),"")</f>
        <v/>
      </c>
      <c r="D880" s="4" t="str">
        <f>_xlfn.IFNA(VLOOKUP(E880,Master!$J:$K,2,0),"")</f>
        <v/>
      </c>
      <c r="F880" s="4" t="str">
        <f>_xlfn.IFNA(VLOOKUP(G880,Master!B:C,2,0),"")</f>
        <v/>
      </c>
      <c r="I880" s="3" t="str">
        <f>_xlfn.IFNA(VLOOKUP(E880,Master!$J:$M,4,0),"")</f>
        <v/>
      </c>
      <c r="J880" s="3" t="str">
        <f>_xlfn.IFNA(VLOOKUP($E880,Master!$J:$M,3,0),"")</f>
        <v/>
      </c>
      <c r="AC880" s="26">
        <f t="shared" si="28"/>
        <v>0</v>
      </c>
      <c r="AD880" s="26">
        <f t="shared" si="29"/>
        <v>0</v>
      </c>
    </row>
    <row r="881" spans="2:30" ht="15" customHeight="1">
      <c r="B881" s="3" t="str">
        <f>_xlfn.IFNA(VLOOKUP(C881,Master!$J:$K,2,0),"")</f>
        <v/>
      </c>
      <c r="D881" s="4" t="str">
        <f>_xlfn.IFNA(VLOOKUP(E881,Master!$J:$K,2,0),"")</f>
        <v/>
      </c>
      <c r="F881" s="4" t="str">
        <f>_xlfn.IFNA(VLOOKUP(G881,Master!B:C,2,0),"")</f>
        <v/>
      </c>
      <c r="I881" s="3" t="str">
        <f>_xlfn.IFNA(VLOOKUP(E881,Master!$J:$M,4,0),"")</f>
        <v/>
      </c>
      <c r="J881" s="3" t="str">
        <f>_xlfn.IFNA(VLOOKUP($E881,Master!$J:$M,3,0),"")</f>
        <v/>
      </c>
      <c r="AC881" s="26">
        <f t="shared" si="28"/>
        <v>0</v>
      </c>
      <c r="AD881" s="26">
        <f t="shared" si="29"/>
        <v>0</v>
      </c>
    </row>
    <row r="882" spans="2:30" ht="15" customHeight="1">
      <c r="B882" s="3" t="str">
        <f>_xlfn.IFNA(VLOOKUP(C882,Master!$J:$K,2,0),"")</f>
        <v/>
      </c>
      <c r="D882" s="4" t="str">
        <f>_xlfn.IFNA(VLOOKUP(E882,Master!$J:$K,2,0),"")</f>
        <v/>
      </c>
      <c r="F882" s="4" t="str">
        <f>_xlfn.IFNA(VLOOKUP(G882,Master!B:C,2,0),"")</f>
        <v/>
      </c>
      <c r="I882" s="3" t="str">
        <f>_xlfn.IFNA(VLOOKUP(E882,Master!$J:$M,4,0),"")</f>
        <v/>
      </c>
      <c r="J882" s="3" t="str">
        <f>_xlfn.IFNA(VLOOKUP($E882,Master!$J:$M,3,0),"")</f>
        <v/>
      </c>
      <c r="AC882" s="26">
        <f t="shared" si="28"/>
        <v>0</v>
      </c>
      <c r="AD882" s="26">
        <f t="shared" si="29"/>
        <v>0</v>
      </c>
    </row>
    <row r="883" spans="2:30" ht="15" customHeight="1">
      <c r="B883" s="3" t="str">
        <f>_xlfn.IFNA(VLOOKUP(C883,Master!$J:$K,2,0),"")</f>
        <v/>
      </c>
      <c r="D883" s="4" t="str">
        <f>_xlfn.IFNA(VLOOKUP(E883,Master!$J:$K,2,0),"")</f>
        <v/>
      </c>
      <c r="F883" s="4" t="str">
        <f>_xlfn.IFNA(VLOOKUP(G883,Master!B:C,2,0),"")</f>
        <v/>
      </c>
      <c r="I883" s="3" t="str">
        <f>_xlfn.IFNA(VLOOKUP(E883,Master!$J:$M,4,0),"")</f>
        <v/>
      </c>
      <c r="J883" s="3" t="str">
        <f>_xlfn.IFNA(VLOOKUP($E883,Master!$J:$M,3,0),"")</f>
        <v/>
      </c>
      <c r="AC883" s="26">
        <f t="shared" si="28"/>
        <v>0</v>
      </c>
      <c r="AD883" s="26">
        <f t="shared" si="29"/>
        <v>0</v>
      </c>
    </row>
    <row r="884" spans="2:30" ht="15" customHeight="1">
      <c r="B884" s="3" t="str">
        <f>_xlfn.IFNA(VLOOKUP(C884,Master!$J:$K,2,0),"")</f>
        <v/>
      </c>
      <c r="D884" s="4" t="str">
        <f>_xlfn.IFNA(VLOOKUP(E884,Master!$J:$K,2,0),"")</f>
        <v/>
      </c>
      <c r="F884" s="4" t="str">
        <f>_xlfn.IFNA(VLOOKUP(G884,Master!B:C,2,0),"")</f>
        <v/>
      </c>
      <c r="I884" s="3" t="str">
        <f>_xlfn.IFNA(VLOOKUP(E884,Master!$J:$M,4,0),"")</f>
        <v/>
      </c>
      <c r="J884" s="3" t="str">
        <f>_xlfn.IFNA(VLOOKUP($E884,Master!$J:$M,3,0),"")</f>
        <v/>
      </c>
      <c r="AC884" s="26">
        <f t="shared" si="28"/>
        <v>0</v>
      </c>
      <c r="AD884" s="26">
        <f t="shared" si="29"/>
        <v>0</v>
      </c>
    </row>
    <row r="885" spans="2:30" ht="15" customHeight="1">
      <c r="B885" s="3" t="str">
        <f>_xlfn.IFNA(VLOOKUP(C885,Master!$J:$K,2,0),"")</f>
        <v/>
      </c>
      <c r="D885" s="4" t="str">
        <f>_xlfn.IFNA(VLOOKUP(E885,Master!$J:$K,2,0),"")</f>
        <v/>
      </c>
      <c r="F885" s="4" t="str">
        <f>_xlfn.IFNA(VLOOKUP(G885,Master!B:C,2,0),"")</f>
        <v/>
      </c>
      <c r="I885" s="3" t="str">
        <f>_xlfn.IFNA(VLOOKUP(E885,Master!$J:$M,4,0),"")</f>
        <v/>
      </c>
      <c r="J885" s="3" t="str">
        <f>_xlfn.IFNA(VLOOKUP($E885,Master!$J:$M,3,0),"")</f>
        <v/>
      </c>
      <c r="AC885" s="26">
        <f t="shared" si="28"/>
        <v>0</v>
      </c>
      <c r="AD885" s="26">
        <f t="shared" si="29"/>
        <v>0</v>
      </c>
    </row>
    <row r="886" spans="2:30" ht="15" customHeight="1">
      <c r="B886" s="3" t="str">
        <f>_xlfn.IFNA(VLOOKUP(C886,Master!$J:$K,2,0),"")</f>
        <v/>
      </c>
      <c r="D886" s="4" t="str">
        <f>_xlfn.IFNA(VLOOKUP(E886,Master!$J:$K,2,0),"")</f>
        <v/>
      </c>
      <c r="F886" s="4" t="str">
        <f>_xlfn.IFNA(VLOOKUP(G886,Master!B:C,2,0),"")</f>
        <v/>
      </c>
      <c r="I886" s="3" t="str">
        <f>_xlfn.IFNA(VLOOKUP(E886,Master!$J:$M,4,0),"")</f>
        <v/>
      </c>
      <c r="J886" s="3" t="str">
        <f>_xlfn.IFNA(VLOOKUP($E886,Master!$J:$M,3,0),"")</f>
        <v/>
      </c>
      <c r="AC886" s="26">
        <f t="shared" si="28"/>
        <v>0</v>
      </c>
      <c r="AD886" s="26">
        <f t="shared" si="29"/>
        <v>0</v>
      </c>
    </row>
    <row r="887" spans="2:30" ht="15" customHeight="1">
      <c r="B887" s="3" t="str">
        <f>_xlfn.IFNA(VLOOKUP(C887,Master!$J:$K,2,0),"")</f>
        <v/>
      </c>
      <c r="D887" s="4" t="str">
        <f>_xlfn.IFNA(VLOOKUP(E887,Master!$J:$K,2,0),"")</f>
        <v/>
      </c>
      <c r="F887" s="4" t="str">
        <f>_xlfn.IFNA(VLOOKUP(G887,Master!B:C,2,0),"")</f>
        <v/>
      </c>
      <c r="I887" s="3" t="str">
        <f>_xlfn.IFNA(VLOOKUP(E887,Master!$J:$M,4,0),"")</f>
        <v/>
      </c>
      <c r="J887" s="3" t="str">
        <f>_xlfn.IFNA(VLOOKUP($E887,Master!$J:$M,3,0),"")</f>
        <v/>
      </c>
      <c r="AC887" s="26">
        <f t="shared" si="28"/>
        <v>0</v>
      </c>
      <c r="AD887" s="26">
        <f t="shared" si="29"/>
        <v>0</v>
      </c>
    </row>
    <row r="888" spans="2:30" ht="15" customHeight="1">
      <c r="B888" s="3" t="str">
        <f>_xlfn.IFNA(VLOOKUP(C888,Master!$J:$K,2,0),"")</f>
        <v/>
      </c>
      <c r="D888" s="4" t="str">
        <f>_xlfn.IFNA(VLOOKUP(E888,Master!$J:$K,2,0),"")</f>
        <v/>
      </c>
      <c r="F888" s="4" t="str">
        <f>_xlfn.IFNA(VLOOKUP(G888,Master!B:C,2,0),"")</f>
        <v/>
      </c>
      <c r="I888" s="3" t="str">
        <f>_xlfn.IFNA(VLOOKUP(E888,Master!$J:$M,4,0),"")</f>
        <v/>
      </c>
      <c r="J888" s="3" t="str">
        <f>_xlfn.IFNA(VLOOKUP($E888,Master!$J:$M,3,0),"")</f>
        <v/>
      </c>
      <c r="AC888" s="26">
        <f t="shared" si="28"/>
        <v>0</v>
      </c>
      <c r="AD888" s="26">
        <f t="shared" si="29"/>
        <v>0</v>
      </c>
    </row>
    <row r="889" spans="2:30" ht="15" customHeight="1">
      <c r="B889" s="3" t="str">
        <f>_xlfn.IFNA(VLOOKUP(C889,Master!$J:$K,2,0),"")</f>
        <v/>
      </c>
      <c r="D889" s="4" t="str">
        <f>_xlfn.IFNA(VLOOKUP(E889,Master!$J:$K,2,0),"")</f>
        <v/>
      </c>
      <c r="F889" s="4" t="str">
        <f>_xlfn.IFNA(VLOOKUP(G889,Master!B:C,2,0),"")</f>
        <v/>
      </c>
      <c r="I889" s="3" t="str">
        <f>_xlfn.IFNA(VLOOKUP(E889,Master!$J:$M,4,0),"")</f>
        <v/>
      </c>
      <c r="J889" s="3" t="str">
        <f>_xlfn.IFNA(VLOOKUP($E889,Master!$J:$M,3,0),"")</f>
        <v/>
      </c>
      <c r="AC889" s="26">
        <f t="shared" si="28"/>
        <v>0</v>
      </c>
      <c r="AD889" s="26">
        <f t="shared" si="29"/>
        <v>0</v>
      </c>
    </row>
    <row r="890" spans="2:30" ht="15" customHeight="1">
      <c r="B890" s="3" t="str">
        <f>_xlfn.IFNA(VLOOKUP(C890,Master!$J:$K,2,0),"")</f>
        <v/>
      </c>
      <c r="D890" s="4" t="str">
        <f>_xlfn.IFNA(VLOOKUP(E890,Master!$J:$K,2,0),"")</f>
        <v/>
      </c>
      <c r="F890" s="4" t="str">
        <f>_xlfn.IFNA(VLOOKUP(G890,Master!B:C,2,0),"")</f>
        <v/>
      </c>
      <c r="I890" s="3" t="str">
        <f>_xlfn.IFNA(VLOOKUP(E890,Master!$J:$M,4,0),"")</f>
        <v/>
      </c>
      <c r="J890" s="3" t="str">
        <f>_xlfn.IFNA(VLOOKUP($E890,Master!$J:$M,3,0),"")</f>
        <v/>
      </c>
      <c r="AC890" s="26">
        <f t="shared" si="28"/>
        <v>0</v>
      </c>
      <c r="AD890" s="26">
        <f t="shared" si="29"/>
        <v>0</v>
      </c>
    </row>
    <row r="891" spans="2:30" ht="15" customHeight="1">
      <c r="B891" s="3" t="str">
        <f>_xlfn.IFNA(VLOOKUP(C891,Master!$J:$K,2,0),"")</f>
        <v/>
      </c>
      <c r="D891" s="4" t="str">
        <f>_xlfn.IFNA(VLOOKUP(E891,Master!$J:$K,2,0),"")</f>
        <v/>
      </c>
      <c r="F891" s="4" t="str">
        <f>_xlfn.IFNA(VLOOKUP(G891,Master!B:C,2,0),"")</f>
        <v/>
      </c>
      <c r="I891" s="3" t="str">
        <f>_xlfn.IFNA(VLOOKUP(E891,Master!$J:$M,4,0),"")</f>
        <v/>
      </c>
      <c r="J891" s="3" t="str">
        <f>_xlfn.IFNA(VLOOKUP($E891,Master!$J:$M,3,0),"")</f>
        <v/>
      </c>
      <c r="AC891" s="26">
        <f t="shared" si="28"/>
        <v>0</v>
      </c>
      <c r="AD891" s="26">
        <f t="shared" si="29"/>
        <v>0</v>
      </c>
    </row>
    <row r="892" spans="2:30" ht="15" customHeight="1">
      <c r="B892" s="3" t="str">
        <f>_xlfn.IFNA(VLOOKUP(C892,Master!$J:$K,2,0),"")</f>
        <v/>
      </c>
      <c r="D892" s="4" t="str">
        <f>_xlfn.IFNA(VLOOKUP(E892,Master!$J:$K,2,0),"")</f>
        <v/>
      </c>
      <c r="F892" s="4" t="str">
        <f>_xlfn.IFNA(VLOOKUP(G892,Master!B:C,2,0),"")</f>
        <v/>
      </c>
      <c r="I892" s="3" t="str">
        <f>_xlfn.IFNA(VLOOKUP(E892,Master!$J:$M,4,0),"")</f>
        <v/>
      </c>
      <c r="J892" s="3" t="str">
        <f>_xlfn.IFNA(VLOOKUP($E892,Master!$J:$M,3,0),"")</f>
        <v/>
      </c>
      <c r="AC892" s="26">
        <f t="shared" si="28"/>
        <v>0</v>
      </c>
      <c r="AD892" s="26">
        <f t="shared" si="29"/>
        <v>0</v>
      </c>
    </row>
    <row r="893" spans="2:30" ht="15" customHeight="1">
      <c r="B893" s="3" t="str">
        <f>_xlfn.IFNA(VLOOKUP(C893,Master!$J:$K,2,0),"")</f>
        <v/>
      </c>
      <c r="D893" s="4" t="str">
        <f>_xlfn.IFNA(VLOOKUP(E893,Master!$J:$K,2,0),"")</f>
        <v/>
      </c>
      <c r="F893" s="4" t="str">
        <f>_xlfn.IFNA(VLOOKUP(G893,Master!B:C,2,0),"")</f>
        <v/>
      </c>
      <c r="I893" s="3" t="str">
        <f>_xlfn.IFNA(VLOOKUP(E893,Master!$J:$M,4,0),"")</f>
        <v/>
      </c>
      <c r="J893" s="3" t="str">
        <f>_xlfn.IFNA(VLOOKUP($E893,Master!$J:$M,3,0),"")</f>
        <v/>
      </c>
      <c r="AC893" s="26">
        <f t="shared" si="28"/>
        <v>0</v>
      </c>
      <c r="AD893" s="26">
        <f t="shared" si="29"/>
        <v>0</v>
      </c>
    </row>
    <row r="894" spans="2:30" ht="15" customHeight="1">
      <c r="B894" s="3" t="str">
        <f>_xlfn.IFNA(VLOOKUP(C894,Master!$J:$K,2,0),"")</f>
        <v/>
      </c>
      <c r="D894" s="4" t="str">
        <f>_xlfn.IFNA(VLOOKUP(E894,Master!$J:$K,2,0),"")</f>
        <v/>
      </c>
      <c r="F894" s="4" t="str">
        <f>_xlfn.IFNA(VLOOKUP(G894,Master!B:C,2,0),"")</f>
        <v/>
      </c>
      <c r="I894" s="3" t="str">
        <f>_xlfn.IFNA(VLOOKUP(E894,Master!$J:$M,4,0),"")</f>
        <v/>
      </c>
      <c r="J894" s="3" t="str">
        <f>_xlfn.IFNA(VLOOKUP($E894,Master!$J:$M,3,0),"")</f>
        <v/>
      </c>
      <c r="AC894" s="26">
        <f t="shared" si="28"/>
        <v>0</v>
      </c>
      <c r="AD894" s="26">
        <f t="shared" si="29"/>
        <v>0</v>
      </c>
    </row>
    <row r="895" spans="2:30" ht="15" customHeight="1">
      <c r="B895" s="3" t="str">
        <f>_xlfn.IFNA(VLOOKUP(C895,Master!$J:$K,2,0),"")</f>
        <v/>
      </c>
      <c r="D895" s="4" t="str">
        <f>_xlfn.IFNA(VLOOKUP(E895,Master!$J:$K,2,0),"")</f>
        <v/>
      </c>
      <c r="F895" s="4" t="str">
        <f>_xlfn.IFNA(VLOOKUP(G895,Master!B:C,2,0),"")</f>
        <v/>
      </c>
      <c r="I895" s="3" t="str">
        <f>_xlfn.IFNA(VLOOKUP(E895,Master!$J:$M,4,0),"")</f>
        <v/>
      </c>
      <c r="J895" s="3" t="str">
        <f>_xlfn.IFNA(VLOOKUP($E895,Master!$J:$M,3,0),"")</f>
        <v/>
      </c>
      <c r="AC895" s="26">
        <f t="shared" si="28"/>
        <v>0</v>
      </c>
      <c r="AD895" s="26">
        <f t="shared" si="29"/>
        <v>0</v>
      </c>
    </row>
    <row r="896" spans="2:30" ht="15" customHeight="1">
      <c r="B896" s="3" t="str">
        <f>_xlfn.IFNA(VLOOKUP(C896,Master!$J:$K,2,0),"")</f>
        <v/>
      </c>
      <c r="D896" s="4" t="str">
        <f>_xlfn.IFNA(VLOOKUP(E896,Master!$J:$K,2,0),"")</f>
        <v/>
      </c>
      <c r="F896" s="4" t="str">
        <f>_xlfn.IFNA(VLOOKUP(G896,Master!B:C,2,0),"")</f>
        <v/>
      </c>
      <c r="I896" s="3" t="str">
        <f>_xlfn.IFNA(VLOOKUP(E896,Master!$J:$M,4,0),"")</f>
        <v/>
      </c>
      <c r="J896" s="3" t="str">
        <f>_xlfn.IFNA(VLOOKUP($E896,Master!$J:$M,3,0),"")</f>
        <v/>
      </c>
      <c r="AC896" s="26">
        <f t="shared" si="28"/>
        <v>0</v>
      </c>
      <c r="AD896" s="26">
        <f t="shared" si="29"/>
        <v>0</v>
      </c>
    </row>
    <row r="897" spans="2:30" ht="15" customHeight="1">
      <c r="B897" s="3" t="str">
        <f>_xlfn.IFNA(VLOOKUP(C897,Master!$J:$K,2,0),"")</f>
        <v/>
      </c>
      <c r="D897" s="4" t="str">
        <f>_xlfn.IFNA(VLOOKUP(E897,Master!$J:$K,2,0),"")</f>
        <v/>
      </c>
      <c r="F897" s="4" t="str">
        <f>_xlfn.IFNA(VLOOKUP(G897,Master!B:C,2,0),"")</f>
        <v/>
      </c>
      <c r="I897" s="3" t="str">
        <f>_xlfn.IFNA(VLOOKUP(E897,Master!$J:$M,4,0),"")</f>
        <v/>
      </c>
      <c r="J897" s="3" t="str">
        <f>_xlfn.IFNA(VLOOKUP($E897,Master!$J:$M,3,0),"")</f>
        <v/>
      </c>
      <c r="AC897" s="26">
        <f t="shared" si="28"/>
        <v>0</v>
      </c>
      <c r="AD897" s="26">
        <f t="shared" si="29"/>
        <v>0</v>
      </c>
    </row>
    <row r="898" spans="2:30" ht="15" customHeight="1">
      <c r="B898" s="3" t="str">
        <f>_xlfn.IFNA(VLOOKUP(C898,Master!$J:$K,2,0),"")</f>
        <v/>
      </c>
      <c r="D898" s="4" t="str">
        <f>_xlfn.IFNA(VLOOKUP(E898,Master!$J:$K,2,0),"")</f>
        <v/>
      </c>
      <c r="F898" s="4" t="str">
        <f>_xlfn.IFNA(VLOOKUP(G898,Master!B:C,2,0),"")</f>
        <v/>
      </c>
      <c r="I898" s="3" t="str">
        <f>_xlfn.IFNA(VLOOKUP(E898,Master!$J:$M,4,0),"")</f>
        <v/>
      </c>
      <c r="J898" s="3" t="str">
        <f>_xlfn.IFNA(VLOOKUP($E898,Master!$J:$M,3,0),"")</f>
        <v/>
      </c>
      <c r="AC898" s="26">
        <f t="shared" si="28"/>
        <v>0</v>
      </c>
      <c r="AD898" s="26">
        <f t="shared" si="29"/>
        <v>0</v>
      </c>
    </row>
    <row r="899" spans="2:30" ht="15" customHeight="1">
      <c r="B899" s="3" t="str">
        <f>_xlfn.IFNA(VLOOKUP(C899,Master!$J:$K,2,0),"")</f>
        <v/>
      </c>
      <c r="D899" s="4" t="str">
        <f>_xlfn.IFNA(VLOOKUP(E899,Master!$J:$K,2,0),"")</f>
        <v/>
      </c>
      <c r="F899" s="4" t="str">
        <f>_xlfn.IFNA(VLOOKUP(G899,Master!B:C,2,0),"")</f>
        <v/>
      </c>
      <c r="I899" s="3" t="str">
        <f>_xlfn.IFNA(VLOOKUP(E899,Master!$J:$M,4,0),"")</f>
        <v/>
      </c>
      <c r="J899" s="3" t="str">
        <f>_xlfn.IFNA(VLOOKUP($E899,Master!$J:$M,3,0),"")</f>
        <v/>
      </c>
      <c r="AC899" s="26">
        <f t="shared" si="28"/>
        <v>0</v>
      </c>
      <c r="AD899" s="26">
        <f t="shared" si="29"/>
        <v>0</v>
      </c>
    </row>
    <row r="900" spans="2:30" ht="15" customHeight="1">
      <c r="B900" s="3" t="str">
        <f>_xlfn.IFNA(VLOOKUP(C900,Master!$J:$K,2,0),"")</f>
        <v/>
      </c>
      <c r="D900" s="4" t="str">
        <f>_xlfn.IFNA(VLOOKUP(E900,Master!$J:$K,2,0),"")</f>
        <v/>
      </c>
      <c r="F900" s="4" t="str">
        <f>_xlfn.IFNA(VLOOKUP(G900,Master!B:C,2,0),"")</f>
        <v/>
      </c>
      <c r="I900" s="3" t="str">
        <f>_xlfn.IFNA(VLOOKUP(E900,Master!$J:$M,4,0),"")</f>
        <v/>
      </c>
      <c r="J900" s="3" t="str">
        <f>_xlfn.IFNA(VLOOKUP($E900,Master!$J:$M,3,0),"")</f>
        <v/>
      </c>
      <c r="AC900" s="26">
        <f t="shared" si="28"/>
        <v>0</v>
      </c>
      <c r="AD900" s="26">
        <f t="shared" si="29"/>
        <v>0</v>
      </c>
    </row>
    <row r="901" spans="2:30" ht="15" customHeight="1">
      <c r="B901" s="3" t="str">
        <f>_xlfn.IFNA(VLOOKUP(C901,Master!$J:$K,2,0),"")</f>
        <v/>
      </c>
      <c r="D901" s="4" t="str">
        <f>_xlfn.IFNA(VLOOKUP(E901,Master!$J:$K,2,0),"")</f>
        <v/>
      </c>
      <c r="F901" s="4" t="str">
        <f>_xlfn.IFNA(VLOOKUP(G901,Master!B:C,2,0),"")</f>
        <v/>
      </c>
      <c r="I901" s="3" t="str">
        <f>_xlfn.IFNA(VLOOKUP(E901,Master!$J:$M,4,0),"")</f>
        <v/>
      </c>
      <c r="J901" s="3" t="str">
        <f>_xlfn.IFNA(VLOOKUP($E901,Master!$J:$M,3,0),"")</f>
        <v/>
      </c>
      <c r="AC901" s="26">
        <f t="shared" si="28"/>
        <v>0</v>
      </c>
      <c r="AD901" s="26">
        <f t="shared" si="29"/>
        <v>0</v>
      </c>
    </row>
    <row r="902" spans="2:30" ht="15" customHeight="1">
      <c r="B902" s="3" t="str">
        <f>_xlfn.IFNA(VLOOKUP(C902,Master!$J:$K,2,0),"")</f>
        <v/>
      </c>
      <c r="D902" s="4" t="str">
        <f>_xlfn.IFNA(VLOOKUP(E902,Master!$J:$K,2,0),"")</f>
        <v/>
      </c>
      <c r="F902" s="4" t="str">
        <f>_xlfn.IFNA(VLOOKUP(G902,Master!B:C,2,0),"")</f>
        <v/>
      </c>
      <c r="I902" s="3" t="str">
        <f>_xlfn.IFNA(VLOOKUP(E902,Master!$J:$M,4,0),"")</f>
        <v/>
      </c>
      <c r="J902" s="3" t="str">
        <f>_xlfn.IFNA(VLOOKUP($E902,Master!$J:$M,3,0),"")</f>
        <v/>
      </c>
      <c r="AC902" s="26">
        <f t="shared" si="28"/>
        <v>0</v>
      </c>
      <c r="AD902" s="26">
        <f t="shared" si="29"/>
        <v>0</v>
      </c>
    </row>
    <row r="903" spans="2:30" ht="15" customHeight="1">
      <c r="B903" s="3" t="str">
        <f>_xlfn.IFNA(VLOOKUP(C903,Master!$J:$K,2,0),"")</f>
        <v/>
      </c>
      <c r="D903" s="4" t="str">
        <f>_xlfn.IFNA(VLOOKUP(E903,Master!$J:$K,2,0),"")</f>
        <v/>
      </c>
      <c r="F903" s="4" t="str">
        <f>_xlfn.IFNA(VLOOKUP(G903,Master!B:C,2,0),"")</f>
        <v/>
      </c>
      <c r="I903" s="3" t="str">
        <f>_xlfn.IFNA(VLOOKUP(E903,Master!$J:$M,4,0),"")</f>
        <v/>
      </c>
      <c r="J903" s="3" t="str">
        <f>_xlfn.IFNA(VLOOKUP($E903,Master!$J:$M,3,0),"")</f>
        <v/>
      </c>
      <c r="AC903" s="26">
        <f t="shared" si="28"/>
        <v>0</v>
      </c>
      <c r="AD903" s="26">
        <f t="shared" si="29"/>
        <v>0</v>
      </c>
    </row>
    <row r="904" spans="2:30" ht="15" customHeight="1">
      <c r="B904" s="3" t="str">
        <f>_xlfn.IFNA(VLOOKUP(C904,Master!$J:$K,2,0),"")</f>
        <v/>
      </c>
      <c r="D904" s="4" t="str">
        <f>_xlfn.IFNA(VLOOKUP(E904,Master!$J:$K,2,0),"")</f>
        <v/>
      </c>
      <c r="F904" s="4" t="str">
        <f>_xlfn.IFNA(VLOOKUP(G904,Master!B:C,2,0),"")</f>
        <v/>
      </c>
      <c r="I904" s="3" t="str">
        <f>_xlfn.IFNA(VLOOKUP(E904,Master!$J:$M,4,0),"")</f>
        <v/>
      </c>
      <c r="J904" s="3" t="str">
        <f>_xlfn.IFNA(VLOOKUP($E904,Master!$J:$M,3,0),"")</f>
        <v/>
      </c>
      <c r="AC904" s="26">
        <f t="shared" si="28"/>
        <v>0</v>
      </c>
      <c r="AD904" s="26">
        <f t="shared" si="29"/>
        <v>0</v>
      </c>
    </row>
    <row r="905" spans="2:30" ht="15" customHeight="1">
      <c r="B905" s="3" t="str">
        <f>_xlfn.IFNA(VLOOKUP(C905,Master!$J:$K,2,0),"")</f>
        <v/>
      </c>
      <c r="D905" s="4" t="str">
        <f>_xlfn.IFNA(VLOOKUP(E905,Master!$J:$K,2,0),"")</f>
        <v/>
      </c>
      <c r="F905" s="4" t="str">
        <f>_xlfn.IFNA(VLOOKUP(G905,Master!B:C,2,0),"")</f>
        <v/>
      </c>
      <c r="I905" s="3" t="str">
        <f>_xlfn.IFNA(VLOOKUP(E905,Master!$J:$M,4,0),"")</f>
        <v/>
      </c>
      <c r="J905" s="3" t="str">
        <f>_xlfn.IFNA(VLOOKUP($E905,Master!$J:$M,3,0),"")</f>
        <v/>
      </c>
      <c r="AC905" s="26">
        <f t="shared" si="28"/>
        <v>0</v>
      </c>
      <c r="AD905" s="26">
        <f t="shared" si="29"/>
        <v>0</v>
      </c>
    </row>
    <row r="906" spans="2:30" ht="15" customHeight="1">
      <c r="B906" s="3" t="str">
        <f>_xlfn.IFNA(VLOOKUP(C906,Master!$J:$K,2,0),"")</f>
        <v/>
      </c>
      <c r="D906" s="4" t="str">
        <f>_xlfn.IFNA(VLOOKUP(E906,Master!$J:$K,2,0),"")</f>
        <v/>
      </c>
      <c r="F906" s="4" t="str">
        <f>_xlfn.IFNA(VLOOKUP(G906,Master!B:C,2,0),"")</f>
        <v/>
      </c>
      <c r="I906" s="3" t="str">
        <f>_xlfn.IFNA(VLOOKUP(E906,Master!$J:$M,4,0),"")</f>
        <v/>
      </c>
      <c r="J906" s="3" t="str">
        <f>_xlfn.IFNA(VLOOKUP($E906,Master!$J:$M,3,0),"")</f>
        <v/>
      </c>
      <c r="AC906" s="26">
        <f t="shared" si="28"/>
        <v>0</v>
      </c>
      <c r="AD906" s="26">
        <f t="shared" si="29"/>
        <v>0</v>
      </c>
    </row>
    <row r="907" spans="2:30" ht="15" customHeight="1">
      <c r="B907" s="3" t="str">
        <f>_xlfn.IFNA(VLOOKUP(C907,Master!$J:$K,2,0),"")</f>
        <v/>
      </c>
      <c r="D907" s="4" t="str">
        <f>_xlfn.IFNA(VLOOKUP(E907,Master!$J:$K,2,0),"")</f>
        <v/>
      </c>
      <c r="F907" s="4" t="str">
        <f>_xlfn.IFNA(VLOOKUP(G907,Master!B:C,2,0),"")</f>
        <v/>
      </c>
      <c r="I907" s="3" t="str">
        <f>_xlfn.IFNA(VLOOKUP(E907,Master!$J:$M,4,0),"")</f>
        <v/>
      </c>
      <c r="J907" s="3" t="str">
        <f>_xlfn.IFNA(VLOOKUP($E907,Master!$J:$M,3,0),"")</f>
        <v/>
      </c>
      <c r="AC907" s="26">
        <f t="shared" si="28"/>
        <v>0</v>
      </c>
      <c r="AD907" s="26">
        <f t="shared" si="29"/>
        <v>0</v>
      </c>
    </row>
    <row r="908" spans="2:30" ht="15" customHeight="1">
      <c r="B908" s="3" t="str">
        <f>_xlfn.IFNA(VLOOKUP(C908,Master!$J:$K,2,0),"")</f>
        <v/>
      </c>
      <c r="D908" s="4" t="str">
        <f>_xlfn.IFNA(VLOOKUP(E908,Master!$J:$K,2,0),"")</f>
        <v/>
      </c>
      <c r="F908" s="4" t="str">
        <f>_xlfn.IFNA(VLOOKUP(G908,Master!B:C,2,0),"")</f>
        <v/>
      </c>
      <c r="I908" s="3" t="str">
        <f>_xlfn.IFNA(VLOOKUP(E908,Master!$J:$M,4,0),"")</f>
        <v/>
      </c>
      <c r="J908" s="3" t="str">
        <f>_xlfn.IFNA(VLOOKUP($E908,Master!$J:$M,3,0),"")</f>
        <v/>
      </c>
      <c r="AC908" s="26">
        <f t="shared" si="28"/>
        <v>0</v>
      </c>
      <c r="AD908" s="26">
        <f t="shared" si="29"/>
        <v>0</v>
      </c>
    </row>
    <row r="909" spans="2:30" ht="15" customHeight="1">
      <c r="B909" s="3" t="str">
        <f>_xlfn.IFNA(VLOOKUP(C909,Master!$J:$K,2,0),"")</f>
        <v/>
      </c>
      <c r="D909" s="4" t="str">
        <f>_xlfn.IFNA(VLOOKUP(E909,Master!$J:$K,2,0),"")</f>
        <v/>
      </c>
      <c r="F909" s="4" t="str">
        <f>_xlfn.IFNA(VLOOKUP(G909,Master!B:C,2,0),"")</f>
        <v/>
      </c>
      <c r="I909" s="3" t="str">
        <f>_xlfn.IFNA(VLOOKUP(E909,Master!$J:$M,4,0),"")</f>
        <v/>
      </c>
      <c r="J909" s="3" t="str">
        <f>_xlfn.IFNA(VLOOKUP($E909,Master!$J:$M,3,0),"")</f>
        <v/>
      </c>
      <c r="AC909" s="26">
        <f t="shared" ref="AC909:AC972" si="30">SUM(K909:P909)</f>
        <v>0</v>
      </c>
      <c r="AD909" s="26">
        <f t="shared" ref="AD909:AD972" si="31">SUM(Q909:AB909)</f>
        <v>0</v>
      </c>
    </row>
    <row r="910" spans="2:30" ht="15" customHeight="1">
      <c r="B910" s="3" t="str">
        <f>_xlfn.IFNA(VLOOKUP(C910,Master!$J:$K,2,0),"")</f>
        <v/>
      </c>
      <c r="D910" s="4" t="str">
        <f>_xlfn.IFNA(VLOOKUP(E910,Master!$J:$K,2,0),"")</f>
        <v/>
      </c>
      <c r="F910" s="4" t="str">
        <f>_xlfn.IFNA(VLOOKUP(G910,Master!B:C,2,0),"")</f>
        <v/>
      </c>
      <c r="I910" s="3" t="str">
        <f>_xlfn.IFNA(VLOOKUP(E910,Master!$J:$M,4,0),"")</f>
        <v/>
      </c>
      <c r="J910" s="3" t="str">
        <f>_xlfn.IFNA(VLOOKUP($E910,Master!$J:$M,3,0),"")</f>
        <v/>
      </c>
      <c r="AC910" s="26">
        <f t="shared" si="30"/>
        <v>0</v>
      </c>
      <c r="AD910" s="26">
        <f t="shared" si="31"/>
        <v>0</v>
      </c>
    </row>
    <row r="911" spans="2:30" ht="15" customHeight="1">
      <c r="B911" s="3" t="str">
        <f>_xlfn.IFNA(VLOOKUP(C911,Master!$J:$K,2,0),"")</f>
        <v/>
      </c>
      <c r="D911" s="4" t="str">
        <f>_xlfn.IFNA(VLOOKUP(E911,Master!$J:$K,2,0),"")</f>
        <v/>
      </c>
      <c r="F911" s="4" t="str">
        <f>_xlfn.IFNA(VLOOKUP(G911,Master!B:C,2,0),"")</f>
        <v/>
      </c>
      <c r="I911" s="3" t="str">
        <f>_xlfn.IFNA(VLOOKUP(E911,Master!$J:$M,4,0),"")</f>
        <v/>
      </c>
      <c r="J911" s="3" t="str">
        <f>_xlfn.IFNA(VLOOKUP($E911,Master!$J:$M,3,0),"")</f>
        <v/>
      </c>
      <c r="AC911" s="26">
        <f t="shared" si="30"/>
        <v>0</v>
      </c>
      <c r="AD911" s="26">
        <f t="shared" si="31"/>
        <v>0</v>
      </c>
    </row>
    <row r="912" spans="2:30" ht="15" customHeight="1">
      <c r="B912" s="3" t="str">
        <f>_xlfn.IFNA(VLOOKUP(C912,Master!$J:$K,2,0),"")</f>
        <v/>
      </c>
      <c r="D912" s="4" t="str">
        <f>_xlfn.IFNA(VLOOKUP(E912,Master!$J:$K,2,0),"")</f>
        <v/>
      </c>
      <c r="F912" s="4" t="str">
        <f>_xlfn.IFNA(VLOOKUP(G912,Master!B:C,2,0),"")</f>
        <v/>
      </c>
      <c r="I912" s="3" t="str">
        <f>_xlfn.IFNA(VLOOKUP(E912,Master!$J:$M,4,0),"")</f>
        <v/>
      </c>
      <c r="J912" s="3" t="str">
        <f>_xlfn.IFNA(VLOOKUP($E912,Master!$J:$M,3,0),"")</f>
        <v/>
      </c>
      <c r="AC912" s="26">
        <f t="shared" si="30"/>
        <v>0</v>
      </c>
      <c r="AD912" s="26">
        <f t="shared" si="31"/>
        <v>0</v>
      </c>
    </row>
    <row r="913" spans="2:30" ht="15" customHeight="1">
      <c r="B913" s="3" t="str">
        <f>_xlfn.IFNA(VLOOKUP(C913,Master!$J:$K,2,0),"")</f>
        <v/>
      </c>
      <c r="D913" s="4" t="str">
        <f>_xlfn.IFNA(VLOOKUP(E913,Master!$J:$K,2,0),"")</f>
        <v/>
      </c>
      <c r="F913" s="4" t="str">
        <f>_xlfn.IFNA(VLOOKUP(G913,Master!B:C,2,0),"")</f>
        <v/>
      </c>
      <c r="I913" s="3" t="str">
        <f>_xlfn.IFNA(VLOOKUP(E913,Master!$J:$M,4,0),"")</f>
        <v/>
      </c>
      <c r="J913" s="3" t="str">
        <f>_xlfn.IFNA(VLOOKUP($E913,Master!$J:$M,3,0),"")</f>
        <v/>
      </c>
      <c r="AC913" s="26">
        <f t="shared" si="30"/>
        <v>0</v>
      </c>
      <c r="AD913" s="26">
        <f t="shared" si="31"/>
        <v>0</v>
      </c>
    </row>
    <row r="914" spans="2:30" ht="15" customHeight="1">
      <c r="B914" s="3" t="str">
        <f>_xlfn.IFNA(VLOOKUP(C914,Master!$J:$K,2,0),"")</f>
        <v/>
      </c>
      <c r="D914" s="4" t="str">
        <f>_xlfn.IFNA(VLOOKUP(E914,Master!$J:$K,2,0),"")</f>
        <v/>
      </c>
      <c r="F914" s="4" t="str">
        <f>_xlfn.IFNA(VLOOKUP(G914,Master!B:C,2,0),"")</f>
        <v/>
      </c>
      <c r="I914" s="3" t="str">
        <f>_xlfn.IFNA(VLOOKUP(E914,Master!$J:$M,4,0),"")</f>
        <v/>
      </c>
      <c r="J914" s="3" t="str">
        <f>_xlfn.IFNA(VLOOKUP($E914,Master!$J:$M,3,0),"")</f>
        <v/>
      </c>
      <c r="AC914" s="26">
        <f t="shared" si="30"/>
        <v>0</v>
      </c>
      <c r="AD914" s="26">
        <f t="shared" si="31"/>
        <v>0</v>
      </c>
    </row>
    <row r="915" spans="2:30" ht="15" customHeight="1">
      <c r="B915" s="3" t="str">
        <f>_xlfn.IFNA(VLOOKUP(C915,Master!$J:$K,2,0),"")</f>
        <v/>
      </c>
      <c r="D915" s="4" t="str">
        <f>_xlfn.IFNA(VLOOKUP(E915,Master!$J:$K,2,0),"")</f>
        <v/>
      </c>
      <c r="F915" s="4" t="str">
        <f>_xlfn.IFNA(VLOOKUP(G915,Master!B:C,2,0),"")</f>
        <v/>
      </c>
      <c r="I915" s="3" t="str">
        <f>_xlfn.IFNA(VLOOKUP(E915,Master!$J:$M,4,0),"")</f>
        <v/>
      </c>
      <c r="J915" s="3" t="str">
        <f>_xlfn.IFNA(VLOOKUP($E915,Master!$J:$M,3,0),"")</f>
        <v/>
      </c>
      <c r="AC915" s="26">
        <f t="shared" si="30"/>
        <v>0</v>
      </c>
      <c r="AD915" s="26">
        <f t="shared" si="31"/>
        <v>0</v>
      </c>
    </row>
    <row r="916" spans="2:30" ht="15" customHeight="1">
      <c r="B916" s="3" t="str">
        <f>_xlfn.IFNA(VLOOKUP(C916,Master!$J:$K,2,0),"")</f>
        <v/>
      </c>
      <c r="D916" s="4" t="str">
        <f>_xlfn.IFNA(VLOOKUP(E916,Master!$J:$K,2,0),"")</f>
        <v/>
      </c>
      <c r="F916" s="4" t="str">
        <f>_xlfn.IFNA(VLOOKUP(G916,Master!B:C,2,0),"")</f>
        <v/>
      </c>
      <c r="I916" s="3" t="str">
        <f>_xlfn.IFNA(VLOOKUP(E916,Master!$J:$M,4,0),"")</f>
        <v/>
      </c>
      <c r="J916" s="3" t="str">
        <f>_xlfn.IFNA(VLOOKUP($E916,Master!$J:$M,3,0),"")</f>
        <v/>
      </c>
      <c r="AC916" s="26">
        <f t="shared" si="30"/>
        <v>0</v>
      </c>
      <c r="AD916" s="26">
        <f t="shared" si="31"/>
        <v>0</v>
      </c>
    </row>
    <row r="917" spans="2:30" ht="15" customHeight="1">
      <c r="B917" s="3" t="str">
        <f>_xlfn.IFNA(VLOOKUP(C917,Master!$J:$K,2,0),"")</f>
        <v/>
      </c>
      <c r="D917" s="4" t="str">
        <f>_xlfn.IFNA(VLOOKUP(E917,Master!$J:$K,2,0),"")</f>
        <v/>
      </c>
      <c r="F917" s="4" t="str">
        <f>_xlfn.IFNA(VLOOKUP(G917,Master!B:C,2,0),"")</f>
        <v/>
      </c>
      <c r="I917" s="3" t="str">
        <f>_xlfn.IFNA(VLOOKUP(E917,Master!$J:$M,4,0),"")</f>
        <v/>
      </c>
      <c r="J917" s="3" t="str">
        <f>_xlfn.IFNA(VLOOKUP($E917,Master!$J:$M,3,0),"")</f>
        <v/>
      </c>
      <c r="AC917" s="26">
        <f t="shared" si="30"/>
        <v>0</v>
      </c>
      <c r="AD917" s="26">
        <f t="shared" si="31"/>
        <v>0</v>
      </c>
    </row>
    <row r="918" spans="2:30" ht="15" customHeight="1">
      <c r="B918" s="3" t="str">
        <f>_xlfn.IFNA(VLOOKUP(C918,Master!$J:$K,2,0),"")</f>
        <v/>
      </c>
      <c r="D918" s="4" t="str">
        <f>_xlfn.IFNA(VLOOKUP(E918,Master!$J:$K,2,0),"")</f>
        <v/>
      </c>
      <c r="F918" s="4" t="str">
        <f>_xlfn.IFNA(VLOOKUP(G918,Master!B:C,2,0),"")</f>
        <v/>
      </c>
      <c r="I918" s="3" t="str">
        <f>_xlfn.IFNA(VLOOKUP(E918,Master!$J:$M,4,0),"")</f>
        <v/>
      </c>
      <c r="J918" s="3" t="str">
        <f>_xlfn.IFNA(VLOOKUP($E918,Master!$J:$M,3,0),"")</f>
        <v/>
      </c>
      <c r="AC918" s="26">
        <f t="shared" si="30"/>
        <v>0</v>
      </c>
      <c r="AD918" s="26">
        <f t="shared" si="31"/>
        <v>0</v>
      </c>
    </row>
    <row r="919" spans="2:30" ht="15" customHeight="1">
      <c r="B919" s="3" t="str">
        <f>_xlfn.IFNA(VLOOKUP(C919,Master!$J:$K,2,0),"")</f>
        <v/>
      </c>
      <c r="D919" s="4" t="str">
        <f>_xlfn.IFNA(VLOOKUP(E919,Master!$J:$K,2,0),"")</f>
        <v/>
      </c>
      <c r="F919" s="4" t="str">
        <f>_xlfn.IFNA(VLOOKUP(G919,Master!B:C,2,0),"")</f>
        <v/>
      </c>
      <c r="I919" s="3" t="str">
        <f>_xlfn.IFNA(VLOOKUP(E919,Master!$J:$M,4,0),"")</f>
        <v/>
      </c>
      <c r="J919" s="3" t="str">
        <f>_xlfn.IFNA(VLOOKUP($E919,Master!$J:$M,3,0),"")</f>
        <v/>
      </c>
      <c r="AC919" s="26">
        <f t="shared" si="30"/>
        <v>0</v>
      </c>
      <c r="AD919" s="26">
        <f t="shared" si="31"/>
        <v>0</v>
      </c>
    </row>
    <row r="920" spans="2:30" ht="15" customHeight="1">
      <c r="B920" s="3" t="str">
        <f>_xlfn.IFNA(VLOOKUP(C920,Master!$J:$K,2,0),"")</f>
        <v/>
      </c>
      <c r="D920" s="4" t="str">
        <f>_xlfn.IFNA(VLOOKUP(E920,Master!$J:$K,2,0),"")</f>
        <v/>
      </c>
      <c r="F920" s="4" t="str">
        <f>_xlfn.IFNA(VLOOKUP(G920,Master!B:C,2,0),"")</f>
        <v/>
      </c>
      <c r="I920" s="3" t="str">
        <f>_xlfn.IFNA(VLOOKUP(E920,Master!$J:$M,4,0),"")</f>
        <v/>
      </c>
      <c r="J920" s="3" t="str">
        <f>_xlfn.IFNA(VLOOKUP($E920,Master!$J:$M,3,0),"")</f>
        <v/>
      </c>
      <c r="AC920" s="26">
        <f t="shared" si="30"/>
        <v>0</v>
      </c>
      <c r="AD920" s="26">
        <f t="shared" si="31"/>
        <v>0</v>
      </c>
    </row>
    <row r="921" spans="2:30" ht="15" customHeight="1">
      <c r="B921" s="3" t="str">
        <f>_xlfn.IFNA(VLOOKUP(C921,Master!$J:$K,2,0),"")</f>
        <v/>
      </c>
      <c r="D921" s="4" t="str">
        <f>_xlfn.IFNA(VLOOKUP(E921,Master!$J:$K,2,0),"")</f>
        <v/>
      </c>
      <c r="F921" s="4" t="str">
        <f>_xlfn.IFNA(VLOOKUP(G921,Master!B:C,2,0),"")</f>
        <v/>
      </c>
      <c r="I921" s="3" t="str">
        <f>_xlfn.IFNA(VLOOKUP(E921,Master!$J:$M,4,0),"")</f>
        <v/>
      </c>
      <c r="J921" s="3" t="str">
        <f>_xlfn.IFNA(VLOOKUP($E921,Master!$J:$M,3,0),"")</f>
        <v/>
      </c>
      <c r="AC921" s="26">
        <f t="shared" si="30"/>
        <v>0</v>
      </c>
      <c r="AD921" s="26">
        <f t="shared" si="31"/>
        <v>0</v>
      </c>
    </row>
    <row r="922" spans="2:30" ht="15" customHeight="1">
      <c r="B922" s="3" t="str">
        <f>_xlfn.IFNA(VLOOKUP(C922,Master!$J:$K,2,0),"")</f>
        <v/>
      </c>
      <c r="D922" s="4" t="str">
        <f>_xlfn.IFNA(VLOOKUP(E922,Master!$J:$K,2,0),"")</f>
        <v/>
      </c>
      <c r="F922" s="4" t="str">
        <f>_xlfn.IFNA(VLOOKUP(G922,Master!B:C,2,0),"")</f>
        <v/>
      </c>
      <c r="I922" s="3" t="str">
        <f>_xlfn.IFNA(VLOOKUP(E922,Master!$J:$M,4,0),"")</f>
        <v/>
      </c>
      <c r="J922" s="3" t="str">
        <f>_xlfn.IFNA(VLOOKUP($E922,Master!$J:$M,3,0),"")</f>
        <v/>
      </c>
      <c r="AC922" s="26">
        <f t="shared" si="30"/>
        <v>0</v>
      </c>
      <c r="AD922" s="26">
        <f t="shared" si="31"/>
        <v>0</v>
      </c>
    </row>
    <row r="923" spans="2:30" ht="15" customHeight="1">
      <c r="B923" s="3" t="str">
        <f>_xlfn.IFNA(VLOOKUP(C923,Master!$J:$K,2,0),"")</f>
        <v/>
      </c>
      <c r="D923" s="4" t="str">
        <f>_xlfn.IFNA(VLOOKUP(E923,Master!$J:$K,2,0),"")</f>
        <v/>
      </c>
      <c r="F923" s="4" t="str">
        <f>_xlfn.IFNA(VLOOKUP(G923,Master!B:C,2,0),"")</f>
        <v/>
      </c>
      <c r="I923" s="3" t="str">
        <f>_xlfn.IFNA(VLOOKUP(E923,Master!$J:$M,4,0),"")</f>
        <v/>
      </c>
      <c r="J923" s="3" t="str">
        <f>_xlfn.IFNA(VLOOKUP($E923,Master!$J:$M,3,0),"")</f>
        <v/>
      </c>
      <c r="AC923" s="26">
        <f t="shared" si="30"/>
        <v>0</v>
      </c>
      <c r="AD923" s="26">
        <f t="shared" si="31"/>
        <v>0</v>
      </c>
    </row>
    <row r="924" spans="2:30" ht="15" customHeight="1">
      <c r="B924" s="3" t="str">
        <f>_xlfn.IFNA(VLOOKUP(C924,Master!$J:$K,2,0),"")</f>
        <v/>
      </c>
      <c r="D924" s="4" t="str">
        <f>_xlfn.IFNA(VLOOKUP(E924,Master!$J:$K,2,0),"")</f>
        <v/>
      </c>
      <c r="F924" s="4" t="str">
        <f>_xlfn.IFNA(VLOOKUP(G924,Master!B:C,2,0),"")</f>
        <v/>
      </c>
      <c r="I924" s="3" t="str">
        <f>_xlfn.IFNA(VLOOKUP(E924,Master!$J:$M,4,0),"")</f>
        <v/>
      </c>
      <c r="J924" s="3" t="str">
        <f>_xlfn.IFNA(VLOOKUP($E924,Master!$J:$M,3,0),"")</f>
        <v/>
      </c>
      <c r="AC924" s="26">
        <f t="shared" si="30"/>
        <v>0</v>
      </c>
      <c r="AD924" s="26">
        <f t="shared" si="31"/>
        <v>0</v>
      </c>
    </row>
    <row r="925" spans="2:30" ht="15" customHeight="1">
      <c r="B925" s="3" t="str">
        <f>_xlfn.IFNA(VLOOKUP(C925,Master!$J:$K,2,0),"")</f>
        <v/>
      </c>
      <c r="D925" s="4" t="str">
        <f>_xlfn.IFNA(VLOOKUP(E925,Master!$J:$K,2,0),"")</f>
        <v/>
      </c>
      <c r="F925" s="4" t="str">
        <f>_xlfn.IFNA(VLOOKUP(G925,Master!B:C,2,0),"")</f>
        <v/>
      </c>
      <c r="I925" s="3" t="str">
        <f>_xlfn.IFNA(VLOOKUP(E925,Master!$J:$M,4,0),"")</f>
        <v/>
      </c>
      <c r="J925" s="3" t="str">
        <f>_xlfn.IFNA(VLOOKUP($E925,Master!$J:$M,3,0),"")</f>
        <v/>
      </c>
      <c r="AC925" s="26">
        <f t="shared" si="30"/>
        <v>0</v>
      </c>
      <c r="AD925" s="26">
        <f t="shared" si="31"/>
        <v>0</v>
      </c>
    </row>
    <row r="926" spans="2:30" ht="15" customHeight="1">
      <c r="B926" s="3" t="str">
        <f>_xlfn.IFNA(VLOOKUP(C926,Master!$J:$K,2,0),"")</f>
        <v/>
      </c>
      <c r="D926" s="4" t="str">
        <f>_xlfn.IFNA(VLOOKUP(E926,Master!$J:$K,2,0),"")</f>
        <v/>
      </c>
      <c r="F926" s="4" t="str">
        <f>_xlfn.IFNA(VLOOKUP(G926,Master!B:C,2,0),"")</f>
        <v/>
      </c>
      <c r="I926" s="3" t="str">
        <f>_xlfn.IFNA(VLOOKUP(E926,Master!$J:$M,4,0),"")</f>
        <v/>
      </c>
      <c r="J926" s="3" t="str">
        <f>_xlfn.IFNA(VLOOKUP($E926,Master!$J:$M,3,0),"")</f>
        <v/>
      </c>
      <c r="AC926" s="26">
        <f t="shared" si="30"/>
        <v>0</v>
      </c>
      <c r="AD926" s="26">
        <f t="shared" si="31"/>
        <v>0</v>
      </c>
    </row>
    <row r="927" spans="2:30" ht="15" customHeight="1">
      <c r="B927" s="3" t="str">
        <f>_xlfn.IFNA(VLOOKUP(C927,Master!$J:$K,2,0),"")</f>
        <v/>
      </c>
      <c r="D927" s="4" t="str">
        <f>_xlfn.IFNA(VLOOKUP(E927,Master!$J:$K,2,0),"")</f>
        <v/>
      </c>
      <c r="F927" s="4" t="str">
        <f>_xlfn.IFNA(VLOOKUP(G927,Master!B:C,2,0),"")</f>
        <v/>
      </c>
      <c r="I927" s="3" t="str">
        <f>_xlfn.IFNA(VLOOKUP(E927,Master!$J:$M,4,0),"")</f>
        <v/>
      </c>
      <c r="J927" s="3" t="str">
        <f>_xlfn.IFNA(VLOOKUP($E927,Master!$J:$M,3,0),"")</f>
        <v/>
      </c>
      <c r="AC927" s="26">
        <f t="shared" si="30"/>
        <v>0</v>
      </c>
      <c r="AD927" s="26">
        <f t="shared" si="31"/>
        <v>0</v>
      </c>
    </row>
    <row r="928" spans="2:30" ht="15" customHeight="1">
      <c r="B928" s="3" t="str">
        <f>_xlfn.IFNA(VLOOKUP(C928,Master!$J:$K,2,0),"")</f>
        <v/>
      </c>
      <c r="D928" s="4" t="str">
        <f>_xlfn.IFNA(VLOOKUP(E928,Master!$J:$K,2,0),"")</f>
        <v/>
      </c>
      <c r="F928" s="4" t="str">
        <f>_xlfn.IFNA(VLOOKUP(G928,Master!B:C,2,0),"")</f>
        <v/>
      </c>
      <c r="I928" s="3" t="str">
        <f>_xlfn.IFNA(VLOOKUP(E928,Master!$J:$M,4,0),"")</f>
        <v/>
      </c>
      <c r="J928" s="3" t="str">
        <f>_xlfn.IFNA(VLOOKUP($E928,Master!$J:$M,3,0),"")</f>
        <v/>
      </c>
      <c r="AC928" s="26">
        <f t="shared" si="30"/>
        <v>0</v>
      </c>
      <c r="AD928" s="26">
        <f t="shared" si="31"/>
        <v>0</v>
      </c>
    </row>
    <row r="929" spans="2:30" ht="15" customHeight="1">
      <c r="B929" s="3" t="str">
        <f>_xlfn.IFNA(VLOOKUP(C929,Master!$J:$K,2,0),"")</f>
        <v/>
      </c>
      <c r="D929" s="4" t="str">
        <f>_xlfn.IFNA(VLOOKUP(E929,Master!$J:$K,2,0),"")</f>
        <v/>
      </c>
      <c r="F929" s="4" t="str">
        <f>_xlfn.IFNA(VLOOKUP(G929,Master!B:C,2,0),"")</f>
        <v/>
      </c>
      <c r="I929" s="3" t="str">
        <f>_xlfn.IFNA(VLOOKUP(E929,Master!$J:$M,4,0),"")</f>
        <v/>
      </c>
      <c r="J929" s="3" t="str">
        <f>_xlfn.IFNA(VLOOKUP($E929,Master!$J:$M,3,0),"")</f>
        <v/>
      </c>
      <c r="AC929" s="26">
        <f t="shared" si="30"/>
        <v>0</v>
      </c>
      <c r="AD929" s="26">
        <f t="shared" si="31"/>
        <v>0</v>
      </c>
    </row>
    <row r="930" spans="2:30" ht="15" customHeight="1">
      <c r="B930" s="3" t="str">
        <f>_xlfn.IFNA(VLOOKUP(C930,Master!$J:$K,2,0),"")</f>
        <v/>
      </c>
      <c r="D930" s="4" t="str">
        <f>_xlfn.IFNA(VLOOKUP(E930,Master!$J:$K,2,0),"")</f>
        <v/>
      </c>
      <c r="F930" s="4" t="str">
        <f>_xlfn.IFNA(VLOOKUP(G930,Master!B:C,2,0),"")</f>
        <v/>
      </c>
      <c r="I930" s="3" t="str">
        <f>_xlfn.IFNA(VLOOKUP(E930,Master!$J:$M,4,0),"")</f>
        <v/>
      </c>
      <c r="J930" s="3" t="str">
        <f>_xlfn.IFNA(VLOOKUP($E930,Master!$J:$M,3,0),"")</f>
        <v/>
      </c>
      <c r="AC930" s="26">
        <f t="shared" si="30"/>
        <v>0</v>
      </c>
      <c r="AD930" s="26">
        <f t="shared" si="31"/>
        <v>0</v>
      </c>
    </row>
    <row r="931" spans="2:30" ht="15" customHeight="1">
      <c r="B931" s="3" t="str">
        <f>_xlfn.IFNA(VLOOKUP(C931,Master!$J:$K,2,0),"")</f>
        <v/>
      </c>
      <c r="D931" s="4" t="str">
        <f>_xlfn.IFNA(VLOOKUP(E931,Master!$J:$K,2,0),"")</f>
        <v/>
      </c>
      <c r="F931" s="4" t="str">
        <f>_xlfn.IFNA(VLOOKUP(G931,Master!B:C,2,0),"")</f>
        <v/>
      </c>
      <c r="I931" s="3" t="str">
        <f>_xlfn.IFNA(VLOOKUP(E931,Master!$J:$M,4,0),"")</f>
        <v/>
      </c>
      <c r="J931" s="3" t="str">
        <f>_xlfn.IFNA(VLOOKUP($E931,Master!$J:$M,3,0),"")</f>
        <v/>
      </c>
      <c r="AC931" s="26">
        <f t="shared" si="30"/>
        <v>0</v>
      </c>
      <c r="AD931" s="26">
        <f t="shared" si="31"/>
        <v>0</v>
      </c>
    </row>
    <row r="932" spans="2:30" ht="15" customHeight="1">
      <c r="B932" s="3" t="str">
        <f>_xlfn.IFNA(VLOOKUP(C932,Master!$J:$K,2,0),"")</f>
        <v/>
      </c>
      <c r="D932" s="4" t="str">
        <f>_xlfn.IFNA(VLOOKUP(E932,Master!$J:$K,2,0),"")</f>
        <v/>
      </c>
      <c r="F932" s="4" t="str">
        <f>_xlfn.IFNA(VLOOKUP(G932,Master!B:C,2,0),"")</f>
        <v/>
      </c>
      <c r="I932" s="3" t="str">
        <f>_xlfn.IFNA(VLOOKUP(E932,Master!$J:$M,4,0),"")</f>
        <v/>
      </c>
      <c r="J932" s="3" t="str">
        <f>_xlfn.IFNA(VLOOKUP($E932,Master!$J:$M,3,0),"")</f>
        <v/>
      </c>
      <c r="AC932" s="26">
        <f t="shared" si="30"/>
        <v>0</v>
      </c>
      <c r="AD932" s="26">
        <f t="shared" si="31"/>
        <v>0</v>
      </c>
    </row>
    <row r="933" spans="2:30" ht="15" customHeight="1">
      <c r="B933" s="3" t="str">
        <f>_xlfn.IFNA(VLOOKUP(C933,Master!$J:$K,2,0),"")</f>
        <v/>
      </c>
      <c r="D933" s="4" t="str">
        <f>_xlfn.IFNA(VLOOKUP(E933,Master!$J:$K,2,0),"")</f>
        <v/>
      </c>
      <c r="F933" s="4" t="str">
        <f>_xlfn.IFNA(VLOOKUP(G933,Master!B:C,2,0),"")</f>
        <v/>
      </c>
      <c r="I933" s="3" t="str">
        <f>_xlfn.IFNA(VLOOKUP(E933,Master!$J:$M,4,0),"")</f>
        <v/>
      </c>
      <c r="J933" s="3" t="str">
        <f>_xlfn.IFNA(VLOOKUP($E933,Master!$J:$M,3,0),"")</f>
        <v/>
      </c>
      <c r="AC933" s="26">
        <f t="shared" si="30"/>
        <v>0</v>
      </c>
      <c r="AD933" s="26">
        <f t="shared" si="31"/>
        <v>0</v>
      </c>
    </row>
    <row r="934" spans="2:30" ht="15" customHeight="1">
      <c r="B934" s="3" t="str">
        <f>_xlfn.IFNA(VLOOKUP(C934,Master!$J:$K,2,0),"")</f>
        <v/>
      </c>
      <c r="D934" s="4" t="str">
        <f>_xlfn.IFNA(VLOOKUP(E934,Master!$J:$K,2,0),"")</f>
        <v/>
      </c>
      <c r="F934" s="4" t="str">
        <f>_xlfn.IFNA(VLOOKUP(G934,Master!B:C,2,0),"")</f>
        <v/>
      </c>
      <c r="I934" s="3" t="str">
        <f>_xlfn.IFNA(VLOOKUP(E934,Master!$J:$M,4,0),"")</f>
        <v/>
      </c>
      <c r="J934" s="3" t="str">
        <f>_xlfn.IFNA(VLOOKUP($E934,Master!$J:$M,3,0),"")</f>
        <v/>
      </c>
      <c r="AC934" s="26">
        <f t="shared" si="30"/>
        <v>0</v>
      </c>
      <c r="AD934" s="26">
        <f t="shared" si="31"/>
        <v>0</v>
      </c>
    </row>
    <row r="935" spans="2:30" ht="15" customHeight="1">
      <c r="B935" s="3" t="str">
        <f>_xlfn.IFNA(VLOOKUP(C935,Master!$J:$K,2,0),"")</f>
        <v/>
      </c>
      <c r="D935" s="4" t="str">
        <f>_xlfn.IFNA(VLOOKUP(E935,Master!$J:$K,2,0),"")</f>
        <v/>
      </c>
      <c r="F935" s="4" t="str">
        <f>_xlfn.IFNA(VLOOKUP(G935,Master!B:C,2,0),"")</f>
        <v/>
      </c>
      <c r="I935" s="3" t="str">
        <f>_xlfn.IFNA(VLOOKUP(E935,Master!$J:$M,4,0),"")</f>
        <v/>
      </c>
      <c r="J935" s="3" t="str">
        <f>_xlfn.IFNA(VLOOKUP($E935,Master!$J:$M,3,0),"")</f>
        <v/>
      </c>
      <c r="AC935" s="26">
        <f t="shared" si="30"/>
        <v>0</v>
      </c>
      <c r="AD935" s="26">
        <f t="shared" si="31"/>
        <v>0</v>
      </c>
    </row>
    <row r="936" spans="2:30" ht="15" customHeight="1">
      <c r="B936" s="3" t="str">
        <f>_xlfn.IFNA(VLOOKUP(C936,Master!$J:$K,2,0),"")</f>
        <v/>
      </c>
      <c r="D936" s="4" t="str">
        <f>_xlfn.IFNA(VLOOKUP(E936,Master!$J:$K,2,0),"")</f>
        <v/>
      </c>
      <c r="F936" s="4" t="str">
        <f>_xlfn.IFNA(VLOOKUP(G936,Master!B:C,2,0),"")</f>
        <v/>
      </c>
      <c r="I936" s="3" t="str">
        <f>_xlfn.IFNA(VLOOKUP(E936,Master!$J:$M,4,0),"")</f>
        <v/>
      </c>
      <c r="J936" s="3" t="str">
        <f>_xlfn.IFNA(VLOOKUP($E936,Master!$J:$M,3,0),"")</f>
        <v/>
      </c>
      <c r="AC936" s="26">
        <f t="shared" si="30"/>
        <v>0</v>
      </c>
      <c r="AD936" s="26">
        <f t="shared" si="31"/>
        <v>0</v>
      </c>
    </row>
    <row r="937" spans="2:30" ht="15" customHeight="1">
      <c r="B937" s="3" t="str">
        <f>_xlfn.IFNA(VLOOKUP(C937,Master!$J:$K,2,0),"")</f>
        <v/>
      </c>
      <c r="D937" s="4" t="str">
        <f>_xlfn.IFNA(VLOOKUP(E937,Master!$J:$K,2,0),"")</f>
        <v/>
      </c>
      <c r="F937" s="4" t="str">
        <f>_xlfn.IFNA(VLOOKUP(G937,Master!B:C,2,0),"")</f>
        <v/>
      </c>
      <c r="I937" s="3" t="str">
        <f>_xlfn.IFNA(VLOOKUP(E937,Master!$J:$M,4,0),"")</f>
        <v/>
      </c>
      <c r="J937" s="3" t="str">
        <f>_xlfn.IFNA(VLOOKUP($E937,Master!$J:$M,3,0),"")</f>
        <v/>
      </c>
      <c r="AC937" s="26">
        <f t="shared" si="30"/>
        <v>0</v>
      </c>
      <c r="AD937" s="26">
        <f t="shared" si="31"/>
        <v>0</v>
      </c>
    </row>
    <row r="938" spans="2:30" ht="15" customHeight="1">
      <c r="B938" s="3" t="str">
        <f>_xlfn.IFNA(VLOOKUP(C938,Master!$J:$K,2,0),"")</f>
        <v/>
      </c>
      <c r="D938" s="4" t="str">
        <f>_xlfn.IFNA(VLOOKUP(E938,Master!$J:$K,2,0),"")</f>
        <v/>
      </c>
      <c r="F938" s="4" t="str">
        <f>_xlfn.IFNA(VLOOKUP(G938,Master!B:C,2,0),"")</f>
        <v/>
      </c>
      <c r="I938" s="3" t="str">
        <f>_xlfn.IFNA(VLOOKUP(E938,Master!$J:$M,4,0),"")</f>
        <v/>
      </c>
      <c r="J938" s="3" t="str">
        <f>_xlfn.IFNA(VLOOKUP($E938,Master!$J:$M,3,0),"")</f>
        <v/>
      </c>
      <c r="AC938" s="26">
        <f t="shared" si="30"/>
        <v>0</v>
      </c>
      <c r="AD938" s="26">
        <f t="shared" si="31"/>
        <v>0</v>
      </c>
    </row>
    <row r="939" spans="2:30" ht="15" customHeight="1">
      <c r="B939" s="3" t="str">
        <f>_xlfn.IFNA(VLOOKUP(C939,Master!$J:$K,2,0),"")</f>
        <v/>
      </c>
      <c r="D939" s="4" t="str">
        <f>_xlfn.IFNA(VLOOKUP(E939,Master!$J:$K,2,0),"")</f>
        <v/>
      </c>
      <c r="F939" s="4" t="str">
        <f>_xlfn.IFNA(VLOOKUP(G939,Master!B:C,2,0),"")</f>
        <v/>
      </c>
      <c r="I939" s="3" t="str">
        <f>_xlfn.IFNA(VLOOKUP(E939,Master!$J:$M,4,0),"")</f>
        <v/>
      </c>
      <c r="J939" s="3" t="str">
        <f>_xlfn.IFNA(VLOOKUP($E939,Master!$J:$M,3,0),"")</f>
        <v/>
      </c>
      <c r="AC939" s="26">
        <f t="shared" si="30"/>
        <v>0</v>
      </c>
      <c r="AD939" s="26">
        <f t="shared" si="31"/>
        <v>0</v>
      </c>
    </row>
    <row r="940" spans="2:30" ht="15" customHeight="1">
      <c r="B940" s="3" t="str">
        <f>_xlfn.IFNA(VLOOKUP(C940,Master!$J:$K,2,0),"")</f>
        <v/>
      </c>
      <c r="D940" s="4" t="str">
        <f>_xlfn.IFNA(VLOOKUP(E940,Master!$J:$K,2,0),"")</f>
        <v/>
      </c>
      <c r="F940" s="4" t="str">
        <f>_xlfn.IFNA(VLOOKUP(G940,Master!B:C,2,0),"")</f>
        <v/>
      </c>
      <c r="I940" s="3" t="str">
        <f>_xlfn.IFNA(VLOOKUP(E940,Master!$J:$M,4,0),"")</f>
        <v/>
      </c>
      <c r="J940" s="3" t="str">
        <f>_xlfn.IFNA(VLOOKUP($E940,Master!$J:$M,3,0),"")</f>
        <v/>
      </c>
      <c r="AC940" s="26">
        <f t="shared" si="30"/>
        <v>0</v>
      </c>
      <c r="AD940" s="26">
        <f t="shared" si="31"/>
        <v>0</v>
      </c>
    </row>
    <row r="941" spans="2:30" ht="15" customHeight="1">
      <c r="B941" s="3" t="str">
        <f>_xlfn.IFNA(VLOOKUP(C941,Master!$J:$K,2,0),"")</f>
        <v/>
      </c>
      <c r="D941" s="4" t="str">
        <f>_xlfn.IFNA(VLOOKUP(E941,Master!$J:$K,2,0),"")</f>
        <v/>
      </c>
      <c r="F941" s="4" t="str">
        <f>_xlfn.IFNA(VLOOKUP(G941,Master!B:C,2,0),"")</f>
        <v/>
      </c>
      <c r="I941" s="3" t="str">
        <f>_xlfn.IFNA(VLOOKUP(E941,Master!$J:$M,4,0),"")</f>
        <v/>
      </c>
      <c r="J941" s="3" t="str">
        <f>_xlfn.IFNA(VLOOKUP($E941,Master!$J:$M,3,0),"")</f>
        <v/>
      </c>
      <c r="AC941" s="26">
        <f t="shared" si="30"/>
        <v>0</v>
      </c>
      <c r="AD941" s="26">
        <f t="shared" si="31"/>
        <v>0</v>
      </c>
    </row>
    <row r="942" spans="2:30" ht="15" customHeight="1">
      <c r="B942" s="3" t="str">
        <f>_xlfn.IFNA(VLOOKUP(C942,Master!$J:$K,2,0),"")</f>
        <v/>
      </c>
      <c r="D942" s="4" t="str">
        <f>_xlfn.IFNA(VLOOKUP(E942,Master!$J:$K,2,0),"")</f>
        <v/>
      </c>
      <c r="F942" s="4" t="str">
        <f>_xlfn.IFNA(VLOOKUP(G942,Master!B:C,2,0),"")</f>
        <v/>
      </c>
      <c r="I942" s="3" t="str">
        <f>_xlfn.IFNA(VLOOKUP(E942,Master!$J:$M,4,0),"")</f>
        <v/>
      </c>
      <c r="J942" s="3" t="str">
        <f>_xlfn.IFNA(VLOOKUP($E942,Master!$J:$M,3,0),"")</f>
        <v/>
      </c>
      <c r="AC942" s="26">
        <f t="shared" si="30"/>
        <v>0</v>
      </c>
      <c r="AD942" s="26">
        <f t="shared" si="31"/>
        <v>0</v>
      </c>
    </row>
    <row r="943" spans="2:30" ht="15" customHeight="1">
      <c r="B943" s="3" t="str">
        <f>_xlfn.IFNA(VLOOKUP(C943,Master!$J:$K,2,0),"")</f>
        <v/>
      </c>
      <c r="D943" s="4" t="str">
        <f>_xlfn.IFNA(VLOOKUP(E943,Master!$J:$K,2,0),"")</f>
        <v/>
      </c>
      <c r="F943" s="4" t="str">
        <f>_xlfn.IFNA(VLOOKUP(G943,Master!B:C,2,0),"")</f>
        <v/>
      </c>
      <c r="I943" s="3" t="str">
        <f>_xlfn.IFNA(VLOOKUP(E943,Master!$J:$M,4,0),"")</f>
        <v/>
      </c>
      <c r="J943" s="3" t="str">
        <f>_xlfn.IFNA(VLOOKUP($E943,Master!$J:$M,3,0),"")</f>
        <v/>
      </c>
      <c r="AC943" s="26">
        <f t="shared" si="30"/>
        <v>0</v>
      </c>
      <c r="AD943" s="26">
        <f t="shared" si="31"/>
        <v>0</v>
      </c>
    </row>
    <row r="944" spans="2:30" ht="15" customHeight="1">
      <c r="B944" s="3" t="str">
        <f>_xlfn.IFNA(VLOOKUP(C944,Master!$J:$K,2,0),"")</f>
        <v/>
      </c>
      <c r="D944" s="4" t="str">
        <f>_xlfn.IFNA(VLOOKUP(E944,Master!$J:$K,2,0),"")</f>
        <v/>
      </c>
      <c r="F944" s="4" t="str">
        <f>_xlfn.IFNA(VLOOKUP(G944,Master!B:C,2,0),"")</f>
        <v/>
      </c>
      <c r="I944" s="3" t="str">
        <f>_xlfn.IFNA(VLOOKUP(E944,Master!$J:$M,4,0),"")</f>
        <v/>
      </c>
      <c r="J944" s="3" t="str">
        <f>_xlfn.IFNA(VLOOKUP($E944,Master!$J:$M,3,0),"")</f>
        <v/>
      </c>
      <c r="AC944" s="26">
        <f t="shared" si="30"/>
        <v>0</v>
      </c>
      <c r="AD944" s="26">
        <f t="shared" si="31"/>
        <v>0</v>
      </c>
    </row>
    <row r="945" spans="2:30" ht="15" customHeight="1">
      <c r="B945" s="3" t="str">
        <f>_xlfn.IFNA(VLOOKUP(C945,Master!$J:$K,2,0),"")</f>
        <v/>
      </c>
      <c r="D945" s="4" t="str">
        <f>_xlfn.IFNA(VLOOKUP(E945,Master!$J:$K,2,0),"")</f>
        <v/>
      </c>
      <c r="F945" s="4" t="str">
        <f>_xlfn.IFNA(VLOOKUP(G945,Master!B:C,2,0),"")</f>
        <v/>
      </c>
      <c r="I945" s="3" t="str">
        <f>_xlfn.IFNA(VLOOKUP(E945,Master!$J:$M,4,0),"")</f>
        <v/>
      </c>
      <c r="J945" s="3" t="str">
        <f>_xlfn.IFNA(VLOOKUP($E945,Master!$J:$M,3,0),"")</f>
        <v/>
      </c>
      <c r="AC945" s="26">
        <f t="shared" si="30"/>
        <v>0</v>
      </c>
      <c r="AD945" s="26">
        <f t="shared" si="31"/>
        <v>0</v>
      </c>
    </row>
    <row r="946" spans="2:30" ht="15" customHeight="1">
      <c r="B946" s="3" t="str">
        <f>_xlfn.IFNA(VLOOKUP(C946,Master!$J:$K,2,0),"")</f>
        <v/>
      </c>
      <c r="D946" s="4" t="str">
        <f>_xlfn.IFNA(VLOOKUP(E946,Master!$J:$K,2,0),"")</f>
        <v/>
      </c>
      <c r="F946" s="4" t="str">
        <f>_xlfn.IFNA(VLOOKUP(G946,Master!B:C,2,0),"")</f>
        <v/>
      </c>
      <c r="I946" s="3" t="str">
        <f>_xlfn.IFNA(VLOOKUP(E946,Master!$J:$M,4,0),"")</f>
        <v/>
      </c>
      <c r="J946" s="3" t="str">
        <f>_xlfn.IFNA(VLOOKUP($E946,Master!$J:$M,3,0),"")</f>
        <v/>
      </c>
      <c r="AC946" s="26">
        <f t="shared" si="30"/>
        <v>0</v>
      </c>
      <c r="AD946" s="26">
        <f t="shared" si="31"/>
        <v>0</v>
      </c>
    </row>
    <row r="947" spans="2:30" ht="15" customHeight="1">
      <c r="B947" s="3" t="str">
        <f>_xlfn.IFNA(VLOOKUP(C947,Master!$J:$K,2,0),"")</f>
        <v/>
      </c>
      <c r="D947" s="4" t="str">
        <f>_xlfn.IFNA(VLOOKUP(E947,Master!$J:$K,2,0),"")</f>
        <v/>
      </c>
      <c r="F947" s="4" t="str">
        <f>_xlfn.IFNA(VLOOKUP(G947,Master!B:C,2,0),"")</f>
        <v/>
      </c>
      <c r="I947" s="3" t="str">
        <f>_xlfn.IFNA(VLOOKUP(E947,Master!$J:$M,4,0),"")</f>
        <v/>
      </c>
      <c r="J947" s="3" t="str">
        <f>_xlfn.IFNA(VLOOKUP($E947,Master!$J:$M,3,0),"")</f>
        <v/>
      </c>
      <c r="AC947" s="26">
        <f t="shared" si="30"/>
        <v>0</v>
      </c>
      <c r="AD947" s="26">
        <f t="shared" si="31"/>
        <v>0</v>
      </c>
    </row>
    <row r="948" spans="2:30" ht="15" customHeight="1">
      <c r="B948" s="3" t="str">
        <f>_xlfn.IFNA(VLOOKUP(C948,Master!$J:$K,2,0),"")</f>
        <v/>
      </c>
      <c r="D948" s="4" t="str">
        <f>_xlfn.IFNA(VLOOKUP(E948,Master!$J:$K,2,0),"")</f>
        <v/>
      </c>
      <c r="F948" s="4" t="str">
        <f>_xlfn.IFNA(VLOOKUP(G948,Master!B:C,2,0),"")</f>
        <v/>
      </c>
      <c r="I948" s="3" t="str">
        <f>_xlfn.IFNA(VLOOKUP(E948,Master!$J:$M,4,0),"")</f>
        <v/>
      </c>
      <c r="J948" s="3" t="str">
        <f>_xlfn.IFNA(VLOOKUP($E948,Master!$J:$M,3,0),"")</f>
        <v/>
      </c>
      <c r="AC948" s="26">
        <f t="shared" si="30"/>
        <v>0</v>
      </c>
      <c r="AD948" s="26">
        <f t="shared" si="31"/>
        <v>0</v>
      </c>
    </row>
    <row r="949" spans="2:30" ht="15" customHeight="1">
      <c r="B949" s="3" t="str">
        <f>_xlfn.IFNA(VLOOKUP(C949,Master!$J:$K,2,0),"")</f>
        <v/>
      </c>
      <c r="D949" s="4" t="str">
        <f>_xlfn.IFNA(VLOOKUP(E949,Master!$J:$K,2,0),"")</f>
        <v/>
      </c>
      <c r="F949" s="4" t="str">
        <f>_xlfn.IFNA(VLOOKUP(G949,Master!B:C,2,0),"")</f>
        <v/>
      </c>
      <c r="I949" s="3" t="str">
        <f>_xlfn.IFNA(VLOOKUP(E949,Master!$J:$M,4,0),"")</f>
        <v/>
      </c>
      <c r="J949" s="3" t="str">
        <f>_xlfn.IFNA(VLOOKUP($E949,Master!$J:$M,3,0),"")</f>
        <v/>
      </c>
      <c r="AC949" s="26">
        <f t="shared" si="30"/>
        <v>0</v>
      </c>
      <c r="AD949" s="26">
        <f t="shared" si="31"/>
        <v>0</v>
      </c>
    </row>
    <row r="950" spans="2:30" ht="15" customHeight="1">
      <c r="B950" s="3" t="str">
        <f>_xlfn.IFNA(VLOOKUP(C950,Master!$J:$K,2,0),"")</f>
        <v/>
      </c>
      <c r="D950" s="4" t="str">
        <f>_xlfn.IFNA(VLOOKUP(E950,Master!$J:$K,2,0),"")</f>
        <v/>
      </c>
      <c r="F950" s="4" t="str">
        <f>_xlfn.IFNA(VLOOKUP(G950,Master!B:C,2,0),"")</f>
        <v/>
      </c>
      <c r="I950" s="3" t="str">
        <f>_xlfn.IFNA(VLOOKUP(E950,Master!$J:$M,4,0),"")</f>
        <v/>
      </c>
      <c r="J950" s="3" t="str">
        <f>_xlfn.IFNA(VLOOKUP($E950,Master!$J:$M,3,0),"")</f>
        <v/>
      </c>
      <c r="AC950" s="26">
        <f t="shared" si="30"/>
        <v>0</v>
      </c>
      <c r="AD950" s="26">
        <f t="shared" si="31"/>
        <v>0</v>
      </c>
    </row>
    <row r="951" spans="2:30" ht="15" customHeight="1">
      <c r="B951" s="3" t="str">
        <f>_xlfn.IFNA(VLOOKUP(C951,Master!$J:$K,2,0),"")</f>
        <v/>
      </c>
      <c r="D951" s="4" t="str">
        <f>_xlfn.IFNA(VLOOKUP(E951,Master!$J:$K,2,0),"")</f>
        <v/>
      </c>
      <c r="F951" s="4" t="str">
        <f>_xlfn.IFNA(VLOOKUP(G951,Master!B:C,2,0),"")</f>
        <v/>
      </c>
      <c r="I951" s="3" t="str">
        <f>_xlfn.IFNA(VLOOKUP(E951,Master!$J:$M,4,0),"")</f>
        <v/>
      </c>
      <c r="J951" s="3" t="str">
        <f>_xlfn.IFNA(VLOOKUP($E951,Master!$J:$M,3,0),"")</f>
        <v/>
      </c>
      <c r="AC951" s="26">
        <f t="shared" si="30"/>
        <v>0</v>
      </c>
      <c r="AD951" s="26">
        <f t="shared" si="31"/>
        <v>0</v>
      </c>
    </row>
    <row r="952" spans="2:30" ht="15" customHeight="1">
      <c r="B952" s="3" t="str">
        <f>_xlfn.IFNA(VLOOKUP(C952,Master!$J:$K,2,0),"")</f>
        <v/>
      </c>
      <c r="D952" s="4" t="str">
        <f>_xlfn.IFNA(VLOOKUP(E952,Master!$J:$K,2,0),"")</f>
        <v/>
      </c>
      <c r="F952" s="4" t="str">
        <f>_xlfn.IFNA(VLOOKUP(G952,Master!B:C,2,0),"")</f>
        <v/>
      </c>
      <c r="I952" s="3" t="str">
        <f>_xlfn.IFNA(VLOOKUP(E952,Master!$J:$M,4,0),"")</f>
        <v/>
      </c>
      <c r="J952" s="3" t="str">
        <f>_xlfn.IFNA(VLOOKUP($E952,Master!$J:$M,3,0),"")</f>
        <v/>
      </c>
      <c r="AC952" s="26">
        <f t="shared" si="30"/>
        <v>0</v>
      </c>
      <c r="AD952" s="26">
        <f t="shared" si="31"/>
        <v>0</v>
      </c>
    </row>
    <row r="953" spans="2:30" ht="15" customHeight="1">
      <c r="B953" s="3" t="str">
        <f>_xlfn.IFNA(VLOOKUP(C953,Master!$J:$K,2,0),"")</f>
        <v/>
      </c>
      <c r="D953" s="4" t="str">
        <f>_xlfn.IFNA(VLOOKUP(E953,Master!$J:$K,2,0),"")</f>
        <v/>
      </c>
      <c r="F953" s="4" t="str">
        <f>_xlfn.IFNA(VLOOKUP(G953,Master!B:C,2,0),"")</f>
        <v/>
      </c>
      <c r="I953" s="3" t="str">
        <f>_xlfn.IFNA(VLOOKUP(E953,Master!$J:$M,4,0),"")</f>
        <v/>
      </c>
      <c r="J953" s="3" t="str">
        <f>_xlfn.IFNA(VLOOKUP($E953,Master!$J:$M,3,0),"")</f>
        <v/>
      </c>
      <c r="AC953" s="26">
        <f t="shared" si="30"/>
        <v>0</v>
      </c>
      <c r="AD953" s="26">
        <f t="shared" si="31"/>
        <v>0</v>
      </c>
    </row>
    <row r="954" spans="2:30" ht="15" customHeight="1">
      <c r="B954" s="3" t="str">
        <f>_xlfn.IFNA(VLOOKUP(C954,Master!$J:$K,2,0),"")</f>
        <v/>
      </c>
      <c r="D954" s="4" t="str">
        <f>_xlfn.IFNA(VLOOKUP(E954,Master!$J:$K,2,0),"")</f>
        <v/>
      </c>
      <c r="F954" s="4" t="str">
        <f>_xlfn.IFNA(VLOOKUP(G954,Master!B:C,2,0),"")</f>
        <v/>
      </c>
      <c r="I954" s="3" t="str">
        <f>_xlfn.IFNA(VLOOKUP(E954,Master!$J:$M,4,0),"")</f>
        <v/>
      </c>
      <c r="J954" s="3" t="str">
        <f>_xlfn.IFNA(VLOOKUP($E954,Master!$J:$M,3,0),"")</f>
        <v/>
      </c>
      <c r="AC954" s="26">
        <f t="shared" si="30"/>
        <v>0</v>
      </c>
      <c r="AD954" s="26">
        <f t="shared" si="31"/>
        <v>0</v>
      </c>
    </row>
    <row r="955" spans="2:30" ht="15" customHeight="1">
      <c r="B955" s="3" t="str">
        <f>_xlfn.IFNA(VLOOKUP(C955,Master!$J:$K,2,0),"")</f>
        <v/>
      </c>
      <c r="D955" s="4" t="str">
        <f>_xlfn.IFNA(VLOOKUP(E955,Master!$J:$K,2,0),"")</f>
        <v/>
      </c>
      <c r="F955" s="4" t="str">
        <f>_xlfn.IFNA(VLOOKUP(G955,Master!B:C,2,0),"")</f>
        <v/>
      </c>
      <c r="I955" s="3" t="str">
        <f>_xlfn.IFNA(VLOOKUP(E955,Master!$J:$M,4,0),"")</f>
        <v/>
      </c>
      <c r="J955" s="3" t="str">
        <f>_xlfn.IFNA(VLOOKUP($E955,Master!$J:$M,3,0),"")</f>
        <v/>
      </c>
      <c r="AC955" s="26">
        <f t="shared" si="30"/>
        <v>0</v>
      </c>
      <c r="AD955" s="26">
        <f t="shared" si="31"/>
        <v>0</v>
      </c>
    </row>
    <row r="956" spans="2:30" ht="15" customHeight="1">
      <c r="B956" s="3" t="str">
        <f>_xlfn.IFNA(VLOOKUP(C956,Master!$J:$K,2,0),"")</f>
        <v/>
      </c>
      <c r="D956" s="4" t="str">
        <f>_xlfn.IFNA(VLOOKUP(E956,Master!$J:$K,2,0),"")</f>
        <v/>
      </c>
      <c r="F956" s="4" t="str">
        <f>_xlfn.IFNA(VLOOKUP(G956,Master!B:C,2,0),"")</f>
        <v/>
      </c>
      <c r="I956" s="3" t="str">
        <f>_xlfn.IFNA(VLOOKUP(E956,Master!$J:$M,4,0),"")</f>
        <v/>
      </c>
      <c r="J956" s="3" t="str">
        <f>_xlfn.IFNA(VLOOKUP($E956,Master!$J:$M,3,0),"")</f>
        <v/>
      </c>
      <c r="AC956" s="26">
        <f t="shared" si="30"/>
        <v>0</v>
      </c>
      <c r="AD956" s="26">
        <f t="shared" si="31"/>
        <v>0</v>
      </c>
    </row>
    <row r="957" spans="2:30" ht="15" customHeight="1">
      <c r="B957" s="3" t="str">
        <f>_xlfn.IFNA(VLOOKUP(C957,Master!$J:$K,2,0),"")</f>
        <v/>
      </c>
      <c r="D957" s="4" t="str">
        <f>_xlfn.IFNA(VLOOKUP(E957,Master!$J:$K,2,0),"")</f>
        <v/>
      </c>
      <c r="F957" s="4" t="str">
        <f>_xlfn.IFNA(VLOOKUP(G957,Master!B:C,2,0),"")</f>
        <v/>
      </c>
      <c r="I957" s="3" t="str">
        <f>_xlfn.IFNA(VLOOKUP(E957,Master!$J:$M,4,0),"")</f>
        <v/>
      </c>
      <c r="J957" s="3" t="str">
        <f>_xlfn.IFNA(VLOOKUP($E957,Master!$J:$M,3,0),"")</f>
        <v/>
      </c>
      <c r="AC957" s="26">
        <f t="shared" si="30"/>
        <v>0</v>
      </c>
      <c r="AD957" s="26">
        <f t="shared" si="31"/>
        <v>0</v>
      </c>
    </row>
    <row r="958" spans="2:30" ht="15" customHeight="1">
      <c r="B958" s="3" t="str">
        <f>_xlfn.IFNA(VLOOKUP(C958,Master!$J:$K,2,0),"")</f>
        <v/>
      </c>
      <c r="D958" s="4" t="str">
        <f>_xlfn.IFNA(VLOOKUP(E958,Master!$J:$K,2,0),"")</f>
        <v/>
      </c>
      <c r="F958" s="4" t="str">
        <f>_xlfn.IFNA(VLOOKUP(G958,Master!B:C,2,0),"")</f>
        <v/>
      </c>
      <c r="I958" s="3" t="str">
        <f>_xlfn.IFNA(VLOOKUP(E958,Master!$J:$M,4,0),"")</f>
        <v/>
      </c>
      <c r="J958" s="3" t="str">
        <f>_xlfn.IFNA(VLOOKUP($E958,Master!$J:$M,3,0),"")</f>
        <v/>
      </c>
      <c r="AC958" s="26">
        <f t="shared" si="30"/>
        <v>0</v>
      </c>
      <c r="AD958" s="26">
        <f t="shared" si="31"/>
        <v>0</v>
      </c>
    </row>
    <row r="959" spans="2:30" ht="15" customHeight="1">
      <c r="B959" s="3" t="str">
        <f>_xlfn.IFNA(VLOOKUP(C959,Master!$J:$K,2,0),"")</f>
        <v/>
      </c>
      <c r="D959" s="4" t="str">
        <f>_xlfn.IFNA(VLOOKUP(E959,Master!$J:$K,2,0),"")</f>
        <v/>
      </c>
      <c r="F959" s="4" t="str">
        <f>_xlfn.IFNA(VLOOKUP(G959,Master!B:C,2,0),"")</f>
        <v/>
      </c>
      <c r="I959" s="3" t="str">
        <f>_xlfn.IFNA(VLOOKUP(E959,Master!$J:$M,4,0),"")</f>
        <v/>
      </c>
      <c r="J959" s="3" t="str">
        <f>_xlfn.IFNA(VLOOKUP($E959,Master!$J:$M,3,0),"")</f>
        <v/>
      </c>
      <c r="AC959" s="26">
        <f t="shared" si="30"/>
        <v>0</v>
      </c>
      <c r="AD959" s="26">
        <f t="shared" si="31"/>
        <v>0</v>
      </c>
    </row>
    <row r="960" spans="2:30" ht="15" customHeight="1">
      <c r="B960" s="3" t="str">
        <f>_xlfn.IFNA(VLOOKUP(C960,Master!$J:$K,2,0),"")</f>
        <v/>
      </c>
      <c r="D960" s="4" t="str">
        <f>_xlfn.IFNA(VLOOKUP(E960,Master!$J:$K,2,0),"")</f>
        <v/>
      </c>
      <c r="F960" s="4" t="str">
        <f>_xlfn.IFNA(VLOOKUP(G960,Master!B:C,2,0),"")</f>
        <v/>
      </c>
      <c r="I960" s="3" t="str">
        <f>_xlfn.IFNA(VLOOKUP(E960,Master!$J:$M,4,0),"")</f>
        <v/>
      </c>
      <c r="J960" s="3" t="str">
        <f>_xlfn.IFNA(VLOOKUP($E960,Master!$J:$M,3,0),"")</f>
        <v/>
      </c>
      <c r="AC960" s="26">
        <f t="shared" si="30"/>
        <v>0</v>
      </c>
      <c r="AD960" s="26">
        <f t="shared" si="31"/>
        <v>0</v>
      </c>
    </row>
    <row r="961" spans="2:30" ht="15" customHeight="1">
      <c r="B961" s="3" t="str">
        <f>_xlfn.IFNA(VLOOKUP(C961,Master!$J:$K,2,0),"")</f>
        <v/>
      </c>
      <c r="D961" s="4" t="str">
        <f>_xlfn.IFNA(VLOOKUP(E961,Master!$J:$K,2,0),"")</f>
        <v/>
      </c>
      <c r="F961" s="4" t="str">
        <f>_xlfn.IFNA(VLOOKUP(G961,Master!B:C,2,0),"")</f>
        <v/>
      </c>
      <c r="I961" s="3" t="str">
        <f>_xlfn.IFNA(VLOOKUP(E961,Master!$J:$M,4,0),"")</f>
        <v/>
      </c>
      <c r="J961" s="3" t="str">
        <f>_xlfn.IFNA(VLOOKUP($E961,Master!$J:$M,3,0),"")</f>
        <v/>
      </c>
      <c r="AC961" s="26">
        <f t="shared" si="30"/>
        <v>0</v>
      </c>
      <c r="AD961" s="26">
        <f t="shared" si="31"/>
        <v>0</v>
      </c>
    </row>
    <row r="962" spans="2:30" ht="15" customHeight="1">
      <c r="B962" s="3" t="str">
        <f>_xlfn.IFNA(VLOOKUP(C962,Master!$J:$K,2,0),"")</f>
        <v/>
      </c>
      <c r="D962" s="4" t="str">
        <f>_xlfn.IFNA(VLOOKUP(E962,Master!$J:$K,2,0),"")</f>
        <v/>
      </c>
      <c r="F962" s="4" t="str">
        <f>_xlfn.IFNA(VLOOKUP(G962,Master!B:C,2,0),"")</f>
        <v/>
      </c>
      <c r="I962" s="3" t="str">
        <f>_xlfn.IFNA(VLOOKUP(E962,Master!$J:$M,4,0),"")</f>
        <v/>
      </c>
      <c r="J962" s="3" t="str">
        <f>_xlfn.IFNA(VLOOKUP($E962,Master!$J:$M,3,0),"")</f>
        <v/>
      </c>
      <c r="AC962" s="26">
        <f t="shared" si="30"/>
        <v>0</v>
      </c>
      <c r="AD962" s="26">
        <f t="shared" si="31"/>
        <v>0</v>
      </c>
    </row>
    <row r="963" spans="2:30" ht="15" customHeight="1">
      <c r="B963" s="3" t="str">
        <f>_xlfn.IFNA(VLOOKUP(C963,Master!$J:$K,2,0),"")</f>
        <v/>
      </c>
      <c r="D963" s="4" t="str">
        <f>_xlfn.IFNA(VLOOKUP(E963,Master!$J:$K,2,0),"")</f>
        <v/>
      </c>
      <c r="F963" s="4" t="str">
        <f>_xlfn.IFNA(VLOOKUP(G963,Master!B:C,2,0),"")</f>
        <v/>
      </c>
      <c r="I963" s="3" t="str">
        <f>_xlfn.IFNA(VLOOKUP(E963,Master!$J:$M,4,0),"")</f>
        <v/>
      </c>
      <c r="J963" s="3" t="str">
        <f>_xlfn.IFNA(VLOOKUP($E963,Master!$J:$M,3,0),"")</f>
        <v/>
      </c>
      <c r="AC963" s="26">
        <f t="shared" si="30"/>
        <v>0</v>
      </c>
      <c r="AD963" s="26">
        <f t="shared" si="31"/>
        <v>0</v>
      </c>
    </row>
    <row r="964" spans="2:30" ht="15" customHeight="1">
      <c r="B964" s="3" t="str">
        <f>_xlfn.IFNA(VLOOKUP(C964,Master!$J:$K,2,0),"")</f>
        <v/>
      </c>
      <c r="D964" s="4" t="str">
        <f>_xlfn.IFNA(VLOOKUP(E964,Master!$J:$K,2,0),"")</f>
        <v/>
      </c>
      <c r="F964" s="4" t="str">
        <f>_xlfn.IFNA(VLOOKUP(G964,Master!B:C,2,0),"")</f>
        <v/>
      </c>
      <c r="I964" s="3" t="str">
        <f>_xlfn.IFNA(VLOOKUP(E964,Master!$J:$M,4,0),"")</f>
        <v/>
      </c>
      <c r="J964" s="3" t="str">
        <f>_xlfn.IFNA(VLOOKUP($E964,Master!$J:$M,3,0),"")</f>
        <v/>
      </c>
      <c r="AC964" s="26">
        <f t="shared" si="30"/>
        <v>0</v>
      </c>
      <c r="AD964" s="26">
        <f t="shared" si="31"/>
        <v>0</v>
      </c>
    </row>
    <row r="965" spans="2:30" ht="15" customHeight="1">
      <c r="B965" s="3" t="str">
        <f>_xlfn.IFNA(VLOOKUP(C965,Master!$J:$K,2,0),"")</f>
        <v/>
      </c>
      <c r="D965" s="4" t="str">
        <f>_xlfn.IFNA(VLOOKUP(E965,Master!$J:$K,2,0),"")</f>
        <v/>
      </c>
      <c r="F965" s="4" t="str">
        <f>_xlfn.IFNA(VLOOKUP(G965,Master!B:C,2,0),"")</f>
        <v/>
      </c>
      <c r="I965" s="3" t="str">
        <f>_xlfn.IFNA(VLOOKUP(E965,Master!$J:$M,4,0),"")</f>
        <v/>
      </c>
      <c r="J965" s="3" t="str">
        <f>_xlfn.IFNA(VLOOKUP($E965,Master!$J:$M,3,0),"")</f>
        <v/>
      </c>
      <c r="AC965" s="26">
        <f t="shared" si="30"/>
        <v>0</v>
      </c>
      <c r="AD965" s="26">
        <f t="shared" si="31"/>
        <v>0</v>
      </c>
    </row>
    <row r="966" spans="2:30" ht="15" customHeight="1">
      <c r="B966" s="3" t="str">
        <f>_xlfn.IFNA(VLOOKUP(C966,Master!$J:$K,2,0),"")</f>
        <v/>
      </c>
      <c r="D966" s="4" t="str">
        <f>_xlfn.IFNA(VLOOKUP(E966,Master!$J:$K,2,0),"")</f>
        <v/>
      </c>
      <c r="F966" s="4" t="str">
        <f>_xlfn.IFNA(VLOOKUP(G966,Master!B:C,2,0),"")</f>
        <v/>
      </c>
      <c r="I966" s="3" t="str">
        <f>_xlfn.IFNA(VLOOKUP(E966,Master!$J:$M,4,0),"")</f>
        <v/>
      </c>
      <c r="J966" s="3" t="str">
        <f>_xlfn.IFNA(VLOOKUP($E966,Master!$J:$M,3,0),"")</f>
        <v/>
      </c>
      <c r="AC966" s="26">
        <f t="shared" si="30"/>
        <v>0</v>
      </c>
      <c r="AD966" s="26">
        <f t="shared" si="31"/>
        <v>0</v>
      </c>
    </row>
    <row r="967" spans="2:30" ht="15" customHeight="1">
      <c r="B967" s="3" t="str">
        <f>_xlfn.IFNA(VLOOKUP(C967,Master!$J:$K,2,0),"")</f>
        <v/>
      </c>
      <c r="D967" s="4" t="str">
        <f>_xlfn.IFNA(VLOOKUP(E967,Master!$J:$K,2,0),"")</f>
        <v/>
      </c>
      <c r="F967" s="4" t="str">
        <f>_xlfn.IFNA(VLOOKUP(G967,Master!B:C,2,0),"")</f>
        <v/>
      </c>
      <c r="I967" s="3" t="str">
        <f>_xlfn.IFNA(VLOOKUP(E967,Master!$J:$M,4,0),"")</f>
        <v/>
      </c>
      <c r="J967" s="3" t="str">
        <f>_xlfn.IFNA(VLOOKUP($E967,Master!$J:$M,3,0),"")</f>
        <v/>
      </c>
      <c r="AC967" s="26">
        <f t="shared" si="30"/>
        <v>0</v>
      </c>
      <c r="AD967" s="26">
        <f t="shared" si="31"/>
        <v>0</v>
      </c>
    </row>
    <row r="968" spans="2:30" ht="15" customHeight="1">
      <c r="B968" s="3" t="str">
        <f>_xlfn.IFNA(VLOOKUP(C968,Master!$J:$K,2,0),"")</f>
        <v/>
      </c>
      <c r="D968" s="4" t="str">
        <f>_xlfn.IFNA(VLOOKUP(E968,Master!$J:$K,2,0),"")</f>
        <v/>
      </c>
      <c r="F968" s="4" t="str">
        <f>_xlfn.IFNA(VLOOKUP(G968,Master!B:C,2,0),"")</f>
        <v/>
      </c>
      <c r="I968" s="3" t="str">
        <f>_xlfn.IFNA(VLOOKUP(E968,Master!$J:$M,4,0),"")</f>
        <v/>
      </c>
      <c r="J968" s="3" t="str">
        <f>_xlfn.IFNA(VLOOKUP($E968,Master!$J:$M,3,0),"")</f>
        <v/>
      </c>
      <c r="AC968" s="26">
        <f t="shared" si="30"/>
        <v>0</v>
      </c>
      <c r="AD968" s="26">
        <f t="shared" si="31"/>
        <v>0</v>
      </c>
    </row>
    <row r="969" spans="2:30" ht="15" customHeight="1">
      <c r="B969" s="3" t="str">
        <f>_xlfn.IFNA(VLOOKUP(C969,Master!$J:$K,2,0),"")</f>
        <v/>
      </c>
      <c r="D969" s="4" t="str">
        <f>_xlfn.IFNA(VLOOKUP(E969,Master!$J:$K,2,0),"")</f>
        <v/>
      </c>
      <c r="F969" s="4" t="str">
        <f>_xlfn.IFNA(VLOOKUP(G969,Master!B:C,2,0),"")</f>
        <v/>
      </c>
      <c r="I969" s="3" t="str">
        <f>_xlfn.IFNA(VLOOKUP(E969,Master!$J:$M,4,0),"")</f>
        <v/>
      </c>
      <c r="J969" s="3" t="str">
        <f>_xlfn.IFNA(VLOOKUP($E969,Master!$J:$M,3,0),"")</f>
        <v/>
      </c>
      <c r="AC969" s="26">
        <f t="shared" si="30"/>
        <v>0</v>
      </c>
      <c r="AD969" s="26">
        <f t="shared" si="31"/>
        <v>0</v>
      </c>
    </row>
    <row r="970" spans="2:30" ht="15" customHeight="1">
      <c r="B970" s="3" t="str">
        <f>_xlfn.IFNA(VLOOKUP(C970,Master!$J:$K,2,0),"")</f>
        <v/>
      </c>
      <c r="D970" s="4" t="str">
        <f>_xlfn.IFNA(VLOOKUP(E970,Master!$J:$K,2,0),"")</f>
        <v/>
      </c>
      <c r="F970" s="4" t="str">
        <f>_xlfn.IFNA(VLOOKUP(G970,Master!B:C,2,0),"")</f>
        <v/>
      </c>
      <c r="I970" s="3" t="str">
        <f>_xlfn.IFNA(VLOOKUP(E970,Master!$J:$M,4,0),"")</f>
        <v/>
      </c>
      <c r="J970" s="3" t="str">
        <f>_xlfn.IFNA(VLOOKUP($E970,Master!$J:$M,3,0),"")</f>
        <v/>
      </c>
      <c r="AC970" s="26">
        <f t="shared" si="30"/>
        <v>0</v>
      </c>
      <c r="AD970" s="26">
        <f t="shared" si="31"/>
        <v>0</v>
      </c>
    </row>
    <row r="971" spans="2:30" ht="15" customHeight="1">
      <c r="B971" s="3" t="str">
        <f>_xlfn.IFNA(VLOOKUP(C971,Master!$J:$K,2,0),"")</f>
        <v/>
      </c>
      <c r="D971" s="4" t="str">
        <f>_xlfn.IFNA(VLOOKUP(E971,Master!$J:$K,2,0),"")</f>
        <v/>
      </c>
      <c r="F971" s="4" t="str">
        <f>_xlfn.IFNA(VLOOKUP(G971,Master!B:C,2,0),"")</f>
        <v/>
      </c>
      <c r="I971" s="3" t="str">
        <f>_xlfn.IFNA(VLOOKUP(E971,Master!$J:$M,4,0),"")</f>
        <v/>
      </c>
      <c r="J971" s="3" t="str">
        <f>_xlfn.IFNA(VLOOKUP($E971,Master!$J:$M,3,0),"")</f>
        <v/>
      </c>
      <c r="AC971" s="26">
        <f t="shared" si="30"/>
        <v>0</v>
      </c>
      <c r="AD971" s="26">
        <f t="shared" si="31"/>
        <v>0</v>
      </c>
    </row>
    <row r="972" spans="2:30" ht="15" customHeight="1">
      <c r="B972" s="3" t="str">
        <f>_xlfn.IFNA(VLOOKUP(C972,Master!$J:$K,2,0),"")</f>
        <v/>
      </c>
      <c r="D972" s="4" t="str">
        <f>_xlfn.IFNA(VLOOKUP(E972,Master!$J:$K,2,0),"")</f>
        <v/>
      </c>
      <c r="F972" s="4" t="str">
        <f>_xlfn.IFNA(VLOOKUP(G972,Master!B:C,2,0),"")</f>
        <v/>
      </c>
      <c r="I972" s="3" t="str">
        <f>_xlfn.IFNA(VLOOKUP(E972,Master!$J:$M,4,0),"")</f>
        <v/>
      </c>
      <c r="J972" s="3" t="str">
        <f>_xlfn.IFNA(VLOOKUP($E972,Master!$J:$M,3,0),"")</f>
        <v/>
      </c>
      <c r="AC972" s="26">
        <f t="shared" si="30"/>
        <v>0</v>
      </c>
      <c r="AD972" s="26">
        <f t="shared" si="31"/>
        <v>0</v>
      </c>
    </row>
    <row r="973" spans="2:30" ht="15" customHeight="1">
      <c r="B973" s="3" t="str">
        <f>_xlfn.IFNA(VLOOKUP(C973,Master!$J:$K,2,0),"")</f>
        <v/>
      </c>
      <c r="D973" s="4" t="str">
        <f>_xlfn.IFNA(VLOOKUP(E973,Master!$J:$K,2,0),"")</f>
        <v/>
      </c>
      <c r="F973" s="4" t="str">
        <f>_xlfn.IFNA(VLOOKUP(G973,Master!B:C,2,0),"")</f>
        <v/>
      </c>
      <c r="I973" s="3" t="str">
        <f>_xlfn.IFNA(VLOOKUP(E973,Master!$J:$M,4,0),"")</f>
        <v/>
      </c>
      <c r="J973" s="3" t="str">
        <f>_xlfn.IFNA(VLOOKUP($E973,Master!$J:$M,3,0),"")</f>
        <v/>
      </c>
      <c r="AC973" s="26">
        <f t="shared" ref="AC973:AC1036" si="32">SUM(K973:P973)</f>
        <v>0</v>
      </c>
      <c r="AD973" s="26">
        <f t="shared" ref="AD973:AD1036" si="33">SUM(Q973:AB973)</f>
        <v>0</v>
      </c>
    </row>
    <row r="974" spans="2:30" ht="15" customHeight="1">
      <c r="B974" s="3" t="str">
        <f>_xlfn.IFNA(VLOOKUP(C974,Master!$J:$K,2,0),"")</f>
        <v/>
      </c>
      <c r="D974" s="4" t="str">
        <f>_xlfn.IFNA(VLOOKUP(E974,Master!$J:$K,2,0),"")</f>
        <v/>
      </c>
      <c r="F974" s="4" t="str">
        <f>_xlfn.IFNA(VLOOKUP(G974,Master!B:C,2,0),"")</f>
        <v/>
      </c>
      <c r="I974" s="3" t="str">
        <f>_xlfn.IFNA(VLOOKUP(E974,Master!$J:$M,4,0),"")</f>
        <v/>
      </c>
      <c r="J974" s="3" t="str">
        <f>_xlfn.IFNA(VLOOKUP($E974,Master!$J:$M,3,0),"")</f>
        <v/>
      </c>
      <c r="AC974" s="26">
        <f t="shared" si="32"/>
        <v>0</v>
      </c>
      <c r="AD974" s="26">
        <f t="shared" si="33"/>
        <v>0</v>
      </c>
    </row>
    <row r="975" spans="2:30" ht="15" customHeight="1">
      <c r="B975" s="3" t="str">
        <f>_xlfn.IFNA(VLOOKUP(C975,Master!$J:$K,2,0),"")</f>
        <v/>
      </c>
      <c r="D975" s="4" t="str">
        <f>_xlfn.IFNA(VLOOKUP(E975,Master!$J:$K,2,0),"")</f>
        <v/>
      </c>
      <c r="F975" s="4" t="str">
        <f>_xlfn.IFNA(VLOOKUP(G975,Master!B:C,2,0),"")</f>
        <v/>
      </c>
      <c r="I975" s="3" t="str">
        <f>_xlfn.IFNA(VLOOKUP(E975,Master!$J:$M,4,0),"")</f>
        <v/>
      </c>
      <c r="J975" s="3" t="str">
        <f>_xlfn.IFNA(VLOOKUP($E975,Master!$J:$M,3,0),"")</f>
        <v/>
      </c>
      <c r="AC975" s="26">
        <f t="shared" si="32"/>
        <v>0</v>
      </c>
      <c r="AD975" s="26">
        <f t="shared" si="33"/>
        <v>0</v>
      </c>
    </row>
    <row r="976" spans="2:30" ht="15" customHeight="1">
      <c r="B976" s="3" t="str">
        <f>_xlfn.IFNA(VLOOKUP(C976,Master!$J:$K,2,0),"")</f>
        <v/>
      </c>
      <c r="D976" s="4" t="str">
        <f>_xlfn.IFNA(VLOOKUP(E976,Master!$J:$K,2,0),"")</f>
        <v/>
      </c>
      <c r="F976" s="4" t="str">
        <f>_xlfn.IFNA(VLOOKUP(G976,Master!B:C,2,0),"")</f>
        <v/>
      </c>
      <c r="I976" s="3" t="str">
        <f>_xlfn.IFNA(VLOOKUP(E976,Master!$J:$M,4,0),"")</f>
        <v/>
      </c>
      <c r="J976" s="3" t="str">
        <f>_xlfn.IFNA(VLOOKUP($E976,Master!$J:$M,3,0),"")</f>
        <v/>
      </c>
      <c r="AC976" s="26">
        <f t="shared" si="32"/>
        <v>0</v>
      </c>
      <c r="AD976" s="26">
        <f t="shared" si="33"/>
        <v>0</v>
      </c>
    </row>
    <row r="977" spans="2:30" ht="15" customHeight="1">
      <c r="B977" s="3" t="str">
        <f>_xlfn.IFNA(VLOOKUP(C977,Master!$J:$K,2,0),"")</f>
        <v/>
      </c>
      <c r="D977" s="4" t="str">
        <f>_xlfn.IFNA(VLOOKUP(E977,Master!$J:$K,2,0),"")</f>
        <v/>
      </c>
      <c r="F977" s="4" t="str">
        <f>_xlfn.IFNA(VLOOKUP(G977,Master!B:C,2,0),"")</f>
        <v/>
      </c>
      <c r="I977" s="3" t="str">
        <f>_xlfn.IFNA(VLOOKUP(E977,Master!$J:$M,4,0),"")</f>
        <v/>
      </c>
      <c r="J977" s="3" t="str">
        <f>_xlfn.IFNA(VLOOKUP($E977,Master!$J:$M,3,0),"")</f>
        <v/>
      </c>
      <c r="AC977" s="26">
        <f t="shared" si="32"/>
        <v>0</v>
      </c>
      <c r="AD977" s="26">
        <f t="shared" si="33"/>
        <v>0</v>
      </c>
    </row>
    <row r="978" spans="2:30" ht="15" customHeight="1">
      <c r="B978" s="3" t="str">
        <f>_xlfn.IFNA(VLOOKUP(C978,Master!$J:$K,2,0),"")</f>
        <v/>
      </c>
      <c r="D978" s="4" t="str">
        <f>_xlfn.IFNA(VLOOKUP(E978,Master!$J:$K,2,0),"")</f>
        <v/>
      </c>
      <c r="F978" s="4" t="str">
        <f>_xlfn.IFNA(VLOOKUP(G978,Master!B:C,2,0),"")</f>
        <v/>
      </c>
      <c r="I978" s="3" t="str">
        <f>_xlfn.IFNA(VLOOKUP(E978,Master!$J:$M,4,0),"")</f>
        <v/>
      </c>
      <c r="J978" s="3" t="str">
        <f>_xlfn.IFNA(VLOOKUP($E978,Master!$J:$M,3,0),"")</f>
        <v/>
      </c>
      <c r="AC978" s="26">
        <f t="shared" si="32"/>
        <v>0</v>
      </c>
      <c r="AD978" s="26">
        <f t="shared" si="33"/>
        <v>0</v>
      </c>
    </row>
    <row r="979" spans="2:30" ht="15" customHeight="1">
      <c r="B979" s="3" t="str">
        <f>_xlfn.IFNA(VLOOKUP(C979,Master!$J:$K,2,0),"")</f>
        <v/>
      </c>
      <c r="D979" s="4" t="str">
        <f>_xlfn.IFNA(VLOOKUP(E979,Master!$J:$K,2,0),"")</f>
        <v/>
      </c>
      <c r="F979" s="4" t="str">
        <f>_xlfn.IFNA(VLOOKUP(G979,Master!B:C,2,0),"")</f>
        <v/>
      </c>
      <c r="I979" s="3" t="str">
        <f>_xlfn.IFNA(VLOOKUP(E979,Master!$J:$M,4,0),"")</f>
        <v/>
      </c>
      <c r="J979" s="3" t="str">
        <f>_xlfn.IFNA(VLOOKUP($E979,Master!$J:$M,3,0),"")</f>
        <v/>
      </c>
      <c r="AC979" s="26">
        <f t="shared" si="32"/>
        <v>0</v>
      </c>
      <c r="AD979" s="26">
        <f t="shared" si="33"/>
        <v>0</v>
      </c>
    </row>
    <row r="980" spans="2:30" ht="15" customHeight="1">
      <c r="B980" s="3" t="str">
        <f>_xlfn.IFNA(VLOOKUP(C980,Master!$J:$K,2,0),"")</f>
        <v/>
      </c>
      <c r="D980" s="4" t="str">
        <f>_xlfn.IFNA(VLOOKUP(E980,Master!$J:$K,2,0),"")</f>
        <v/>
      </c>
      <c r="F980" s="4" t="str">
        <f>_xlfn.IFNA(VLOOKUP(G980,Master!B:C,2,0),"")</f>
        <v/>
      </c>
      <c r="I980" s="3" t="str">
        <f>_xlfn.IFNA(VLOOKUP(E980,Master!$J:$M,4,0),"")</f>
        <v/>
      </c>
      <c r="J980" s="3" t="str">
        <f>_xlfn.IFNA(VLOOKUP($E980,Master!$J:$M,3,0),"")</f>
        <v/>
      </c>
      <c r="AC980" s="26">
        <f t="shared" si="32"/>
        <v>0</v>
      </c>
      <c r="AD980" s="26">
        <f t="shared" si="33"/>
        <v>0</v>
      </c>
    </row>
    <row r="981" spans="2:30" ht="15" customHeight="1">
      <c r="B981" s="3" t="str">
        <f>_xlfn.IFNA(VLOOKUP(C981,Master!$J:$K,2,0),"")</f>
        <v/>
      </c>
      <c r="D981" s="4" t="str">
        <f>_xlfn.IFNA(VLOOKUP(E981,Master!$J:$K,2,0),"")</f>
        <v/>
      </c>
      <c r="F981" s="4" t="str">
        <f>_xlfn.IFNA(VLOOKUP(G981,Master!B:C,2,0),"")</f>
        <v/>
      </c>
      <c r="I981" s="3" t="str">
        <f>_xlfn.IFNA(VLOOKUP(E981,Master!$J:$M,4,0),"")</f>
        <v/>
      </c>
      <c r="J981" s="3" t="str">
        <f>_xlfn.IFNA(VLOOKUP($E981,Master!$J:$M,3,0),"")</f>
        <v/>
      </c>
      <c r="AC981" s="26">
        <f t="shared" si="32"/>
        <v>0</v>
      </c>
      <c r="AD981" s="26">
        <f t="shared" si="33"/>
        <v>0</v>
      </c>
    </row>
    <row r="982" spans="2:30" ht="15" customHeight="1">
      <c r="B982" s="3" t="str">
        <f>_xlfn.IFNA(VLOOKUP(C982,Master!$J:$K,2,0),"")</f>
        <v/>
      </c>
      <c r="D982" s="4" t="str">
        <f>_xlfn.IFNA(VLOOKUP(E982,Master!$J:$K,2,0),"")</f>
        <v/>
      </c>
      <c r="F982" s="4" t="str">
        <f>_xlfn.IFNA(VLOOKUP(G982,Master!B:C,2,0),"")</f>
        <v/>
      </c>
      <c r="I982" s="3" t="str">
        <f>_xlfn.IFNA(VLOOKUP(E982,Master!$J:$M,4,0),"")</f>
        <v/>
      </c>
      <c r="J982" s="3" t="str">
        <f>_xlfn.IFNA(VLOOKUP($E982,Master!$J:$M,3,0),"")</f>
        <v/>
      </c>
      <c r="AC982" s="26">
        <f t="shared" si="32"/>
        <v>0</v>
      </c>
      <c r="AD982" s="26">
        <f t="shared" si="33"/>
        <v>0</v>
      </c>
    </row>
    <row r="983" spans="2:30" ht="15" customHeight="1">
      <c r="B983" s="3" t="str">
        <f>_xlfn.IFNA(VLOOKUP(C983,Master!$J:$K,2,0),"")</f>
        <v/>
      </c>
      <c r="D983" s="4" t="str">
        <f>_xlfn.IFNA(VLOOKUP(E983,Master!$J:$K,2,0),"")</f>
        <v/>
      </c>
      <c r="F983" s="4" t="str">
        <f>_xlfn.IFNA(VLOOKUP(G983,Master!B:C,2,0),"")</f>
        <v/>
      </c>
      <c r="I983" s="3" t="str">
        <f>_xlfn.IFNA(VLOOKUP(E983,Master!$J:$M,4,0),"")</f>
        <v/>
      </c>
      <c r="J983" s="3" t="str">
        <f>_xlfn.IFNA(VLOOKUP($E983,Master!$J:$M,3,0),"")</f>
        <v/>
      </c>
      <c r="AC983" s="26">
        <f t="shared" si="32"/>
        <v>0</v>
      </c>
      <c r="AD983" s="26">
        <f t="shared" si="33"/>
        <v>0</v>
      </c>
    </row>
    <row r="984" spans="2:30" ht="15" customHeight="1">
      <c r="B984" s="3" t="str">
        <f>_xlfn.IFNA(VLOOKUP(C984,Master!$J:$K,2,0),"")</f>
        <v/>
      </c>
      <c r="D984" s="4" t="str">
        <f>_xlfn.IFNA(VLOOKUP(E984,Master!$J:$K,2,0),"")</f>
        <v/>
      </c>
      <c r="F984" s="4" t="str">
        <f>_xlfn.IFNA(VLOOKUP(G984,Master!B:C,2,0),"")</f>
        <v/>
      </c>
      <c r="I984" s="3" t="str">
        <f>_xlfn.IFNA(VLOOKUP(E984,Master!$J:$M,4,0),"")</f>
        <v/>
      </c>
      <c r="J984" s="3" t="str">
        <f>_xlfn.IFNA(VLOOKUP($E984,Master!$J:$M,3,0),"")</f>
        <v/>
      </c>
      <c r="AC984" s="26">
        <f t="shared" si="32"/>
        <v>0</v>
      </c>
      <c r="AD984" s="26">
        <f t="shared" si="33"/>
        <v>0</v>
      </c>
    </row>
    <row r="985" spans="2:30" ht="15" customHeight="1">
      <c r="B985" s="3" t="str">
        <f>_xlfn.IFNA(VLOOKUP(C985,Master!$J:$K,2,0),"")</f>
        <v/>
      </c>
      <c r="D985" s="4" t="str">
        <f>_xlfn.IFNA(VLOOKUP(E985,Master!$J:$K,2,0),"")</f>
        <v/>
      </c>
      <c r="F985" s="4" t="str">
        <f>_xlfn.IFNA(VLOOKUP(G985,Master!B:C,2,0),"")</f>
        <v/>
      </c>
      <c r="I985" s="3" t="str">
        <f>_xlfn.IFNA(VLOOKUP(E985,Master!$J:$M,4,0),"")</f>
        <v/>
      </c>
      <c r="J985" s="3" t="str">
        <f>_xlfn.IFNA(VLOOKUP($E985,Master!$J:$M,3,0),"")</f>
        <v/>
      </c>
      <c r="AC985" s="26">
        <f t="shared" si="32"/>
        <v>0</v>
      </c>
      <c r="AD985" s="26">
        <f t="shared" si="33"/>
        <v>0</v>
      </c>
    </row>
    <row r="986" spans="2:30" ht="15" customHeight="1">
      <c r="B986" s="3" t="str">
        <f>_xlfn.IFNA(VLOOKUP(C986,Master!$J:$K,2,0),"")</f>
        <v/>
      </c>
      <c r="D986" s="4" t="str">
        <f>_xlfn.IFNA(VLOOKUP(E986,Master!$J:$K,2,0),"")</f>
        <v/>
      </c>
      <c r="F986" s="4" t="str">
        <f>_xlfn.IFNA(VLOOKUP(G986,Master!B:C,2,0),"")</f>
        <v/>
      </c>
      <c r="I986" s="3" t="str">
        <f>_xlfn.IFNA(VLOOKUP(E986,Master!$J:$M,4,0),"")</f>
        <v/>
      </c>
      <c r="J986" s="3" t="str">
        <f>_xlfn.IFNA(VLOOKUP($E986,Master!$J:$M,3,0),"")</f>
        <v/>
      </c>
      <c r="AC986" s="26">
        <f t="shared" si="32"/>
        <v>0</v>
      </c>
      <c r="AD986" s="26">
        <f t="shared" si="33"/>
        <v>0</v>
      </c>
    </row>
    <row r="987" spans="2:30" ht="15" customHeight="1">
      <c r="B987" s="3" t="str">
        <f>_xlfn.IFNA(VLOOKUP(C987,Master!$J:$K,2,0),"")</f>
        <v/>
      </c>
      <c r="D987" s="4" t="str">
        <f>_xlfn.IFNA(VLOOKUP(E987,Master!$J:$K,2,0),"")</f>
        <v/>
      </c>
      <c r="F987" s="4" t="str">
        <f>_xlfn.IFNA(VLOOKUP(G987,Master!B:C,2,0),"")</f>
        <v/>
      </c>
      <c r="I987" s="3" t="str">
        <f>_xlfn.IFNA(VLOOKUP(E987,Master!$J:$M,4,0),"")</f>
        <v/>
      </c>
      <c r="J987" s="3" t="str">
        <f>_xlfn.IFNA(VLOOKUP($E987,Master!$J:$M,3,0),"")</f>
        <v/>
      </c>
      <c r="AC987" s="26">
        <f t="shared" si="32"/>
        <v>0</v>
      </c>
      <c r="AD987" s="26">
        <f t="shared" si="33"/>
        <v>0</v>
      </c>
    </row>
    <row r="988" spans="2:30" ht="15" customHeight="1">
      <c r="B988" s="3" t="str">
        <f>_xlfn.IFNA(VLOOKUP(C988,Master!$J:$K,2,0),"")</f>
        <v/>
      </c>
      <c r="D988" s="4" t="str">
        <f>_xlfn.IFNA(VLOOKUP(E988,Master!$J:$K,2,0),"")</f>
        <v/>
      </c>
      <c r="F988" s="4" t="str">
        <f>_xlfn.IFNA(VLOOKUP(G988,Master!B:C,2,0),"")</f>
        <v/>
      </c>
      <c r="I988" s="3" t="str">
        <f>_xlfn.IFNA(VLOOKUP(E988,Master!$J:$M,4,0),"")</f>
        <v/>
      </c>
      <c r="J988" s="3" t="str">
        <f>_xlfn.IFNA(VLOOKUP($E988,Master!$J:$M,3,0),"")</f>
        <v/>
      </c>
      <c r="AC988" s="26">
        <f t="shared" si="32"/>
        <v>0</v>
      </c>
      <c r="AD988" s="26">
        <f t="shared" si="33"/>
        <v>0</v>
      </c>
    </row>
    <row r="989" spans="2:30" ht="15" customHeight="1">
      <c r="B989" s="3" t="str">
        <f>_xlfn.IFNA(VLOOKUP(C989,Master!$J:$K,2,0),"")</f>
        <v/>
      </c>
      <c r="D989" s="4" t="str">
        <f>_xlfn.IFNA(VLOOKUP(E989,Master!$J:$K,2,0),"")</f>
        <v/>
      </c>
      <c r="F989" s="4" t="str">
        <f>_xlfn.IFNA(VLOOKUP(G989,Master!B:C,2,0),"")</f>
        <v/>
      </c>
      <c r="I989" s="3" t="str">
        <f>_xlfn.IFNA(VLOOKUP(E989,Master!$J:$M,4,0),"")</f>
        <v/>
      </c>
      <c r="J989" s="3" t="str">
        <f>_xlfn.IFNA(VLOOKUP($E989,Master!$J:$M,3,0),"")</f>
        <v/>
      </c>
      <c r="AC989" s="26">
        <f t="shared" si="32"/>
        <v>0</v>
      </c>
      <c r="AD989" s="26">
        <f t="shared" si="33"/>
        <v>0</v>
      </c>
    </row>
    <row r="990" spans="2:30" ht="15" customHeight="1">
      <c r="B990" s="3" t="str">
        <f>_xlfn.IFNA(VLOOKUP(C990,Master!$J:$K,2,0),"")</f>
        <v/>
      </c>
      <c r="D990" s="4" t="str">
        <f>_xlfn.IFNA(VLOOKUP(E990,Master!$J:$K,2,0),"")</f>
        <v/>
      </c>
      <c r="F990" s="4" t="str">
        <f>_xlfn.IFNA(VLOOKUP(G990,Master!B:C,2,0),"")</f>
        <v/>
      </c>
      <c r="I990" s="3" t="str">
        <f>_xlfn.IFNA(VLOOKUP(E990,Master!$J:$M,4,0),"")</f>
        <v/>
      </c>
      <c r="J990" s="3" t="str">
        <f>_xlfn.IFNA(VLOOKUP($E990,Master!$J:$M,3,0),"")</f>
        <v/>
      </c>
      <c r="AC990" s="26">
        <f t="shared" si="32"/>
        <v>0</v>
      </c>
      <c r="AD990" s="26">
        <f t="shared" si="33"/>
        <v>0</v>
      </c>
    </row>
    <row r="991" spans="2:30" ht="15" customHeight="1">
      <c r="B991" s="3" t="str">
        <f>_xlfn.IFNA(VLOOKUP(C991,Master!$J:$K,2,0),"")</f>
        <v/>
      </c>
      <c r="D991" s="4" t="str">
        <f>_xlfn.IFNA(VLOOKUP(E991,Master!$J:$K,2,0),"")</f>
        <v/>
      </c>
      <c r="F991" s="4" t="str">
        <f>_xlfn.IFNA(VLOOKUP(G991,Master!B:C,2,0),"")</f>
        <v/>
      </c>
      <c r="I991" s="3" t="str">
        <f>_xlfn.IFNA(VLOOKUP(E991,Master!$J:$M,4,0),"")</f>
        <v/>
      </c>
      <c r="J991" s="3" t="str">
        <f>_xlfn.IFNA(VLOOKUP($E991,Master!$J:$M,3,0),"")</f>
        <v/>
      </c>
      <c r="AC991" s="26">
        <f t="shared" si="32"/>
        <v>0</v>
      </c>
      <c r="AD991" s="26">
        <f t="shared" si="33"/>
        <v>0</v>
      </c>
    </row>
    <row r="992" spans="2:30" ht="15" customHeight="1">
      <c r="B992" s="3" t="str">
        <f>_xlfn.IFNA(VLOOKUP(C992,Master!$J:$K,2,0),"")</f>
        <v/>
      </c>
      <c r="D992" s="4" t="str">
        <f>_xlfn.IFNA(VLOOKUP(E992,Master!$J:$K,2,0),"")</f>
        <v/>
      </c>
      <c r="F992" s="4" t="str">
        <f>_xlfn.IFNA(VLOOKUP(G992,Master!B:C,2,0),"")</f>
        <v/>
      </c>
      <c r="I992" s="3" t="str">
        <f>_xlfn.IFNA(VLOOKUP(E992,Master!$J:$M,4,0),"")</f>
        <v/>
      </c>
      <c r="J992" s="3" t="str">
        <f>_xlfn.IFNA(VLOOKUP($E992,Master!$J:$M,3,0),"")</f>
        <v/>
      </c>
      <c r="AC992" s="26">
        <f t="shared" si="32"/>
        <v>0</v>
      </c>
      <c r="AD992" s="26">
        <f t="shared" si="33"/>
        <v>0</v>
      </c>
    </row>
    <row r="993" spans="2:30" ht="15" customHeight="1">
      <c r="B993" s="3" t="str">
        <f>_xlfn.IFNA(VLOOKUP(C993,Master!$J:$K,2,0),"")</f>
        <v/>
      </c>
      <c r="D993" s="4" t="str">
        <f>_xlfn.IFNA(VLOOKUP(E993,Master!$J:$K,2,0),"")</f>
        <v/>
      </c>
      <c r="F993" s="4" t="str">
        <f>_xlfn.IFNA(VLOOKUP(G993,Master!B:C,2,0),"")</f>
        <v/>
      </c>
      <c r="I993" s="3" t="str">
        <f>_xlfn.IFNA(VLOOKUP(E993,Master!$J:$M,4,0),"")</f>
        <v/>
      </c>
      <c r="J993" s="3" t="str">
        <f>_xlfn.IFNA(VLOOKUP($E993,Master!$J:$M,3,0),"")</f>
        <v/>
      </c>
      <c r="AC993" s="26">
        <f t="shared" si="32"/>
        <v>0</v>
      </c>
      <c r="AD993" s="26">
        <f t="shared" si="33"/>
        <v>0</v>
      </c>
    </row>
    <row r="994" spans="2:30" ht="15" customHeight="1">
      <c r="B994" s="3" t="str">
        <f>_xlfn.IFNA(VLOOKUP(C994,Master!$J:$K,2,0),"")</f>
        <v/>
      </c>
      <c r="D994" s="4" t="str">
        <f>_xlfn.IFNA(VLOOKUP(E994,Master!$J:$K,2,0),"")</f>
        <v/>
      </c>
      <c r="F994" s="4" t="str">
        <f>_xlfn.IFNA(VLOOKUP(G994,Master!B:C,2,0),"")</f>
        <v/>
      </c>
      <c r="I994" s="3" t="str">
        <f>_xlfn.IFNA(VLOOKUP(E994,Master!$J:$M,4,0),"")</f>
        <v/>
      </c>
      <c r="J994" s="3" t="str">
        <f>_xlfn.IFNA(VLOOKUP($E994,Master!$J:$M,3,0),"")</f>
        <v/>
      </c>
      <c r="AC994" s="26">
        <f t="shared" si="32"/>
        <v>0</v>
      </c>
      <c r="AD994" s="26">
        <f t="shared" si="33"/>
        <v>0</v>
      </c>
    </row>
    <row r="995" spans="2:30" ht="15" customHeight="1">
      <c r="B995" s="3" t="str">
        <f>_xlfn.IFNA(VLOOKUP(C995,Master!$J:$K,2,0),"")</f>
        <v/>
      </c>
      <c r="D995" s="4" t="str">
        <f>_xlfn.IFNA(VLOOKUP(E995,Master!$J:$K,2,0),"")</f>
        <v/>
      </c>
      <c r="F995" s="4" t="str">
        <f>_xlfn.IFNA(VLOOKUP(G995,Master!B:C,2,0),"")</f>
        <v/>
      </c>
      <c r="I995" s="3" t="str">
        <f>_xlfn.IFNA(VLOOKUP(E995,Master!$J:$M,4,0),"")</f>
        <v/>
      </c>
      <c r="J995" s="3" t="str">
        <f>_xlfn.IFNA(VLOOKUP($E995,Master!$J:$M,3,0),"")</f>
        <v/>
      </c>
      <c r="AC995" s="26">
        <f t="shared" si="32"/>
        <v>0</v>
      </c>
      <c r="AD995" s="26">
        <f t="shared" si="33"/>
        <v>0</v>
      </c>
    </row>
    <row r="996" spans="2:30" ht="15" customHeight="1">
      <c r="B996" s="3" t="str">
        <f>_xlfn.IFNA(VLOOKUP(C996,Master!$J:$K,2,0),"")</f>
        <v/>
      </c>
      <c r="D996" s="4" t="str">
        <f>_xlfn.IFNA(VLOOKUP(E996,Master!$J:$K,2,0),"")</f>
        <v/>
      </c>
      <c r="F996" s="4" t="str">
        <f>_xlfn.IFNA(VLOOKUP(G996,Master!B:C,2,0),"")</f>
        <v/>
      </c>
      <c r="I996" s="3" t="str">
        <f>_xlfn.IFNA(VLOOKUP(E996,Master!$J:$M,4,0),"")</f>
        <v/>
      </c>
      <c r="J996" s="3" t="str">
        <f>_xlfn.IFNA(VLOOKUP($E996,Master!$J:$M,3,0),"")</f>
        <v/>
      </c>
      <c r="AC996" s="26">
        <f t="shared" si="32"/>
        <v>0</v>
      </c>
      <c r="AD996" s="26">
        <f t="shared" si="33"/>
        <v>0</v>
      </c>
    </row>
    <row r="997" spans="2:30" ht="15" customHeight="1">
      <c r="B997" s="3" t="str">
        <f>_xlfn.IFNA(VLOOKUP(C997,Master!$J:$K,2,0),"")</f>
        <v/>
      </c>
      <c r="D997" s="4" t="str">
        <f>_xlfn.IFNA(VLOOKUP(E997,Master!$J:$K,2,0),"")</f>
        <v/>
      </c>
      <c r="F997" s="4" t="str">
        <f>_xlfn.IFNA(VLOOKUP(G997,Master!B:C,2,0),"")</f>
        <v/>
      </c>
      <c r="I997" s="3" t="str">
        <f>_xlfn.IFNA(VLOOKUP(E997,Master!$J:$M,4,0),"")</f>
        <v/>
      </c>
      <c r="J997" s="3" t="str">
        <f>_xlfn.IFNA(VLOOKUP($E997,Master!$J:$M,3,0),"")</f>
        <v/>
      </c>
      <c r="AC997" s="26">
        <f t="shared" si="32"/>
        <v>0</v>
      </c>
      <c r="AD997" s="26">
        <f t="shared" si="33"/>
        <v>0</v>
      </c>
    </row>
    <row r="998" spans="2:30" ht="15" customHeight="1">
      <c r="B998" s="3" t="str">
        <f>_xlfn.IFNA(VLOOKUP(C998,Master!$J:$K,2,0),"")</f>
        <v/>
      </c>
      <c r="D998" s="4" t="str">
        <f>_xlfn.IFNA(VLOOKUP(E998,Master!$J:$K,2,0),"")</f>
        <v/>
      </c>
      <c r="F998" s="4" t="str">
        <f>_xlfn.IFNA(VLOOKUP(G998,Master!B:C,2,0),"")</f>
        <v/>
      </c>
      <c r="I998" s="3" t="str">
        <f>_xlfn.IFNA(VLOOKUP(E998,Master!$J:$M,4,0),"")</f>
        <v/>
      </c>
      <c r="J998" s="3" t="str">
        <f>_xlfn.IFNA(VLOOKUP($E998,Master!$J:$M,3,0),"")</f>
        <v/>
      </c>
      <c r="AC998" s="26">
        <f t="shared" si="32"/>
        <v>0</v>
      </c>
      <c r="AD998" s="26">
        <f t="shared" si="33"/>
        <v>0</v>
      </c>
    </row>
    <row r="999" spans="2:30" ht="15" customHeight="1">
      <c r="B999" s="3" t="str">
        <f>_xlfn.IFNA(VLOOKUP(C999,Master!$J:$K,2,0),"")</f>
        <v/>
      </c>
      <c r="D999" s="4" t="str">
        <f>_xlfn.IFNA(VLOOKUP(E999,Master!$J:$K,2,0),"")</f>
        <v/>
      </c>
      <c r="F999" s="4" t="str">
        <f>_xlfn.IFNA(VLOOKUP(G999,Master!B:C,2,0),"")</f>
        <v/>
      </c>
      <c r="I999" s="3" t="str">
        <f>_xlfn.IFNA(VLOOKUP(E999,Master!$J:$M,4,0),"")</f>
        <v/>
      </c>
      <c r="J999" s="3" t="str">
        <f>_xlfn.IFNA(VLOOKUP($E999,Master!$J:$M,3,0),"")</f>
        <v/>
      </c>
      <c r="AC999" s="26">
        <f t="shared" si="32"/>
        <v>0</v>
      </c>
      <c r="AD999" s="26">
        <f t="shared" si="33"/>
        <v>0</v>
      </c>
    </row>
    <row r="1000" spans="2:30" ht="15" customHeight="1">
      <c r="B1000" s="3" t="str">
        <f>_xlfn.IFNA(VLOOKUP(C1000,Master!$J:$K,2,0),"")</f>
        <v/>
      </c>
      <c r="D1000" s="4" t="str">
        <f>_xlfn.IFNA(VLOOKUP(E1000,Master!$J:$K,2,0),"")</f>
        <v/>
      </c>
      <c r="F1000" s="4" t="str">
        <f>_xlfn.IFNA(VLOOKUP(G1000,Master!B:C,2,0),"")</f>
        <v/>
      </c>
      <c r="I1000" s="3" t="str">
        <f>_xlfn.IFNA(VLOOKUP(E1000,Master!$J:$M,4,0),"")</f>
        <v/>
      </c>
      <c r="J1000" s="3" t="str">
        <f>_xlfn.IFNA(VLOOKUP($E1000,Master!$J:$M,3,0),"")</f>
        <v/>
      </c>
      <c r="AC1000" s="26">
        <f t="shared" si="32"/>
        <v>0</v>
      </c>
      <c r="AD1000" s="26">
        <f t="shared" si="33"/>
        <v>0</v>
      </c>
    </row>
    <row r="1001" spans="2:30" ht="15" customHeight="1">
      <c r="B1001" s="3" t="str">
        <f>_xlfn.IFNA(VLOOKUP(C1001,Master!$J:$K,2,0),"")</f>
        <v/>
      </c>
      <c r="D1001" s="4" t="str">
        <f>_xlfn.IFNA(VLOOKUP(E1001,Master!$J:$K,2,0),"")</f>
        <v/>
      </c>
      <c r="F1001" s="4" t="str">
        <f>_xlfn.IFNA(VLOOKUP(G1001,Master!B:C,2,0),"")</f>
        <v/>
      </c>
      <c r="I1001" s="3" t="str">
        <f>_xlfn.IFNA(VLOOKUP(E1001,Master!$J:$M,4,0),"")</f>
        <v/>
      </c>
      <c r="J1001" s="3" t="str">
        <f>_xlfn.IFNA(VLOOKUP($E1001,Master!$J:$M,3,0),"")</f>
        <v/>
      </c>
      <c r="AC1001" s="26">
        <f t="shared" si="32"/>
        <v>0</v>
      </c>
      <c r="AD1001" s="26">
        <f t="shared" si="33"/>
        <v>0</v>
      </c>
    </row>
    <row r="1002" spans="2:30" ht="15" customHeight="1">
      <c r="B1002" s="3" t="str">
        <f>_xlfn.IFNA(VLOOKUP(C1002,Master!$J:$K,2,0),"")</f>
        <v/>
      </c>
      <c r="D1002" s="4" t="str">
        <f>_xlfn.IFNA(VLOOKUP(E1002,Master!$J:$K,2,0),"")</f>
        <v/>
      </c>
      <c r="F1002" s="4" t="str">
        <f>_xlfn.IFNA(VLOOKUP(G1002,Master!B:C,2,0),"")</f>
        <v/>
      </c>
      <c r="I1002" s="3" t="str">
        <f>_xlfn.IFNA(VLOOKUP(E1002,Master!$J:$M,4,0),"")</f>
        <v/>
      </c>
      <c r="J1002" s="3" t="str">
        <f>_xlfn.IFNA(VLOOKUP($E1002,Master!$J:$M,3,0),"")</f>
        <v/>
      </c>
      <c r="AC1002" s="26">
        <f t="shared" si="32"/>
        <v>0</v>
      </c>
      <c r="AD1002" s="26">
        <f t="shared" si="33"/>
        <v>0</v>
      </c>
    </row>
    <row r="1003" spans="2:30" ht="15" customHeight="1">
      <c r="B1003" s="3" t="str">
        <f>_xlfn.IFNA(VLOOKUP(C1003,Master!$J:$K,2,0),"")</f>
        <v/>
      </c>
      <c r="D1003" s="4" t="str">
        <f>_xlfn.IFNA(VLOOKUP(E1003,Master!$J:$K,2,0),"")</f>
        <v/>
      </c>
      <c r="F1003" s="4" t="str">
        <f>_xlfn.IFNA(VLOOKUP(G1003,Master!B:C,2,0),"")</f>
        <v/>
      </c>
      <c r="I1003" s="3" t="str">
        <f>_xlfn.IFNA(VLOOKUP(E1003,Master!$J:$M,4,0),"")</f>
        <v/>
      </c>
      <c r="J1003" s="3" t="str">
        <f>_xlfn.IFNA(VLOOKUP($E1003,Master!$J:$M,3,0),"")</f>
        <v/>
      </c>
      <c r="AC1003" s="26">
        <f t="shared" si="32"/>
        <v>0</v>
      </c>
      <c r="AD1003" s="26">
        <f t="shared" si="33"/>
        <v>0</v>
      </c>
    </row>
    <row r="1004" spans="2:30" ht="15" customHeight="1">
      <c r="B1004" s="3" t="str">
        <f>_xlfn.IFNA(VLOOKUP(C1004,Master!$J:$K,2,0),"")</f>
        <v/>
      </c>
      <c r="D1004" s="4" t="str">
        <f>_xlfn.IFNA(VLOOKUP(E1004,Master!$J:$K,2,0),"")</f>
        <v/>
      </c>
      <c r="F1004" s="4" t="str">
        <f>_xlfn.IFNA(VLOOKUP(G1004,Master!B:C,2,0),"")</f>
        <v/>
      </c>
      <c r="I1004" s="3" t="str">
        <f>_xlfn.IFNA(VLOOKUP(E1004,Master!$J:$M,4,0),"")</f>
        <v/>
      </c>
      <c r="J1004" s="3" t="str">
        <f>_xlfn.IFNA(VLOOKUP($E1004,Master!$J:$M,3,0),"")</f>
        <v/>
      </c>
      <c r="AC1004" s="26">
        <f t="shared" si="32"/>
        <v>0</v>
      </c>
      <c r="AD1004" s="26">
        <f t="shared" si="33"/>
        <v>0</v>
      </c>
    </row>
    <row r="1005" spans="2:30" ht="15" customHeight="1">
      <c r="B1005" s="3" t="str">
        <f>_xlfn.IFNA(VLOOKUP(C1005,Master!$J:$K,2,0),"")</f>
        <v/>
      </c>
      <c r="D1005" s="4" t="str">
        <f>_xlfn.IFNA(VLOOKUP(E1005,Master!$J:$K,2,0),"")</f>
        <v/>
      </c>
      <c r="F1005" s="4" t="str">
        <f>_xlfn.IFNA(VLOOKUP(G1005,Master!B:C,2,0),"")</f>
        <v/>
      </c>
      <c r="I1005" s="3" t="str">
        <f>_xlfn.IFNA(VLOOKUP(E1005,Master!$J:$M,4,0),"")</f>
        <v/>
      </c>
      <c r="J1005" s="3" t="str">
        <f>_xlfn.IFNA(VLOOKUP($E1005,Master!$J:$M,3,0),"")</f>
        <v/>
      </c>
      <c r="AC1005" s="26">
        <f t="shared" si="32"/>
        <v>0</v>
      </c>
      <c r="AD1005" s="26">
        <f t="shared" si="33"/>
        <v>0</v>
      </c>
    </row>
    <row r="1006" spans="2:30" ht="15" customHeight="1">
      <c r="B1006" s="3" t="str">
        <f>_xlfn.IFNA(VLOOKUP(C1006,Master!$J:$K,2,0),"")</f>
        <v/>
      </c>
      <c r="D1006" s="4" t="str">
        <f>_xlfn.IFNA(VLOOKUP(E1006,Master!$J:$K,2,0),"")</f>
        <v/>
      </c>
      <c r="F1006" s="4" t="str">
        <f>_xlfn.IFNA(VLOOKUP(G1006,Master!B:C,2,0),"")</f>
        <v/>
      </c>
      <c r="I1006" s="3" t="str">
        <f>_xlfn.IFNA(VLOOKUP(E1006,Master!$J:$M,4,0),"")</f>
        <v/>
      </c>
      <c r="J1006" s="3" t="str">
        <f>_xlfn.IFNA(VLOOKUP($E1006,Master!$J:$M,3,0),"")</f>
        <v/>
      </c>
      <c r="AC1006" s="26">
        <f t="shared" si="32"/>
        <v>0</v>
      </c>
      <c r="AD1006" s="26">
        <f t="shared" si="33"/>
        <v>0</v>
      </c>
    </row>
    <row r="1007" spans="2:30" ht="15" customHeight="1">
      <c r="B1007" s="3" t="str">
        <f>_xlfn.IFNA(VLOOKUP(C1007,Master!$J:$K,2,0),"")</f>
        <v/>
      </c>
      <c r="D1007" s="4" t="str">
        <f>_xlfn.IFNA(VLOOKUP(E1007,Master!$J:$K,2,0),"")</f>
        <v/>
      </c>
      <c r="F1007" s="4" t="str">
        <f>_xlfn.IFNA(VLOOKUP(G1007,Master!B:C,2,0),"")</f>
        <v/>
      </c>
      <c r="I1007" s="3" t="str">
        <f>_xlfn.IFNA(VLOOKUP(E1007,Master!$J:$M,4,0),"")</f>
        <v/>
      </c>
      <c r="J1007" s="3" t="str">
        <f>_xlfn.IFNA(VLOOKUP($E1007,Master!$J:$M,3,0),"")</f>
        <v/>
      </c>
      <c r="AC1007" s="26">
        <f t="shared" si="32"/>
        <v>0</v>
      </c>
      <c r="AD1007" s="26">
        <f t="shared" si="33"/>
        <v>0</v>
      </c>
    </row>
    <row r="1008" spans="2:30" ht="15" customHeight="1">
      <c r="B1008" s="3" t="str">
        <f>_xlfn.IFNA(VLOOKUP(C1008,Master!$J:$K,2,0),"")</f>
        <v/>
      </c>
      <c r="D1008" s="4" t="str">
        <f>_xlfn.IFNA(VLOOKUP(E1008,Master!$J:$K,2,0),"")</f>
        <v/>
      </c>
      <c r="F1008" s="4" t="str">
        <f>_xlfn.IFNA(VLOOKUP(G1008,Master!B:C,2,0),"")</f>
        <v/>
      </c>
      <c r="I1008" s="3" t="str">
        <f>_xlfn.IFNA(VLOOKUP(E1008,Master!$J:$M,4,0),"")</f>
        <v/>
      </c>
      <c r="J1008" s="3" t="str">
        <f>_xlfn.IFNA(VLOOKUP($E1008,Master!$J:$M,3,0),"")</f>
        <v/>
      </c>
      <c r="AC1008" s="26">
        <f t="shared" si="32"/>
        <v>0</v>
      </c>
      <c r="AD1008" s="26">
        <f t="shared" si="33"/>
        <v>0</v>
      </c>
    </row>
    <row r="1009" spans="2:30" ht="15" customHeight="1">
      <c r="B1009" s="3" t="str">
        <f>_xlfn.IFNA(VLOOKUP(C1009,Master!$J:$K,2,0),"")</f>
        <v/>
      </c>
      <c r="D1009" s="4" t="str">
        <f>_xlfn.IFNA(VLOOKUP(E1009,Master!$J:$K,2,0),"")</f>
        <v/>
      </c>
      <c r="F1009" s="4" t="str">
        <f>_xlfn.IFNA(VLOOKUP(G1009,Master!B:C,2,0),"")</f>
        <v/>
      </c>
      <c r="I1009" s="3" t="str">
        <f>_xlfn.IFNA(VLOOKUP(E1009,Master!$J:$M,4,0),"")</f>
        <v/>
      </c>
      <c r="J1009" s="3" t="str">
        <f>_xlfn.IFNA(VLOOKUP($E1009,Master!$J:$M,3,0),"")</f>
        <v/>
      </c>
      <c r="AC1009" s="26">
        <f t="shared" si="32"/>
        <v>0</v>
      </c>
      <c r="AD1009" s="26">
        <f t="shared" si="33"/>
        <v>0</v>
      </c>
    </row>
    <row r="1010" spans="2:30" ht="15" customHeight="1">
      <c r="B1010" s="3" t="str">
        <f>_xlfn.IFNA(VLOOKUP(C1010,Master!$J:$K,2,0),"")</f>
        <v/>
      </c>
      <c r="D1010" s="4" t="str">
        <f>_xlfn.IFNA(VLOOKUP(E1010,Master!$J:$K,2,0),"")</f>
        <v/>
      </c>
      <c r="F1010" s="4" t="str">
        <f>_xlfn.IFNA(VLOOKUP(G1010,Master!B:C,2,0),"")</f>
        <v/>
      </c>
      <c r="I1010" s="3" t="str">
        <f>_xlfn.IFNA(VLOOKUP(E1010,Master!$J:$M,4,0),"")</f>
        <v/>
      </c>
      <c r="J1010" s="3" t="str">
        <f>_xlfn.IFNA(VLOOKUP($E1010,Master!$J:$M,3,0),"")</f>
        <v/>
      </c>
      <c r="AC1010" s="26">
        <f t="shared" si="32"/>
        <v>0</v>
      </c>
      <c r="AD1010" s="26">
        <f t="shared" si="33"/>
        <v>0</v>
      </c>
    </row>
    <row r="1011" spans="2:30" ht="15" customHeight="1">
      <c r="B1011" s="3" t="str">
        <f>_xlfn.IFNA(VLOOKUP(C1011,Master!$J:$K,2,0),"")</f>
        <v/>
      </c>
      <c r="D1011" s="4" t="str">
        <f>_xlfn.IFNA(VLOOKUP(E1011,Master!$J:$K,2,0),"")</f>
        <v/>
      </c>
      <c r="F1011" s="4" t="str">
        <f>_xlfn.IFNA(VLOOKUP(G1011,Master!B:C,2,0),"")</f>
        <v/>
      </c>
      <c r="I1011" s="3" t="str">
        <f>_xlfn.IFNA(VLOOKUP(E1011,Master!$J:$M,4,0),"")</f>
        <v/>
      </c>
      <c r="J1011" s="3" t="str">
        <f>_xlfn.IFNA(VLOOKUP($E1011,Master!$J:$M,3,0),"")</f>
        <v/>
      </c>
      <c r="AC1011" s="26">
        <f t="shared" si="32"/>
        <v>0</v>
      </c>
      <c r="AD1011" s="26">
        <f t="shared" si="33"/>
        <v>0</v>
      </c>
    </row>
    <row r="1012" spans="2:30" ht="15" customHeight="1">
      <c r="B1012" s="3" t="str">
        <f>_xlfn.IFNA(VLOOKUP(C1012,Master!$J:$K,2,0),"")</f>
        <v/>
      </c>
      <c r="D1012" s="4" t="str">
        <f>_xlfn.IFNA(VLOOKUP(E1012,Master!$J:$K,2,0),"")</f>
        <v/>
      </c>
      <c r="F1012" s="4" t="str">
        <f>_xlfn.IFNA(VLOOKUP(G1012,Master!B:C,2,0),"")</f>
        <v/>
      </c>
      <c r="I1012" s="3" t="str">
        <f>_xlfn.IFNA(VLOOKUP(E1012,Master!$J:$M,4,0),"")</f>
        <v/>
      </c>
      <c r="J1012" s="3" t="str">
        <f>_xlfn.IFNA(VLOOKUP($E1012,Master!$J:$M,3,0),"")</f>
        <v/>
      </c>
      <c r="AC1012" s="26">
        <f t="shared" si="32"/>
        <v>0</v>
      </c>
      <c r="AD1012" s="26">
        <f t="shared" si="33"/>
        <v>0</v>
      </c>
    </row>
    <row r="1013" spans="2:30" ht="15" customHeight="1">
      <c r="B1013" s="3" t="str">
        <f>_xlfn.IFNA(VLOOKUP(C1013,Master!$J:$K,2,0),"")</f>
        <v/>
      </c>
      <c r="D1013" s="4" t="str">
        <f>_xlfn.IFNA(VLOOKUP(E1013,Master!$J:$K,2,0),"")</f>
        <v/>
      </c>
      <c r="F1013" s="4" t="str">
        <f>_xlfn.IFNA(VLOOKUP(G1013,Master!B:C,2,0),"")</f>
        <v/>
      </c>
      <c r="I1013" s="3" t="str">
        <f>_xlfn.IFNA(VLOOKUP(E1013,Master!$J:$M,4,0),"")</f>
        <v/>
      </c>
      <c r="J1013" s="3" t="str">
        <f>_xlfn.IFNA(VLOOKUP($E1013,Master!$J:$M,3,0),"")</f>
        <v/>
      </c>
      <c r="AC1013" s="26">
        <f t="shared" si="32"/>
        <v>0</v>
      </c>
      <c r="AD1013" s="26">
        <f t="shared" si="33"/>
        <v>0</v>
      </c>
    </row>
    <row r="1014" spans="2:30" ht="15" customHeight="1">
      <c r="B1014" s="3" t="str">
        <f>_xlfn.IFNA(VLOOKUP(C1014,Master!$J:$K,2,0),"")</f>
        <v/>
      </c>
      <c r="D1014" s="4" t="str">
        <f>_xlfn.IFNA(VLOOKUP(E1014,Master!$J:$K,2,0),"")</f>
        <v/>
      </c>
      <c r="F1014" s="4" t="str">
        <f>_xlfn.IFNA(VLOOKUP(G1014,Master!B:C,2,0),"")</f>
        <v/>
      </c>
      <c r="I1014" s="3" t="str">
        <f>_xlfn.IFNA(VLOOKUP(E1014,Master!$J:$M,4,0),"")</f>
        <v/>
      </c>
      <c r="J1014" s="3" t="str">
        <f>_xlfn.IFNA(VLOOKUP($E1014,Master!$J:$M,3,0),"")</f>
        <v/>
      </c>
      <c r="AC1014" s="26">
        <f t="shared" si="32"/>
        <v>0</v>
      </c>
      <c r="AD1014" s="26">
        <f t="shared" si="33"/>
        <v>0</v>
      </c>
    </row>
    <row r="1015" spans="2:30" ht="15" customHeight="1">
      <c r="B1015" s="3" t="str">
        <f>_xlfn.IFNA(VLOOKUP(C1015,Master!$J:$K,2,0),"")</f>
        <v/>
      </c>
      <c r="D1015" s="4" t="str">
        <f>_xlfn.IFNA(VLOOKUP(E1015,Master!$J:$K,2,0),"")</f>
        <v/>
      </c>
      <c r="F1015" s="4" t="str">
        <f>_xlfn.IFNA(VLOOKUP(G1015,Master!B:C,2,0),"")</f>
        <v/>
      </c>
      <c r="I1015" s="3" t="str">
        <f>_xlfn.IFNA(VLOOKUP(E1015,Master!$J:$M,4,0),"")</f>
        <v/>
      </c>
      <c r="J1015" s="3" t="str">
        <f>_xlfn.IFNA(VLOOKUP($E1015,Master!$J:$M,3,0),"")</f>
        <v/>
      </c>
      <c r="AC1015" s="26">
        <f t="shared" si="32"/>
        <v>0</v>
      </c>
      <c r="AD1015" s="26">
        <f t="shared" si="33"/>
        <v>0</v>
      </c>
    </row>
    <row r="1016" spans="2:30" ht="15" customHeight="1">
      <c r="B1016" s="3" t="str">
        <f>_xlfn.IFNA(VLOOKUP(C1016,Master!$J:$K,2,0),"")</f>
        <v/>
      </c>
      <c r="D1016" s="4" t="str">
        <f>_xlfn.IFNA(VLOOKUP(E1016,Master!$J:$K,2,0),"")</f>
        <v/>
      </c>
      <c r="F1016" s="4" t="str">
        <f>_xlfn.IFNA(VLOOKUP(G1016,Master!B:C,2,0),"")</f>
        <v/>
      </c>
      <c r="I1016" s="3" t="str">
        <f>_xlfn.IFNA(VLOOKUP(E1016,Master!$J:$M,4,0),"")</f>
        <v/>
      </c>
      <c r="J1016" s="3" t="str">
        <f>_xlfn.IFNA(VLOOKUP($E1016,Master!$J:$M,3,0),"")</f>
        <v/>
      </c>
      <c r="AC1016" s="26">
        <f t="shared" si="32"/>
        <v>0</v>
      </c>
      <c r="AD1016" s="26">
        <f t="shared" si="33"/>
        <v>0</v>
      </c>
    </row>
    <row r="1017" spans="2:30" ht="15" customHeight="1">
      <c r="B1017" s="3" t="str">
        <f>_xlfn.IFNA(VLOOKUP(C1017,Master!$J:$K,2,0),"")</f>
        <v/>
      </c>
      <c r="D1017" s="4" t="str">
        <f>_xlfn.IFNA(VLOOKUP(E1017,Master!$J:$K,2,0),"")</f>
        <v/>
      </c>
      <c r="F1017" s="4" t="str">
        <f>_xlfn.IFNA(VLOOKUP(G1017,Master!B:C,2,0),"")</f>
        <v/>
      </c>
      <c r="I1017" s="3" t="str">
        <f>_xlfn.IFNA(VLOOKUP(E1017,Master!$J:$M,4,0),"")</f>
        <v/>
      </c>
      <c r="J1017" s="3" t="str">
        <f>_xlfn.IFNA(VLOOKUP($E1017,Master!$J:$M,3,0),"")</f>
        <v/>
      </c>
      <c r="AC1017" s="26">
        <f t="shared" si="32"/>
        <v>0</v>
      </c>
      <c r="AD1017" s="26">
        <f t="shared" si="33"/>
        <v>0</v>
      </c>
    </row>
    <row r="1018" spans="2:30" ht="15" customHeight="1">
      <c r="B1018" s="3" t="str">
        <f>_xlfn.IFNA(VLOOKUP(C1018,Master!$J:$K,2,0),"")</f>
        <v/>
      </c>
      <c r="D1018" s="4" t="str">
        <f>_xlfn.IFNA(VLOOKUP(E1018,Master!$J:$K,2,0),"")</f>
        <v/>
      </c>
      <c r="F1018" s="4" t="str">
        <f>_xlfn.IFNA(VLOOKUP(G1018,Master!B:C,2,0),"")</f>
        <v/>
      </c>
      <c r="I1018" s="3" t="str">
        <f>_xlfn.IFNA(VLOOKUP(E1018,Master!$J:$M,4,0),"")</f>
        <v/>
      </c>
      <c r="J1018" s="3" t="str">
        <f>_xlfn.IFNA(VLOOKUP($E1018,Master!$J:$M,3,0),"")</f>
        <v/>
      </c>
      <c r="AC1018" s="26">
        <f t="shared" si="32"/>
        <v>0</v>
      </c>
      <c r="AD1018" s="26">
        <f t="shared" si="33"/>
        <v>0</v>
      </c>
    </row>
    <row r="1019" spans="2:30" ht="15" customHeight="1">
      <c r="B1019" s="3" t="str">
        <f>_xlfn.IFNA(VLOOKUP(C1019,Master!$J:$K,2,0),"")</f>
        <v/>
      </c>
      <c r="D1019" s="4" t="str">
        <f>_xlfn.IFNA(VLOOKUP(E1019,Master!$J:$K,2,0),"")</f>
        <v/>
      </c>
      <c r="F1019" s="4" t="str">
        <f>_xlfn.IFNA(VLOOKUP(G1019,Master!B:C,2,0),"")</f>
        <v/>
      </c>
      <c r="I1019" s="3" t="str">
        <f>_xlfn.IFNA(VLOOKUP(E1019,Master!$J:$M,4,0),"")</f>
        <v/>
      </c>
      <c r="J1019" s="3" t="str">
        <f>_xlfn.IFNA(VLOOKUP($E1019,Master!$J:$M,3,0),"")</f>
        <v/>
      </c>
      <c r="AC1019" s="26">
        <f t="shared" si="32"/>
        <v>0</v>
      </c>
      <c r="AD1019" s="26">
        <f t="shared" si="33"/>
        <v>0</v>
      </c>
    </row>
    <row r="1020" spans="2:30" ht="15" customHeight="1">
      <c r="B1020" s="3" t="str">
        <f>_xlfn.IFNA(VLOOKUP(C1020,Master!$J:$K,2,0),"")</f>
        <v/>
      </c>
      <c r="D1020" s="4" t="str">
        <f>_xlfn.IFNA(VLOOKUP(E1020,Master!$J:$K,2,0),"")</f>
        <v/>
      </c>
      <c r="F1020" s="4" t="str">
        <f>_xlfn.IFNA(VLOOKUP(G1020,Master!B:C,2,0),"")</f>
        <v/>
      </c>
      <c r="I1020" s="3" t="str">
        <f>_xlfn.IFNA(VLOOKUP(E1020,Master!$J:$M,4,0),"")</f>
        <v/>
      </c>
      <c r="J1020" s="3" t="str">
        <f>_xlfn.IFNA(VLOOKUP($E1020,Master!$J:$M,3,0),"")</f>
        <v/>
      </c>
      <c r="AC1020" s="26">
        <f t="shared" si="32"/>
        <v>0</v>
      </c>
      <c r="AD1020" s="26">
        <f t="shared" si="33"/>
        <v>0</v>
      </c>
    </row>
    <row r="1021" spans="2:30" ht="15" customHeight="1">
      <c r="B1021" s="3" t="str">
        <f>_xlfn.IFNA(VLOOKUP(C1021,Master!$J:$K,2,0),"")</f>
        <v/>
      </c>
      <c r="D1021" s="4" t="str">
        <f>_xlfn.IFNA(VLOOKUP(E1021,Master!$J:$K,2,0),"")</f>
        <v/>
      </c>
      <c r="F1021" s="4" t="str">
        <f>_xlfn.IFNA(VLOOKUP(G1021,Master!B:C,2,0),"")</f>
        <v/>
      </c>
      <c r="I1021" s="3" t="str">
        <f>_xlfn.IFNA(VLOOKUP(E1021,Master!$J:$M,4,0),"")</f>
        <v/>
      </c>
      <c r="J1021" s="3" t="str">
        <f>_xlfn.IFNA(VLOOKUP($E1021,Master!$J:$M,3,0),"")</f>
        <v/>
      </c>
      <c r="AC1021" s="26">
        <f t="shared" si="32"/>
        <v>0</v>
      </c>
      <c r="AD1021" s="26">
        <f t="shared" si="33"/>
        <v>0</v>
      </c>
    </row>
    <row r="1022" spans="2:30" ht="15" customHeight="1">
      <c r="B1022" s="3" t="str">
        <f>_xlfn.IFNA(VLOOKUP(C1022,Master!$J:$K,2,0),"")</f>
        <v/>
      </c>
      <c r="D1022" s="4" t="str">
        <f>_xlfn.IFNA(VLOOKUP(E1022,Master!$J:$K,2,0),"")</f>
        <v/>
      </c>
      <c r="F1022" s="4" t="str">
        <f>_xlfn.IFNA(VLOOKUP(G1022,Master!B:C,2,0),"")</f>
        <v/>
      </c>
      <c r="I1022" s="3" t="str">
        <f>_xlfn.IFNA(VLOOKUP(E1022,Master!$J:$M,4,0),"")</f>
        <v/>
      </c>
      <c r="J1022" s="3" t="str">
        <f>_xlfn.IFNA(VLOOKUP($E1022,Master!$J:$M,3,0),"")</f>
        <v/>
      </c>
      <c r="AC1022" s="26">
        <f t="shared" si="32"/>
        <v>0</v>
      </c>
      <c r="AD1022" s="26">
        <f t="shared" si="33"/>
        <v>0</v>
      </c>
    </row>
    <row r="1023" spans="2:30" ht="15" customHeight="1">
      <c r="B1023" s="3" t="str">
        <f>_xlfn.IFNA(VLOOKUP(C1023,Master!$J:$K,2,0),"")</f>
        <v/>
      </c>
      <c r="D1023" s="4" t="str">
        <f>_xlfn.IFNA(VLOOKUP(E1023,Master!$J:$K,2,0),"")</f>
        <v/>
      </c>
      <c r="F1023" s="4" t="str">
        <f>_xlfn.IFNA(VLOOKUP(G1023,Master!B:C,2,0),"")</f>
        <v/>
      </c>
      <c r="I1023" s="3" t="str">
        <f>_xlfn.IFNA(VLOOKUP(E1023,Master!$J:$M,4,0),"")</f>
        <v/>
      </c>
      <c r="J1023" s="3" t="str">
        <f>_xlfn.IFNA(VLOOKUP($E1023,Master!$J:$M,3,0),"")</f>
        <v/>
      </c>
      <c r="AC1023" s="26">
        <f t="shared" si="32"/>
        <v>0</v>
      </c>
      <c r="AD1023" s="26">
        <f t="shared" si="33"/>
        <v>0</v>
      </c>
    </row>
    <row r="1024" spans="2:30" ht="15" customHeight="1">
      <c r="B1024" s="3" t="str">
        <f>_xlfn.IFNA(VLOOKUP(C1024,Master!$J:$K,2,0),"")</f>
        <v/>
      </c>
      <c r="D1024" s="4" t="str">
        <f>_xlfn.IFNA(VLOOKUP(E1024,Master!$J:$K,2,0),"")</f>
        <v/>
      </c>
      <c r="F1024" s="4" t="str">
        <f>_xlfn.IFNA(VLOOKUP(G1024,Master!B:C,2,0),"")</f>
        <v/>
      </c>
      <c r="I1024" s="3" t="str">
        <f>_xlfn.IFNA(VLOOKUP(E1024,Master!$J:$M,4,0),"")</f>
        <v/>
      </c>
      <c r="J1024" s="3" t="str">
        <f>_xlfn.IFNA(VLOOKUP($E1024,Master!$J:$M,3,0),"")</f>
        <v/>
      </c>
      <c r="AC1024" s="26">
        <f t="shared" si="32"/>
        <v>0</v>
      </c>
      <c r="AD1024" s="26">
        <f t="shared" si="33"/>
        <v>0</v>
      </c>
    </row>
    <row r="1025" spans="2:30" ht="15" customHeight="1">
      <c r="B1025" s="3" t="str">
        <f>_xlfn.IFNA(VLOOKUP(C1025,Master!$J:$K,2,0),"")</f>
        <v/>
      </c>
      <c r="D1025" s="4" t="str">
        <f>_xlfn.IFNA(VLOOKUP(E1025,Master!$J:$K,2,0),"")</f>
        <v/>
      </c>
      <c r="F1025" s="4" t="str">
        <f>_xlfn.IFNA(VLOOKUP(G1025,Master!B:C,2,0),"")</f>
        <v/>
      </c>
      <c r="I1025" s="3" t="str">
        <f>_xlfn.IFNA(VLOOKUP(E1025,Master!$J:$M,4,0),"")</f>
        <v/>
      </c>
      <c r="J1025" s="3" t="str">
        <f>_xlfn.IFNA(VLOOKUP($E1025,Master!$J:$M,3,0),"")</f>
        <v/>
      </c>
      <c r="AC1025" s="26">
        <f t="shared" si="32"/>
        <v>0</v>
      </c>
      <c r="AD1025" s="26">
        <f t="shared" si="33"/>
        <v>0</v>
      </c>
    </row>
    <row r="1026" spans="2:30" ht="15" customHeight="1">
      <c r="B1026" s="3" t="str">
        <f>_xlfn.IFNA(VLOOKUP(C1026,Master!$J:$K,2,0),"")</f>
        <v/>
      </c>
      <c r="D1026" s="4" t="str">
        <f>_xlfn.IFNA(VLOOKUP(E1026,Master!$J:$K,2,0),"")</f>
        <v/>
      </c>
      <c r="F1026" s="4" t="str">
        <f>_xlfn.IFNA(VLOOKUP(G1026,Master!B:C,2,0),"")</f>
        <v/>
      </c>
      <c r="I1026" s="3" t="str">
        <f>_xlfn.IFNA(VLOOKUP(E1026,Master!$J:$M,4,0),"")</f>
        <v/>
      </c>
      <c r="J1026" s="3" t="str">
        <f>_xlfn.IFNA(VLOOKUP($E1026,Master!$J:$M,3,0),"")</f>
        <v/>
      </c>
      <c r="AC1026" s="26">
        <f t="shared" si="32"/>
        <v>0</v>
      </c>
      <c r="AD1026" s="26">
        <f t="shared" si="33"/>
        <v>0</v>
      </c>
    </row>
    <row r="1027" spans="2:30" ht="15" customHeight="1">
      <c r="B1027" s="3" t="str">
        <f>_xlfn.IFNA(VLOOKUP(C1027,Master!$J:$K,2,0),"")</f>
        <v/>
      </c>
      <c r="D1027" s="4" t="str">
        <f>_xlfn.IFNA(VLOOKUP(E1027,Master!$J:$K,2,0),"")</f>
        <v/>
      </c>
      <c r="F1027" s="4" t="str">
        <f>_xlfn.IFNA(VLOOKUP(G1027,Master!B:C,2,0),"")</f>
        <v/>
      </c>
      <c r="I1027" s="3" t="str">
        <f>_xlfn.IFNA(VLOOKUP(E1027,Master!$J:$M,4,0),"")</f>
        <v/>
      </c>
      <c r="J1027" s="3" t="str">
        <f>_xlfn.IFNA(VLOOKUP($E1027,Master!$J:$M,3,0),"")</f>
        <v/>
      </c>
      <c r="AC1027" s="26">
        <f t="shared" si="32"/>
        <v>0</v>
      </c>
      <c r="AD1027" s="26">
        <f t="shared" si="33"/>
        <v>0</v>
      </c>
    </row>
    <row r="1028" spans="2:30" ht="15" customHeight="1">
      <c r="B1028" s="3" t="str">
        <f>_xlfn.IFNA(VLOOKUP(C1028,Master!$J:$K,2,0),"")</f>
        <v/>
      </c>
      <c r="D1028" s="4" t="str">
        <f>_xlfn.IFNA(VLOOKUP(E1028,Master!$J:$K,2,0),"")</f>
        <v/>
      </c>
      <c r="F1028" s="4" t="str">
        <f>_xlfn.IFNA(VLOOKUP(G1028,Master!B:C,2,0),"")</f>
        <v/>
      </c>
      <c r="I1028" s="3" t="str">
        <f>_xlfn.IFNA(VLOOKUP(E1028,Master!$J:$M,4,0),"")</f>
        <v/>
      </c>
      <c r="J1028" s="3" t="str">
        <f>_xlfn.IFNA(VLOOKUP($E1028,Master!$J:$M,3,0),"")</f>
        <v/>
      </c>
      <c r="AC1028" s="26">
        <f t="shared" si="32"/>
        <v>0</v>
      </c>
      <c r="AD1028" s="26">
        <f t="shared" si="33"/>
        <v>0</v>
      </c>
    </row>
    <row r="1029" spans="2:30" ht="15" customHeight="1">
      <c r="B1029" s="3" t="str">
        <f>_xlfn.IFNA(VLOOKUP(C1029,Master!$J:$K,2,0),"")</f>
        <v/>
      </c>
      <c r="D1029" s="4" t="str">
        <f>_xlfn.IFNA(VLOOKUP(E1029,Master!$J:$K,2,0),"")</f>
        <v/>
      </c>
      <c r="F1029" s="4" t="str">
        <f>_xlfn.IFNA(VLOOKUP(G1029,Master!B:C,2,0),"")</f>
        <v/>
      </c>
      <c r="I1029" s="3" t="str">
        <f>_xlfn.IFNA(VLOOKUP(E1029,Master!$J:$M,4,0),"")</f>
        <v/>
      </c>
      <c r="J1029" s="3" t="str">
        <f>_xlfn.IFNA(VLOOKUP($E1029,Master!$J:$M,3,0),"")</f>
        <v/>
      </c>
      <c r="AC1029" s="26">
        <f t="shared" si="32"/>
        <v>0</v>
      </c>
      <c r="AD1029" s="26">
        <f t="shared" si="33"/>
        <v>0</v>
      </c>
    </row>
    <row r="1030" spans="2:30" ht="15" customHeight="1">
      <c r="B1030" s="3" t="str">
        <f>_xlfn.IFNA(VLOOKUP(C1030,Master!$J:$K,2,0),"")</f>
        <v/>
      </c>
      <c r="D1030" s="4" t="str">
        <f>_xlfn.IFNA(VLOOKUP(E1030,Master!$J:$K,2,0),"")</f>
        <v/>
      </c>
      <c r="F1030" s="4" t="str">
        <f>_xlfn.IFNA(VLOOKUP(G1030,Master!B:C,2,0),"")</f>
        <v/>
      </c>
      <c r="I1030" s="3" t="str">
        <f>_xlfn.IFNA(VLOOKUP(E1030,Master!$J:$M,4,0),"")</f>
        <v/>
      </c>
      <c r="J1030" s="3" t="str">
        <f>_xlfn.IFNA(VLOOKUP($E1030,Master!$J:$M,3,0),"")</f>
        <v/>
      </c>
      <c r="AC1030" s="26">
        <f t="shared" si="32"/>
        <v>0</v>
      </c>
      <c r="AD1030" s="26">
        <f t="shared" si="33"/>
        <v>0</v>
      </c>
    </row>
    <row r="1031" spans="2:30" ht="15" customHeight="1">
      <c r="B1031" s="3" t="str">
        <f>_xlfn.IFNA(VLOOKUP(C1031,Master!$J:$K,2,0),"")</f>
        <v/>
      </c>
      <c r="D1031" s="4" t="str">
        <f>_xlfn.IFNA(VLOOKUP(E1031,Master!$J:$K,2,0),"")</f>
        <v/>
      </c>
      <c r="F1031" s="4" t="str">
        <f>_xlfn.IFNA(VLOOKUP(G1031,Master!B:C,2,0),"")</f>
        <v/>
      </c>
      <c r="I1031" s="3" t="str">
        <f>_xlfn.IFNA(VLOOKUP(E1031,Master!$J:$M,4,0),"")</f>
        <v/>
      </c>
      <c r="J1031" s="3" t="str">
        <f>_xlfn.IFNA(VLOOKUP($E1031,Master!$J:$M,3,0),"")</f>
        <v/>
      </c>
      <c r="AC1031" s="26">
        <f t="shared" si="32"/>
        <v>0</v>
      </c>
      <c r="AD1031" s="26">
        <f t="shared" si="33"/>
        <v>0</v>
      </c>
    </row>
    <row r="1032" spans="2:30" ht="15" customHeight="1">
      <c r="B1032" s="3" t="str">
        <f>_xlfn.IFNA(VLOOKUP(C1032,Master!$J:$K,2,0),"")</f>
        <v/>
      </c>
      <c r="D1032" s="4" t="str">
        <f>_xlfn.IFNA(VLOOKUP(E1032,Master!$J:$K,2,0),"")</f>
        <v/>
      </c>
      <c r="F1032" s="4" t="str">
        <f>_xlfn.IFNA(VLOOKUP(G1032,Master!B:C,2,0),"")</f>
        <v/>
      </c>
      <c r="I1032" s="3" t="str">
        <f>_xlfn.IFNA(VLOOKUP(E1032,Master!$J:$M,4,0),"")</f>
        <v/>
      </c>
      <c r="J1032" s="3" t="str">
        <f>_xlfn.IFNA(VLOOKUP($E1032,Master!$J:$M,3,0),"")</f>
        <v/>
      </c>
      <c r="AC1032" s="26">
        <f t="shared" si="32"/>
        <v>0</v>
      </c>
      <c r="AD1032" s="26">
        <f t="shared" si="33"/>
        <v>0</v>
      </c>
    </row>
    <row r="1033" spans="2:30" ht="15" customHeight="1">
      <c r="B1033" s="3" t="str">
        <f>_xlfn.IFNA(VLOOKUP(C1033,Master!$J:$K,2,0),"")</f>
        <v/>
      </c>
      <c r="D1033" s="4" t="str">
        <f>_xlfn.IFNA(VLOOKUP(E1033,Master!$J:$K,2,0),"")</f>
        <v/>
      </c>
      <c r="F1033" s="4" t="str">
        <f>_xlfn.IFNA(VLOOKUP(G1033,Master!B:C,2,0),"")</f>
        <v/>
      </c>
      <c r="I1033" s="3" t="str">
        <f>_xlfn.IFNA(VLOOKUP(E1033,Master!$J:$M,4,0),"")</f>
        <v/>
      </c>
      <c r="J1033" s="3" t="str">
        <f>_xlfn.IFNA(VLOOKUP($E1033,Master!$J:$M,3,0),"")</f>
        <v/>
      </c>
      <c r="AC1033" s="26">
        <f t="shared" si="32"/>
        <v>0</v>
      </c>
      <c r="AD1033" s="26">
        <f t="shared" si="33"/>
        <v>0</v>
      </c>
    </row>
    <row r="1034" spans="2:30" ht="15" customHeight="1">
      <c r="B1034" s="3" t="str">
        <f>_xlfn.IFNA(VLOOKUP(C1034,Master!$J:$K,2,0),"")</f>
        <v/>
      </c>
      <c r="D1034" s="4" t="str">
        <f>_xlfn.IFNA(VLOOKUP(E1034,Master!$J:$K,2,0),"")</f>
        <v/>
      </c>
      <c r="F1034" s="4" t="str">
        <f>_xlfn.IFNA(VLOOKUP(G1034,Master!B:C,2,0),"")</f>
        <v/>
      </c>
      <c r="I1034" s="3" t="str">
        <f>_xlfn.IFNA(VLOOKUP(E1034,Master!$J:$M,4,0),"")</f>
        <v/>
      </c>
      <c r="J1034" s="3" t="str">
        <f>_xlfn.IFNA(VLOOKUP($E1034,Master!$J:$M,3,0),"")</f>
        <v/>
      </c>
      <c r="AC1034" s="26">
        <f t="shared" si="32"/>
        <v>0</v>
      </c>
      <c r="AD1034" s="26">
        <f t="shared" si="33"/>
        <v>0</v>
      </c>
    </row>
    <row r="1035" spans="2:30" ht="15" customHeight="1">
      <c r="B1035" s="3" t="str">
        <f>_xlfn.IFNA(VLOOKUP(C1035,Master!$J:$K,2,0),"")</f>
        <v/>
      </c>
      <c r="D1035" s="4" t="str">
        <f>_xlfn.IFNA(VLOOKUP(E1035,Master!$J:$K,2,0),"")</f>
        <v/>
      </c>
      <c r="F1035" s="4" t="str">
        <f>_xlfn.IFNA(VLOOKUP(G1035,Master!B:C,2,0),"")</f>
        <v/>
      </c>
      <c r="I1035" s="3" t="str">
        <f>_xlfn.IFNA(VLOOKUP(E1035,Master!$J:$M,4,0),"")</f>
        <v/>
      </c>
      <c r="J1035" s="3" t="str">
        <f>_xlfn.IFNA(VLOOKUP($E1035,Master!$J:$M,3,0),"")</f>
        <v/>
      </c>
      <c r="AC1035" s="26">
        <f t="shared" si="32"/>
        <v>0</v>
      </c>
      <c r="AD1035" s="26">
        <f t="shared" si="33"/>
        <v>0</v>
      </c>
    </row>
    <row r="1036" spans="2:30" ht="15" customHeight="1">
      <c r="B1036" s="3" t="str">
        <f>_xlfn.IFNA(VLOOKUP(C1036,Master!$J:$K,2,0),"")</f>
        <v/>
      </c>
      <c r="D1036" s="4" t="str">
        <f>_xlfn.IFNA(VLOOKUP(E1036,Master!$J:$K,2,0),"")</f>
        <v/>
      </c>
      <c r="F1036" s="4" t="str">
        <f>_xlfn.IFNA(VLOOKUP(G1036,Master!B:C,2,0),"")</f>
        <v/>
      </c>
      <c r="I1036" s="3" t="str">
        <f>_xlfn.IFNA(VLOOKUP(E1036,Master!$J:$M,4,0),"")</f>
        <v/>
      </c>
      <c r="J1036" s="3" t="str">
        <f>_xlfn.IFNA(VLOOKUP($E1036,Master!$J:$M,3,0),"")</f>
        <v/>
      </c>
      <c r="AC1036" s="26">
        <f t="shared" si="32"/>
        <v>0</v>
      </c>
      <c r="AD1036" s="26">
        <f t="shared" si="33"/>
        <v>0</v>
      </c>
    </row>
    <row r="1037" spans="2:30" ht="15" customHeight="1">
      <c r="B1037" s="3" t="str">
        <f>_xlfn.IFNA(VLOOKUP(C1037,Master!$J:$K,2,0),"")</f>
        <v/>
      </c>
      <c r="D1037" s="4" t="str">
        <f>_xlfn.IFNA(VLOOKUP(E1037,Master!$J:$K,2,0),"")</f>
        <v/>
      </c>
      <c r="F1037" s="4" t="str">
        <f>_xlfn.IFNA(VLOOKUP(G1037,Master!B:C,2,0),"")</f>
        <v/>
      </c>
      <c r="I1037" s="3" t="str">
        <f>_xlfn.IFNA(VLOOKUP(E1037,Master!$J:$M,4,0),"")</f>
        <v/>
      </c>
      <c r="J1037" s="3" t="str">
        <f>_xlfn.IFNA(VLOOKUP($E1037,Master!$J:$M,3,0),"")</f>
        <v/>
      </c>
      <c r="AC1037" s="26">
        <f t="shared" ref="AC1037:AC1100" si="34">SUM(K1037:P1037)</f>
        <v>0</v>
      </c>
      <c r="AD1037" s="26">
        <f t="shared" ref="AD1037:AD1100" si="35">SUM(Q1037:AB1037)</f>
        <v>0</v>
      </c>
    </row>
    <row r="1038" spans="2:30" ht="15" customHeight="1">
      <c r="B1038" s="3" t="str">
        <f>_xlfn.IFNA(VLOOKUP(C1038,Master!$J:$K,2,0),"")</f>
        <v/>
      </c>
      <c r="D1038" s="4" t="str">
        <f>_xlfn.IFNA(VLOOKUP(E1038,Master!$J:$K,2,0),"")</f>
        <v/>
      </c>
      <c r="F1038" s="4" t="str">
        <f>_xlfn.IFNA(VLOOKUP(G1038,Master!B:C,2,0),"")</f>
        <v/>
      </c>
      <c r="I1038" s="3" t="str">
        <f>_xlfn.IFNA(VLOOKUP(E1038,Master!$J:$M,4,0),"")</f>
        <v/>
      </c>
      <c r="J1038" s="3" t="str">
        <f>_xlfn.IFNA(VLOOKUP($E1038,Master!$J:$M,3,0),"")</f>
        <v/>
      </c>
      <c r="AC1038" s="26">
        <f t="shared" si="34"/>
        <v>0</v>
      </c>
      <c r="AD1038" s="26">
        <f t="shared" si="35"/>
        <v>0</v>
      </c>
    </row>
    <row r="1039" spans="2:30" ht="15" customHeight="1">
      <c r="B1039" s="3" t="str">
        <f>_xlfn.IFNA(VLOOKUP(C1039,Master!$J:$K,2,0),"")</f>
        <v/>
      </c>
      <c r="D1039" s="4" t="str">
        <f>_xlfn.IFNA(VLOOKUP(E1039,Master!$J:$K,2,0),"")</f>
        <v/>
      </c>
      <c r="F1039" s="4" t="str">
        <f>_xlfn.IFNA(VLOOKUP(G1039,Master!B:C,2,0),"")</f>
        <v/>
      </c>
      <c r="I1039" s="3" t="str">
        <f>_xlfn.IFNA(VLOOKUP(E1039,Master!$J:$M,4,0),"")</f>
        <v/>
      </c>
      <c r="J1039" s="3" t="str">
        <f>_xlfn.IFNA(VLOOKUP($E1039,Master!$J:$M,3,0),"")</f>
        <v/>
      </c>
      <c r="AC1039" s="26">
        <f t="shared" si="34"/>
        <v>0</v>
      </c>
      <c r="AD1039" s="26">
        <f t="shared" si="35"/>
        <v>0</v>
      </c>
    </row>
    <row r="1040" spans="2:30" ht="15" customHeight="1">
      <c r="B1040" s="3" t="str">
        <f>_xlfn.IFNA(VLOOKUP(C1040,Master!$J:$K,2,0),"")</f>
        <v/>
      </c>
      <c r="D1040" s="4" t="str">
        <f>_xlfn.IFNA(VLOOKUP(E1040,Master!$J:$K,2,0),"")</f>
        <v/>
      </c>
      <c r="F1040" s="4" t="str">
        <f>_xlfn.IFNA(VLOOKUP(G1040,Master!B:C,2,0),"")</f>
        <v/>
      </c>
      <c r="I1040" s="3" t="str">
        <f>_xlfn.IFNA(VLOOKUP(E1040,Master!$J:$M,4,0),"")</f>
        <v/>
      </c>
      <c r="J1040" s="3" t="str">
        <f>_xlfn.IFNA(VLOOKUP($E1040,Master!$J:$M,3,0),"")</f>
        <v/>
      </c>
      <c r="AC1040" s="26">
        <f t="shared" si="34"/>
        <v>0</v>
      </c>
      <c r="AD1040" s="26">
        <f t="shared" si="35"/>
        <v>0</v>
      </c>
    </row>
    <row r="1041" spans="2:30" ht="15" customHeight="1">
      <c r="B1041" s="3" t="str">
        <f>_xlfn.IFNA(VLOOKUP(C1041,Master!$J:$K,2,0),"")</f>
        <v/>
      </c>
      <c r="D1041" s="4" t="str">
        <f>_xlfn.IFNA(VLOOKUP(E1041,Master!$J:$K,2,0),"")</f>
        <v/>
      </c>
      <c r="F1041" s="4" t="str">
        <f>_xlfn.IFNA(VLOOKUP(G1041,Master!B:C,2,0),"")</f>
        <v/>
      </c>
      <c r="I1041" s="3" t="str">
        <f>_xlfn.IFNA(VLOOKUP(E1041,Master!$J:$M,4,0),"")</f>
        <v/>
      </c>
      <c r="J1041" s="3" t="str">
        <f>_xlfn.IFNA(VLOOKUP($E1041,Master!$J:$M,3,0),"")</f>
        <v/>
      </c>
      <c r="AC1041" s="26">
        <f t="shared" si="34"/>
        <v>0</v>
      </c>
      <c r="AD1041" s="26">
        <f t="shared" si="35"/>
        <v>0</v>
      </c>
    </row>
    <row r="1042" spans="2:30" ht="15" customHeight="1">
      <c r="B1042" s="3" t="str">
        <f>_xlfn.IFNA(VLOOKUP(C1042,Master!$J:$K,2,0),"")</f>
        <v/>
      </c>
      <c r="D1042" s="4" t="str">
        <f>_xlfn.IFNA(VLOOKUP(E1042,Master!$J:$K,2,0),"")</f>
        <v/>
      </c>
      <c r="F1042" s="4" t="str">
        <f>_xlfn.IFNA(VLOOKUP(G1042,Master!B:C,2,0),"")</f>
        <v/>
      </c>
      <c r="I1042" s="3" t="str">
        <f>_xlfn.IFNA(VLOOKUP(E1042,Master!$J:$M,4,0),"")</f>
        <v/>
      </c>
      <c r="J1042" s="3" t="str">
        <f>_xlfn.IFNA(VLOOKUP($E1042,Master!$J:$M,3,0),"")</f>
        <v/>
      </c>
      <c r="AC1042" s="26">
        <f t="shared" si="34"/>
        <v>0</v>
      </c>
      <c r="AD1042" s="26">
        <f t="shared" si="35"/>
        <v>0</v>
      </c>
    </row>
    <row r="1043" spans="2:30" ht="15" customHeight="1">
      <c r="B1043" s="3" t="str">
        <f>_xlfn.IFNA(VLOOKUP(C1043,Master!$J:$K,2,0),"")</f>
        <v/>
      </c>
      <c r="D1043" s="4" t="str">
        <f>_xlfn.IFNA(VLOOKUP(E1043,Master!$J:$K,2,0),"")</f>
        <v/>
      </c>
      <c r="F1043" s="4" t="str">
        <f>_xlfn.IFNA(VLOOKUP(G1043,Master!B:C,2,0),"")</f>
        <v/>
      </c>
      <c r="I1043" s="3" t="str">
        <f>_xlfn.IFNA(VLOOKUP(E1043,Master!$J:$M,4,0),"")</f>
        <v/>
      </c>
      <c r="J1043" s="3" t="str">
        <f>_xlfn.IFNA(VLOOKUP($E1043,Master!$J:$M,3,0),"")</f>
        <v/>
      </c>
      <c r="AC1043" s="26">
        <f t="shared" si="34"/>
        <v>0</v>
      </c>
      <c r="AD1043" s="26">
        <f t="shared" si="35"/>
        <v>0</v>
      </c>
    </row>
    <row r="1044" spans="2:30" ht="15" customHeight="1">
      <c r="B1044" s="3" t="str">
        <f>_xlfn.IFNA(VLOOKUP(C1044,Master!$J:$K,2,0),"")</f>
        <v/>
      </c>
      <c r="D1044" s="4" t="str">
        <f>_xlfn.IFNA(VLOOKUP(E1044,Master!$J:$K,2,0),"")</f>
        <v/>
      </c>
      <c r="F1044" s="4" t="str">
        <f>_xlfn.IFNA(VLOOKUP(G1044,Master!B:C,2,0),"")</f>
        <v/>
      </c>
      <c r="I1044" s="3" t="str">
        <f>_xlfn.IFNA(VLOOKUP(E1044,Master!$J:$M,4,0),"")</f>
        <v/>
      </c>
      <c r="J1044" s="3" t="str">
        <f>_xlfn.IFNA(VLOOKUP($E1044,Master!$J:$M,3,0),"")</f>
        <v/>
      </c>
      <c r="AC1044" s="26">
        <f t="shared" si="34"/>
        <v>0</v>
      </c>
      <c r="AD1044" s="26">
        <f t="shared" si="35"/>
        <v>0</v>
      </c>
    </row>
    <row r="1045" spans="2:30" ht="15" customHeight="1">
      <c r="B1045" s="3" t="str">
        <f>_xlfn.IFNA(VLOOKUP(C1045,Master!$J:$K,2,0),"")</f>
        <v/>
      </c>
      <c r="D1045" s="4" t="str">
        <f>_xlfn.IFNA(VLOOKUP(E1045,Master!$J:$K,2,0),"")</f>
        <v/>
      </c>
      <c r="F1045" s="4" t="str">
        <f>_xlfn.IFNA(VLOOKUP(G1045,Master!B:C,2,0),"")</f>
        <v/>
      </c>
      <c r="I1045" s="3" t="str">
        <f>_xlfn.IFNA(VLOOKUP(E1045,Master!$J:$M,4,0),"")</f>
        <v/>
      </c>
      <c r="J1045" s="3" t="str">
        <f>_xlfn.IFNA(VLOOKUP($E1045,Master!$J:$M,3,0),"")</f>
        <v/>
      </c>
      <c r="AC1045" s="26">
        <f t="shared" si="34"/>
        <v>0</v>
      </c>
      <c r="AD1045" s="26">
        <f t="shared" si="35"/>
        <v>0</v>
      </c>
    </row>
    <row r="1046" spans="2:30" ht="15" customHeight="1">
      <c r="B1046" s="3" t="str">
        <f>_xlfn.IFNA(VLOOKUP(C1046,Master!$J:$K,2,0),"")</f>
        <v/>
      </c>
      <c r="D1046" s="4" t="str">
        <f>_xlfn.IFNA(VLOOKUP(E1046,Master!$J:$K,2,0),"")</f>
        <v/>
      </c>
      <c r="F1046" s="4" t="str">
        <f>_xlfn.IFNA(VLOOKUP(G1046,Master!B:C,2,0),"")</f>
        <v/>
      </c>
      <c r="I1046" s="3" t="str">
        <f>_xlfn.IFNA(VLOOKUP(E1046,Master!$J:$M,4,0),"")</f>
        <v/>
      </c>
      <c r="J1046" s="3" t="str">
        <f>_xlfn.IFNA(VLOOKUP($E1046,Master!$J:$M,3,0),"")</f>
        <v/>
      </c>
      <c r="AC1046" s="26">
        <f t="shared" si="34"/>
        <v>0</v>
      </c>
      <c r="AD1046" s="26">
        <f t="shared" si="35"/>
        <v>0</v>
      </c>
    </row>
    <row r="1047" spans="2:30" ht="15" customHeight="1">
      <c r="B1047" s="3" t="str">
        <f>_xlfn.IFNA(VLOOKUP(C1047,Master!$J:$K,2,0),"")</f>
        <v/>
      </c>
      <c r="D1047" s="4" t="str">
        <f>_xlfn.IFNA(VLOOKUP(E1047,Master!$J:$K,2,0),"")</f>
        <v/>
      </c>
      <c r="F1047" s="4" t="str">
        <f>_xlfn.IFNA(VLOOKUP(G1047,Master!B:C,2,0),"")</f>
        <v/>
      </c>
      <c r="I1047" s="3" t="str">
        <f>_xlfn.IFNA(VLOOKUP(E1047,Master!$J:$M,4,0),"")</f>
        <v/>
      </c>
      <c r="J1047" s="3" t="str">
        <f>_xlfn.IFNA(VLOOKUP($E1047,Master!$J:$M,3,0),"")</f>
        <v/>
      </c>
      <c r="AC1047" s="26">
        <f t="shared" si="34"/>
        <v>0</v>
      </c>
      <c r="AD1047" s="26">
        <f t="shared" si="35"/>
        <v>0</v>
      </c>
    </row>
    <row r="1048" spans="2:30" ht="15" customHeight="1">
      <c r="B1048" s="3" t="str">
        <f>_xlfn.IFNA(VLOOKUP(C1048,Master!$J:$K,2,0),"")</f>
        <v/>
      </c>
      <c r="D1048" s="4" t="str">
        <f>_xlfn.IFNA(VLOOKUP(E1048,Master!$J:$K,2,0),"")</f>
        <v/>
      </c>
      <c r="F1048" s="4" t="str">
        <f>_xlfn.IFNA(VLOOKUP(G1048,Master!B:C,2,0),"")</f>
        <v/>
      </c>
      <c r="I1048" s="3" t="str">
        <f>_xlfn.IFNA(VLOOKUP(E1048,Master!$J:$M,4,0),"")</f>
        <v/>
      </c>
      <c r="J1048" s="3" t="str">
        <f>_xlfn.IFNA(VLOOKUP($E1048,Master!$J:$M,3,0),"")</f>
        <v/>
      </c>
      <c r="AC1048" s="26">
        <f t="shared" si="34"/>
        <v>0</v>
      </c>
      <c r="AD1048" s="26">
        <f t="shared" si="35"/>
        <v>0</v>
      </c>
    </row>
    <row r="1049" spans="2:30" ht="15" customHeight="1">
      <c r="B1049" s="3" t="str">
        <f>_xlfn.IFNA(VLOOKUP(C1049,Master!$J:$K,2,0),"")</f>
        <v/>
      </c>
      <c r="D1049" s="4" t="str">
        <f>_xlfn.IFNA(VLOOKUP(E1049,Master!$J:$K,2,0),"")</f>
        <v/>
      </c>
      <c r="F1049" s="4" t="str">
        <f>_xlfn.IFNA(VLOOKUP(G1049,Master!B:C,2,0),"")</f>
        <v/>
      </c>
      <c r="I1049" s="3" t="str">
        <f>_xlfn.IFNA(VLOOKUP(E1049,Master!$J:$M,4,0),"")</f>
        <v/>
      </c>
      <c r="J1049" s="3" t="str">
        <f>_xlfn.IFNA(VLOOKUP($E1049,Master!$J:$M,3,0),"")</f>
        <v/>
      </c>
      <c r="AC1049" s="26">
        <f t="shared" si="34"/>
        <v>0</v>
      </c>
      <c r="AD1049" s="26">
        <f t="shared" si="35"/>
        <v>0</v>
      </c>
    </row>
    <row r="1050" spans="2:30" ht="15" customHeight="1">
      <c r="B1050" s="3" t="str">
        <f>_xlfn.IFNA(VLOOKUP(C1050,Master!$J:$K,2,0),"")</f>
        <v/>
      </c>
      <c r="D1050" s="4" t="str">
        <f>_xlfn.IFNA(VLOOKUP(E1050,Master!$J:$K,2,0),"")</f>
        <v/>
      </c>
      <c r="F1050" s="4" t="str">
        <f>_xlfn.IFNA(VLOOKUP(G1050,Master!B:C,2,0),"")</f>
        <v/>
      </c>
      <c r="I1050" s="3" t="str">
        <f>_xlfn.IFNA(VLOOKUP(E1050,Master!$J:$M,4,0),"")</f>
        <v/>
      </c>
      <c r="J1050" s="3" t="str">
        <f>_xlfn.IFNA(VLOOKUP($E1050,Master!$J:$M,3,0),"")</f>
        <v/>
      </c>
      <c r="AC1050" s="26">
        <f t="shared" si="34"/>
        <v>0</v>
      </c>
      <c r="AD1050" s="26">
        <f t="shared" si="35"/>
        <v>0</v>
      </c>
    </row>
    <row r="1051" spans="2:30" ht="15" customHeight="1">
      <c r="B1051" s="3" t="str">
        <f>_xlfn.IFNA(VLOOKUP(C1051,Master!$J:$K,2,0),"")</f>
        <v/>
      </c>
      <c r="D1051" s="4" t="str">
        <f>_xlfn.IFNA(VLOOKUP(E1051,Master!$J:$K,2,0),"")</f>
        <v/>
      </c>
      <c r="F1051" s="4" t="str">
        <f>_xlfn.IFNA(VLOOKUP(G1051,Master!B:C,2,0),"")</f>
        <v/>
      </c>
      <c r="I1051" s="3" t="str">
        <f>_xlfn.IFNA(VLOOKUP(E1051,Master!$J:$M,4,0),"")</f>
        <v/>
      </c>
      <c r="J1051" s="3" t="str">
        <f>_xlfn.IFNA(VLOOKUP($E1051,Master!$J:$M,3,0),"")</f>
        <v/>
      </c>
      <c r="AC1051" s="26">
        <f t="shared" si="34"/>
        <v>0</v>
      </c>
      <c r="AD1051" s="26">
        <f t="shared" si="35"/>
        <v>0</v>
      </c>
    </row>
    <row r="1052" spans="2:30" ht="15" customHeight="1">
      <c r="B1052" s="3" t="str">
        <f>_xlfn.IFNA(VLOOKUP(C1052,Master!$J:$K,2,0),"")</f>
        <v/>
      </c>
      <c r="D1052" s="4" t="str">
        <f>_xlfn.IFNA(VLOOKUP(E1052,Master!$J:$K,2,0),"")</f>
        <v/>
      </c>
      <c r="F1052" s="4" t="str">
        <f>_xlfn.IFNA(VLOOKUP(G1052,Master!B:C,2,0),"")</f>
        <v/>
      </c>
      <c r="I1052" s="3" t="str">
        <f>_xlfn.IFNA(VLOOKUP(E1052,Master!$J:$M,4,0),"")</f>
        <v/>
      </c>
      <c r="J1052" s="3" t="str">
        <f>_xlfn.IFNA(VLOOKUP($E1052,Master!$J:$M,3,0),"")</f>
        <v/>
      </c>
      <c r="AC1052" s="26">
        <f t="shared" si="34"/>
        <v>0</v>
      </c>
      <c r="AD1052" s="26">
        <f t="shared" si="35"/>
        <v>0</v>
      </c>
    </row>
    <row r="1053" spans="2:30" ht="15" customHeight="1">
      <c r="B1053" s="3" t="str">
        <f>_xlfn.IFNA(VLOOKUP(C1053,Master!$J:$K,2,0),"")</f>
        <v/>
      </c>
      <c r="D1053" s="4" t="str">
        <f>_xlfn.IFNA(VLOOKUP(E1053,Master!$J:$K,2,0),"")</f>
        <v/>
      </c>
      <c r="F1053" s="4" t="str">
        <f>_xlfn.IFNA(VLOOKUP(G1053,Master!B:C,2,0),"")</f>
        <v/>
      </c>
      <c r="I1053" s="3" t="str">
        <f>_xlfn.IFNA(VLOOKUP(E1053,Master!$J:$M,4,0),"")</f>
        <v/>
      </c>
      <c r="J1053" s="3" t="str">
        <f>_xlfn.IFNA(VLOOKUP($E1053,Master!$J:$M,3,0),"")</f>
        <v/>
      </c>
      <c r="AC1053" s="26">
        <f t="shared" si="34"/>
        <v>0</v>
      </c>
      <c r="AD1053" s="26">
        <f t="shared" si="35"/>
        <v>0</v>
      </c>
    </row>
    <row r="1054" spans="2:30" ht="15" customHeight="1">
      <c r="B1054" s="3" t="str">
        <f>_xlfn.IFNA(VLOOKUP(C1054,Master!$J:$K,2,0),"")</f>
        <v/>
      </c>
      <c r="D1054" s="4" t="str">
        <f>_xlfn.IFNA(VLOOKUP(E1054,Master!$J:$K,2,0),"")</f>
        <v/>
      </c>
      <c r="F1054" s="4" t="str">
        <f>_xlfn.IFNA(VLOOKUP(G1054,Master!B:C,2,0),"")</f>
        <v/>
      </c>
      <c r="I1054" s="3" t="str">
        <f>_xlfn.IFNA(VLOOKUP(E1054,Master!$J:$M,4,0),"")</f>
        <v/>
      </c>
      <c r="J1054" s="3" t="str">
        <f>_xlfn.IFNA(VLOOKUP($E1054,Master!$J:$M,3,0),"")</f>
        <v/>
      </c>
      <c r="AC1054" s="26">
        <f t="shared" si="34"/>
        <v>0</v>
      </c>
      <c r="AD1054" s="26">
        <f t="shared" si="35"/>
        <v>0</v>
      </c>
    </row>
    <row r="1055" spans="2:30" ht="15" customHeight="1">
      <c r="B1055" s="3" t="str">
        <f>_xlfn.IFNA(VLOOKUP(C1055,Master!$J:$K,2,0),"")</f>
        <v/>
      </c>
      <c r="D1055" s="4" t="str">
        <f>_xlfn.IFNA(VLOOKUP(E1055,Master!$J:$K,2,0),"")</f>
        <v/>
      </c>
      <c r="F1055" s="4" t="str">
        <f>_xlfn.IFNA(VLOOKUP(G1055,Master!B:C,2,0),"")</f>
        <v/>
      </c>
      <c r="I1055" s="3" t="str">
        <f>_xlfn.IFNA(VLOOKUP(E1055,Master!$J:$M,4,0),"")</f>
        <v/>
      </c>
      <c r="J1055" s="3" t="str">
        <f>_xlfn.IFNA(VLOOKUP($E1055,Master!$J:$M,3,0),"")</f>
        <v/>
      </c>
      <c r="AC1055" s="26">
        <f t="shared" si="34"/>
        <v>0</v>
      </c>
      <c r="AD1055" s="26">
        <f t="shared" si="35"/>
        <v>0</v>
      </c>
    </row>
    <row r="1056" spans="2:30" ht="15" customHeight="1">
      <c r="B1056" s="3" t="str">
        <f>_xlfn.IFNA(VLOOKUP(C1056,Master!$J:$K,2,0),"")</f>
        <v/>
      </c>
      <c r="D1056" s="4" t="str">
        <f>_xlfn.IFNA(VLOOKUP(E1056,Master!$J:$K,2,0),"")</f>
        <v/>
      </c>
      <c r="F1056" s="4" t="str">
        <f>_xlfn.IFNA(VLOOKUP(G1056,Master!B:C,2,0),"")</f>
        <v/>
      </c>
      <c r="I1056" s="3" t="str">
        <f>_xlfn.IFNA(VLOOKUP(E1056,Master!$J:$M,4,0),"")</f>
        <v/>
      </c>
      <c r="J1056" s="3" t="str">
        <f>_xlfn.IFNA(VLOOKUP($E1056,Master!$J:$M,3,0),"")</f>
        <v/>
      </c>
      <c r="AC1056" s="26">
        <f t="shared" si="34"/>
        <v>0</v>
      </c>
      <c r="AD1056" s="26">
        <f t="shared" si="35"/>
        <v>0</v>
      </c>
    </row>
    <row r="1057" spans="2:30" ht="15" customHeight="1">
      <c r="B1057" s="3" t="str">
        <f>_xlfn.IFNA(VLOOKUP(C1057,Master!$J:$K,2,0),"")</f>
        <v/>
      </c>
      <c r="D1057" s="4" t="str">
        <f>_xlfn.IFNA(VLOOKUP(E1057,Master!$J:$K,2,0),"")</f>
        <v/>
      </c>
      <c r="F1057" s="4" t="str">
        <f>_xlfn.IFNA(VLOOKUP(G1057,Master!B:C,2,0),"")</f>
        <v/>
      </c>
      <c r="I1057" s="3" t="str">
        <f>_xlfn.IFNA(VLOOKUP(E1057,Master!$J:$M,4,0),"")</f>
        <v/>
      </c>
      <c r="J1057" s="3" t="str">
        <f>_xlfn.IFNA(VLOOKUP($E1057,Master!$J:$M,3,0),"")</f>
        <v/>
      </c>
      <c r="AC1057" s="26">
        <f t="shared" si="34"/>
        <v>0</v>
      </c>
      <c r="AD1057" s="26">
        <f t="shared" si="35"/>
        <v>0</v>
      </c>
    </row>
    <row r="1058" spans="2:30" ht="15" customHeight="1">
      <c r="B1058" s="3" t="str">
        <f>_xlfn.IFNA(VLOOKUP(C1058,Master!$J:$K,2,0),"")</f>
        <v/>
      </c>
      <c r="D1058" s="4" t="str">
        <f>_xlfn.IFNA(VLOOKUP(E1058,Master!$J:$K,2,0),"")</f>
        <v/>
      </c>
      <c r="F1058" s="4" t="str">
        <f>_xlfn.IFNA(VLOOKUP(G1058,Master!B:C,2,0),"")</f>
        <v/>
      </c>
      <c r="I1058" s="3" t="str">
        <f>_xlfn.IFNA(VLOOKUP(E1058,Master!$J:$M,4,0),"")</f>
        <v/>
      </c>
      <c r="J1058" s="3" t="str">
        <f>_xlfn.IFNA(VLOOKUP($E1058,Master!$J:$M,3,0),"")</f>
        <v/>
      </c>
      <c r="AC1058" s="26">
        <f t="shared" si="34"/>
        <v>0</v>
      </c>
      <c r="AD1058" s="26">
        <f t="shared" si="35"/>
        <v>0</v>
      </c>
    </row>
    <row r="1059" spans="2:30" ht="15" customHeight="1">
      <c r="B1059" s="3" t="str">
        <f>_xlfn.IFNA(VLOOKUP(C1059,Master!$J:$K,2,0),"")</f>
        <v/>
      </c>
      <c r="D1059" s="4" t="str">
        <f>_xlfn.IFNA(VLOOKUP(E1059,Master!$J:$K,2,0),"")</f>
        <v/>
      </c>
      <c r="F1059" s="4" t="str">
        <f>_xlfn.IFNA(VLOOKUP(G1059,Master!B:C,2,0),"")</f>
        <v/>
      </c>
      <c r="I1059" s="3" t="str">
        <f>_xlfn.IFNA(VLOOKUP(E1059,Master!$J:$M,4,0),"")</f>
        <v/>
      </c>
      <c r="J1059" s="3" t="str">
        <f>_xlfn.IFNA(VLOOKUP($E1059,Master!$J:$M,3,0),"")</f>
        <v/>
      </c>
      <c r="AC1059" s="26">
        <f t="shared" si="34"/>
        <v>0</v>
      </c>
      <c r="AD1059" s="26">
        <f t="shared" si="35"/>
        <v>0</v>
      </c>
    </row>
    <row r="1060" spans="2:30" ht="15" customHeight="1">
      <c r="B1060" s="3" t="str">
        <f>_xlfn.IFNA(VLOOKUP(C1060,Master!$J:$K,2,0),"")</f>
        <v/>
      </c>
      <c r="D1060" s="4" t="str">
        <f>_xlfn.IFNA(VLOOKUP(E1060,Master!$J:$K,2,0),"")</f>
        <v/>
      </c>
      <c r="F1060" s="4" t="str">
        <f>_xlfn.IFNA(VLOOKUP(G1060,Master!B:C,2,0),"")</f>
        <v/>
      </c>
      <c r="I1060" s="3" t="str">
        <f>_xlfn.IFNA(VLOOKUP(E1060,Master!$J:$M,4,0),"")</f>
        <v/>
      </c>
      <c r="J1060" s="3" t="str">
        <f>_xlfn.IFNA(VLOOKUP($E1060,Master!$J:$M,3,0),"")</f>
        <v/>
      </c>
      <c r="AC1060" s="26">
        <f t="shared" si="34"/>
        <v>0</v>
      </c>
      <c r="AD1060" s="26">
        <f t="shared" si="35"/>
        <v>0</v>
      </c>
    </row>
    <row r="1061" spans="2:30" ht="15" customHeight="1">
      <c r="B1061" s="3" t="str">
        <f>_xlfn.IFNA(VLOOKUP(C1061,Master!$J:$K,2,0),"")</f>
        <v/>
      </c>
      <c r="D1061" s="4" t="str">
        <f>_xlfn.IFNA(VLOOKUP(E1061,Master!$J:$K,2,0),"")</f>
        <v/>
      </c>
      <c r="F1061" s="4" t="str">
        <f>_xlfn.IFNA(VLOOKUP(G1061,Master!B:C,2,0),"")</f>
        <v/>
      </c>
      <c r="I1061" s="3" t="str">
        <f>_xlfn.IFNA(VLOOKUP(E1061,Master!$J:$M,4,0),"")</f>
        <v/>
      </c>
      <c r="J1061" s="3" t="str">
        <f>_xlfn.IFNA(VLOOKUP($E1061,Master!$J:$M,3,0),"")</f>
        <v/>
      </c>
      <c r="AC1061" s="26">
        <f t="shared" si="34"/>
        <v>0</v>
      </c>
      <c r="AD1061" s="26">
        <f t="shared" si="35"/>
        <v>0</v>
      </c>
    </row>
    <row r="1062" spans="2:30" ht="15" customHeight="1">
      <c r="B1062" s="3" t="str">
        <f>_xlfn.IFNA(VLOOKUP(C1062,Master!$J:$K,2,0),"")</f>
        <v/>
      </c>
      <c r="D1062" s="4" t="str">
        <f>_xlfn.IFNA(VLOOKUP(E1062,Master!$J:$K,2,0),"")</f>
        <v/>
      </c>
      <c r="F1062" s="4" t="str">
        <f>_xlfn.IFNA(VLOOKUP(G1062,Master!B:C,2,0),"")</f>
        <v/>
      </c>
      <c r="I1062" s="3" t="str">
        <f>_xlfn.IFNA(VLOOKUP(E1062,Master!$J:$M,4,0),"")</f>
        <v/>
      </c>
      <c r="J1062" s="3" t="str">
        <f>_xlfn.IFNA(VLOOKUP($E1062,Master!$J:$M,3,0),"")</f>
        <v/>
      </c>
      <c r="AC1062" s="26">
        <f t="shared" si="34"/>
        <v>0</v>
      </c>
      <c r="AD1062" s="26">
        <f t="shared" si="35"/>
        <v>0</v>
      </c>
    </row>
    <row r="1063" spans="2:30" ht="15" customHeight="1">
      <c r="B1063" s="3" t="str">
        <f>_xlfn.IFNA(VLOOKUP(C1063,Master!$J:$K,2,0),"")</f>
        <v/>
      </c>
      <c r="D1063" s="4" t="str">
        <f>_xlfn.IFNA(VLOOKUP(E1063,Master!$J:$K,2,0),"")</f>
        <v/>
      </c>
      <c r="F1063" s="4" t="str">
        <f>_xlfn.IFNA(VLOOKUP(G1063,Master!B:C,2,0),"")</f>
        <v/>
      </c>
      <c r="I1063" s="3" t="str">
        <f>_xlfn.IFNA(VLOOKUP(E1063,Master!$J:$M,4,0),"")</f>
        <v/>
      </c>
      <c r="J1063" s="3" t="str">
        <f>_xlfn.IFNA(VLOOKUP($E1063,Master!$J:$M,3,0),"")</f>
        <v/>
      </c>
      <c r="AC1063" s="26">
        <f t="shared" si="34"/>
        <v>0</v>
      </c>
      <c r="AD1063" s="26">
        <f t="shared" si="35"/>
        <v>0</v>
      </c>
    </row>
    <row r="1064" spans="2:30" ht="15" customHeight="1">
      <c r="B1064" s="3" t="str">
        <f>_xlfn.IFNA(VLOOKUP(C1064,Master!$J:$K,2,0),"")</f>
        <v/>
      </c>
      <c r="D1064" s="4" t="str">
        <f>_xlfn.IFNA(VLOOKUP(E1064,Master!$J:$K,2,0),"")</f>
        <v/>
      </c>
      <c r="F1064" s="4" t="str">
        <f>_xlfn.IFNA(VLOOKUP(G1064,Master!B:C,2,0),"")</f>
        <v/>
      </c>
      <c r="I1064" s="3" t="str">
        <f>_xlfn.IFNA(VLOOKUP(E1064,Master!$J:$M,4,0),"")</f>
        <v/>
      </c>
      <c r="J1064" s="3" t="str">
        <f>_xlfn.IFNA(VLOOKUP($E1064,Master!$J:$M,3,0),"")</f>
        <v/>
      </c>
      <c r="AC1064" s="26">
        <f t="shared" si="34"/>
        <v>0</v>
      </c>
      <c r="AD1064" s="26">
        <f t="shared" si="35"/>
        <v>0</v>
      </c>
    </row>
    <row r="1065" spans="2:30" ht="15" customHeight="1">
      <c r="B1065" s="3" t="str">
        <f>_xlfn.IFNA(VLOOKUP(C1065,Master!$J:$K,2,0),"")</f>
        <v/>
      </c>
      <c r="D1065" s="4" t="str">
        <f>_xlfn.IFNA(VLOOKUP(E1065,Master!$J:$K,2,0),"")</f>
        <v/>
      </c>
      <c r="F1065" s="4" t="str">
        <f>_xlfn.IFNA(VLOOKUP(G1065,Master!B:C,2,0),"")</f>
        <v/>
      </c>
      <c r="I1065" s="3" t="str">
        <f>_xlfn.IFNA(VLOOKUP(E1065,Master!$J:$M,4,0),"")</f>
        <v/>
      </c>
      <c r="J1065" s="3" t="str">
        <f>_xlfn.IFNA(VLOOKUP($E1065,Master!$J:$M,3,0),"")</f>
        <v/>
      </c>
      <c r="AC1065" s="26">
        <f t="shared" si="34"/>
        <v>0</v>
      </c>
      <c r="AD1065" s="26">
        <f t="shared" si="35"/>
        <v>0</v>
      </c>
    </row>
    <row r="1066" spans="2:30" ht="15" customHeight="1">
      <c r="B1066" s="3" t="str">
        <f>_xlfn.IFNA(VLOOKUP(C1066,Master!$J:$K,2,0),"")</f>
        <v/>
      </c>
      <c r="D1066" s="4" t="str">
        <f>_xlfn.IFNA(VLOOKUP(E1066,Master!$J:$K,2,0),"")</f>
        <v/>
      </c>
      <c r="F1066" s="4" t="str">
        <f>_xlfn.IFNA(VLOOKUP(G1066,Master!B:C,2,0),"")</f>
        <v/>
      </c>
      <c r="I1066" s="3" t="str">
        <f>_xlfn.IFNA(VLOOKUP(E1066,Master!$J:$M,4,0),"")</f>
        <v/>
      </c>
      <c r="J1066" s="3" t="str">
        <f>_xlfn.IFNA(VLOOKUP($E1066,Master!$J:$M,3,0),"")</f>
        <v/>
      </c>
      <c r="AC1066" s="26">
        <f t="shared" si="34"/>
        <v>0</v>
      </c>
      <c r="AD1066" s="26">
        <f t="shared" si="35"/>
        <v>0</v>
      </c>
    </row>
    <row r="1067" spans="2:30" ht="15" customHeight="1">
      <c r="B1067" s="3" t="str">
        <f>_xlfn.IFNA(VLOOKUP(C1067,Master!$J:$K,2,0),"")</f>
        <v/>
      </c>
      <c r="D1067" s="4" t="str">
        <f>_xlfn.IFNA(VLOOKUP(E1067,Master!$J:$K,2,0),"")</f>
        <v/>
      </c>
      <c r="F1067" s="4" t="str">
        <f>_xlfn.IFNA(VLOOKUP(G1067,Master!B:C,2,0),"")</f>
        <v/>
      </c>
      <c r="I1067" s="3" t="str">
        <f>_xlfn.IFNA(VLOOKUP(E1067,Master!$J:$M,4,0),"")</f>
        <v/>
      </c>
      <c r="J1067" s="3" t="str">
        <f>_xlfn.IFNA(VLOOKUP($E1067,Master!$J:$M,3,0),"")</f>
        <v/>
      </c>
      <c r="AC1067" s="26">
        <f t="shared" si="34"/>
        <v>0</v>
      </c>
      <c r="AD1067" s="26">
        <f t="shared" si="35"/>
        <v>0</v>
      </c>
    </row>
    <row r="1068" spans="2:30" ht="15" customHeight="1">
      <c r="B1068" s="3" t="str">
        <f>_xlfn.IFNA(VLOOKUP(C1068,Master!$J:$K,2,0),"")</f>
        <v/>
      </c>
      <c r="D1068" s="4" t="str">
        <f>_xlfn.IFNA(VLOOKUP(E1068,Master!$J:$K,2,0),"")</f>
        <v/>
      </c>
      <c r="F1068" s="4" t="str">
        <f>_xlfn.IFNA(VLOOKUP(G1068,Master!B:C,2,0),"")</f>
        <v/>
      </c>
      <c r="I1068" s="3" t="str">
        <f>_xlfn.IFNA(VLOOKUP(E1068,Master!$J:$M,4,0),"")</f>
        <v/>
      </c>
      <c r="J1068" s="3" t="str">
        <f>_xlfn.IFNA(VLOOKUP($E1068,Master!$J:$M,3,0),"")</f>
        <v/>
      </c>
      <c r="AC1068" s="26">
        <f t="shared" si="34"/>
        <v>0</v>
      </c>
      <c r="AD1068" s="26">
        <f t="shared" si="35"/>
        <v>0</v>
      </c>
    </row>
    <row r="1069" spans="2:30" ht="15" customHeight="1">
      <c r="B1069" s="3" t="str">
        <f>_xlfn.IFNA(VLOOKUP(C1069,Master!$J:$K,2,0),"")</f>
        <v/>
      </c>
      <c r="D1069" s="4" t="str">
        <f>_xlfn.IFNA(VLOOKUP(E1069,Master!$J:$K,2,0),"")</f>
        <v/>
      </c>
      <c r="F1069" s="4" t="str">
        <f>_xlfn.IFNA(VLOOKUP(G1069,Master!B:C,2,0),"")</f>
        <v/>
      </c>
      <c r="I1069" s="3" t="str">
        <f>_xlfn.IFNA(VLOOKUP(E1069,Master!$J:$M,4,0),"")</f>
        <v/>
      </c>
      <c r="J1069" s="3" t="str">
        <f>_xlfn.IFNA(VLOOKUP($E1069,Master!$J:$M,3,0),"")</f>
        <v/>
      </c>
      <c r="AC1069" s="26">
        <f t="shared" si="34"/>
        <v>0</v>
      </c>
      <c r="AD1069" s="26">
        <f t="shared" si="35"/>
        <v>0</v>
      </c>
    </row>
    <row r="1070" spans="2:30" ht="15" customHeight="1">
      <c r="B1070" s="3" t="str">
        <f>_xlfn.IFNA(VLOOKUP(C1070,Master!$J:$K,2,0),"")</f>
        <v/>
      </c>
      <c r="D1070" s="4" t="str">
        <f>_xlfn.IFNA(VLOOKUP(E1070,Master!$J:$K,2,0),"")</f>
        <v/>
      </c>
      <c r="F1070" s="4" t="str">
        <f>_xlfn.IFNA(VLOOKUP(G1070,Master!B:C,2,0),"")</f>
        <v/>
      </c>
      <c r="I1070" s="3" t="str">
        <f>_xlfn.IFNA(VLOOKUP(E1070,Master!$J:$M,4,0),"")</f>
        <v/>
      </c>
      <c r="J1070" s="3" t="str">
        <f>_xlfn.IFNA(VLOOKUP($E1070,Master!$J:$M,3,0),"")</f>
        <v/>
      </c>
      <c r="AC1070" s="26">
        <f t="shared" si="34"/>
        <v>0</v>
      </c>
      <c r="AD1070" s="26">
        <f t="shared" si="35"/>
        <v>0</v>
      </c>
    </row>
    <row r="1071" spans="2:30" ht="15" customHeight="1">
      <c r="B1071" s="3" t="str">
        <f>_xlfn.IFNA(VLOOKUP(C1071,Master!$J:$K,2,0),"")</f>
        <v/>
      </c>
      <c r="D1071" s="4" t="str">
        <f>_xlfn.IFNA(VLOOKUP(E1071,Master!$J:$K,2,0),"")</f>
        <v/>
      </c>
      <c r="F1071" s="4" t="str">
        <f>_xlfn.IFNA(VLOOKUP(G1071,Master!B:C,2,0),"")</f>
        <v/>
      </c>
      <c r="I1071" s="3" t="str">
        <f>_xlfn.IFNA(VLOOKUP(E1071,Master!$J:$M,4,0),"")</f>
        <v/>
      </c>
      <c r="J1071" s="3" t="str">
        <f>_xlfn.IFNA(VLOOKUP($E1071,Master!$J:$M,3,0),"")</f>
        <v/>
      </c>
      <c r="AC1071" s="26">
        <f t="shared" si="34"/>
        <v>0</v>
      </c>
      <c r="AD1071" s="26">
        <f t="shared" si="35"/>
        <v>0</v>
      </c>
    </row>
    <row r="1072" spans="2:30" ht="15" customHeight="1">
      <c r="B1072" s="3" t="str">
        <f>_xlfn.IFNA(VLOOKUP(C1072,Master!$J:$K,2,0),"")</f>
        <v/>
      </c>
      <c r="D1072" s="4" t="str">
        <f>_xlfn.IFNA(VLOOKUP(E1072,Master!$J:$K,2,0),"")</f>
        <v/>
      </c>
      <c r="F1072" s="4" t="str">
        <f>_xlfn.IFNA(VLOOKUP(G1072,Master!B:C,2,0),"")</f>
        <v/>
      </c>
      <c r="I1072" s="3" t="str">
        <f>_xlfn.IFNA(VLOOKUP(E1072,Master!$J:$M,4,0),"")</f>
        <v/>
      </c>
      <c r="J1072" s="3" t="str">
        <f>_xlfn.IFNA(VLOOKUP($E1072,Master!$J:$M,3,0),"")</f>
        <v/>
      </c>
      <c r="AC1072" s="26">
        <f t="shared" si="34"/>
        <v>0</v>
      </c>
      <c r="AD1072" s="26">
        <f t="shared" si="35"/>
        <v>0</v>
      </c>
    </row>
    <row r="1073" spans="2:30" ht="15" customHeight="1">
      <c r="B1073" s="3" t="str">
        <f>_xlfn.IFNA(VLOOKUP(C1073,Master!$J:$K,2,0),"")</f>
        <v/>
      </c>
      <c r="D1073" s="4" t="str">
        <f>_xlfn.IFNA(VLOOKUP(E1073,Master!$J:$K,2,0),"")</f>
        <v/>
      </c>
      <c r="F1073" s="4" t="str">
        <f>_xlfn.IFNA(VLOOKUP(G1073,Master!B:C,2,0),"")</f>
        <v/>
      </c>
      <c r="I1073" s="3" t="str">
        <f>_xlfn.IFNA(VLOOKUP(E1073,Master!$J:$M,4,0),"")</f>
        <v/>
      </c>
      <c r="J1073" s="3" t="str">
        <f>_xlfn.IFNA(VLOOKUP($E1073,Master!$J:$M,3,0),"")</f>
        <v/>
      </c>
      <c r="AC1073" s="26">
        <f t="shared" si="34"/>
        <v>0</v>
      </c>
      <c r="AD1073" s="26">
        <f t="shared" si="35"/>
        <v>0</v>
      </c>
    </row>
    <row r="1074" spans="2:30" ht="15" customHeight="1">
      <c r="B1074" s="3" t="str">
        <f>_xlfn.IFNA(VLOOKUP(C1074,Master!$J:$K,2,0),"")</f>
        <v/>
      </c>
      <c r="D1074" s="4" t="str">
        <f>_xlfn.IFNA(VLOOKUP(E1074,Master!$J:$K,2,0),"")</f>
        <v/>
      </c>
      <c r="F1074" s="4" t="str">
        <f>_xlfn.IFNA(VLOOKUP(G1074,Master!B:C,2,0),"")</f>
        <v/>
      </c>
      <c r="I1074" s="3" t="str">
        <f>_xlfn.IFNA(VLOOKUP(E1074,Master!$J:$M,4,0),"")</f>
        <v/>
      </c>
      <c r="J1074" s="3" t="str">
        <f>_xlfn.IFNA(VLOOKUP($E1074,Master!$J:$M,3,0),"")</f>
        <v/>
      </c>
      <c r="AC1074" s="26">
        <f t="shared" si="34"/>
        <v>0</v>
      </c>
      <c r="AD1074" s="26">
        <f t="shared" si="35"/>
        <v>0</v>
      </c>
    </row>
    <row r="1075" spans="2:30" ht="15" customHeight="1">
      <c r="B1075" s="3" t="str">
        <f>_xlfn.IFNA(VLOOKUP(C1075,Master!$J:$K,2,0),"")</f>
        <v/>
      </c>
      <c r="D1075" s="4" t="str">
        <f>_xlfn.IFNA(VLOOKUP(E1075,Master!$J:$K,2,0),"")</f>
        <v/>
      </c>
      <c r="F1075" s="4" t="str">
        <f>_xlfn.IFNA(VLOOKUP(G1075,Master!B:C,2,0),"")</f>
        <v/>
      </c>
      <c r="I1075" s="3" t="str">
        <f>_xlfn.IFNA(VLOOKUP(E1075,Master!$J:$M,4,0),"")</f>
        <v/>
      </c>
      <c r="J1075" s="3" t="str">
        <f>_xlfn.IFNA(VLOOKUP($E1075,Master!$J:$M,3,0),"")</f>
        <v/>
      </c>
      <c r="AC1075" s="26">
        <f t="shared" si="34"/>
        <v>0</v>
      </c>
      <c r="AD1075" s="26">
        <f t="shared" si="35"/>
        <v>0</v>
      </c>
    </row>
    <row r="1076" spans="2:30" ht="15" customHeight="1">
      <c r="B1076" s="3" t="str">
        <f>_xlfn.IFNA(VLOOKUP(C1076,Master!$J:$K,2,0),"")</f>
        <v/>
      </c>
      <c r="D1076" s="4" t="str">
        <f>_xlfn.IFNA(VLOOKUP(E1076,Master!$J:$K,2,0),"")</f>
        <v/>
      </c>
      <c r="F1076" s="4" t="str">
        <f>_xlfn.IFNA(VLOOKUP(G1076,Master!B:C,2,0),"")</f>
        <v/>
      </c>
      <c r="I1076" s="3" t="str">
        <f>_xlfn.IFNA(VLOOKUP(E1076,Master!$J:$M,4,0),"")</f>
        <v/>
      </c>
      <c r="J1076" s="3" t="str">
        <f>_xlfn.IFNA(VLOOKUP($E1076,Master!$J:$M,3,0),"")</f>
        <v/>
      </c>
      <c r="AC1076" s="26">
        <f t="shared" si="34"/>
        <v>0</v>
      </c>
      <c r="AD1076" s="26">
        <f t="shared" si="35"/>
        <v>0</v>
      </c>
    </row>
    <row r="1077" spans="2:30" ht="15" customHeight="1">
      <c r="B1077" s="3" t="str">
        <f>_xlfn.IFNA(VLOOKUP(C1077,Master!$J:$K,2,0),"")</f>
        <v/>
      </c>
      <c r="D1077" s="4" t="str">
        <f>_xlfn.IFNA(VLOOKUP(E1077,Master!$J:$K,2,0),"")</f>
        <v/>
      </c>
      <c r="F1077" s="4" t="str">
        <f>_xlfn.IFNA(VLOOKUP(G1077,Master!B:C,2,0),"")</f>
        <v/>
      </c>
      <c r="I1077" s="3" t="str">
        <f>_xlfn.IFNA(VLOOKUP(E1077,Master!$J:$M,4,0),"")</f>
        <v/>
      </c>
      <c r="J1077" s="3" t="str">
        <f>_xlfn.IFNA(VLOOKUP($E1077,Master!$J:$M,3,0),"")</f>
        <v/>
      </c>
      <c r="AC1077" s="26">
        <f t="shared" si="34"/>
        <v>0</v>
      </c>
      <c r="AD1077" s="26">
        <f t="shared" si="35"/>
        <v>0</v>
      </c>
    </row>
    <row r="1078" spans="2:30" ht="15" customHeight="1">
      <c r="B1078" s="3" t="str">
        <f>_xlfn.IFNA(VLOOKUP(C1078,Master!$J:$K,2,0),"")</f>
        <v/>
      </c>
      <c r="D1078" s="4" t="str">
        <f>_xlfn.IFNA(VLOOKUP(E1078,Master!$J:$K,2,0),"")</f>
        <v/>
      </c>
      <c r="F1078" s="4" t="str">
        <f>_xlfn.IFNA(VLOOKUP(G1078,Master!B:C,2,0),"")</f>
        <v/>
      </c>
      <c r="I1078" s="3" t="str">
        <f>_xlfn.IFNA(VLOOKUP(E1078,Master!$J:$M,4,0),"")</f>
        <v/>
      </c>
      <c r="J1078" s="3" t="str">
        <f>_xlfn.IFNA(VLOOKUP($E1078,Master!$J:$M,3,0),"")</f>
        <v/>
      </c>
      <c r="AC1078" s="26">
        <f t="shared" si="34"/>
        <v>0</v>
      </c>
      <c r="AD1078" s="26">
        <f t="shared" si="35"/>
        <v>0</v>
      </c>
    </row>
    <row r="1079" spans="2:30" ht="15" customHeight="1">
      <c r="B1079" s="3" t="str">
        <f>_xlfn.IFNA(VLOOKUP(C1079,Master!$J:$K,2,0),"")</f>
        <v/>
      </c>
      <c r="D1079" s="4" t="str">
        <f>_xlfn.IFNA(VLOOKUP(E1079,Master!$J:$K,2,0),"")</f>
        <v/>
      </c>
      <c r="F1079" s="4" t="str">
        <f>_xlfn.IFNA(VLOOKUP(G1079,Master!B:C,2,0),"")</f>
        <v/>
      </c>
      <c r="I1079" s="3" t="str">
        <f>_xlfn.IFNA(VLOOKUP(E1079,Master!$J:$M,4,0),"")</f>
        <v/>
      </c>
      <c r="J1079" s="3" t="str">
        <f>_xlfn.IFNA(VLOOKUP($E1079,Master!$J:$M,3,0),"")</f>
        <v/>
      </c>
      <c r="AC1079" s="26">
        <f t="shared" si="34"/>
        <v>0</v>
      </c>
      <c r="AD1079" s="26">
        <f t="shared" si="35"/>
        <v>0</v>
      </c>
    </row>
    <row r="1080" spans="2:30" ht="15" customHeight="1">
      <c r="B1080" s="3" t="str">
        <f>_xlfn.IFNA(VLOOKUP(C1080,Master!$J:$K,2,0),"")</f>
        <v/>
      </c>
      <c r="D1080" s="4" t="str">
        <f>_xlfn.IFNA(VLOOKUP(E1080,Master!$J:$K,2,0),"")</f>
        <v/>
      </c>
      <c r="F1080" s="4" t="str">
        <f>_xlfn.IFNA(VLOOKUP(G1080,Master!B:C,2,0),"")</f>
        <v/>
      </c>
      <c r="I1080" s="3" t="str">
        <f>_xlfn.IFNA(VLOOKUP(E1080,Master!$J:$M,4,0),"")</f>
        <v/>
      </c>
      <c r="J1080" s="3" t="str">
        <f>_xlfn.IFNA(VLOOKUP($E1080,Master!$J:$M,3,0),"")</f>
        <v/>
      </c>
      <c r="AC1080" s="26">
        <f t="shared" si="34"/>
        <v>0</v>
      </c>
      <c r="AD1080" s="26">
        <f t="shared" si="35"/>
        <v>0</v>
      </c>
    </row>
    <row r="1081" spans="2:30" ht="15" customHeight="1">
      <c r="B1081" s="3" t="str">
        <f>_xlfn.IFNA(VLOOKUP(C1081,Master!$J:$K,2,0),"")</f>
        <v/>
      </c>
      <c r="D1081" s="4" t="str">
        <f>_xlfn.IFNA(VLOOKUP(E1081,Master!$J:$K,2,0),"")</f>
        <v/>
      </c>
      <c r="F1081" s="4" t="str">
        <f>_xlfn.IFNA(VLOOKUP(G1081,Master!B:C,2,0),"")</f>
        <v/>
      </c>
      <c r="I1081" s="3" t="str">
        <f>_xlfn.IFNA(VLOOKUP(E1081,Master!$J:$M,4,0),"")</f>
        <v/>
      </c>
      <c r="J1081" s="3" t="str">
        <f>_xlfn.IFNA(VLOOKUP($E1081,Master!$J:$M,3,0),"")</f>
        <v/>
      </c>
      <c r="AC1081" s="26">
        <f t="shared" si="34"/>
        <v>0</v>
      </c>
      <c r="AD1081" s="26">
        <f t="shared" si="35"/>
        <v>0</v>
      </c>
    </row>
    <row r="1082" spans="2:30" ht="15" customHeight="1">
      <c r="B1082" s="3" t="str">
        <f>_xlfn.IFNA(VLOOKUP(C1082,Master!$J:$K,2,0),"")</f>
        <v/>
      </c>
      <c r="D1082" s="4" t="str">
        <f>_xlfn.IFNA(VLOOKUP(E1082,Master!$J:$K,2,0),"")</f>
        <v/>
      </c>
      <c r="F1082" s="4" t="str">
        <f>_xlfn.IFNA(VLOOKUP(G1082,Master!B:C,2,0),"")</f>
        <v/>
      </c>
      <c r="I1082" s="3" t="str">
        <f>_xlfn.IFNA(VLOOKUP(E1082,Master!$J:$M,4,0),"")</f>
        <v/>
      </c>
      <c r="J1082" s="3" t="str">
        <f>_xlfn.IFNA(VLOOKUP($E1082,Master!$J:$M,3,0),"")</f>
        <v/>
      </c>
      <c r="AC1082" s="26">
        <f t="shared" si="34"/>
        <v>0</v>
      </c>
      <c r="AD1082" s="26">
        <f t="shared" si="35"/>
        <v>0</v>
      </c>
    </row>
    <row r="1083" spans="2:30" ht="15" customHeight="1">
      <c r="B1083" s="3" t="str">
        <f>_xlfn.IFNA(VLOOKUP(C1083,Master!$J:$K,2,0),"")</f>
        <v/>
      </c>
      <c r="D1083" s="4" t="str">
        <f>_xlfn.IFNA(VLOOKUP(E1083,Master!$J:$K,2,0),"")</f>
        <v/>
      </c>
      <c r="F1083" s="4" t="str">
        <f>_xlfn.IFNA(VLOOKUP(G1083,Master!B:C,2,0),"")</f>
        <v/>
      </c>
      <c r="I1083" s="3" t="str">
        <f>_xlfn.IFNA(VLOOKUP(E1083,Master!$J:$M,4,0),"")</f>
        <v/>
      </c>
      <c r="J1083" s="3" t="str">
        <f>_xlfn.IFNA(VLOOKUP($E1083,Master!$J:$M,3,0),"")</f>
        <v/>
      </c>
      <c r="AC1083" s="26">
        <f t="shared" si="34"/>
        <v>0</v>
      </c>
      <c r="AD1083" s="26">
        <f t="shared" si="35"/>
        <v>0</v>
      </c>
    </row>
    <row r="1084" spans="2:30" ht="15" customHeight="1">
      <c r="B1084" s="3" t="str">
        <f>_xlfn.IFNA(VLOOKUP(C1084,Master!$J:$K,2,0),"")</f>
        <v/>
      </c>
      <c r="D1084" s="4" t="str">
        <f>_xlfn.IFNA(VLOOKUP(E1084,Master!$J:$K,2,0),"")</f>
        <v/>
      </c>
      <c r="F1084" s="4" t="str">
        <f>_xlfn.IFNA(VLOOKUP(G1084,Master!B:C,2,0),"")</f>
        <v/>
      </c>
      <c r="I1084" s="3" t="str">
        <f>_xlfn.IFNA(VLOOKUP(E1084,Master!$J:$M,4,0),"")</f>
        <v/>
      </c>
      <c r="J1084" s="3" t="str">
        <f>_xlfn.IFNA(VLOOKUP($E1084,Master!$J:$M,3,0),"")</f>
        <v/>
      </c>
      <c r="AC1084" s="26">
        <f t="shared" si="34"/>
        <v>0</v>
      </c>
      <c r="AD1084" s="26">
        <f t="shared" si="35"/>
        <v>0</v>
      </c>
    </row>
    <row r="1085" spans="2:30" ht="15" customHeight="1">
      <c r="B1085" s="3" t="str">
        <f>_xlfn.IFNA(VLOOKUP(C1085,Master!$J:$K,2,0),"")</f>
        <v/>
      </c>
      <c r="D1085" s="4" t="str">
        <f>_xlfn.IFNA(VLOOKUP(E1085,Master!$J:$K,2,0),"")</f>
        <v/>
      </c>
      <c r="F1085" s="4" t="str">
        <f>_xlfn.IFNA(VLOOKUP(G1085,Master!B:C,2,0),"")</f>
        <v/>
      </c>
      <c r="I1085" s="3" t="str">
        <f>_xlfn.IFNA(VLOOKUP(E1085,Master!$J:$M,4,0),"")</f>
        <v/>
      </c>
      <c r="J1085" s="3" t="str">
        <f>_xlfn.IFNA(VLOOKUP($E1085,Master!$J:$M,3,0),"")</f>
        <v/>
      </c>
      <c r="AC1085" s="26">
        <f t="shared" si="34"/>
        <v>0</v>
      </c>
      <c r="AD1085" s="26">
        <f t="shared" si="35"/>
        <v>0</v>
      </c>
    </row>
    <row r="1086" spans="2:30" ht="15" customHeight="1">
      <c r="B1086" s="3" t="str">
        <f>_xlfn.IFNA(VLOOKUP(C1086,Master!$J:$K,2,0),"")</f>
        <v/>
      </c>
      <c r="D1086" s="4" t="str">
        <f>_xlfn.IFNA(VLOOKUP(E1086,Master!$J:$K,2,0),"")</f>
        <v/>
      </c>
      <c r="F1086" s="4" t="str">
        <f>_xlfn.IFNA(VLOOKUP(G1086,Master!B:C,2,0),"")</f>
        <v/>
      </c>
      <c r="I1086" s="3" t="str">
        <f>_xlfn.IFNA(VLOOKUP(E1086,Master!$J:$M,4,0),"")</f>
        <v/>
      </c>
      <c r="J1086" s="3" t="str">
        <f>_xlfn.IFNA(VLOOKUP($E1086,Master!$J:$M,3,0),"")</f>
        <v/>
      </c>
      <c r="AC1086" s="26">
        <f t="shared" si="34"/>
        <v>0</v>
      </c>
      <c r="AD1086" s="26">
        <f t="shared" si="35"/>
        <v>0</v>
      </c>
    </row>
    <row r="1087" spans="2:30" ht="15" customHeight="1">
      <c r="B1087" s="3" t="str">
        <f>_xlfn.IFNA(VLOOKUP(C1087,Master!$J:$K,2,0),"")</f>
        <v/>
      </c>
      <c r="D1087" s="4" t="str">
        <f>_xlfn.IFNA(VLOOKUP(E1087,Master!$J:$K,2,0),"")</f>
        <v/>
      </c>
      <c r="F1087" s="4" t="str">
        <f>_xlfn.IFNA(VLOOKUP(G1087,Master!B:C,2,0),"")</f>
        <v/>
      </c>
      <c r="I1087" s="3" t="str">
        <f>_xlfn.IFNA(VLOOKUP(E1087,Master!$J:$M,4,0),"")</f>
        <v/>
      </c>
      <c r="J1087" s="3" t="str">
        <f>_xlfn.IFNA(VLOOKUP($E1087,Master!$J:$M,3,0),"")</f>
        <v/>
      </c>
      <c r="AC1087" s="26">
        <f t="shared" si="34"/>
        <v>0</v>
      </c>
      <c r="AD1087" s="26">
        <f t="shared" si="35"/>
        <v>0</v>
      </c>
    </row>
    <row r="1088" spans="2:30" ht="15" customHeight="1">
      <c r="B1088" s="3" t="str">
        <f>_xlfn.IFNA(VLOOKUP(C1088,Master!$J:$K,2,0),"")</f>
        <v/>
      </c>
      <c r="D1088" s="4" t="str">
        <f>_xlfn.IFNA(VLOOKUP(E1088,Master!$J:$K,2,0),"")</f>
        <v/>
      </c>
      <c r="F1088" s="4" t="str">
        <f>_xlfn.IFNA(VLOOKUP(G1088,Master!B:C,2,0),"")</f>
        <v/>
      </c>
      <c r="I1088" s="3" t="str">
        <f>_xlfn.IFNA(VLOOKUP(E1088,Master!$J:$M,4,0),"")</f>
        <v/>
      </c>
      <c r="J1088" s="3" t="str">
        <f>_xlfn.IFNA(VLOOKUP($E1088,Master!$J:$M,3,0),"")</f>
        <v/>
      </c>
      <c r="AC1088" s="26">
        <f t="shared" si="34"/>
        <v>0</v>
      </c>
      <c r="AD1088" s="26">
        <f t="shared" si="35"/>
        <v>0</v>
      </c>
    </row>
    <row r="1089" spans="2:30" ht="15" customHeight="1">
      <c r="B1089" s="3" t="str">
        <f>_xlfn.IFNA(VLOOKUP(C1089,Master!$J:$K,2,0),"")</f>
        <v/>
      </c>
      <c r="D1089" s="4" t="str">
        <f>_xlfn.IFNA(VLOOKUP(E1089,Master!$J:$K,2,0),"")</f>
        <v/>
      </c>
      <c r="F1089" s="4" t="str">
        <f>_xlfn.IFNA(VLOOKUP(G1089,Master!B:C,2,0),"")</f>
        <v/>
      </c>
      <c r="I1089" s="3" t="str">
        <f>_xlfn.IFNA(VLOOKUP(E1089,Master!$J:$M,4,0),"")</f>
        <v/>
      </c>
      <c r="J1089" s="3" t="str">
        <f>_xlfn.IFNA(VLOOKUP($E1089,Master!$J:$M,3,0),"")</f>
        <v/>
      </c>
      <c r="AC1089" s="26">
        <f t="shared" si="34"/>
        <v>0</v>
      </c>
      <c r="AD1089" s="26">
        <f t="shared" si="35"/>
        <v>0</v>
      </c>
    </row>
    <row r="1090" spans="2:30" ht="15" customHeight="1">
      <c r="B1090" s="3" t="str">
        <f>_xlfn.IFNA(VLOOKUP(C1090,Master!$J:$K,2,0),"")</f>
        <v/>
      </c>
      <c r="D1090" s="4" t="str">
        <f>_xlfn.IFNA(VLOOKUP(E1090,Master!$J:$K,2,0),"")</f>
        <v/>
      </c>
      <c r="F1090" s="4" t="str">
        <f>_xlfn.IFNA(VLOOKUP(G1090,Master!B:C,2,0),"")</f>
        <v/>
      </c>
      <c r="I1090" s="3" t="str">
        <f>_xlfn.IFNA(VLOOKUP(E1090,Master!$J:$M,4,0),"")</f>
        <v/>
      </c>
      <c r="J1090" s="3" t="str">
        <f>_xlfn.IFNA(VLOOKUP($E1090,Master!$J:$M,3,0),"")</f>
        <v/>
      </c>
      <c r="AC1090" s="26">
        <f t="shared" si="34"/>
        <v>0</v>
      </c>
      <c r="AD1090" s="26">
        <f t="shared" si="35"/>
        <v>0</v>
      </c>
    </row>
    <row r="1091" spans="2:30" ht="15" customHeight="1">
      <c r="B1091" s="3" t="str">
        <f>_xlfn.IFNA(VLOOKUP(C1091,Master!$J:$K,2,0),"")</f>
        <v/>
      </c>
      <c r="D1091" s="4" t="str">
        <f>_xlfn.IFNA(VLOOKUP(E1091,Master!$J:$K,2,0),"")</f>
        <v/>
      </c>
      <c r="F1091" s="4" t="str">
        <f>_xlfn.IFNA(VLOOKUP(G1091,Master!B:C,2,0),"")</f>
        <v/>
      </c>
      <c r="I1091" s="3" t="str">
        <f>_xlfn.IFNA(VLOOKUP(E1091,Master!$J:$M,4,0),"")</f>
        <v/>
      </c>
      <c r="J1091" s="3" t="str">
        <f>_xlfn.IFNA(VLOOKUP($E1091,Master!$J:$M,3,0),"")</f>
        <v/>
      </c>
      <c r="AC1091" s="26">
        <f t="shared" si="34"/>
        <v>0</v>
      </c>
      <c r="AD1091" s="26">
        <f t="shared" si="35"/>
        <v>0</v>
      </c>
    </row>
    <row r="1092" spans="2:30" ht="15" customHeight="1">
      <c r="B1092" s="3" t="str">
        <f>_xlfn.IFNA(VLOOKUP(C1092,Master!$J:$K,2,0),"")</f>
        <v/>
      </c>
      <c r="D1092" s="4" t="str">
        <f>_xlfn.IFNA(VLOOKUP(E1092,Master!$J:$K,2,0),"")</f>
        <v/>
      </c>
      <c r="F1092" s="4" t="str">
        <f>_xlfn.IFNA(VLOOKUP(G1092,Master!B:C,2,0),"")</f>
        <v/>
      </c>
      <c r="I1092" s="3" t="str">
        <f>_xlfn.IFNA(VLOOKUP(E1092,Master!$J:$M,4,0),"")</f>
        <v/>
      </c>
      <c r="J1092" s="3" t="str">
        <f>_xlfn.IFNA(VLOOKUP($E1092,Master!$J:$M,3,0),"")</f>
        <v/>
      </c>
      <c r="AC1092" s="26">
        <f t="shared" si="34"/>
        <v>0</v>
      </c>
      <c r="AD1092" s="26">
        <f t="shared" si="35"/>
        <v>0</v>
      </c>
    </row>
    <row r="1093" spans="2:30" ht="15" customHeight="1">
      <c r="B1093" s="3" t="str">
        <f>_xlfn.IFNA(VLOOKUP(C1093,Master!$J:$K,2,0),"")</f>
        <v/>
      </c>
      <c r="D1093" s="4" t="str">
        <f>_xlfn.IFNA(VLOOKUP(E1093,Master!$J:$K,2,0),"")</f>
        <v/>
      </c>
      <c r="F1093" s="4" t="str">
        <f>_xlfn.IFNA(VLOOKUP(G1093,Master!B:C,2,0),"")</f>
        <v/>
      </c>
      <c r="I1093" s="3" t="str">
        <f>_xlfn.IFNA(VLOOKUP(E1093,Master!$J:$M,4,0),"")</f>
        <v/>
      </c>
      <c r="J1093" s="3" t="str">
        <f>_xlfn.IFNA(VLOOKUP($E1093,Master!$J:$M,3,0),"")</f>
        <v/>
      </c>
      <c r="AC1093" s="26">
        <f t="shared" si="34"/>
        <v>0</v>
      </c>
      <c r="AD1093" s="26">
        <f t="shared" si="35"/>
        <v>0</v>
      </c>
    </row>
    <row r="1094" spans="2:30" ht="15" customHeight="1">
      <c r="B1094" s="3" t="str">
        <f>_xlfn.IFNA(VLOOKUP(C1094,Master!$J:$K,2,0),"")</f>
        <v/>
      </c>
      <c r="D1094" s="4" t="str">
        <f>_xlfn.IFNA(VLOOKUP(E1094,Master!$J:$K,2,0),"")</f>
        <v/>
      </c>
      <c r="F1094" s="4" t="str">
        <f>_xlfn.IFNA(VLOOKUP(G1094,Master!B:C,2,0),"")</f>
        <v/>
      </c>
      <c r="I1094" s="3" t="str">
        <f>_xlfn.IFNA(VLOOKUP(E1094,Master!$J:$M,4,0),"")</f>
        <v/>
      </c>
      <c r="J1094" s="3" t="str">
        <f>_xlfn.IFNA(VLOOKUP($E1094,Master!$J:$M,3,0),"")</f>
        <v/>
      </c>
      <c r="AC1094" s="26">
        <f t="shared" si="34"/>
        <v>0</v>
      </c>
      <c r="AD1094" s="26">
        <f t="shared" si="35"/>
        <v>0</v>
      </c>
    </row>
    <row r="1095" spans="2:30" ht="15" customHeight="1">
      <c r="B1095" s="3" t="str">
        <f>_xlfn.IFNA(VLOOKUP(C1095,Master!$J:$K,2,0),"")</f>
        <v/>
      </c>
      <c r="D1095" s="4" t="str">
        <f>_xlfn.IFNA(VLOOKUP(E1095,Master!$J:$K,2,0),"")</f>
        <v/>
      </c>
      <c r="F1095" s="4" t="str">
        <f>_xlfn.IFNA(VLOOKUP(G1095,Master!B:C,2,0),"")</f>
        <v/>
      </c>
      <c r="I1095" s="3" t="str">
        <f>_xlfn.IFNA(VLOOKUP(E1095,Master!$J:$M,4,0),"")</f>
        <v/>
      </c>
      <c r="J1095" s="3" t="str">
        <f>_xlfn.IFNA(VLOOKUP($E1095,Master!$J:$M,3,0),"")</f>
        <v/>
      </c>
      <c r="AC1095" s="26">
        <f t="shared" si="34"/>
        <v>0</v>
      </c>
      <c r="AD1095" s="26">
        <f t="shared" si="35"/>
        <v>0</v>
      </c>
    </row>
    <row r="1096" spans="2:30" ht="15" customHeight="1">
      <c r="B1096" s="3" t="str">
        <f>_xlfn.IFNA(VLOOKUP(C1096,Master!$J:$K,2,0),"")</f>
        <v/>
      </c>
      <c r="D1096" s="4" t="str">
        <f>_xlfn.IFNA(VLOOKUP(E1096,Master!$J:$K,2,0),"")</f>
        <v/>
      </c>
      <c r="F1096" s="4" t="str">
        <f>_xlfn.IFNA(VLOOKUP(G1096,Master!B:C,2,0),"")</f>
        <v/>
      </c>
      <c r="I1096" s="3" t="str">
        <f>_xlfn.IFNA(VLOOKUP(E1096,Master!$J:$M,4,0),"")</f>
        <v/>
      </c>
      <c r="J1096" s="3" t="str">
        <f>_xlfn.IFNA(VLOOKUP($E1096,Master!$J:$M,3,0),"")</f>
        <v/>
      </c>
      <c r="AC1096" s="26">
        <f t="shared" si="34"/>
        <v>0</v>
      </c>
      <c r="AD1096" s="26">
        <f t="shared" si="35"/>
        <v>0</v>
      </c>
    </row>
    <row r="1097" spans="2:30" ht="15" customHeight="1">
      <c r="B1097" s="3" t="str">
        <f>_xlfn.IFNA(VLOOKUP(C1097,Master!$J:$K,2,0),"")</f>
        <v/>
      </c>
      <c r="D1097" s="4" t="str">
        <f>_xlfn.IFNA(VLOOKUP(E1097,Master!$J:$K,2,0),"")</f>
        <v/>
      </c>
      <c r="F1097" s="4" t="str">
        <f>_xlfn.IFNA(VLOOKUP(G1097,Master!B:C,2,0),"")</f>
        <v/>
      </c>
      <c r="I1097" s="3" t="str">
        <f>_xlfn.IFNA(VLOOKUP(E1097,Master!$J:$M,4,0),"")</f>
        <v/>
      </c>
      <c r="J1097" s="3" t="str">
        <f>_xlfn.IFNA(VLOOKUP($E1097,Master!$J:$M,3,0),"")</f>
        <v/>
      </c>
      <c r="AC1097" s="26">
        <f t="shared" si="34"/>
        <v>0</v>
      </c>
      <c r="AD1097" s="26">
        <f t="shared" si="35"/>
        <v>0</v>
      </c>
    </row>
    <row r="1098" spans="2:30" ht="15" customHeight="1">
      <c r="B1098" s="3" t="str">
        <f>_xlfn.IFNA(VLOOKUP(C1098,Master!$J:$K,2,0),"")</f>
        <v/>
      </c>
      <c r="D1098" s="4" t="str">
        <f>_xlfn.IFNA(VLOOKUP(E1098,Master!$J:$K,2,0),"")</f>
        <v/>
      </c>
      <c r="F1098" s="4" t="str">
        <f>_xlfn.IFNA(VLOOKUP(G1098,Master!B:C,2,0),"")</f>
        <v/>
      </c>
      <c r="I1098" s="3" t="str">
        <f>_xlfn.IFNA(VLOOKUP(E1098,Master!$J:$M,4,0),"")</f>
        <v/>
      </c>
      <c r="J1098" s="3" t="str">
        <f>_xlfn.IFNA(VLOOKUP($E1098,Master!$J:$M,3,0),"")</f>
        <v/>
      </c>
      <c r="AC1098" s="26">
        <f t="shared" si="34"/>
        <v>0</v>
      </c>
      <c r="AD1098" s="26">
        <f t="shared" si="35"/>
        <v>0</v>
      </c>
    </row>
    <row r="1099" spans="2:30" ht="15" customHeight="1">
      <c r="B1099" s="3" t="str">
        <f>_xlfn.IFNA(VLOOKUP(C1099,Master!$J:$K,2,0),"")</f>
        <v/>
      </c>
      <c r="D1099" s="4" t="str">
        <f>_xlfn.IFNA(VLOOKUP(E1099,Master!$J:$K,2,0),"")</f>
        <v/>
      </c>
      <c r="F1099" s="4" t="str">
        <f>_xlfn.IFNA(VLOOKUP(G1099,Master!B:C,2,0),"")</f>
        <v/>
      </c>
      <c r="I1099" s="3" t="str">
        <f>_xlfn.IFNA(VLOOKUP(E1099,Master!$J:$M,4,0),"")</f>
        <v/>
      </c>
      <c r="J1099" s="3" t="str">
        <f>_xlfn.IFNA(VLOOKUP($E1099,Master!$J:$M,3,0),"")</f>
        <v/>
      </c>
      <c r="AC1099" s="26">
        <f t="shared" si="34"/>
        <v>0</v>
      </c>
      <c r="AD1099" s="26">
        <f t="shared" si="35"/>
        <v>0</v>
      </c>
    </row>
    <row r="1100" spans="2:30" ht="15" customHeight="1">
      <c r="B1100" s="3" t="str">
        <f>_xlfn.IFNA(VLOOKUP(C1100,Master!$J:$K,2,0),"")</f>
        <v/>
      </c>
      <c r="D1100" s="4" t="str">
        <f>_xlfn.IFNA(VLOOKUP(E1100,Master!$J:$K,2,0),"")</f>
        <v/>
      </c>
      <c r="F1100" s="4" t="str">
        <f>_xlfn.IFNA(VLOOKUP(G1100,Master!B:C,2,0),"")</f>
        <v/>
      </c>
      <c r="I1100" s="3" t="str">
        <f>_xlfn.IFNA(VLOOKUP(E1100,Master!$J:$M,4,0),"")</f>
        <v/>
      </c>
      <c r="J1100" s="3" t="str">
        <f>_xlfn.IFNA(VLOOKUP($E1100,Master!$J:$M,3,0),"")</f>
        <v/>
      </c>
      <c r="AC1100" s="26">
        <f t="shared" si="34"/>
        <v>0</v>
      </c>
      <c r="AD1100" s="26">
        <f t="shared" si="35"/>
        <v>0</v>
      </c>
    </row>
    <row r="1101" spans="2:30" ht="15" customHeight="1">
      <c r="B1101" s="3" t="str">
        <f>_xlfn.IFNA(VLOOKUP(C1101,Master!$J:$K,2,0),"")</f>
        <v/>
      </c>
      <c r="D1101" s="4" t="str">
        <f>_xlfn.IFNA(VLOOKUP(E1101,Master!$J:$K,2,0),"")</f>
        <v/>
      </c>
      <c r="F1101" s="4" t="str">
        <f>_xlfn.IFNA(VLOOKUP(G1101,Master!B:C,2,0),"")</f>
        <v/>
      </c>
      <c r="I1101" s="3" t="str">
        <f>_xlfn.IFNA(VLOOKUP(E1101,Master!$J:$M,4,0),"")</f>
        <v/>
      </c>
      <c r="J1101" s="3" t="str">
        <f>_xlfn.IFNA(VLOOKUP($E1101,Master!$J:$M,3,0),"")</f>
        <v/>
      </c>
      <c r="AC1101" s="26">
        <f t="shared" ref="AC1101:AC1164" si="36">SUM(K1101:P1101)</f>
        <v>0</v>
      </c>
      <c r="AD1101" s="26">
        <f t="shared" ref="AD1101:AD1164" si="37">SUM(Q1101:AB1101)</f>
        <v>0</v>
      </c>
    </row>
    <row r="1102" spans="2:30" ht="15" customHeight="1">
      <c r="B1102" s="3" t="str">
        <f>_xlfn.IFNA(VLOOKUP(C1102,Master!$J:$K,2,0),"")</f>
        <v/>
      </c>
      <c r="D1102" s="4" t="str">
        <f>_xlfn.IFNA(VLOOKUP(E1102,Master!$J:$K,2,0),"")</f>
        <v/>
      </c>
      <c r="F1102" s="4" t="str">
        <f>_xlfn.IFNA(VLOOKUP(G1102,Master!B:C,2,0),"")</f>
        <v/>
      </c>
      <c r="I1102" s="3" t="str">
        <f>_xlfn.IFNA(VLOOKUP(E1102,Master!$J:$M,4,0),"")</f>
        <v/>
      </c>
      <c r="J1102" s="3" t="str">
        <f>_xlfn.IFNA(VLOOKUP($E1102,Master!$J:$M,3,0),"")</f>
        <v/>
      </c>
      <c r="AC1102" s="26">
        <f t="shared" si="36"/>
        <v>0</v>
      </c>
      <c r="AD1102" s="26">
        <f t="shared" si="37"/>
        <v>0</v>
      </c>
    </row>
    <row r="1103" spans="2:30" ht="15" customHeight="1">
      <c r="B1103" s="3" t="str">
        <f>_xlfn.IFNA(VLOOKUP(C1103,Master!$J:$K,2,0),"")</f>
        <v/>
      </c>
      <c r="D1103" s="4" t="str">
        <f>_xlfn.IFNA(VLOOKUP(E1103,Master!$J:$K,2,0),"")</f>
        <v/>
      </c>
      <c r="F1103" s="4" t="str">
        <f>_xlfn.IFNA(VLOOKUP(G1103,Master!B:C,2,0),"")</f>
        <v/>
      </c>
      <c r="I1103" s="3" t="str">
        <f>_xlfn.IFNA(VLOOKUP(E1103,Master!$J:$M,4,0),"")</f>
        <v/>
      </c>
      <c r="J1103" s="3" t="str">
        <f>_xlfn.IFNA(VLOOKUP($E1103,Master!$J:$M,3,0),"")</f>
        <v/>
      </c>
      <c r="AC1103" s="26">
        <f t="shared" si="36"/>
        <v>0</v>
      </c>
      <c r="AD1103" s="26">
        <f t="shared" si="37"/>
        <v>0</v>
      </c>
    </row>
    <row r="1104" spans="2:30" ht="15" customHeight="1">
      <c r="B1104" s="3" t="str">
        <f>_xlfn.IFNA(VLOOKUP(C1104,Master!$J:$K,2,0),"")</f>
        <v/>
      </c>
      <c r="D1104" s="4" t="str">
        <f>_xlfn.IFNA(VLOOKUP(E1104,Master!$J:$K,2,0),"")</f>
        <v/>
      </c>
      <c r="F1104" s="4" t="str">
        <f>_xlfn.IFNA(VLOOKUP(G1104,Master!B:C,2,0),"")</f>
        <v/>
      </c>
      <c r="I1104" s="3" t="str">
        <f>_xlfn.IFNA(VLOOKUP(E1104,Master!$J:$M,4,0),"")</f>
        <v/>
      </c>
      <c r="J1104" s="3" t="str">
        <f>_xlfn.IFNA(VLOOKUP($E1104,Master!$J:$M,3,0),"")</f>
        <v/>
      </c>
      <c r="AC1104" s="26">
        <f t="shared" si="36"/>
        <v>0</v>
      </c>
      <c r="AD1104" s="26">
        <f t="shared" si="37"/>
        <v>0</v>
      </c>
    </row>
    <row r="1105" spans="2:30" ht="15" customHeight="1">
      <c r="B1105" s="3" t="str">
        <f>_xlfn.IFNA(VLOOKUP(C1105,Master!$J:$K,2,0),"")</f>
        <v/>
      </c>
      <c r="D1105" s="4" t="str">
        <f>_xlfn.IFNA(VLOOKUP(E1105,Master!$J:$K,2,0),"")</f>
        <v/>
      </c>
      <c r="F1105" s="4" t="str">
        <f>_xlfn.IFNA(VLOOKUP(G1105,Master!B:C,2,0),"")</f>
        <v/>
      </c>
      <c r="I1105" s="3" t="str">
        <f>_xlfn.IFNA(VLOOKUP(E1105,Master!$J:$M,4,0),"")</f>
        <v/>
      </c>
      <c r="J1105" s="3" t="str">
        <f>_xlfn.IFNA(VLOOKUP($E1105,Master!$J:$M,3,0),"")</f>
        <v/>
      </c>
      <c r="AC1105" s="26">
        <f t="shared" si="36"/>
        <v>0</v>
      </c>
      <c r="AD1105" s="26">
        <f t="shared" si="37"/>
        <v>0</v>
      </c>
    </row>
    <row r="1106" spans="2:30" ht="15" customHeight="1">
      <c r="B1106" s="3" t="str">
        <f>_xlfn.IFNA(VLOOKUP(C1106,Master!$J:$K,2,0),"")</f>
        <v/>
      </c>
      <c r="D1106" s="4" t="str">
        <f>_xlfn.IFNA(VLOOKUP(E1106,Master!$J:$K,2,0),"")</f>
        <v/>
      </c>
      <c r="F1106" s="4" t="str">
        <f>_xlfn.IFNA(VLOOKUP(G1106,Master!B:C,2,0),"")</f>
        <v/>
      </c>
      <c r="I1106" s="3" t="str">
        <f>_xlfn.IFNA(VLOOKUP(E1106,Master!$J:$M,4,0),"")</f>
        <v/>
      </c>
      <c r="J1106" s="3" t="str">
        <f>_xlfn.IFNA(VLOOKUP($E1106,Master!$J:$M,3,0),"")</f>
        <v/>
      </c>
      <c r="AC1106" s="26">
        <f t="shared" si="36"/>
        <v>0</v>
      </c>
      <c r="AD1106" s="26">
        <f t="shared" si="37"/>
        <v>0</v>
      </c>
    </row>
    <row r="1107" spans="2:30" ht="15" customHeight="1">
      <c r="B1107" s="3" t="str">
        <f>_xlfn.IFNA(VLOOKUP(C1107,Master!$J:$K,2,0),"")</f>
        <v/>
      </c>
      <c r="D1107" s="4" t="str">
        <f>_xlfn.IFNA(VLOOKUP(E1107,Master!$J:$K,2,0),"")</f>
        <v/>
      </c>
      <c r="F1107" s="4" t="str">
        <f>_xlfn.IFNA(VLOOKUP(G1107,Master!B:C,2,0),"")</f>
        <v/>
      </c>
      <c r="I1107" s="3" t="str">
        <f>_xlfn.IFNA(VLOOKUP(E1107,Master!$J:$M,4,0),"")</f>
        <v/>
      </c>
      <c r="J1107" s="3" t="str">
        <f>_xlfn.IFNA(VLOOKUP($E1107,Master!$J:$M,3,0),"")</f>
        <v/>
      </c>
      <c r="AC1107" s="26">
        <f t="shared" si="36"/>
        <v>0</v>
      </c>
      <c r="AD1107" s="26">
        <f t="shared" si="37"/>
        <v>0</v>
      </c>
    </row>
    <row r="1108" spans="2:30" ht="15" customHeight="1">
      <c r="B1108" s="3" t="str">
        <f>_xlfn.IFNA(VLOOKUP(C1108,Master!$J:$K,2,0),"")</f>
        <v/>
      </c>
      <c r="D1108" s="4" t="str">
        <f>_xlfn.IFNA(VLOOKUP(E1108,Master!$J:$K,2,0),"")</f>
        <v/>
      </c>
      <c r="F1108" s="4" t="str">
        <f>_xlfn.IFNA(VLOOKUP(G1108,Master!B:C,2,0),"")</f>
        <v/>
      </c>
      <c r="I1108" s="3" t="str">
        <f>_xlfn.IFNA(VLOOKUP(E1108,Master!$J:$M,4,0),"")</f>
        <v/>
      </c>
      <c r="J1108" s="3" t="str">
        <f>_xlfn.IFNA(VLOOKUP($E1108,Master!$J:$M,3,0),"")</f>
        <v/>
      </c>
      <c r="AC1108" s="26">
        <f t="shared" si="36"/>
        <v>0</v>
      </c>
      <c r="AD1108" s="26">
        <f t="shared" si="37"/>
        <v>0</v>
      </c>
    </row>
    <row r="1109" spans="2:30" ht="15" customHeight="1">
      <c r="B1109" s="3" t="str">
        <f>_xlfn.IFNA(VLOOKUP(C1109,Master!$J:$K,2,0),"")</f>
        <v/>
      </c>
      <c r="D1109" s="4" t="str">
        <f>_xlfn.IFNA(VLOOKUP(E1109,Master!$J:$K,2,0),"")</f>
        <v/>
      </c>
      <c r="F1109" s="4" t="str">
        <f>_xlfn.IFNA(VLOOKUP(G1109,Master!B:C,2,0),"")</f>
        <v/>
      </c>
      <c r="I1109" s="3" t="str">
        <f>_xlfn.IFNA(VLOOKUP(E1109,Master!$J:$M,4,0),"")</f>
        <v/>
      </c>
      <c r="J1109" s="3" t="str">
        <f>_xlfn.IFNA(VLOOKUP($E1109,Master!$J:$M,3,0),"")</f>
        <v/>
      </c>
      <c r="AC1109" s="26">
        <f t="shared" si="36"/>
        <v>0</v>
      </c>
      <c r="AD1109" s="26">
        <f t="shared" si="37"/>
        <v>0</v>
      </c>
    </row>
    <row r="1110" spans="2:30" ht="15" customHeight="1">
      <c r="B1110" s="3" t="str">
        <f>_xlfn.IFNA(VLOOKUP(C1110,Master!$J:$K,2,0),"")</f>
        <v/>
      </c>
      <c r="D1110" s="4" t="str">
        <f>_xlfn.IFNA(VLOOKUP(E1110,Master!$J:$K,2,0),"")</f>
        <v/>
      </c>
      <c r="F1110" s="4" t="str">
        <f>_xlfn.IFNA(VLOOKUP(G1110,Master!B:C,2,0),"")</f>
        <v/>
      </c>
      <c r="I1110" s="3" t="str">
        <f>_xlfn.IFNA(VLOOKUP(E1110,Master!$J:$M,4,0),"")</f>
        <v/>
      </c>
      <c r="J1110" s="3" t="str">
        <f>_xlfn.IFNA(VLOOKUP($E1110,Master!$J:$M,3,0),"")</f>
        <v/>
      </c>
      <c r="AC1110" s="26">
        <f t="shared" si="36"/>
        <v>0</v>
      </c>
      <c r="AD1110" s="26">
        <f t="shared" si="37"/>
        <v>0</v>
      </c>
    </row>
    <row r="1111" spans="2:30" ht="15" customHeight="1">
      <c r="B1111" s="3" t="str">
        <f>_xlfn.IFNA(VLOOKUP(C1111,Master!$J:$K,2,0),"")</f>
        <v/>
      </c>
      <c r="D1111" s="4" t="str">
        <f>_xlfn.IFNA(VLOOKUP(E1111,Master!$J:$K,2,0),"")</f>
        <v/>
      </c>
      <c r="F1111" s="4" t="str">
        <f>_xlfn.IFNA(VLOOKUP(G1111,Master!B:C,2,0),"")</f>
        <v/>
      </c>
      <c r="I1111" s="3" t="str">
        <f>_xlfn.IFNA(VLOOKUP(E1111,Master!$J:$M,4,0),"")</f>
        <v/>
      </c>
      <c r="J1111" s="3" t="str">
        <f>_xlfn.IFNA(VLOOKUP($E1111,Master!$J:$M,3,0),"")</f>
        <v/>
      </c>
      <c r="AC1111" s="26">
        <f t="shared" si="36"/>
        <v>0</v>
      </c>
      <c r="AD1111" s="26">
        <f t="shared" si="37"/>
        <v>0</v>
      </c>
    </row>
    <row r="1112" spans="2:30" ht="15" customHeight="1">
      <c r="B1112" s="3" t="str">
        <f>_xlfn.IFNA(VLOOKUP(C1112,Master!$J:$K,2,0),"")</f>
        <v/>
      </c>
      <c r="D1112" s="4" t="str">
        <f>_xlfn.IFNA(VLOOKUP(E1112,Master!$J:$K,2,0),"")</f>
        <v/>
      </c>
      <c r="F1112" s="4" t="str">
        <f>_xlfn.IFNA(VLOOKUP(G1112,Master!B:C,2,0),"")</f>
        <v/>
      </c>
      <c r="I1112" s="3" t="str">
        <f>_xlfn.IFNA(VLOOKUP(E1112,Master!$J:$M,4,0),"")</f>
        <v/>
      </c>
      <c r="J1112" s="3" t="str">
        <f>_xlfn.IFNA(VLOOKUP($E1112,Master!$J:$M,3,0),"")</f>
        <v/>
      </c>
      <c r="AC1112" s="26">
        <f t="shared" si="36"/>
        <v>0</v>
      </c>
      <c r="AD1112" s="26">
        <f t="shared" si="37"/>
        <v>0</v>
      </c>
    </row>
    <row r="1113" spans="2:30" ht="15" customHeight="1">
      <c r="B1113" s="3" t="str">
        <f>_xlfn.IFNA(VLOOKUP(C1113,Master!$J:$K,2,0),"")</f>
        <v/>
      </c>
      <c r="D1113" s="4" t="str">
        <f>_xlfn.IFNA(VLOOKUP(E1113,Master!$J:$K,2,0),"")</f>
        <v/>
      </c>
      <c r="F1113" s="4" t="str">
        <f>_xlfn.IFNA(VLOOKUP(G1113,Master!B:C,2,0),"")</f>
        <v/>
      </c>
      <c r="I1113" s="3" t="str">
        <f>_xlfn.IFNA(VLOOKUP(E1113,Master!$J:$M,4,0),"")</f>
        <v/>
      </c>
      <c r="J1113" s="3" t="str">
        <f>_xlfn.IFNA(VLOOKUP($E1113,Master!$J:$M,3,0),"")</f>
        <v/>
      </c>
      <c r="AC1113" s="26">
        <f t="shared" si="36"/>
        <v>0</v>
      </c>
      <c r="AD1113" s="26">
        <f t="shared" si="37"/>
        <v>0</v>
      </c>
    </row>
    <row r="1114" spans="2:30" ht="15" customHeight="1">
      <c r="B1114" s="3" t="str">
        <f>_xlfn.IFNA(VLOOKUP(C1114,Master!$J:$K,2,0),"")</f>
        <v/>
      </c>
      <c r="D1114" s="4" t="str">
        <f>_xlfn.IFNA(VLOOKUP(E1114,Master!$J:$K,2,0),"")</f>
        <v/>
      </c>
      <c r="F1114" s="4" t="str">
        <f>_xlfn.IFNA(VLOOKUP(G1114,Master!B:C,2,0),"")</f>
        <v/>
      </c>
      <c r="I1114" s="3" t="str">
        <f>_xlfn.IFNA(VLOOKUP(E1114,Master!$J:$M,4,0),"")</f>
        <v/>
      </c>
      <c r="J1114" s="3" t="str">
        <f>_xlfn.IFNA(VLOOKUP($E1114,Master!$J:$M,3,0),"")</f>
        <v/>
      </c>
      <c r="AC1114" s="26">
        <f t="shared" si="36"/>
        <v>0</v>
      </c>
      <c r="AD1114" s="26">
        <f t="shared" si="37"/>
        <v>0</v>
      </c>
    </row>
    <row r="1115" spans="2:30" ht="15" customHeight="1">
      <c r="B1115" s="3" t="str">
        <f>_xlfn.IFNA(VLOOKUP(C1115,Master!$J:$K,2,0),"")</f>
        <v/>
      </c>
      <c r="D1115" s="4" t="str">
        <f>_xlfn.IFNA(VLOOKUP(E1115,Master!$J:$K,2,0),"")</f>
        <v/>
      </c>
      <c r="F1115" s="4" t="str">
        <f>_xlfn.IFNA(VLOOKUP(G1115,Master!B:C,2,0),"")</f>
        <v/>
      </c>
      <c r="I1115" s="3" t="str">
        <f>_xlfn.IFNA(VLOOKUP(E1115,Master!$J:$M,4,0),"")</f>
        <v/>
      </c>
      <c r="J1115" s="3" t="str">
        <f>_xlfn.IFNA(VLOOKUP($E1115,Master!$J:$M,3,0),"")</f>
        <v/>
      </c>
      <c r="AC1115" s="26">
        <f t="shared" si="36"/>
        <v>0</v>
      </c>
      <c r="AD1115" s="26">
        <f t="shared" si="37"/>
        <v>0</v>
      </c>
    </row>
    <row r="1116" spans="2:30" ht="15" customHeight="1">
      <c r="B1116" s="3" t="str">
        <f>_xlfn.IFNA(VLOOKUP(C1116,Master!$J:$K,2,0),"")</f>
        <v/>
      </c>
      <c r="D1116" s="4" t="str">
        <f>_xlfn.IFNA(VLOOKUP(E1116,Master!$J:$K,2,0),"")</f>
        <v/>
      </c>
      <c r="F1116" s="4" t="str">
        <f>_xlfn.IFNA(VLOOKUP(G1116,Master!B:C,2,0),"")</f>
        <v/>
      </c>
      <c r="I1116" s="3" t="str">
        <f>_xlfn.IFNA(VLOOKUP(E1116,Master!$J:$M,4,0),"")</f>
        <v/>
      </c>
      <c r="J1116" s="3" t="str">
        <f>_xlfn.IFNA(VLOOKUP($E1116,Master!$J:$M,3,0),"")</f>
        <v/>
      </c>
      <c r="AC1116" s="26">
        <f t="shared" si="36"/>
        <v>0</v>
      </c>
      <c r="AD1116" s="26">
        <f t="shared" si="37"/>
        <v>0</v>
      </c>
    </row>
    <row r="1117" spans="2:30" ht="15" customHeight="1">
      <c r="B1117" s="3" t="str">
        <f>_xlfn.IFNA(VLOOKUP(C1117,Master!$J:$K,2,0),"")</f>
        <v/>
      </c>
      <c r="D1117" s="4" t="str">
        <f>_xlfn.IFNA(VLOOKUP(E1117,Master!$J:$K,2,0),"")</f>
        <v/>
      </c>
      <c r="F1117" s="4" t="str">
        <f>_xlfn.IFNA(VLOOKUP(G1117,Master!B:C,2,0),"")</f>
        <v/>
      </c>
      <c r="I1117" s="3" t="str">
        <f>_xlfn.IFNA(VLOOKUP(E1117,Master!$J:$M,4,0),"")</f>
        <v/>
      </c>
      <c r="J1117" s="3" t="str">
        <f>_xlfn.IFNA(VLOOKUP($E1117,Master!$J:$M,3,0),"")</f>
        <v/>
      </c>
      <c r="AC1117" s="26">
        <f t="shared" si="36"/>
        <v>0</v>
      </c>
      <c r="AD1117" s="26">
        <f t="shared" si="37"/>
        <v>0</v>
      </c>
    </row>
    <row r="1118" spans="2:30" ht="15" customHeight="1">
      <c r="B1118" s="3" t="str">
        <f>_xlfn.IFNA(VLOOKUP(C1118,Master!$J:$K,2,0),"")</f>
        <v/>
      </c>
      <c r="D1118" s="4" t="str">
        <f>_xlfn.IFNA(VLOOKUP(E1118,Master!$J:$K,2,0),"")</f>
        <v/>
      </c>
      <c r="F1118" s="4" t="str">
        <f>_xlfn.IFNA(VLOOKUP(G1118,Master!B:C,2,0),"")</f>
        <v/>
      </c>
      <c r="I1118" s="3" t="str">
        <f>_xlfn.IFNA(VLOOKUP(E1118,Master!$J:$M,4,0),"")</f>
        <v/>
      </c>
      <c r="J1118" s="3" t="str">
        <f>_xlfn.IFNA(VLOOKUP($E1118,Master!$J:$M,3,0),"")</f>
        <v/>
      </c>
      <c r="AC1118" s="26">
        <f t="shared" si="36"/>
        <v>0</v>
      </c>
      <c r="AD1118" s="26">
        <f t="shared" si="37"/>
        <v>0</v>
      </c>
    </row>
    <row r="1119" spans="2:30" ht="15" customHeight="1">
      <c r="B1119" s="3" t="str">
        <f>_xlfn.IFNA(VLOOKUP(C1119,Master!$J:$K,2,0),"")</f>
        <v/>
      </c>
      <c r="D1119" s="4" t="str">
        <f>_xlfn.IFNA(VLOOKUP(E1119,Master!$J:$K,2,0),"")</f>
        <v/>
      </c>
      <c r="F1119" s="4" t="str">
        <f>_xlfn.IFNA(VLOOKUP(G1119,Master!B:C,2,0),"")</f>
        <v/>
      </c>
      <c r="I1119" s="3" t="str">
        <f>_xlfn.IFNA(VLOOKUP(E1119,Master!$J:$M,4,0),"")</f>
        <v/>
      </c>
      <c r="J1119" s="3" t="str">
        <f>_xlfn.IFNA(VLOOKUP($E1119,Master!$J:$M,3,0),"")</f>
        <v/>
      </c>
      <c r="AC1119" s="26">
        <f t="shared" si="36"/>
        <v>0</v>
      </c>
      <c r="AD1119" s="26">
        <f t="shared" si="37"/>
        <v>0</v>
      </c>
    </row>
    <row r="1120" spans="2:30" ht="15" customHeight="1">
      <c r="B1120" s="3" t="str">
        <f>_xlfn.IFNA(VLOOKUP(C1120,Master!$J:$K,2,0),"")</f>
        <v/>
      </c>
      <c r="D1120" s="4" t="str">
        <f>_xlfn.IFNA(VLOOKUP(E1120,Master!$J:$K,2,0),"")</f>
        <v/>
      </c>
      <c r="F1120" s="4" t="str">
        <f>_xlfn.IFNA(VLOOKUP(G1120,Master!B:C,2,0),"")</f>
        <v/>
      </c>
      <c r="I1120" s="3" t="str">
        <f>_xlfn.IFNA(VLOOKUP(E1120,Master!$J:$M,4,0),"")</f>
        <v/>
      </c>
      <c r="J1120" s="3" t="str">
        <f>_xlfn.IFNA(VLOOKUP($E1120,Master!$J:$M,3,0),"")</f>
        <v/>
      </c>
      <c r="AC1120" s="26">
        <f t="shared" si="36"/>
        <v>0</v>
      </c>
      <c r="AD1120" s="26">
        <f t="shared" si="37"/>
        <v>0</v>
      </c>
    </row>
    <row r="1121" spans="2:30" ht="15" customHeight="1">
      <c r="B1121" s="3" t="str">
        <f>_xlfn.IFNA(VLOOKUP(C1121,Master!$J:$K,2,0),"")</f>
        <v/>
      </c>
      <c r="D1121" s="4" t="str">
        <f>_xlfn.IFNA(VLOOKUP(E1121,Master!$J:$K,2,0),"")</f>
        <v/>
      </c>
      <c r="F1121" s="4" t="str">
        <f>_xlfn.IFNA(VLOOKUP(G1121,Master!B:C,2,0),"")</f>
        <v/>
      </c>
      <c r="I1121" s="3" t="str">
        <f>_xlfn.IFNA(VLOOKUP(E1121,Master!$J:$M,4,0),"")</f>
        <v/>
      </c>
      <c r="J1121" s="3" t="str">
        <f>_xlfn.IFNA(VLOOKUP($E1121,Master!$J:$M,3,0),"")</f>
        <v/>
      </c>
      <c r="AC1121" s="26">
        <f t="shared" si="36"/>
        <v>0</v>
      </c>
      <c r="AD1121" s="26">
        <f t="shared" si="37"/>
        <v>0</v>
      </c>
    </row>
    <row r="1122" spans="2:30" ht="15" customHeight="1">
      <c r="B1122" s="3" t="str">
        <f>_xlfn.IFNA(VLOOKUP(C1122,Master!$J:$K,2,0),"")</f>
        <v/>
      </c>
      <c r="D1122" s="4" t="str">
        <f>_xlfn.IFNA(VLOOKUP(E1122,Master!$J:$K,2,0),"")</f>
        <v/>
      </c>
      <c r="F1122" s="4" t="str">
        <f>_xlfn.IFNA(VLOOKUP(G1122,Master!B:C,2,0),"")</f>
        <v/>
      </c>
      <c r="I1122" s="3" t="str">
        <f>_xlfn.IFNA(VLOOKUP(E1122,Master!$J:$M,4,0),"")</f>
        <v/>
      </c>
      <c r="J1122" s="3" t="str">
        <f>_xlfn.IFNA(VLOOKUP($E1122,Master!$J:$M,3,0),"")</f>
        <v/>
      </c>
      <c r="AC1122" s="26">
        <f t="shared" si="36"/>
        <v>0</v>
      </c>
      <c r="AD1122" s="26">
        <f t="shared" si="37"/>
        <v>0</v>
      </c>
    </row>
    <row r="1123" spans="2:30" ht="15" customHeight="1">
      <c r="B1123" s="3" t="str">
        <f>_xlfn.IFNA(VLOOKUP(C1123,Master!$J:$K,2,0),"")</f>
        <v/>
      </c>
      <c r="D1123" s="4" t="str">
        <f>_xlfn.IFNA(VLOOKUP(E1123,Master!$J:$K,2,0),"")</f>
        <v/>
      </c>
      <c r="F1123" s="4" t="str">
        <f>_xlfn.IFNA(VLOOKUP(G1123,Master!B:C,2,0),"")</f>
        <v/>
      </c>
      <c r="I1123" s="3" t="str">
        <f>_xlfn.IFNA(VLOOKUP(E1123,Master!$J:$M,4,0),"")</f>
        <v/>
      </c>
      <c r="J1123" s="3" t="str">
        <f>_xlfn.IFNA(VLOOKUP($E1123,Master!$J:$M,3,0),"")</f>
        <v/>
      </c>
      <c r="AC1123" s="26">
        <f t="shared" si="36"/>
        <v>0</v>
      </c>
      <c r="AD1123" s="26">
        <f t="shared" si="37"/>
        <v>0</v>
      </c>
    </row>
    <row r="1124" spans="2:30" ht="15" customHeight="1">
      <c r="B1124" s="3" t="str">
        <f>_xlfn.IFNA(VLOOKUP(C1124,Master!$J:$K,2,0),"")</f>
        <v/>
      </c>
      <c r="D1124" s="4" t="str">
        <f>_xlfn.IFNA(VLOOKUP(E1124,Master!$J:$K,2,0),"")</f>
        <v/>
      </c>
      <c r="F1124" s="4" t="str">
        <f>_xlfn.IFNA(VLOOKUP(G1124,Master!B:C,2,0),"")</f>
        <v/>
      </c>
      <c r="I1124" s="3" t="str">
        <f>_xlfn.IFNA(VLOOKUP(E1124,Master!$J:$M,4,0),"")</f>
        <v/>
      </c>
      <c r="J1124" s="3" t="str">
        <f>_xlfn.IFNA(VLOOKUP($E1124,Master!$J:$M,3,0),"")</f>
        <v/>
      </c>
      <c r="AC1124" s="26">
        <f t="shared" si="36"/>
        <v>0</v>
      </c>
      <c r="AD1124" s="26">
        <f t="shared" si="37"/>
        <v>0</v>
      </c>
    </row>
    <row r="1125" spans="2:30" ht="15" customHeight="1">
      <c r="B1125" s="3" t="str">
        <f>_xlfn.IFNA(VLOOKUP(C1125,Master!$J:$K,2,0),"")</f>
        <v/>
      </c>
      <c r="D1125" s="4" t="str">
        <f>_xlfn.IFNA(VLOOKUP(E1125,Master!$J:$K,2,0),"")</f>
        <v/>
      </c>
      <c r="F1125" s="4" t="str">
        <f>_xlfn.IFNA(VLOOKUP(G1125,Master!B:C,2,0),"")</f>
        <v/>
      </c>
      <c r="I1125" s="3" t="str">
        <f>_xlfn.IFNA(VLOOKUP(E1125,Master!$J:$M,4,0),"")</f>
        <v/>
      </c>
      <c r="J1125" s="3" t="str">
        <f>_xlfn.IFNA(VLOOKUP($E1125,Master!$J:$M,3,0),"")</f>
        <v/>
      </c>
      <c r="AC1125" s="26">
        <f t="shared" si="36"/>
        <v>0</v>
      </c>
      <c r="AD1125" s="26">
        <f t="shared" si="37"/>
        <v>0</v>
      </c>
    </row>
    <row r="1126" spans="2:30" ht="15" customHeight="1">
      <c r="B1126" s="3" t="str">
        <f>_xlfn.IFNA(VLOOKUP(C1126,Master!$J:$K,2,0),"")</f>
        <v/>
      </c>
      <c r="D1126" s="4" t="str">
        <f>_xlfn.IFNA(VLOOKUP(E1126,Master!$J:$K,2,0),"")</f>
        <v/>
      </c>
      <c r="F1126" s="4" t="str">
        <f>_xlfn.IFNA(VLOOKUP(G1126,Master!B:C,2,0),"")</f>
        <v/>
      </c>
      <c r="I1126" s="3" t="str">
        <f>_xlfn.IFNA(VLOOKUP(E1126,Master!$J:$M,4,0),"")</f>
        <v/>
      </c>
      <c r="J1126" s="3" t="str">
        <f>_xlfn.IFNA(VLOOKUP($E1126,Master!$J:$M,3,0),"")</f>
        <v/>
      </c>
      <c r="AC1126" s="26">
        <f t="shared" si="36"/>
        <v>0</v>
      </c>
      <c r="AD1126" s="26">
        <f t="shared" si="37"/>
        <v>0</v>
      </c>
    </row>
    <row r="1127" spans="2:30" ht="15" customHeight="1">
      <c r="B1127" s="3" t="str">
        <f>_xlfn.IFNA(VLOOKUP(C1127,Master!$J:$K,2,0),"")</f>
        <v/>
      </c>
      <c r="D1127" s="4" t="str">
        <f>_xlfn.IFNA(VLOOKUP(E1127,Master!$J:$K,2,0),"")</f>
        <v/>
      </c>
      <c r="F1127" s="4" t="str">
        <f>_xlfn.IFNA(VLOOKUP(G1127,Master!B:C,2,0),"")</f>
        <v/>
      </c>
      <c r="I1127" s="3" t="str">
        <f>_xlfn.IFNA(VLOOKUP(E1127,Master!$J:$M,4,0),"")</f>
        <v/>
      </c>
      <c r="J1127" s="3" t="str">
        <f>_xlfn.IFNA(VLOOKUP($E1127,Master!$J:$M,3,0),"")</f>
        <v/>
      </c>
      <c r="AC1127" s="26">
        <f t="shared" si="36"/>
        <v>0</v>
      </c>
      <c r="AD1127" s="26">
        <f t="shared" si="37"/>
        <v>0</v>
      </c>
    </row>
    <row r="1128" spans="2:30" ht="15" customHeight="1">
      <c r="B1128" s="3" t="str">
        <f>_xlfn.IFNA(VLOOKUP(C1128,Master!$J:$K,2,0),"")</f>
        <v/>
      </c>
      <c r="D1128" s="4" t="str">
        <f>_xlfn.IFNA(VLOOKUP(E1128,Master!$J:$K,2,0),"")</f>
        <v/>
      </c>
      <c r="F1128" s="4" t="str">
        <f>_xlfn.IFNA(VLOOKUP(G1128,Master!B:C,2,0),"")</f>
        <v/>
      </c>
      <c r="I1128" s="3" t="str">
        <f>_xlfn.IFNA(VLOOKUP(E1128,Master!$J:$M,4,0),"")</f>
        <v/>
      </c>
      <c r="J1128" s="3" t="str">
        <f>_xlfn.IFNA(VLOOKUP($E1128,Master!$J:$M,3,0),"")</f>
        <v/>
      </c>
      <c r="AC1128" s="26">
        <f t="shared" si="36"/>
        <v>0</v>
      </c>
      <c r="AD1128" s="26">
        <f t="shared" si="37"/>
        <v>0</v>
      </c>
    </row>
    <row r="1129" spans="2:30" ht="15" customHeight="1">
      <c r="B1129" s="3" t="str">
        <f>_xlfn.IFNA(VLOOKUP(C1129,Master!$J:$K,2,0),"")</f>
        <v/>
      </c>
      <c r="D1129" s="4" t="str">
        <f>_xlfn.IFNA(VLOOKUP(E1129,Master!$J:$K,2,0),"")</f>
        <v/>
      </c>
      <c r="F1129" s="4" t="str">
        <f>_xlfn.IFNA(VLOOKUP(G1129,Master!B:C,2,0),"")</f>
        <v/>
      </c>
      <c r="I1129" s="3" t="str">
        <f>_xlfn.IFNA(VLOOKUP(E1129,Master!$J:$M,4,0),"")</f>
        <v/>
      </c>
      <c r="J1129" s="3" t="str">
        <f>_xlfn.IFNA(VLOOKUP($E1129,Master!$J:$M,3,0),"")</f>
        <v/>
      </c>
      <c r="AC1129" s="26">
        <f t="shared" si="36"/>
        <v>0</v>
      </c>
      <c r="AD1129" s="26">
        <f t="shared" si="37"/>
        <v>0</v>
      </c>
    </row>
    <row r="1130" spans="2:30" ht="15" customHeight="1">
      <c r="B1130" s="3" t="str">
        <f>_xlfn.IFNA(VLOOKUP(C1130,Master!$J:$K,2,0),"")</f>
        <v/>
      </c>
      <c r="D1130" s="4" t="str">
        <f>_xlfn.IFNA(VLOOKUP(E1130,Master!$J:$K,2,0),"")</f>
        <v/>
      </c>
      <c r="F1130" s="4" t="str">
        <f>_xlfn.IFNA(VLOOKUP(G1130,Master!B:C,2,0),"")</f>
        <v/>
      </c>
      <c r="I1130" s="3" t="str">
        <f>_xlfn.IFNA(VLOOKUP(E1130,Master!$J:$M,4,0),"")</f>
        <v/>
      </c>
      <c r="J1130" s="3" t="str">
        <f>_xlfn.IFNA(VLOOKUP($E1130,Master!$J:$M,3,0),"")</f>
        <v/>
      </c>
      <c r="AC1130" s="26">
        <f t="shared" si="36"/>
        <v>0</v>
      </c>
      <c r="AD1130" s="26">
        <f t="shared" si="37"/>
        <v>0</v>
      </c>
    </row>
    <row r="1131" spans="2:30" ht="15" customHeight="1">
      <c r="B1131" s="3" t="str">
        <f>_xlfn.IFNA(VLOOKUP(C1131,Master!$J:$K,2,0),"")</f>
        <v/>
      </c>
      <c r="D1131" s="4" t="str">
        <f>_xlfn.IFNA(VLOOKUP(E1131,Master!$J:$K,2,0),"")</f>
        <v/>
      </c>
      <c r="F1131" s="4" t="str">
        <f>_xlfn.IFNA(VLOOKUP(G1131,Master!B:C,2,0),"")</f>
        <v/>
      </c>
      <c r="I1131" s="3" t="str">
        <f>_xlfn.IFNA(VLOOKUP(E1131,Master!$J:$M,4,0),"")</f>
        <v/>
      </c>
      <c r="J1131" s="3" t="str">
        <f>_xlfn.IFNA(VLOOKUP($E1131,Master!$J:$M,3,0),"")</f>
        <v/>
      </c>
      <c r="AC1131" s="26">
        <f t="shared" si="36"/>
        <v>0</v>
      </c>
      <c r="AD1131" s="26">
        <f t="shared" si="37"/>
        <v>0</v>
      </c>
    </row>
    <row r="1132" spans="2:30" ht="15" customHeight="1">
      <c r="B1132" s="3" t="str">
        <f>_xlfn.IFNA(VLOOKUP(C1132,Master!$J:$K,2,0),"")</f>
        <v/>
      </c>
      <c r="D1132" s="4" t="str">
        <f>_xlfn.IFNA(VLOOKUP(E1132,Master!$J:$K,2,0),"")</f>
        <v/>
      </c>
      <c r="F1132" s="4" t="str">
        <f>_xlfn.IFNA(VLOOKUP(G1132,Master!B:C,2,0),"")</f>
        <v/>
      </c>
      <c r="I1132" s="3" t="str">
        <f>_xlfn.IFNA(VLOOKUP(E1132,Master!$J:$M,4,0),"")</f>
        <v/>
      </c>
      <c r="J1132" s="3" t="str">
        <f>_xlfn.IFNA(VLOOKUP($E1132,Master!$J:$M,3,0),"")</f>
        <v/>
      </c>
      <c r="AC1132" s="26">
        <f t="shared" si="36"/>
        <v>0</v>
      </c>
      <c r="AD1132" s="26">
        <f t="shared" si="37"/>
        <v>0</v>
      </c>
    </row>
    <row r="1133" spans="2:30" ht="15" customHeight="1">
      <c r="B1133" s="3" t="str">
        <f>_xlfn.IFNA(VLOOKUP(C1133,Master!$J:$K,2,0),"")</f>
        <v/>
      </c>
      <c r="D1133" s="4" t="str">
        <f>_xlfn.IFNA(VLOOKUP(E1133,Master!$J:$K,2,0),"")</f>
        <v/>
      </c>
      <c r="F1133" s="4" t="str">
        <f>_xlfn.IFNA(VLOOKUP(G1133,Master!B:C,2,0),"")</f>
        <v/>
      </c>
      <c r="I1133" s="3" t="str">
        <f>_xlfn.IFNA(VLOOKUP(E1133,Master!$J:$M,4,0),"")</f>
        <v/>
      </c>
      <c r="J1133" s="3" t="str">
        <f>_xlfn.IFNA(VLOOKUP($E1133,Master!$J:$M,3,0),"")</f>
        <v/>
      </c>
      <c r="AC1133" s="26">
        <f t="shared" si="36"/>
        <v>0</v>
      </c>
      <c r="AD1133" s="26">
        <f t="shared" si="37"/>
        <v>0</v>
      </c>
    </row>
    <row r="1134" spans="2:30" ht="15" customHeight="1">
      <c r="B1134" s="3" t="str">
        <f>_xlfn.IFNA(VLOOKUP(C1134,Master!$J:$K,2,0),"")</f>
        <v/>
      </c>
      <c r="D1134" s="4" t="str">
        <f>_xlfn.IFNA(VLOOKUP(E1134,Master!$J:$K,2,0),"")</f>
        <v/>
      </c>
      <c r="F1134" s="4" t="str">
        <f>_xlfn.IFNA(VLOOKUP(G1134,Master!B:C,2,0),"")</f>
        <v/>
      </c>
      <c r="I1134" s="3" t="str">
        <f>_xlfn.IFNA(VLOOKUP(E1134,Master!$J:$M,4,0),"")</f>
        <v/>
      </c>
      <c r="J1134" s="3" t="str">
        <f>_xlfn.IFNA(VLOOKUP($E1134,Master!$J:$M,3,0),"")</f>
        <v/>
      </c>
      <c r="AC1134" s="26">
        <f t="shared" si="36"/>
        <v>0</v>
      </c>
      <c r="AD1134" s="26">
        <f t="shared" si="37"/>
        <v>0</v>
      </c>
    </row>
    <row r="1135" spans="2:30" ht="15" customHeight="1">
      <c r="B1135" s="3" t="str">
        <f>_xlfn.IFNA(VLOOKUP(C1135,Master!$J:$K,2,0),"")</f>
        <v/>
      </c>
      <c r="D1135" s="4" t="str">
        <f>_xlfn.IFNA(VLOOKUP(E1135,Master!$J:$K,2,0),"")</f>
        <v/>
      </c>
      <c r="F1135" s="4" t="str">
        <f>_xlfn.IFNA(VLOOKUP(G1135,Master!B:C,2,0),"")</f>
        <v/>
      </c>
      <c r="I1135" s="3" t="str">
        <f>_xlfn.IFNA(VLOOKUP(E1135,Master!$J:$M,4,0),"")</f>
        <v/>
      </c>
      <c r="J1135" s="3" t="str">
        <f>_xlfn.IFNA(VLOOKUP($E1135,Master!$J:$M,3,0),"")</f>
        <v/>
      </c>
      <c r="AC1135" s="26">
        <f t="shared" si="36"/>
        <v>0</v>
      </c>
      <c r="AD1135" s="26">
        <f t="shared" si="37"/>
        <v>0</v>
      </c>
    </row>
    <row r="1136" spans="2:30" ht="15" customHeight="1">
      <c r="B1136" s="3" t="str">
        <f>_xlfn.IFNA(VLOOKUP(C1136,Master!$J:$K,2,0),"")</f>
        <v/>
      </c>
      <c r="D1136" s="4" t="str">
        <f>_xlfn.IFNA(VLOOKUP(E1136,Master!$J:$K,2,0),"")</f>
        <v/>
      </c>
      <c r="F1136" s="4" t="str">
        <f>_xlfn.IFNA(VLOOKUP(G1136,Master!B:C,2,0),"")</f>
        <v/>
      </c>
      <c r="I1136" s="3" t="str">
        <f>_xlfn.IFNA(VLOOKUP(E1136,Master!$J:$M,4,0),"")</f>
        <v/>
      </c>
      <c r="J1136" s="3" t="str">
        <f>_xlfn.IFNA(VLOOKUP($E1136,Master!$J:$M,3,0),"")</f>
        <v/>
      </c>
      <c r="AC1136" s="26">
        <f t="shared" si="36"/>
        <v>0</v>
      </c>
      <c r="AD1136" s="26">
        <f t="shared" si="37"/>
        <v>0</v>
      </c>
    </row>
    <row r="1137" spans="2:30" ht="15" customHeight="1">
      <c r="B1137" s="3" t="str">
        <f>_xlfn.IFNA(VLOOKUP(C1137,Master!$J:$K,2,0),"")</f>
        <v/>
      </c>
      <c r="D1137" s="4" t="str">
        <f>_xlfn.IFNA(VLOOKUP(E1137,Master!$J:$K,2,0),"")</f>
        <v/>
      </c>
      <c r="F1137" s="4" t="str">
        <f>_xlfn.IFNA(VLOOKUP(G1137,Master!B:C,2,0),"")</f>
        <v/>
      </c>
      <c r="I1137" s="3" t="str">
        <f>_xlfn.IFNA(VLOOKUP(E1137,Master!$J:$M,4,0),"")</f>
        <v/>
      </c>
      <c r="J1137" s="3" t="str">
        <f>_xlfn.IFNA(VLOOKUP($E1137,Master!$J:$M,3,0),"")</f>
        <v/>
      </c>
      <c r="AC1137" s="26">
        <f t="shared" si="36"/>
        <v>0</v>
      </c>
      <c r="AD1137" s="26">
        <f t="shared" si="37"/>
        <v>0</v>
      </c>
    </row>
    <row r="1138" spans="2:30" ht="15" customHeight="1">
      <c r="B1138" s="3" t="str">
        <f>_xlfn.IFNA(VLOOKUP(C1138,Master!$J:$K,2,0),"")</f>
        <v/>
      </c>
      <c r="D1138" s="4" t="str">
        <f>_xlfn.IFNA(VLOOKUP(E1138,Master!$J:$K,2,0),"")</f>
        <v/>
      </c>
      <c r="F1138" s="4" t="str">
        <f>_xlfn.IFNA(VLOOKUP(G1138,Master!B:C,2,0),"")</f>
        <v/>
      </c>
      <c r="I1138" s="3" t="str">
        <f>_xlfn.IFNA(VLOOKUP(E1138,Master!$J:$M,4,0),"")</f>
        <v/>
      </c>
      <c r="J1138" s="3" t="str">
        <f>_xlfn.IFNA(VLOOKUP($E1138,Master!$J:$M,3,0),"")</f>
        <v/>
      </c>
      <c r="AC1138" s="26">
        <f t="shared" si="36"/>
        <v>0</v>
      </c>
      <c r="AD1138" s="26">
        <f t="shared" si="37"/>
        <v>0</v>
      </c>
    </row>
    <row r="1139" spans="2:30" ht="15" customHeight="1">
      <c r="B1139" s="3" t="str">
        <f>_xlfn.IFNA(VLOOKUP(C1139,Master!$J:$K,2,0),"")</f>
        <v/>
      </c>
      <c r="D1139" s="4" t="str">
        <f>_xlfn.IFNA(VLOOKUP(E1139,Master!$J:$K,2,0),"")</f>
        <v/>
      </c>
      <c r="F1139" s="4" t="str">
        <f>_xlfn.IFNA(VLOOKUP(G1139,Master!B:C,2,0),"")</f>
        <v/>
      </c>
      <c r="I1139" s="3" t="str">
        <f>_xlfn.IFNA(VLOOKUP(E1139,Master!$J:$M,4,0),"")</f>
        <v/>
      </c>
      <c r="J1139" s="3" t="str">
        <f>_xlfn.IFNA(VLOOKUP($E1139,Master!$J:$M,3,0),"")</f>
        <v/>
      </c>
      <c r="AC1139" s="26">
        <f t="shared" si="36"/>
        <v>0</v>
      </c>
      <c r="AD1139" s="26">
        <f t="shared" si="37"/>
        <v>0</v>
      </c>
    </row>
    <row r="1140" spans="2:30" ht="15" customHeight="1">
      <c r="B1140" s="3" t="str">
        <f>_xlfn.IFNA(VLOOKUP(C1140,Master!$J:$K,2,0),"")</f>
        <v/>
      </c>
      <c r="D1140" s="4" t="str">
        <f>_xlfn.IFNA(VLOOKUP(E1140,Master!$J:$K,2,0),"")</f>
        <v/>
      </c>
      <c r="F1140" s="4" t="str">
        <f>_xlfn.IFNA(VLOOKUP(G1140,Master!B:C,2,0),"")</f>
        <v/>
      </c>
      <c r="I1140" s="3" t="str">
        <f>_xlfn.IFNA(VLOOKUP(E1140,Master!$J:$M,4,0),"")</f>
        <v/>
      </c>
      <c r="J1140" s="3" t="str">
        <f>_xlfn.IFNA(VLOOKUP($E1140,Master!$J:$M,3,0),"")</f>
        <v/>
      </c>
      <c r="AC1140" s="26">
        <f t="shared" si="36"/>
        <v>0</v>
      </c>
      <c r="AD1140" s="26">
        <f t="shared" si="37"/>
        <v>0</v>
      </c>
    </row>
    <row r="1141" spans="2:30" ht="15" customHeight="1">
      <c r="B1141" s="3" t="str">
        <f>_xlfn.IFNA(VLOOKUP(C1141,Master!$J:$K,2,0),"")</f>
        <v/>
      </c>
      <c r="D1141" s="4" t="str">
        <f>_xlfn.IFNA(VLOOKUP(E1141,Master!$J:$K,2,0),"")</f>
        <v/>
      </c>
      <c r="F1141" s="4" t="str">
        <f>_xlfn.IFNA(VLOOKUP(G1141,Master!B:C,2,0),"")</f>
        <v/>
      </c>
      <c r="I1141" s="3" t="str">
        <f>_xlfn.IFNA(VLOOKUP(E1141,Master!$J:$M,4,0),"")</f>
        <v/>
      </c>
      <c r="J1141" s="3" t="str">
        <f>_xlfn.IFNA(VLOOKUP($E1141,Master!$J:$M,3,0),"")</f>
        <v/>
      </c>
      <c r="AC1141" s="26">
        <f t="shared" si="36"/>
        <v>0</v>
      </c>
      <c r="AD1141" s="26">
        <f t="shared" si="37"/>
        <v>0</v>
      </c>
    </row>
    <row r="1142" spans="2:30" ht="15" customHeight="1">
      <c r="B1142" s="3" t="str">
        <f>_xlfn.IFNA(VLOOKUP(C1142,Master!$J:$K,2,0),"")</f>
        <v/>
      </c>
      <c r="D1142" s="4" t="str">
        <f>_xlfn.IFNA(VLOOKUP(E1142,Master!$J:$K,2,0),"")</f>
        <v/>
      </c>
      <c r="F1142" s="4" t="str">
        <f>_xlfn.IFNA(VLOOKUP(G1142,Master!B:C,2,0),"")</f>
        <v/>
      </c>
      <c r="I1142" s="3" t="str">
        <f>_xlfn.IFNA(VLOOKUP(E1142,Master!$J:$M,4,0),"")</f>
        <v/>
      </c>
      <c r="J1142" s="3" t="str">
        <f>_xlfn.IFNA(VLOOKUP($E1142,Master!$J:$M,3,0),"")</f>
        <v/>
      </c>
      <c r="AC1142" s="26">
        <f t="shared" si="36"/>
        <v>0</v>
      </c>
      <c r="AD1142" s="26">
        <f t="shared" si="37"/>
        <v>0</v>
      </c>
    </row>
    <row r="1143" spans="2:30" ht="15" customHeight="1">
      <c r="B1143" s="3" t="str">
        <f>_xlfn.IFNA(VLOOKUP(C1143,Master!$J:$K,2,0),"")</f>
        <v/>
      </c>
      <c r="D1143" s="4" t="str">
        <f>_xlfn.IFNA(VLOOKUP(E1143,Master!$J:$K,2,0),"")</f>
        <v/>
      </c>
      <c r="F1143" s="4" t="str">
        <f>_xlfn.IFNA(VLOOKUP(G1143,Master!B:C,2,0),"")</f>
        <v/>
      </c>
      <c r="I1143" s="3" t="str">
        <f>_xlfn.IFNA(VLOOKUP(E1143,Master!$J:$M,4,0),"")</f>
        <v/>
      </c>
      <c r="J1143" s="3" t="str">
        <f>_xlfn.IFNA(VLOOKUP($E1143,Master!$J:$M,3,0),"")</f>
        <v/>
      </c>
      <c r="AC1143" s="26">
        <f t="shared" si="36"/>
        <v>0</v>
      </c>
      <c r="AD1143" s="26">
        <f t="shared" si="37"/>
        <v>0</v>
      </c>
    </row>
    <row r="1144" spans="2:30" ht="15" customHeight="1">
      <c r="B1144" s="3" t="str">
        <f>_xlfn.IFNA(VLOOKUP(C1144,Master!$J:$K,2,0),"")</f>
        <v/>
      </c>
      <c r="D1144" s="4" t="str">
        <f>_xlfn.IFNA(VLOOKUP(E1144,Master!$J:$K,2,0),"")</f>
        <v/>
      </c>
      <c r="F1144" s="4" t="str">
        <f>_xlfn.IFNA(VLOOKUP(G1144,Master!B:C,2,0),"")</f>
        <v/>
      </c>
      <c r="I1144" s="3" t="str">
        <f>_xlfn.IFNA(VLOOKUP(E1144,Master!$J:$M,4,0),"")</f>
        <v/>
      </c>
      <c r="J1144" s="3" t="str">
        <f>_xlfn.IFNA(VLOOKUP($E1144,Master!$J:$M,3,0),"")</f>
        <v/>
      </c>
      <c r="AC1144" s="26">
        <f t="shared" si="36"/>
        <v>0</v>
      </c>
      <c r="AD1144" s="26">
        <f t="shared" si="37"/>
        <v>0</v>
      </c>
    </row>
    <row r="1145" spans="2:30" ht="15" customHeight="1">
      <c r="B1145" s="3" t="str">
        <f>_xlfn.IFNA(VLOOKUP(C1145,Master!$J:$K,2,0),"")</f>
        <v/>
      </c>
      <c r="D1145" s="4" t="str">
        <f>_xlfn.IFNA(VLOOKUP(E1145,Master!$J:$K,2,0),"")</f>
        <v/>
      </c>
      <c r="F1145" s="4" t="str">
        <f>_xlfn.IFNA(VLOOKUP(G1145,Master!B:C,2,0),"")</f>
        <v/>
      </c>
      <c r="I1145" s="3" t="str">
        <f>_xlfn.IFNA(VLOOKUP(E1145,Master!$J:$M,4,0),"")</f>
        <v/>
      </c>
      <c r="J1145" s="3" t="str">
        <f>_xlfn.IFNA(VLOOKUP($E1145,Master!$J:$M,3,0),"")</f>
        <v/>
      </c>
      <c r="AC1145" s="26">
        <f t="shared" si="36"/>
        <v>0</v>
      </c>
      <c r="AD1145" s="26">
        <f t="shared" si="37"/>
        <v>0</v>
      </c>
    </row>
    <row r="1146" spans="2:30" ht="15" customHeight="1">
      <c r="B1146" s="3" t="str">
        <f>_xlfn.IFNA(VLOOKUP(C1146,Master!$J:$K,2,0),"")</f>
        <v/>
      </c>
      <c r="D1146" s="4" t="str">
        <f>_xlfn.IFNA(VLOOKUP(E1146,Master!$J:$K,2,0),"")</f>
        <v/>
      </c>
      <c r="F1146" s="4" t="str">
        <f>_xlfn.IFNA(VLOOKUP(G1146,Master!B:C,2,0),"")</f>
        <v/>
      </c>
      <c r="I1146" s="3" t="str">
        <f>_xlfn.IFNA(VLOOKUP(E1146,Master!$J:$M,4,0),"")</f>
        <v/>
      </c>
      <c r="J1146" s="3" t="str">
        <f>_xlfn.IFNA(VLOOKUP($E1146,Master!$J:$M,3,0),"")</f>
        <v/>
      </c>
      <c r="AC1146" s="26">
        <f t="shared" si="36"/>
        <v>0</v>
      </c>
      <c r="AD1146" s="26">
        <f t="shared" si="37"/>
        <v>0</v>
      </c>
    </row>
    <row r="1147" spans="2:30" ht="15" customHeight="1">
      <c r="B1147" s="3" t="str">
        <f>_xlfn.IFNA(VLOOKUP(C1147,Master!$J:$K,2,0),"")</f>
        <v/>
      </c>
      <c r="D1147" s="4" t="str">
        <f>_xlfn.IFNA(VLOOKUP(E1147,Master!$J:$K,2,0),"")</f>
        <v/>
      </c>
      <c r="F1147" s="4" t="str">
        <f>_xlfn.IFNA(VLOOKUP(G1147,Master!B:C,2,0),"")</f>
        <v/>
      </c>
      <c r="I1147" s="3" t="str">
        <f>_xlfn.IFNA(VLOOKUP(E1147,Master!$J:$M,4,0),"")</f>
        <v/>
      </c>
      <c r="J1147" s="3" t="str">
        <f>_xlfn.IFNA(VLOOKUP($E1147,Master!$J:$M,3,0),"")</f>
        <v/>
      </c>
      <c r="AC1147" s="26">
        <f t="shared" si="36"/>
        <v>0</v>
      </c>
      <c r="AD1147" s="26">
        <f t="shared" si="37"/>
        <v>0</v>
      </c>
    </row>
    <row r="1148" spans="2:30" ht="15" customHeight="1">
      <c r="B1148" s="3" t="str">
        <f>_xlfn.IFNA(VLOOKUP(C1148,Master!$J:$K,2,0),"")</f>
        <v/>
      </c>
      <c r="D1148" s="4" t="str">
        <f>_xlfn.IFNA(VLOOKUP(E1148,Master!$J:$K,2,0),"")</f>
        <v/>
      </c>
      <c r="F1148" s="4" t="str">
        <f>_xlfn.IFNA(VLOOKUP(G1148,Master!B:C,2,0),"")</f>
        <v/>
      </c>
      <c r="I1148" s="3" t="str">
        <f>_xlfn.IFNA(VLOOKUP(E1148,Master!$J:$M,4,0),"")</f>
        <v/>
      </c>
      <c r="J1148" s="3" t="str">
        <f>_xlfn.IFNA(VLOOKUP($E1148,Master!$J:$M,3,0),"")</f>
        <v/>
      </c>
      <c r="AC1148" s="26">
        <f t="shared" si="36"/>
        <v>0</v>
      </c>
      <c r="AD1148" s="26">
        <f t="shared" si="37"/>
        <v>0</v>
      </c>
    </row>
    <row r="1149" spans="2:30" ht="15" customHeight="1">
      <c r="B1149" s="3" t="str">
        <f>_xlfn.IFNA(VLOOKUP(C1149,Master!$J:$K,2,0),"")</f>
        <v/>
      </c>
      <c r="D1149" s="4" t="str">
        <f>_xlfn.IFNA(VLOOKUP(E1149,Master!$J:$K,2,0),"")</f>
        <v/>
      </c>
      <c r="F1149" s="4" t="str">
        <f>_xlfn.IFNA(VLOOKUP(G1149,Master!B:C,2,0),"")</f>
        <v/>
      </c>
      <c r="I1149" s="3" t="str">
        <f>_xlfn.IFNA(VLOOKUP(E1149,Master!$J:$M,4,0),"")</f>
        <v/>
      </c>
      <c r="J1149" s="3" t="str">
        <f>_xlfn.IFNA(VLOOKUP($E1149,Master!$J:$M,3,0),"")</f>
        <v/>
      </c>
      <c r="AC1149" s="26">
        <f t="shared" si="36"/>
        <v>0</v>
      </c>
      <c r="AD1149" s="26">
        <f t="shared" si="37"/>
        <v>0</v>
      </c>
    </row>
    <row r="1150" spans="2:30" ht="15" customHeight="1">
      <c r="B1150" s="3" t="str">
        <f>_xlfn.IFNA(VLOOKUP(C1150,Master!$J:$K,2,0),"")</f>
        <v/>
      </c>
      <c r="D1150" s="4" t="str">
        <f>_xlfn.IFNA(VLOOKUP(E1150,Master!$J:$K,2,0),"")</f>
        <v/>
      </c>
      <c r="F1150" s="4" t="str">
        <f>_xlfn.IFNA(VLOOKUP(G1150,Master!B:C,2,0),"")</f>
        <v/>
      </c>
      <c r="I1150" s="3" t="str">
        <f>_xlfn.IFNA(VLOOKUP(E1150,Master!$J:$M,4,0),"")</f>
        <v/>
      </c>
      <c r="J1150" s="3" t="str">
        <f>_xlfn.IFNA(VLOOKUP($E1150,Master!$J:$M,3,0),"")</f>
        <v/>
      </c>
      <c r="AC1150" s="26">
        <f t="shared" si="36"/>
        <v>0</v>
      </c>
      <c r="AD1150" s="26">
        <f t="shared" si="37"/>
        <v>0</v>
      </c>
    </row>
    <row r="1151" spans="2:30" ht="15" customHeight="1">
      <c r="B1151" s="3" t="str">
        <f>_xlfn.IFNA(VLOOKUP(C1151,Master!$J:$K,2,0),"")</f>
        <v/>
      </c>
      <c r="D1151" s="4" t="str">
        <f>_xlfn.IFNA(VLOOKUP(E1151,Master!$J:$K,2,0),"")</f>
        <v/>
      </c>
      <c r="F1151" s="4" t="str">
        <f>_xlfn.IFNA(VLOOKUP(G1151,Master!B:C,2,0),"")</f>
        <v/>
      </c>
      <c r="I1151" s="3" t="str">
        <f>_xlfn.IFNA(VLOOKUP(E1151,Master!$J:$M,4,0),"")</f>
        <v/>
      </c>
      <c r="J1151" s="3" t="str">
        <f>_xlfn.IFNA(VLOOKUP($E1151,Master!$J:$M,3,0),"")</f>
        <v/>
      </c>
      <c r="AC1151" s="26">
        <f t="shared" si="36"/>
        <v>0</v>
      </c>
      <c r="AD1151" s="26">
        <f t="shared" si="37"/>
        <v>0</v>
      </c>
    </row>
    <row r="1152" spans="2:30" ht="15" customHeight="1">
      <c r="B1152" s="3" t="str">
        <f>_xlfn.IFNA(VLOOKUP(C1152,Master!$J:$K,2,0),"")</f>
        <v/>
      </c>
      <c r="D1152" s="4" t="str">
        <f>_xlfn.IFNA(VLOOKUP(E1152,Master!$J:$K,2,0),"")</f>
        <v/>
      </c>
      <c r="F1152" s="4" t="str">
        <f>_xlfn.IFNA(VLOOKUP(G1152,Master!B:C,2,0),"")</f>
        <v/>
      </c>
      <c r="I1152" s="3" t="str">
        <f>_xlfn.IFNA(VLOOKUP(E1152,Master!$J:$M,4,0),"")</f>
        <v/>
      </c>
      <c r="J1152" s="3" t="str">
        <f>_xlfn.IFNA(VLOOKUP($E1152,Master!$J:$M,3,0),"")</f>
        <v/>
      </c>
      <c r="AC1152" s="26">
        <f t="shared" si="36"/>
        <v>0</v>
      </c>
      <c r="AD1152" s="26">
        <f t="shared" si="37"/>
        <v>0</v>
      </c>
    </row>
    <row r="1153" spans="2:30" ht="15" customHeight="1">
      <c r="B1153" s="3" t="str">
        <f>_xlfn.IFNA(VLOOKUP(C1153,Master!$J:$K,2,0),"")</f>
        <v/>
      </c>
      <c r="D1153" s="4" t="str">
        <f>_xlfn.IFNA(VLOOKUP(E1153,Master!$J:$K,2,0),"")</f>
        <v/>
      </c>
      <c r="F1153" s="4" t="str">
        <f>_xlfn.IFNA(VLOOKUP(G1153,Master!B:C,2,0),"")</f>
        <v/>
      </c>
      <c r="I1153" s="3" t="str">
        <f>_xlfn.IFNA(VLOOKUP(E1153,Master!$J:$M,4,0),"")</f>
        <v/>
      </c>
      <c r="J1153" s="3" t="str">
        <f>_xlfn.IFNA(VLOOKUP($E1153,Master!$J:$M,3,0),"")</f>
        <v/>
      </c>
      <c r="AC1153" s="26">
        <f t="shared" si="36"/>
        <v>0</v>
      </c>
      <c r="AD1153" s="26">
        <f t="shared" si="37"/>
        <v>0</v>
      </c>
    </row>
    <row r="1154" spans="2:30" ht="15" customHeight="1">
      <c r="B1154" s="3" t="str">
        <f>_xlfn.IFNA(VLOOKUP(C1154,Master!$J:$K,2,0),"")</f>
        <v/>
      </c>
      <c r="D1154" s="4" t="str">
        <f>_xlfn.IFNA(VLOOKUP(E1154,Master!$J:$K,2,0),"")</f>
        <v/>
      </c>
      <c r="F1154" s="4" t="str">
        <f>_xlfn.IFNA(VLOOKUP(G1154,Master!B:C,2,0),"")</f>
        <v/>
      </c>
      <c r="I1154" s="3" t="str">
        <f>_xlfn.IFNA(VLOOKUP(E1154,Master!$J:$M,4,0),"")</f>
        <v/>
      </c>
      <c r="J1154" s="3" t="str">
        <f>_xlfn.IFNA(VLOOKUP($E1154,Master!$J:$M,3,0),"")</f>
        <v/>
      </c>
      <c r="AC1154" s="26">
        <f t="shared" si="36"/>
        <v>0</v>
      </c>
      <c r="AD1154" s="26">
        <f t="shared" si="37"/>
        <v>0</v>
      </c>
    </row>
    <row r="1155" spans="2:30" ht="15" customHeight="1">
      <c r="B1155" s="3" t="str">
        <f>_xlfn.IFNA(VLOOKUP(C1155,Master!$J:$K,2,0),"")</f>
        <v/>
      </c>
      <c r="D1155" s="4" t="str">
        <f>_xlfn.IFNA(VLOOKUP(E1155,Master!$J:$K,2,0),"")</f>
        <v/>
      </c>
      <c r="F1155" s="4" t="str">
        <f>_xlfn.IFNA(VLOOKUP(G1155,Master!B:C,2,0),"")</f>
        <v/>
      </c>
      <c r="I1155" s="3" t="str">
        <f>_xlfn.IFNA(VLOOKUP(E1155,Master!$J:$M,4,0),"")</f>
        <v/>
      </c>
      <c r="J1155" s="3" t="str">
        <f>_xlfn.IFNA(VLOOKUP($E1155,Master!$J:$M,3,0),"")</f>
        <v/>
      </c>
      <c r="AC1155" s="26">
        <f t="shared" si="36"/>
        <v>0</v>
      </c>
      <c r="AD1155" s="26">
        <f t="shared" si="37"/>
        <v>0</v>
      </c>
    </row>
    <row r="1156" spans="2:30" ht="15" customHeight="1">
      <c r="B1156" s="3" t="str">
        <f>_xlfn.IFNA(VLOOKUP(C1156,Master!$J:$K,2,0),"")</f>
        <v/>
      </c>
      <c r="D1156" s="4" t="str">
        <f>_xlfn.IFNA(VLOOKUP(E1156,Master!$J:$K,2,0),"")</f>
        <v/>
      </c>
      <c r="F1156" s="4" t="str">
        <f>_xlfn.IFNA(VLOOKUP(G1156,Master!B:C,2,0),"")</f>
        <v/>
      </c>
      <c r="I1156" s="3" t="str">
        <f>_xlfn.IFNA(VLOOKUP(E1156,Master!$J:$M,4,0),"")</f>
        <v/>
      </c>
      <c r="J1156" s="3" t="str">
        <f>_xlfn.IFNA(VLOOKUP($E1156,Master!$J:$M,3,0),"")</f>
        <v/>
      </c>
      <c r="AC1156" s="26">
        <f t="shared" si="36"/>
        <v>0</v>
      </c>
      <c r="AD1156" s="26">
        <f t="shared" si="37"/>
        <v>0</v>
      </c>
    </row>
    <row r="1157" spans="2:30" ht="15" customHeight="1">
      <c r="B1157" s="3" t="str">
        <f>_xlfn.IFNA(VLOOKUP(C1157,Master!$J:$K,2,0),"")</f>
        <v/>
      </c>
      <c r="D1157" s="4" t="str">
        <f>_xlfn.IFNA(VLOOKUP(E1157,Master!$J:$K,2,0),"")</f>
        <v/>
      </c>
      <c r="F1157" s="4" t="str">
        <f>_xlfn.IFNA(VLOOKUP(G1157,Master!B:C,2,0),"")</f>
        <v/>
      </c>
      <c r="I1157" s="3" t="str">
        <f>_xlfn.IFNA(VLOOKUP(E1157,Master!$J:$M,4,0),"")</f>
        <v/>
      </c>
      <c r="J1157" s="3" t="str">
        <f>_xlfn.IFNA(VLOOKUP($E1157,Master!$J:$M,3,0),"")</f>
        <v/>
      </c>
      <c r="AC1157" s="26">
        <f t="shared" si="36"/>
        <v>0</v>
      </c>
      <c r="AD1157" s="26">
        <f t="shared" si="37"/>
        <v>0</v>
      </c>
    </row>
    <row r="1158" spans="2:30" ht="15" customHeight="1">
      <c r="B1158" s="3" t="str">
        <f>_xlfn.IFNA(VLOOKUP(C1158,Master!$J:$K,2,0),"")</f>
        <v/>
      </c>
      <c r="D1158" s="4" t="str">
        <f>_xlfn.IFNA(VLOOKUP(E1158,Master!$J:$K,2,0),"")</f>
        <v/>
      </c>
      <c r="F1158" s="4" t="str">
        <f>_xlfn.IFNA(VLOOKUP(G1158,Master!B:C,2,0),"")</f>
        <v/>
      </c>
      <c r="I1158" s="3" t="str">
        <f>_xlfn.IFNA(VLOOKUP(E1158,Master!$J:$M,4,0),"")</f>
        <v/>
      </c>
      <c r="J1158" s="3" t="str">
        <f>_xlfn.IFNA(VLOOKUP($E1158,Master!$J:$M,3,0),"")</f>
        <v/>
      </c>
      <c r="AC1158" s="26">
        <f t="shared" si="36"/>
        <v>0</v>
      </c>
      <c r="AD1158" s="26">
        <f t="shared" si="37"/>
        <v>0</v>
      </c>
    </row>
    <row r="1159" spans="2:30" ht="15" customHeight="1">
      <c r="B1159" s="3" t="str">
        <f>_xlfn.IFNA(VLOOKUP(C1159,Master!$J:$K,2,0),"")</f>
        <v/>
      </c>
      <c r="D1159" s="4" t="str">
        <f>_xlfn.IFNA(VLOOKUP(E1159,Master!$J:$K,2,0),"")</f>
        <v/>
      </c>
      <c r="F1159" s="4" t="str">
        <f>_xlfn.IFNA(VLOOKUP(G1159,Master!B:C,2,0),"")</f>
        <v/>
      </c>
      <c r="I1159" s="3" t="str">
        <f>_xlfn.IFNA(VLOOKUP(E1159,Master!$J:$M,4,0),"")</f>
        <v/>
      </c>
      <c r="J1159" s="3" t="str">
        <f>_xlfn.IFNA(VLOOKUP($E1159,Master!$J:$M,3,0),"")</f>
        <v/>
      </c>
      <c r="AC1159" s="26">
        <f t="shared" si="36"/>
        <v>0</v>
      </c>
      <c r="AD1159" s="26">
        <f t="shared" si="37"/>
        <v>0</v>
      </c>
    </row>
    <row r="1160" spans="2:30" ht="15" customHeight="1">
      <c r="B1160" s="3" t="str">
        <f>_xlfn.IFNA(VLOOKUP(C1160,Master!$J:$K,2,0),"")</f>
        <v/>
      </c>
      <c r="D1160" s="4" t="str">
        <f>_xlfn.IFNA(VLOOKUP(E1160,Master!$J:$K,2,0),"")</f>
        <v/>
      </c>
      <c r="F1160" s="4" t="str">
        <f>_xlfn.IFNA(VLOOKUP(G1160,Master!B:C,2,0),"")</f>
        <v/>
      </c>
      <c r="I1160" s="3" t="str">
        <f>_xlfn.IFNA(VLOOKUP(E1160,Master!$J:$M,4,0),"")</f>
        <v/>
      </c>
      <c r="J1160" s="3" t="str">
        <f>_xlfn.IFNA(VLOOKUP($E1160,Master!$J:$M,3,0),"")</f>
        <v/>
      </c>
      <c r="AC1160" s="26">
        <f t="shared" si="36"/>
        <v>0</v>
      </c>
      <c r="AD1160" s="26">
        <f t="shared" si="37"/>
        <v>0</v>
      </c>
    </row>
    <row r="1161" spans="2:30" ht="15" customHeight="1">
      <c r="B1161" s="3" t="str">
        <f>_xlfn.IFNA(VLOOKUP(C1161,Master!$J:$K,2,0),"")</f>
        <v/>
      </c>
      <c r="D1161" s="4" t="str">
        <f>_xlfn.IFNA(VLOOKUP(E1161,Master!$J:$K,2,0),"")</f>
        <v/>
      </c>
      <c r="F1161" s="4" t="str">
        <f>_xlfn.IFNA(VLOOKUP(G1161,Master!B:C,2,0),"")</f>
        <v/>
      </c>
      <c r="I1161" s="3" t="str">
        <f>_xlfn.IFNA(VLOOKUP(E1161,Master!$J:$M,4,0),"")</f>
        <v/>
      </c>
      <c r="J1161" s="3" t="str">
        <f>_xlfn.IFNA(VLOOKUP($E1161,Master!$J:$M,3,0),"")</f>
        <v/>
      </c>
      <c r="AC1161" s="26">
        <f t="shared" si="36"/>
        <v>0</v>
      </c>
      <c r="AD1161" s="26">
        <f t="shared" si="37"/>
        <v>0</v>
      </c>
    </row>
    <row r="1162" spans="2:30" ht="15" customHeight="1">
      <c r="B1162" s="3" t="str">
        <f>_xlfn.IFNA(VLOOKUP(C1162,Master!$J:$K,2,0),"")</f>
        <v/>
      </c>
      <c r="D1162" s="4" t="str">
        <f>_xlfn.IFNA(VLOOKUP(E1162,Master!$J:$K,2,0),"")</f>
        <v/>
      </c>
      <c r="F1162" s="4" t="str">
        <f>_xlfn.IFNA(VLOOKUP(G1162,Master!B:C,2,0),"")</f>
        <v/>
      </c>
      <c r="I1162" s="3" t="str">
        <f>_xlfn.IFNA(VLOOKUP(E1162,Master!$J:$M,4,0),"")</f>
        <v/>
      </c>
      <c r="J1162" s="3" t="str">
        <f>_xlfn.IFNA(VLOOKUP($E1162,Master!$J:$M,3,0),"")</f>
        <v/>
      </c>
      <c r="AC1162" s="26">
        <f t="shared" si="36"/>
        <v>0</v>
      </c>
      <c r="AD1162" s="26">
        <f t="shared" si="37"/>
        <v>0</v>
      </c>
    </row>
    <row r="1163" spans="2:30" ht="15" customHeight="1">
      <c r="B1163" s="3" t="str">
        <f>_xlfn.IFNA(VLOOKUP(C1163,Master!$J:$K,2,0),"")</f>
        <v/>
      </c>
      <c r="D1163" s="4" t="str">
        <f>_xlfn.IFNA(VLOOKUP(E1163,Master!$J:$K,2,0),"")</f>
        <v/>
      </c>
      <c r="F1163" s="4" t="str">
        <f>_xlfn.IFNA(VLOOKUP(G1163,Master!B:C,2,0),"")</f>
        <v/>
      </c>
      <c r="I1163" s="3" t="str">
        <f>_xlfn.IFNA(VLOOKUP(E1163,Master!$J:$M,4,0),"")</f>
        <v/>
      </c>
      <c r="J1163" s="3" t="str">
        <f>_xlfn.IFNA(VLOOKUP($E1163,Master!$J:$M,3,0),"")</f>
        <v/>
      </c>
      <c r="AC1163" s="26">
        <f t="shared" si="36"/>
        <v>0</v>
      </c>
      <c r="AD1163" s="26">
        <f t="shared" si="37"/>
        <v>0</v>
      </c>
    </row>
    <row r="1164" spans="2:30" ht="15" customHeight="1">
      <c r="B1164" s="3" t="str">
        <f>_xlfn.IFNA(VLOOKUP(C1164,Master!$J:$K,2,0),"")</f>
        <v/>
      </c>
      <c r="D1164" s="4" t="str">
        <f>_xlfn.IFNA(VLOOKUP(E1164,Master!$J:$K,2,0),"")</f>
        <v/>
      </c>
      <c r="F1164" s="4" t="str">
        <f>_xlfn.IFNA(VLOOKUP(G1164,Master!B:C,2,0),"")</f>
        <v/>
      </c>
      <c r="I1164" s="3" t="str">
        <f>_xlfn.IFNA(VLOOKUP(E1164,Master!$J:$M,4,0),"")</f>
        <v/>
      </c>
      <c r="J1164" s="3" t="str">
        <f>_xlfn.IFNA(VLOOKUP($E1164,Master!$J:$M,3,0),"")</f>
        <v/>
      </c>
      <c r="AC1164" s="26">
        <f t="shared" si="36"/>
        <v>0</v>
      </c>
      <c r="AD1164" s="26">
        <f t="shared" si="37"/>
        <v>0</v>
      </c>
    </row>
    <row r="1165" spans="2:30" ht="15" customHeight="1">
      <c r="B1165" s="3" t="str">
        <f>_xlfn.IFNA(VLOOKUP(C1165,Master!$J:$K,2,0),"")</f>
        <v/>
      </c>
      <c r="D1165" s="4" t="str">
        <f>_xlfn.IFNA(VLOOKUP(E1165,Master!$J:$K,2,0),"")</f>
        <v/>
      </c>
      <c r="F1165" s="4" t="str">
        <f>_xlfn.IFNA(VLOOKUP(G1165,Master!B:C,2,0),"")</f>
        <v/>
      </c>
      <c r="I1165" s="3" t="str">
        <f>_xlfn.IFNA(VLOOKUP(E1165,Master!$J:$M,4,0),"")</f>
        <v/>
      </c>
      <c r="J1165" s="3" t="str">
        <f>_xlfn.IFNA(VLOOKUP($E1165,Master!$J:$M,3,0),"")</f>
        <v/>
      </c>
      <c r="AC1165" s="26">
        <f t="shared" ref="AC1165:AC1228" si="38">SUM(K1165:P1165)</f>
        <v>0</v>
      </c>
      <c r="AD1165" s="26">
        <f t="shared" ref="AD1165:AD1228" si="39">SUM(Q1165:AB1165)</f>
        <v>0</v>
      </c>
    </row>
    <row r="1166" spans="2:30" ht="15" customHeight="1">
      <c r="B1166" s="3" t="str">
        <f>_xlfn.IFNA(VLOOKUP(C1166,Master!$J:$K,2,0),"")</f>
        <v/>
      </c>
      <c r="D1166" s="4" t="str">
        <f>_xlfn.IFNA(VLOOKUP(E1166,Master!$J:$K,2,0),"")</f>
        <v/>
      </c>
      <c r="F1166" s="4" t="str">
        <f>_xlfn.IFNA(VLOOKUP(G1166,Master!B:C,2,0),"")</f>
        <v/>
      </c>
      <c r="I1166" s="3" t="str">
        <f>_xlfn.IFNA(VLOOKUP(E1166,Master!$J:$M,4,0),"")</f>
        <v/>
      </c>
      <c r="J1166" s="3" t="str">
        <f>_xlfn.IFNA(VLOOKUP($E1166,Master!$J:$M,3,0),"")</f>
        <v/>
      </c>
      <c r="AC1166" s="26">
        <f t="shared" si="38"/>
        <v>0</v>
      </c>
      <c r="AD1166" s="26">
        <f t="shared" si="39"/>
        <v>0</v>
      </c>
    </row>
    <row r="1167" spans="2:30" ht="15" customHeight="1">
      <c r="B1167" s="3" t="str">
        <f>_xlfn.IFNA(VLOOKUP(C1167,Master!$J:$K,2,0),"")</f>
        <v/>
      </c>
      <c r="D1167" s="4" t="str">
        <f>_xlfn.IFNA(VLOOKUP(E1167,Master!$J:$K,2,0),"")</f>
        <v/>
      </c>
      <c r="F1167" s="4" t="str">
        <f>_xlfn.IFNA(VLOOKUP(G1167,Master!B:C,2,0),"")</f>
        <v/>
      </c>
      <c r="I1167" s="3" t="str">
        <f>_xlfn.IFNA(VLOOKUP(E1167,Master!$J:$M,4,0),"")</f>
        <v/>
      </c>
      <c r="J1167" s="3" t="str">
        <f>_xlfn.IFNA(VLOOKUP($E1167,Master!$J:$M,3,0),"")</f>
        <v/>
      </c>
      <c r="AC1167" s="26">
        <f t="shared" si="38"/>
        <v>0</v>
      </c>
      <c r="AD1167" s="26">
        <f t="shared" si="39"/>
        <v>0</v>
      </c>
    </row>
    <row r="1168" spans="2:30" ht="15" customHeight="1">
      <c r="B1168" s="3" t="str">
        <f>_xlfn.IFNA(VLOOKUP(C1168,Master!$J:$K,2,0),"")</f>
        <v/>
      </c>
      <c r="D1168" s="4" t="str">
        <f>_xlfn.IFNA(VLOOKUP(E1168,Master!$J:$K,2,0),"")</f>
        <v/>
      </c>
      <c r="F1168" s="4" t="str">
        <f>_xlfn.IFNA(VLOOKUP(G1168,Master!B:C,2,0),"")</f>
        <v/>
      </c>
      <c r="I1168" s="3" t="str">
        <f>_xlfn.IFNA(VLOOKUP(E1168,Master!$J:$M,4,0),"")</f>
        <v/>
      </c>
      <c r="J1168" s="3" t="str">
        <f>_xlfn.IFNA(VLOOKUP($E1168,Master!$J:$M,3,0),"")</f>
        <v/>
      </c>
      <c r="AC1168" s="26">
        <f t="shared" si="38"/>
        <v>0</v>
      </c>
      <c r="AD1168" s="26">
        <f t="shared" si="39"/>
        <v>0</v>
      </c>
    </row>
    <row r="1169" spans="2:30" ht="15" customHeight="1">
      <c r="B1169" s="3" t="str">
        <f>_xlfn.IFNA(VLOOKUP(C1169,Master!$J:$K,2,0),"")</f>
        <v/>
      </c>
      <c r="D1169" s="4" t="str">
        <f>_xlfn.IFNA(VLOOKUP(E1169,Master!$J:$K,2,0),"")</f>
        <v/>
      </c>
      <c r="F1169" s="4" t="str">
        <f>_xlfn.IFNA(VLOOKUP(G1169,Master!B:C,2,0),"")</f>
        <v/>
      </c>
      <c r="I1169" s="3" t="str">
        <f>_xlfn.IFNA(VLOOKUP(E1169,Master!$J:$M,4,0),"")</f>
        <v/>
      </c>
      <c r="J1169" s="3" t="str">
        <f>_xlfn.IFNA(VLOOKUP($E1169,Master!$J:$M,3,0),"")</f>
        <v/>
      </c>
      <c r="AC1169" s="26">
        <f t="shared" si="38"/>
        <v>0</v>
      </c>
      <c r="AD1169" s="26">
        <f t="shared" si="39"/>
        <v>0</v>
      </c>
    </row>
    <row r="1170" spans="2:30" ht="15" customHeight="1">
      <c r="B1170" s="3" t="str">
        <f>_xlfn.IFNA(VLOOKUP(C1170,Master!$J:$K,2,0),"")</f>
        <v/>
      </c>
      <c r="D1170" s="4" t="str">
        <f>_xlfn.IFNA(VLOOKUP(E1170,Master!$J:$K,2,0),"")</f>
        <v/>
      </c>
      <c r="F1170" s="4" t="str">
        <f>_xlfn.IFNA(VLOOKUP(G1170,Master!B:C,2,0),"")</f>
        <v/>
      </c>
      <c r="I1170" s="3" t="str">
        <f>_xlfn.IFNA(VLOOKUP(E1170,Master!$J:$M,4,0),"")</f>
        <v/>
      </c>
      <c r="J1170" s="3" t="str">
        <f>_xlfn.IFNA(VLOOKUP($E1170,Master!$J:$M,3,0),"")</f>
        <v/>
      </c>
      <c r="AC1170" s="26">
        <f t="shared" si="38"/>
        <v>0</v>
      </c>
      <c r="AD1170" s="26">
        <f t="shared" si="39"/>
        <v>0</v>
      </c>
    </row>
    <row r="1171" spans="2:30" ht="15" customHeight="1">
      <c r="B1171" s="3" t="str">
        <f>_xlfn.IFNA(VLOOKUP(C1171,Master!$J:$K,2,0),"")</f>
        <v/>
      </c>
      <c r="D1171" s="4" t="str">
        <f>_xlfn.IFNA(VLOOKUP(E1171,Master!$J:$K,2,0),"")</f>
        <v/>
      </c>
      <c r="F1171" s="4" t="str">
        <f>_xlfn.IFNA(VLOOKUP(G1171,Master!B:C,2,0),"")</f>
        <v/>
      </c>
      <c r="I1171" s="3" t="str">
        <f>_xlfn.IFNA(VLOOKUP(E1171,Master!$J:$M,4,0),"")</f>
        <v/>
      </c>
      <c r="J1171" s="3" t="str">
        <f>_xlfn.IFNA(VLOOKUP($E1171,Master!$J:$M,3,0),"")</f>
        <v/>
      </c>
      <c r="AC1171" s="26">
        <f t="shared" si="38"/>
        <v>0</v>
      </c>
      <c r="AD1171" s="26">
        <f t="shared" si="39"/>
        <v>0</v>
      </c>
    </row>
    <row r="1172" spans="2:30" ht="15" customHeight="1">
      <c r="B1172" s="3" t="str">
        <f>_xlfn.IFNA(VLOOKUP(C1172,Master!$J:$K,2,0),"")</f>
        <v/>
      </c>
      <c r="D1172" s="4" t="str">
        <f>_xlfn.IFNA(VLOOKUP(E1172,Master!$J:$K,2,0),"")</f>
        <v/>
      </c>
      <c r="F1172" s="4" t="str">
        <f>_xlfn.IFNA(VLOOKUP(G1172,Master!B:C,2,0),"")</f>
        <v/>
      </c>
      <c r="I1172" s="3" t="str">
        <f>_xlfn.IFNA(VLOOKUP(E1172,Master!$J:$M,4,0),"")</f>
        <v/>
      </c>
      <c r="J1172" s="3" t="str">
        <f>_xlfn.IFNA(VLOOKUP($E1172,Master!$J:$M,3,0),"")</f>
        <v/>
      </c>
      <c r="AC1172" s="26">
        <f t="shared" si="38"/>
        <v>0</v>
      </c>
      <c r="AD1172" s="26">
        <f t="shared" si="39"/>
        <v>0</v>
      </c>
    </row>
    <row r="1173" spans="2:30" ht="15" customHeight="1">
      <c r="B1173" s="3" t="str">
        <f>_xlfn.IFNA(VLOOKUP(C1173,Master!$J:$K,2,0),"")</f>
        <v/>
      </c>
      <c r="D1173" s="4" t="str">
        <f>_xlfn.IFNA(VLOOKUP(E1173,Master!$J:$K,2,0),"")</f>
        <v/>
      </c>
      <c r="F1173" s="4" t="str">
        <f>_xlfn.IFNA(VLOOKUP(G1173,Master!B:C,2,0),"")</f>
        <v/>
      </c>
      <c r="I1173" s="3" t="str">
        <f>_xlfn.IFNA(VLOOKUP(E1173,Master!$J:$M,4,0),"")</f>
        <v/>
      </c>
      <c r="J1173" s="3" t="str">
        <f>_xlfn.IFNA(VLOOKUP($E1173,Master!$J:$M,3,0),"")</f>
        <v/>
      </c>
      <c r="AC1173" s="26">
        <f t="shared" si="38"/>
        <v>0</v>
      </c>
      <c r="AD1173" s="26">
        <f t="shared" si="39"/>
        <v>0</v>
      </c>
    </row>
    <row r="1174" spans="2:30" ht="15" customHeight="1">
      <c r="B1174" s="3" t="str">
        <f>_xlfn.IFNA(VLOOKUP(C1174,Master!$J:$K,2,0),"")</f>
        <v/>
      </c>
      <c r="D1174" s="4" t="str">
        <f>_xlfn.IFNA(VLOOKUP(E1174,Master!$J:$K,2,0),"")</f>
        <v/>
      </c>
      <c r="F1174" s="4" t="str">
        <f>_xlfn.IFNA(VLOOKUP(G1174,Master!B:C,2,0),"")</f>
        <v/>
      </c>
      <c r="I1174" s="3" t="str">
        <f>_xlfn.IFNA(VLOOKUP(E1174,Master!$J:$M,4,0),"")</f>
        <v/>
      </c>
      <c r="J1174" s="3" t="str">
        <f>_xlfn.IFNA(VLOOKUP($E1174,Master!$J:$M,3,0),"")</f>
        <v/>
      </c>
      <c r="AC1174" s="26">
        <f t="shared" si="38"/>
        <v>0</v>
      </c>
      <c r="AD1174" s="26">
        <f t="shared" si="39"/>
        <v>0</v>
      </c>
    </row>
    <row r="1175" spans="2:30" ht="15" customHeight="1">
      <c r="B1175" s="3" t="str">
        <f>_xlfn.IFNA(VLOOKUP(C1175,Master!$J:$K,2,0),"")</f>
        <v/>
      </c>
      <c r="D1175" s="4" t="str">
        <f>_xlfn.IFNA(VLOOKUP(E1175,Master!$J:$K,2,0),"")</f>
        <v/>
      </c>
      <c r="F1175" s="4" t="str">
        <f>_xlfn.IFNA(VLOOKUP(G1175,Master!B:C,2,0),"")</f>
        <v/>
      </c>
      <c r="I1175" s="3" t="str">
        <f>_xlfn.IFNA(VLOOKUP(E1175,Master!$J:$M,4,0),"")</f>
        <v/>
      </c>
      <c r="J1175" s="3" t="str">
        <f>_xlfn.IFNA(VLOOKUP($E1175,Master!$J:$M,3,0),"")</f>
        <v/>
      </c>
      <c r="AC1175" s="26">
        <f t="shared" si="38"/>
        <v>0</v>
      </c>
      <c r="AD1175" s="26">
        <f t="shared" si="39"/>
        <v>0</v>
      </c>
    </row>
    <row r="1176" spans="2:30" ht="15" customHeight="1">
      <c r="B1176" s="3" t="str">
        <f>_xlfn.IFNA(VLOOKUP(C1176,Master!$J:$K,2,0),"")</f>
        <v/>
      </c>
      <c r="D1176" s="4" t="str">
        <f>_xlfn.IFNA(VLOOKUP(E1176,Master!$J:$K,2,0),"")</f>
        <v/>
      </c>
      <c r="F1176" s="4" t="str">
        <f>_xlfn.IFNA(VLOOKUP(G1176,Master!B:C,2,0),"")</f>
        <v/>
      </c>
      <c r="I1176" s="3" t="str">
        <f>_xlfn.IFNA(VLOOKUP(E1176,Master!$J:$M,4,0),"")</f>
        <v/>
      </c>
      <c r="J1176" s="3" t="str">
        <f>_xlfn.IFNA(VLOOKUP($E1176,Master!$J:$M,3,0),"")</f>
        <v/>
      </c>
      <c r="AC1176" s="26">
        <f t="shared" si="38"/>
        <v>0</v>
      </c>
      <c r="AD1176" s="26">
        <f t="shared" si="39"/>
        <v>0</v>
      </c>
    </row>
    <row r="1177" spans="2:30" ht="15" customHeight="1">
      <c r="B1177" s="3" t="str">
        <f>_xlfn.IFNA(VLOOKUP(C1177,Master!$J:$K,2,0),"")</f>
        <v/>
      </c>
      <c r="D1177" s="4" t="str">
        <f>_xlfn.IFNA(VLOOKUP(E1177,Master!$J:$K,2,0),"")</f>
        <v/>
      </c>
      <c r="F1177" s="4" t="str">
        <f>_xlfn.IFNA(VLOOKUP(G1177,Master!B:C,2,0),"")</f>
        <v/>
      </c>
      <c r="I1177" s="3" t="str">
        <f>_xlfn.IFNA(VLOOKUP(E1177,Master!$J:$M,4,0),"")</f>
        <v/>
      </c>
      <c r="J1177" s="3" t="str">
        <f>_xlfn.IFNA(VLOOKUP($E1177,Master!$J:$M,3,0),"")</f>
        <v/>
      </c>
      <c r="AC1177" s="26">
        <f t="shared" si="38"/>
        <v>0</v>
      </c>
      <c r="AD1177" s="26">
        <f t="shared" si="39"/>
        <v>0</v>
      </c>
    </row>
    <row r="1178" spans="2:30" ht="15" customHeight="1">
      <c r="B1178" s="3" t="str">
        <f>_xlfn.IFNA(VLOOKUP(C1178,Master!$J:$K,2,0),"")</f>
        <v/>
      </c>
      <c r="D1178" s="4" t="str">
        <f>_xlfn.IFNA(VLOOKUP(E1178,Master!$J:$K,2,0),"")</f>
        <v/>
      </c>
      <c r="F1178" s="4" t="str">
        <f>_xlfn.IFNA(VLOOKUP(G1178,Master!B:C,2,0),"")</f>
        <v/>
      </c>
      <c r="I1178" s="3" t="str">
        <f>_xlfn.IFNA(VLOOKUP(E1178,Master!$J:$M,4,0),"")</f>
        <v/>
      </c>
      <c r="J1178" s="3" t="str">
        <f>_xlfn.IFNA(VLOOKUP($E1178,Master!$J:$M,3,0),"")</f>
        <v/>
      </c>
      <c r="AC1178" s="26">
        <f t="shared" si="38"/>
        <v>0</v>
      </c>
      <c r="AD1178" s="26">
        <f t="shared" si="39"/>
        <v>0</v>
      </c>
    </row>
    <row r="1179" spans="2:30" ht="15" customHeight="1">
      <c r="B1179" s="3" t="str">
        <f>_xlfn.IFNA(VLOOKUP(C1179,Master!$J:$K,2,0),"")</f>
        <v/>
      </c>
      <c r="D1179" s="4" t="str">
        <f>_xlfn.IFNA(VLOOKUP(E1179,Master!$J:$K,2,0),"")</f>
        <v/>
      </c>
      <c r="F1179" s="4" t="str">
        <f>_xlfn.IFNA(VLOOKUP(G1179,Master!B:C,2,0),"")</f>
        <v/>
      </c>
      <c r="I1179" s="3" t="str">
        <f>_xlfn.IFNA(VLOOKUP(E1179,Master!$J:$M,4,0),"")</f>
        <v/>
      </c>
      <c r="J1179" s="3" t="str">
        <f>_xlfn.IFNA(VLOOKUP($E1179,Master!$J:$M,3,0),"")</f>
        <v/>
      </c>
      <c r="AC1179" s="26">
        <f t="shared" si="38"/>
        <v>0</v>
      </c>
      <c r="AD1179" s="26">
        <f t="shared" si="39"/>
        <v>0</v>
      </c>
    </row>
    <row r="1180" spans="2:30" ht="15" customHeight="1">
      <c r="B1180" s="3" t="str">
        <f>_xlfn.IFNA(VLOOKUP(C1180,Master!$J:$K,2,0),"")</f>
        <v/>
      </c>
      <c r="D1180" s="4" t="str">
        <f>_xlfn.IFNA(VLOOKUP(E1180,Master!$J:$K,2,0),"")</f>
        <v/>
      </c>
      <c r="F1180" s="4" t="str">
        <f>_xlfn.IFNA(VLOOKUP(G1180,Master!B:C,2,0),"")</f>
        <v/>
      </c>
      <c r="I1180" s="3" t="str">
        <f>_xlfn.IFNA(VLOOKUP(E1180,Master!$J:$M,4,0),"")</f>
        <v/>
      </c>
      <c r="J1180" s="3" t="str">
        <f>_xlfn.IFNA(VLOOKUP($E1180,Master!$J:$M,3,0),"")</f>
        <v/>
      </c>
      <c r="AC1180" s="26">
        <f t="shared" si="38"/>
        <v>0</v>
      </c>
      <c r="AD1180" s="26">
        <f t="shared" si="39"/>
        <v>0</v>
      </c>
    </row>
    <row r="1181" spans="2:30" ht="15" customHeight="1">
      <c r="B1181" s="3" t="str">
        <f>_xlfn.IFNA(VLOOKUP(C1181,Master!$J:$K,2,0),"")</f>
        <v/>
      </c>
      <c r="D1181" s="4" t="str">
        <f>_xlfn.IFNA(VLOOKUP(E1181,Master!$J:$K,2,0),"")</f>
        <v/>
      </c>
      <c r="F1181" s="4" t="str">
        <f>_xlfn.IFNA(VLOOKUP(G1181,Master!B:C,2,0),"")</f>
        <v/>
      </c>
      <c r="I1181" s="3" t="str">
        <f>_xlfn.IFNA(VLOOKUP(E1181,Master!$J:$M,4,0),"")</f>
        <v/>
      </c>
      <c r="J1181" s="3" t="str">
        <f>_xlfn.IFNA(VLOOKUP($E1181,Master!$J:$M,3,0),"")</f>
        <v/>
      </c>
      <c r="AC1181" s="26">
        <f t="shared" si="38"/>
        <v>0</v>
      </c>
      <c r="AD1181" s="26">
        <f t="shared" si="39"/>
        <v>0</v>
      </c>
    </row>
    <row r="1182" spans="2:30" ht="15" customHeight="1">
      <c r="B1182" s="3" t="str">
        <f>_xlfn.IFNA(VLOOKUP(C1182,Master!$J:$K,2,0),"")</f>
        <v/>
      </c>
      <c r="D1182" s="4" t="str">
        <f>_xlfn.IFNA(VLOOKUP(E1182,Master!$J:$K,2,0),"")</f>
        <v/>
      </c>
      <c r="F1182" s="4" t="str">
        <f>_xlfn.IFNA(VLOOKUP(G1182,Master!B:C,2,0),"")</f>
        <v/>
      </c>
      <c r="I1182" s="3" t="str">
        <f>_xlfn.IFNA(VLOOKUP(E1182,Master!$J:$M,4,0),"")</f>
        <v/>
      </c>
      <c r="J1182" s="3" t="str">
        <f>_xlfn.IFNA(VLOOKUP($E1182,Master!$J:$M,3,0),"")</f>
        <v/>
      </c>
      <c r="AC1182" s="26">
        <f t="shared" si="38"/>
        <v>0</v>
      </c>
      <c r="AD1182" s="26">
        <f t="shared" si="39"/>
        <v>0</v>
      </c>
    </row>
    <row r="1183" spans="2:30" ht="15" customHeight="1">
      <c r="B1183" s="3" t="str">
        <f>_xlfn.IFNA(VLOOKUP(C1183,Master!$J:$K,2,0),"")</f>
        <v/>
      </c>
      <c r="D1183" s="4" t="str">
        <f>_xlfn.IFNA(VLOOKUP(E1183,Master!$J:$K,2,0),"")</f>
        <v/>
      </c>
      <c r="F1183" s="4" t="str">
        <f>_xlfn.IFNA(VLOOKUP(G1183,Master!B:C,2,0),"")</f>
        <v/>
      </c>
      <c r="I1183" s="3" t="str">
        <f>_xlfn.IFNA(VLOOKUP(E1183,Master!$J:$M,4,0),"")</f>
        <v/>
      </c>
      <c r="J1183" s="3" t="str">
        <f>_xlfn.IFNA(VLOOKUP($E1183,Master!$J:$M,3,0),"")</f>
        <v/>
      </c>
      <c r="AC1183" s="26">
        <f t="shared" si="38"/>
        <v>0</v>
      </c>
      <c r="AD1183" s="26">
        <f t="shared" si="39"/>
        <v>0</v>
      </c>
    </row>
    <row r="1184" spans="2:30" ht="15" customHeight="1">
      <c r="B1184" s="3" t="str">
        <f>_xlfn.IFNA(VLOOKUP(C1184,Master!$J:$K,2,0),"")</f>
        <v/>
      </c>
      <c r="D1184" s="4" t="str">
        <f>_xlfn.IFNA(VLOOKUP(E1184,Master!$J:$K,2,0),"")</f>
        <v/>
      </c>
      <c r="F1184" s="4" t="str">
        <f>_xlfn.IFNA(VLOOKUP(G1184,Master!B:C,2,0),"")</f>
        <v/>
      </c>
      <c r="I1184" s="3" t="str">
        <f>_xlfn.IFNA(VLOOKUP(E1184,Master!$J:$M,4,0),"")</f>
        <v/>
      </c>
      <c r="J1184" s="3" t="str">
        <f>_xlfn.IFNA(VLOOKUP($E1184,Master!$J:$M,3,0),"")</f>
        <v/>
      </c>
      <c r="AC1184" s="26">
        <f t="shared" si="38"/>
        <v>0</v>
      </c>
      <c r="AD1184" s="26">
        <f t="shared" si="39"/>
        <v>0</v>
      </c>
    </row>
    <row r="1185" spans="2:30" ht="15" customHeight="1">
      <c r="B1185" s="3" t="str">
        <f>_xlfn.IFNA(VLOOKUP(C1185,Master!$J:$K,2,0),"")</f>
        <v/>
      </c>
      <c r="D1185" s="4" t="str">
        <f>_xlfn.IFNA(VLOOKUP(E1185,Master!$J:$K,2,0),"")</f>
        <v/>
      </c>
      <c r="F1185" s="4" t="str">
        <f>_xlfn.IFNA(VLOOKUP(G1185,Master!B:C,2,0),"")</f>
        <v/>
      </c>
      <c r="I1185" s="3" t="str">
        <f>_xlfn.IFNA(VLOOKUP(E1185,Master!$J:$M,4,0),"")</f>
        <v/>
      </c>
      <c r="J1185" s="3" t="str">
        <f>_xlfn.IFNA(VLOOKUP($E1185,Master!$J:$M,3,0),"")</f>
        <v/>
      </c>
      <c r="AC1185" s="26">
        <f t="shared" si="38"/>
        <v>0</v>
      </c>
      <c r="AD1185" s="26">
        <f t="shared" si="39"/>
        <v>0</v>
      </c>
    </row>
    <row r="1186" spans="2:30" ht="15" customHeight="1">
      <c r="B1186" s="3" t="str">
        <f>_xlfn.IFNA(VLOOKUP(C1186,Master!$J:$K,2,0),"")</f>
        <v/>
      </c>
      <c r="D1186" s="4" t="str">
        <f>_xlfn.IFNA(VLOOKUP(E1186,Master!$J:$K,2,0),"")</f>
        <v/>
      </c>
      <c r="F1186" s="4" t="str">
        <f>_xlfn.IFNA(VLOOKUP(G1186,Master!B:C,2,0),"")</f>
        <v/>
      </c>
      <c r="I1186" s="3" t="str">
        <f>_xlfn.IFNA(VLOOKUP(E1186,Master!$J:$M,4,0),"")</f>
        <v/>
      </c>
      <c r="J1186" s="3" t="str">
        <f>_xlfn.IFNA(VLOOKUP($E1186,Master!$J:$M,3,0),"")</f>
        <v/>
      </c>
      <c r="AC1186" s="26">
        <f t="shared" si="38"/>
        <v>0</v>
      </c>
      <c r="AD1186" s="26">
        <f t="shared" si="39"/>
        <v>0</v>
      </c>
    </row>
    <row r="1187" spans="2:30" ht="15" customHeight="1">
      <c r="B1187" s="3" t="str">
        <f>_xlfn.IFNA(VLOOKUP(C1187,Master!$J:$K,2,0),"")</f>
        <v/>
      </c>
      <c r="D1187" s="4" t="str">
        <f>_xlfn.IFNA(VLOOKUP(E1187,Master!$J:$K,2,0),"")</f>
        <v/>
      </c>
      <c r="F1187" s="4" t="str">
        <f>_xlfn.IFNA(VLOOKUP(G1187,Master!B:C,2,0),"")</f>
        <v/>
      </c>
      <c r="I1187" s="3" t="str">
        <f>_xlfn.IFNA(VLOOKUP(E1187,Master!$J:$M,4,0),"")</f>
        <v/>
      </c>
      <c r="J1187" s="3" t="str">
        <f>_xlfn.IFNA(VLOOKUP($E1187,Master!$J:$M,3,0),"")</f>
        <v/>
      </c>
      <c r="AC1187" s="26">
        <f t="shared" si="38"/>
        <v>0</v>
      </c>
      <c r="AD1187" s="26">
        <f t="shared" si="39"/>
        <v>0</v>
      </c>
    </row>
    <row r="1188" spans="2:30" ht="15" customHeight="1">
      <c r="B1188" s="3" t="str">
        <f>_xlfn.IFNA(VLOOKUP(C1188,Master!$J:$K,2,0),"")</f>
        <v/>
      </c>
      <c r="D1188" s="4" t="str">
        <f>_xlfn.IFNA(VLOOKUP(E1188,Master!$J:$K,2,0),"")</f>
        <v/>
      </c>
      <c r="F1188" s="4" t="str">
        <f>_xlfn.IFNA(VLOOKUP(G1188,Master!B:C,2,0),"")</f>
        <v/>
      </c>
      <c r="I1188" s="3" t="str">
        <f>_xlfn.IFNA(VLOOKUP(E1188,Master!$J:$M,4,0),"")</f>
        <v/>
      </c>
      <c r="J1188" s="3" t="str">
        <f>_xlfn.IFNA(VLOOKUP($E1188,Master!$J:$M,3,0),"")</f>
        <v/>
      </c>
      <c r="AC1188" s="26">
        <f t="shared" si="38"/>
        <v>0</v>
      </c>
      <c r="AD1188" s="26">
        <f t="shared" si="39"/>
        <v>0</v>
      </c>
    </row>
    <row r="1189" spans="2:30" ht="15" customHeight="1">
      <c r="B1189" s="3" t="str">
        <f>_xlfn.IFNA(VLOOKUP(C1189,Master!$J:$K,2,0),"")</f>
        <v/>
      </c>
      <c r="D1189" s="4" t="str">
        <f>_xlfn.IFNA(VLOOKUP(E1189,Master!$J:$K,2,0),"")</f>
        <v/>
      </c>
      <c r="F1189" s="4" t="str">
        <f>_xlfn.IFNA(VLOOKUP(G1189,Master!B:C,2,0),"")</f>
        <v/>
      </c>
      <c r="I1189" s="3" t="str">
        <f>_xlfn.IFNA(VLOOKUP(E1189,Master!$J:$M,4,0),"")</f>
        <v/>
      </c>
      <c r="J1189" s="3" t="str">
        <f>_xlfn.IFNA(VLOOKUP($E1189,Master!$J:$M,3,0),"")</f>
        <v/>
      </c>
      <c r="AC1189" s="26">
        <f t="shared" si="38"/>
        <v>0</v>
      </c>
      <c r="AD1189" s="26">
        <f t="shared" si="39"/>
        <v>0</v>
      </c>
    </row>
    <row r="1190" spans="2:30" ht="15" customHeight="1">
      <c r="B1190" s="3" t="str">
        <f>_xlfn.IFNA(VLOOKUP(C1190,Master!$J:$K,2,0),"")</f>
        <v/>
      </c>
      <c r="D1190" s="4" t="str">
        <f>_xlfn.IFNA(VLOOKUP(E1190,Master!$J:$K,2,0),"")</f>
        <v/>
      </c>
      <c r="F1190" s="4" t="str">
        <f>_xlfn.IFNA(VLOOKUP(G1190,Master!B:C,2,0),"")</f>
        <v/>
      </c>
      <c r="I1190" s="3" t="str">
        <f>_xlfn.IFNA(VLOOKUP(E1190,Master!$J:$M,4,0),"")</f>
        <v/>
      </c>
      <c r="J1190" s="3" t="str">
        <f>_xlfn.IFNA(VLOOKUP($E1190,Master!$J:$M,3,0),"")</f>
        <v/>
      </c>
      <c r="AC1190" s="26">
        <f t="shared" si="38"/>
        <v>0</v>
      </c>
      <c r="AD1190" s="26">
        <f t="shared" si="39"/>
        <v>0</v>
      </c>
    </row>
    <row r="1191" spans="2:30" ht="15" customHeight="1">
      <c r="B1191" s="3" t="str">
        <f>_xlfn.IFNA(VLOOKUP(C1191,Master!$J:$K,2,0),"")</f>
        <v/>
      </c>
      <c r="D1191" s="4" t="str">
        <f>_xlfn.IFNA(VLOOKUP(E1191,Master!$J:$K,2,0),"")</f>
        <v/>
      </c>
      <c r="F1191" s="4" t="str">
        <f>_xlfn.IFNA(VLOOKUP(G1191,Master!B:C,2,0),"")</f>
        <v/>
      </c>
      <c r="I1191" s="3" t="str">
        <f>_xlfn.IFNA(VLOOKUP(E1191,Master!$J:$M,4,0),"")</f>
        <v/>
      </c>
      <c r="J1191" s="3" t="str">
        <f>_xlfn.IFNA(VLOOKUP($E1191,Master!$J:$M,3,0),"")</f>
        <v/>
      </c>
      <c r="AC1191" s="26">
        <f t="shared" si="38"/>
        <v>0</v>
      </c>
      <c r="AD1191" s="26">
        <f t="shared" si="39"/>
        <v>0</v>
      </c>
    </row>
    <row r="1192" spans="2:30" ht="15" customHeight="1">
      <c r="B1192" s="3" t="str">
        <f>_xlfn.IFNA(VLOOKUP(C1192,Master!$J:$K,2,0),"")</f>
        <v/>
      </c>
      <c r="D1192" s="4" t="str">
        <f>_xlfn.IFNA(VLOOKUP(E1192,Master!$J:$K,2,0),"")</f>
        <v/>
      </c>
      <c r="F1192" s="4" t="str">
        <f>_xlfn.IFNA(VLOOKUP(G1192,Master!B:C,2,0),"")</f>
        <v/>
      </c>
      <c r="I1192" s="3" t="str">
        <f>_xlfn.IFNA(VLOOKUP(E1192,Master!$J:$M,4,0),"")</f>
        <v/>
      </c>
      <c r="J1192" s="3" t="str">
        <f>_xlfn.IFNA(VLOOKUP($E1192,Master!$J:$M,3,0),"")</f>
        <v/>
      </c>
      <c r="AC1192" s="26">
        <f t="shared" si="38"/>
        <v>0</v>
      </c>
      <c r="AD1192" s="26">
        <f t="shared" si="39"/>
        <v>0</v>
      </c>
    </row>
    <row r="1193" spans="2:30" ht="15" customHeight="1">
      <c r="B1193" s="3" t="str">
        <f>_xlfn.IFNA(VLOOKUP(C1193,Master!$J:$K,2,0),"")</f>
        <v/>
      </c>
      <c r="D1193" s="4" t="str">
        <f>_xlfn.IFNA(VLOOKUP(E1193,Master!$J:$K,2,0),"")</f>
        <v/>
      </c>
      <c r="F1193" s="4" t="str">
        <f>_xlfn.IFNA(VLOOKUP(G1193,Master!B:C,2,0),"")</f>
        <v/>
      </c>
      <c r="I1193" s="3" t="str">
        <f>_xlfn.IFNA(VLOOKUP(E1193,Master!$J:$M,4,0),"")</f>
        <v/>
      </c>
      <c r="J1193" s="3" t="str">
        <f>_xlfn.IFNA(VLOOKUP($E1193,Master!$J:$M,3,0),"")</f>
        <v/>
      </c>
      <c r="AC1193" s="26">
        <f t="shared" si="38"/>
        <v>0</v>
      </c>
      <c r="AD1193" s="26">
        <f t="shared" si="39"/>
        <v>0</v>
      </c>
    </row>
    <row r="1194" spans="2:30" ht="15" customHeight="1">
      <c r="B1194" s="3" t="str">
        <f>_xlfn.IFNA(VLOOKUP(C1194,Master!$J:$K,2,0),"")</f>
        <v/>
      </c>
      <c r="D1194" s="4" t="str">
        <f>_xlfn.IFNA(VLOOKUP(E1194,Master!$J:$K,2,0),"")</f>
        <v/>
      </c>
      <c r="F1194" s="4" t="str">
        <f>_xlfn.IFNA(VLOOKUP(G1194,Master!B:C,2,0),"")</f>
        <v/>
      </c>
      <c r="I1194" s="3" t="str">
        <f>_xlfn.IFNA(VLOOKUP(E1194,Master!$J:$M,4,0),"")</f>
        <v/>
      </c>
      <c r="J1194" s="3" t="str">
        <f>_xlfn.IFNA(VLOOKUP($E1194,Master!$J:$M,3,0),"")</f>
        <v/>
      </c>
      <c r="AC1194" s="26">
        <f t="shared" si="38"/>
        <v>0</v>
      </c>
      <c r="AD1194" s="26">
        <f t="shared" si="39"/>
        <v>0</v>
      </c>
    </row>
    <row r="1195" spans="2:30" ht="15" customHeight="1">
      <c r="B1195" s="3" t="str">
        <f>_xlfn.IFNA(VLOOKUP(C1195,Master!$J:$K,2,0),"")</f>
        <v/>
      </c>
      <c r="D1195" s="4" t="str">
        <f>_xlfn.IFNA(VLOOKUP(E1195,Master!$J:$K,2,0),"")</f>
        <v/>
      </c>
      <c r="F1195" s="4" t="str">
        <f>_xlfn.IFNA(VLOOKUP(G1195,Master!B:C,2,0),"")</f>
        <v/>
      </c>
      <c r="I1195" s="3" t="str">
        <f>_xlfn.IFNA(VLOOKUP(E1195,Master!$J:$M,4,0),"")</f>
        <v/>
      </c>
      <c r="J1195" s="3" t="str">
        <f>_xlfn.IFNA(VLOOKUP($E1195,Master!$J:$M,3,0),"")</f>
        <v/>
      </c>
      <c r="AC1195" s="26">
        <f t="shared" si="38"/>
        <v>0</v>
      </c>
      <c r="AD1195" s="26">
        <f t="shared" si="39"/>
        <v>0</v>
      </c>
    </row>
    <row r="1196" spans="2:30" ht="15" customHeight="1">
      <c r="B1196" s="3" t="str">
        <f>_xlfn.IFNA(VLOOKUP(C1196,Master!$J:$K,2,0),"")</f>
        <v/>
      </c>
      <c r="D1196" s="4" t="str">
        <f>_xlfn.IFNA(VLOOKUP(E1196,Master!$J:$K,2,0),"")</f>
        <v/>
      </c>
      <c r="F1196" s="4" t="str">
        <f>_xlfn.IFNA(VLOOKUP(G1196,Master!B:C,2,0),"")</f>
        <v/>
      </c>
      <c r="I1196" s="3" t="str">
        <f>_xlfn.IFNA(VLOOKUP(E1196,Master!$J:$M,4,0),"")</f>
        <v/>
      </c>
      <c r="J1196" s="3" t="str">
        <f>_xlfn.IFNA(VLOOKUP($E1196,Master!$J:$M,3,0),"")</f>
        <v/>
      </c>
      <c r="AC1196" s="26">
        <f t="shared" si="38"/>
        <v>0</v>
      </c>
      <c r="AD1196" s="26">
        <f t="shared" si="39"/>
        <v>0</v>
      </c>
    </row>
    <row r="1197" spans="2:30" ht="15" customHeight="1">
      <c r="B1197" s="3" t="str">
        <f>_xlfn.IFNA(VLOOKUP(C1197,Master!$J:$K,2,0),"")</f>
        <v/>
      </c>
      <c r="D1197" s="4" t="str">
        <f>_xlfn.IFNA(VLOOKUP(E1197,Master!$J:$K,2,0),"")</f>
        <v/>
      </c>
      <c r="F1197" s="4" t="str">
        <f>_xlfn.IFNA(VLOOKUP(G1197,Master!B:C,2,0),"")</f>
        <v/>
      </c>
      <c r="I1197" s="3" t="str">
        <f>_xlfn.IFNA(VLOOKUP(E1197,Master!$J:$M,4,0),"")</f>
        <v/>
      </c>
      <c r="J1197" s="3" t="str">
        <f>_xlfn.IFNA(VLOOKUP($E1197,Master!$J:$M,3,0),"")</f>
        <v/>
      </c>
      <c r="AC1197" s="26">
        <f t="shared" si="38"/>
        <v>0</v>
      </c>
      <c r="AD1197" s="26">
        <f t="shared" si="39"/>
        <v>0</v>
      </c>
    </row>
    <row r="1198" spans="2:30" ht="15" customHeight="1">
      <c r="B1198" s="3" t="str">
        <f>_xlfn.IFNA(VLOOKUP(C1198,Master!$J:$K,2,0),"")</f>
        <v/>
      </c>
      <c r="D1198" s="4" t="str">
        <f>_xlfn.IFNA(VLOOKUP(E1198,Master!$J:$K,2,0),"")</f>
        <v/>
      </c>
      <c r="F1198" s="4" t="str">
        <f>_xlfn.IFNA(VLOOKUP(G1198,Master!B:C,2,0),"")</f>
        <v/>
      </c>
      <c r="I1198" s="3" t="str">
        <f>_xlfn.IFNA(VLOOKUP(E1198,Master!$J:$M,4,0),"")</f>
        <v/>
      </c>
      <c r="J1198" s="3" t="str">
        <f>_xlfn.IFNA(VLOOKUP($E1198,Master!$J:$M,3,0),"")</f>
        <v/>
      </c>
      <c r="AC1198" s="26">
        <f t="shared" si="38"/>
        <v>0</v>
      </c>
      <c r="AD1198" s="26">
        <f t="shared" si="39"/>
        <v>0</v>
      </c>
    </row>
    <row r="1199" spans="2:30" ht="15" customHeight="1">
      <c r="B1199" s="3" t="str">
        <f>_xlfn.IFNA(VLOOKUP(C1199,Master!$J:$K,2,0),"")</f>
        <v/>
      </c>
      <c r="D1199" s="4" t="str">
        <f>_xlfn.IFNA(VLOOKUP(E1199,Master!$J:$K,2,0),"")</f>
        <v/>
      </c>
      <c r="F1199" s="4" t="str">
        <f>_xlfn.IFNA(VLOOKUP(G1199,Master!B:C,2,0),"")</f>
        <v/>
      </c>
      <c r="I1199" s="3" t="str">
        <f>_xlfn.IFNA(VLOOKUP(E1199,Master!$J:$M,4,0),"")</f>
        <v/>
      </c>
      <c r="J1199" s="3" t="str">
        <f>_xlfn.IFNA(VLOOKUP($E1199,Master!$J:$M,3,0),"")</f>
        <v/>
      </c>
      <c r="AC1199" s="26">
        <f t="shared" si="38"/>
        <v>0</v>
      </c>
      <c r="AD1199" s="26">
        <f t="shared" si="39"/>
        <v>0</v>
      </c>
    </row>
    <row r="1200" spans="2:30" ht="15" customHeight="1">
      <c r="B1200" s="3" t="str">
        <f>_xlfn.IFNA(VLOOKUP(C1200,Master!$J:$K,2,0),"")</f>
        <v/>
      </c>
      <c r="D1200" s="4" t="str">
        <f>_xlfn.IFNA(VLOOKUP(E1200,Master!$J:$K,2,0),"")</f>
        <v/>
      </c>
      <c r="F1200" s="4" t="str">
        <f>_xlfn.IFNA(VLOOKUP(G1200,Master!B:C,2,0),"")</f>
        <v/>
      </c>
      <c r="I1200" s="3" t="str">
        <f>_xlfn.IFNA(VLOOKUP(E1200,Master!$J:$M,4,0),"")</f>
        <v/>
      </c>
      <c r="J1200" s="3" t="str">
        <f>_xlfn.IFNA(VLOOKUP($E1200,Master!$J:$M,3,0),"")</f>
        <v/>
      </c>
      <c r="AC1200" s="26">
        <f t="shared" si="38"/>
        <v>0</v>
      </c>
      <c r="AD1200" s="26">
        <f t="shared" si="39"/>
        <v>0</v>
      </c>
    </row>
    <row r="1201" spans="2:30" ht="15" customHeight="1">
      <c r="B1201" s="3" t="str">
        <f>_xlfn.IFNA(VLOOKUP(C1201,Master!$J:$K,2,0),"")</f>
        <v/>
      </c>
      <c r="D1201" s="4" t="str">
        <f>_xlfn.IFNA(VLOOKUP(E1201,Master!$J:$K,2,0),"")</f>
        <v/>
      </c>
      <c r="F1201" s="4" t="str">
        <f>_xlfn.IFNA(VLOOKUP(G1201,Master!B:C,2,0),"")</f>
        <v/>
      </c>
      <c r="I1201" s="3" t="str">
        <f>_xlfn.IFNA(VLOOKUP(E1201,Master!$J:$M,4,0),"")</f>
        <v/>
      </c>
      <c r="J1201" s="3" t="str">
        <f>_xlfn.IFNA(VLOOKUP($E1201,Master!$J:$M,3,0),"")</f>
        <v/>
      </c>
      <c r="AC1201" s="26">
        <f t="shared" si="38"/>
        <v>0</v>
      </c>
      <c r="AD1201" s="26">
        <f t="shared" si="39"/>
        <v>0</v>
      </c>
    </row>
    <row r="1202" spans="2:30" ht="15" customHeight="1">
      <c r="B1202" s="3" t="str">
        <f>_xlfn.IFNA(VLOOKUP(C1202,Master!$J:$K,2,0),"")</f>
        <v/>
      </c>
      <c r="D1202" s="4" t="str">
        <f>_xlfn.IFNA(VLOOKUP(E1202,Master!$J:$K,2,0),"")</f>
        <v/>
      </c>
      <c r="F1202" s="4" t="str">
        <f>_xlfn.IFNA(VLOOKUP(G1202,Master!B:C,2,0),"")</f>
        <v/>
      </c>
      <c r="I1202" s="3" t="str">
        <f>_xlfn.IFNA(VLOOKUP(E1202,Master!$J:$M,4,0),"")</f>
        <v/>
      </c>
      <c r="J1202" s="3" t="str">
        <f>_xlfn.IFNA(VLOOKUP($E1202,Master!$J:$M,3,0),"")</f>
        <v/>
      </c>
      <c r="AC1202" s="26">
        <f t="shared" si="38"/>
        <v>0</v>
      </c>
      <c r="AD1202" s="26">
        <f t="shared" si="39"/>
        <v>0</v>
      </c>
    </row>
    <row r="1203" spans="2:30" ht="15" customHeight="1">
      <c r="B1203" s="3" t="str">
        <f>_xlfn.IFNA(VLOOKUP(C1203,Master!$J:$K,2,0),"")</f>
        <v/>
      </c>
      <c r="D1203" s="4" t="str">
        <f>_xlfn.IFNA(VLOOKUP(E1203,Master!$J:$K,2,0),"")</f>
        <v/>
      </c>
      <c r="F1203" s="4" t="str">
        <f>_xlfn.IFNA(VLOOKUP(G1203,Master!B:C,2,0),"")</f>
        <v/>
      </c>
      <c r="I1203" s="3" t="str">
        <f>_xlfn.IFNA(VLOOKUP(E1203,Master!$J:$M,4,0),"")</f>
        <v/>
      </c>
      <c r="J1203" s="3" t="str">
        <f>_xlfn.IFNA(VLOOKUP($E1203,Master!$J:$M,3,0),"")</f>
        <v/>
      </c>
      <c r="AC1203" s="26">
        <f t="shared" si="38"/>
        <v>0</v>
      </c>
      <c r="AD1203" s="26">
        <f t="shared" si="39"/>
        <v>0</v>
      </c>
    </row>
    <row r="1204" spans="2:30" ht="15" customHeight="1">
      <c r="B1204" s="3" t="str">
        <f>_xlfn.IFNA(VLOOKUP(C1204,Master!$J:$K,2,0),"")</f>
        <v/>
      </c>
      <c r="D1204" s="4" t="str">
        <f>_xlfn.IFNA(VLOOKUP(E1204,Master!$J:$K,2,0),"")</f>
        <v/>
      </c>
      <c r="F1204" s="4" t="str">
        <f>_xlfn.IFNA(VLOOKUP(G1204,Master!B:C,2,0),"")</f>
        <v/>
      </c>
      <c r="I1204" s="3" t="str">
        <f>_xlfn.IFNA(VLOOKUP(E1204,Master!$J:$M,4,0),"")</f>
        <v/>
      </c>
      <c r="J1204" s="3" t="str">
        <f>_xlfn.IFNA(VLOOKUP($E1204,Master!$J:$M,3,0),"")</f>
        <v/>
      </c>
      <c r="AC1204" s="26">
        <f t="shared" si="38"/>
        <v>0</v>
      </c>
      <c r="AD1204" s="26">
        <f t="shared" si="39"/>
        <v>0</v>
      </c>
    </row>
    <row r="1205" spans="2:30" ht="15" customHeight="1">
      <c r="B1205" s="3" t="str">
        <f>_xlfn.IFNA(VLOOKUP(C1205,Master!$J:$K,2,0),"")</f>
        <v/>
      </c>
      <c r="D1205" s="4" t="str">
        <f>_xlfn.IFNA(VLOOKUP(E1205,Master!$J:$K,2,0),"")</f>
        <v/>
      </c>
      <c r="F1205" s="4" t="str">
        <f>_xlfn.IFNA(VLOOKUP(G1205,Master!B:C,2,0),"")</f>
        <v/>
      </c>
      <c r="I1205" s="3" t="str">
        <f>_xlfn.IFNA(VLOOKUP(E1205,Master!$J:$M,4,0),"")</f>
        <v/>
      </c>
      <c r="J1205" s="3" t="str">
        <f>_xlfn.IFNA(VLOOKUP($E1205,Master!$J:$M,3,0),"")</f>
        <v/>
      </c>
      <c r="AC1205" s="26">
        <f t="shared" si="38"/>
        <v>0</v>
      </c>
      <c r="AD1205" s="26">
        <f t="shared" si="39"/>
        <v>0</v>
      </c>
    </row>
    <row r="1206" spans="2:30" ht="15" customHeight="1">
      <c r="B1206" s="3" t="str">
        <f>_xlfn.IFNA(VLOOKUP(C1206,Master!$J:$K,2,0),"")</f>
        <v/>
      </c>
      <c r="D1206" s="4" t="str">
        <f>_xlfn.IFNA(VLOOKUP(E1206,Master!$J:$K,2,0),"")</f>
        <v/>
      </c>
      <c r="F1206" s="4" t="str">
        <f>_xlfn.IFNA(VLOOKUP(G1206,Master!B:C,2,0),"")</f>
        <v/>
      </c>
      <c r="I1206" s="3" t="str">
        <f>_xlfn.IFNA(VLOOKUP(E1206,Master!$J:$M,4,0),"")</f>
        <v/>
      </c>
      <c r="J1206" s="3" t="str">
        <f>_xlfn.IFNA(VLOOKUP($E1206,Master!$J:$M,3,0),"")</f>
        <v/>
      </c>
      <c r="AC1206" s="26">
        <f t="shared" si="38"/>
        <v>0</v>
      </c>
      <c r="AD1206" s="26">
        <f t="shared" si="39"/>
        <v>0</v>
      </c>
    </row>
    <row r="1207" spans="2:30" ht="15" customHeight="1">
      <c r="B1207" s="3" t="str">
        <f>_xlfn.IFNA(VLOOKUP(C1207,Master!$J:$K,2,0),"")</f>
        <v/>
      </c>
      <c r="D1207" s="4" t="str">
        <f>_xlfn.IFNA(VLOOKUP(E1207,Master!$J:$K,2,0),"")</f>
        <v/>
      </c>
      <c r="F1207" s="4" t="str">
        <f>_xlfn.IFNA(VLOOKUP(G1207,Master!B:C,2,0),"")</f>
        <v/>
      </c>
      <c r="I1207" s="3" t="str">
        <f>_xlfn.IFNA(VLOOKUP(E1207,Master!$J:$M,4,0),"")</f>
        <v/>
      </c>
      <c r="J1207" s="3" t="str">
        <f>_xlfn.IFNA(VLOOKUP($E1207,Master!$J:$M,3,0),"")</f>
        <v/>
      </c>
      <c r="AC1207" s="26">
        <f t="shared" si="38"/>
        <v>0</v>
      </c>
      <c r="AD1207" s="26">
        <f t="shared" si="39"/>
        <v>0</v>
      </c>
    </row>
    <row r="1208" spans="2:30" ht="15" customHeight="1">
      <c r="B1208" s="3" t="str">
        <f>_xlfn.IFNA(VLOOKUP(C1208,Master!$J:$K,2,0),"")</f>
        <v/>
      </c>
      <c r="D1208" s="4" t="str">
        <f>_xlfn.IFNA(VLOOKUP(E1208,Master!$J:$K,2,0),"")</f>
        <v/>
      </c>
      <c r="F1208" s="4" t="str">
        <f>_xlfn.IFNA(VLOOKUP(G1208,Master!B:C,2,0),"")</f>
        <v/>
      </c>
      <c r="I1208" s="3" t="str">
        <f>_xlfn.IFNA(VLOOKUP(E1208,Master!$J:$M,4,0),"")</f>
        <v/>
      </c>
      <c r="J1208" s="3" t="str">
        <f>_xlfn.IFNA(VLOOKUP($E1208,Master!$J:$M,3,0),"")</f>
        <v/>
      </c>
      <c r="AC1208" s="26">
        <f t="shared" si="38"/>
        <v>0</v>
      </c>
      <c r="AD1208" s="26">
        <f t="shared" si="39"/>
        <v>0</v>
      </c>
    </row>
    <row r="1209" spans="2:30" ht="15" customHeight="1">
      <c r="B1209" s="3" t="str">
        <f>_xlfn.IFNA(VLOOKUP(C1209,Master!$J:$K,2,0),"")</f>
        <v/>
      </c>
      <c r="D1209" s="4" t="str">
        <f>_xlfn.IFNA(VLOOKUP(E1209,Master!$J:$K,2,0),"")</f>
        <v/>
      </c>
      <c r="F1209" s="4" t="str">
        <f>_xlfn.IFNA(VLOOKUP(G1209,Master!B:C,2,0),"")</f>
        <v/>
      </c>
      <c r="I1209" s="3" t="str">
        <f>_xlfn.IFNA(VLOOKUP(E1209,Master!$J:$M,4,0),"")</f>
        <v/>
      </c>
      <c r="J1209" s="3" t="str">
        <f>_xlfn.IFNA(VLOOKUP($E1209,Master!$J:$M,3,0),"")</f>
        <v/>
      </c>
      <c r="AC1209" s="26">
        <f t="shared" si="38"/>
        <v>0</v>
      </c>
      <c r="AD1209" s="26">
        <f t="shared" si="39"/>
        <v>0</v>
      </c>
    </row>
    <row r="1210" spans="2:30" ht="15" customHeight="1">
      <c r="B1210" s="3" t="str">
        <f>_xlfn.IFNA(VLOOKUP(C1210,Master!$J:$K,2,0),"")</f>
        <v/>
      </c>
      <c r="D1210" s="4" t="str">
        <f>_xlfn.IFNA(VLOOKUP(E1210,Master!$J:$K,2,0),"")</f>
        <v/>
      </c>
      <c r="F1210" s="4" t="str">
        <f>_xlfn.IFNA(VLOOKUP(G1210,Master!B:C,2,0),"")</f>
        <v/>
      </c>
      <c r="I1210" s="3" t="str">
        <f>_xlfn.IFNA(VLOOKUP(E1210,Master!$J:$M,4,0),"")</f>
        <v/>
      </c>
      <c r="J1210" s="3" t="str">
        <f>_xlfn.IFNA(VLOOKUP($E1210,Master!$J:$M,3,0),"")</f>
        <v/>
      </c>
      <c r="AC1210" s="26">
        <f t="shared" si="38"/>
        <v>0</v>
      </c>
      <c r="AD1210" s="26">
        <f t="shared" si="39"/>
        <v>0</v>
      </c>
    </row>
    <row r="1211" spans="2:30" ht="15" customHeight="1">
      <c r="B1211" s="3" t="str">
        <f>_xlfn.IFNA(VLOOKUP(C1211,Master!$J:$K,2,0),"")</f>
        <v/>
      </c>
      <c r="D1211" s="4" t="str">
        <f>_xlfn.IFNA(VLOOKUP(E1211,Master!$J:$K,2,0),"")</f>
        <v/>
      </c>
      <c r="F1211" s="4" t="str">
        <f>_xlfn.IFNA(VLOOKUP(G1211,Master!B:C,2,0),"")</f>
        <v/>
      </c>
      <c r="I1211" s="3" t="str">
        <f>_xlfn.IFNA(VLOOKUP(E1211,Master!$J:$M,4,0),"")</f>
        <v/>
      </c>
      <c r="J1211" s="3" t="str">
        <f>_xlfn.IFNA(VLOOKUP($E1211,Master!$J:$M,3,0),"")</f>
        <v/>
      </c>
      <c r="AC1211" s="26">
        <f t="shared" si="38"/>
        <v>0</v>
      </c>
      <c r="AD1211" s="26">
        <f t="shared" si="39"/>
        <v>0</v>
      </c>
    </row>
    <row r="1212" spans="2:30" ht="15" customHeight="1">
      <c r="B1212" s="3" t="str">
        <f>_xlfn.IFNA(VLOOKUP(C1212,Master!$J:$K,2,0),"")</f>
        <v/>
      </c>
      <c r="D1212" s="4" t="str">
        <f>_xlfn.IFNA(VLOOKUP(E1212,Master!$J:$K,2,0),"")</f>
        <v/>
      </c>
      <c r="F1212" s="4" t="str">
        <f>_xlfn.IFNA(VLOOKUP(G1212,Master!B:C,2,0),"")</f>
        <v/>
      </c>
      <c r="I1212" s="3" t="str">
        <f>_xlfn.IFNA(VLOOKUP(E1212,Master!$J:$M,4,0),"")</f>
        <v/>
      </c>
      <c r="J1212" s="3" t="str">
        <f>_xlfn.IFNA(VLOOKUP($E1212,Master!$J:$M,3,0),"")</f>
        <v/>
      </c>
      <c r="AC1212" s="26">
        <f t="shared" si="38"/>
        <v>0</v>
      </c>
      <c r="AD1212" s="26">
        <f t="shared" si="39"/>
        <v>0</v>
      </c>
    </row>
    <row r="1213" spans="2:30" ht="15" customHeight="1">
      <c r="B1213" s="3" t="str">
        <f>_xlfn.IFNA(VLOOKUP(C1213,Master!$J:$K,2,0),"")</f>
        <v/>
      </c>
      <c r="D1213" s="4" t="str">
        <f>_xlfn.IFNA(VLOOKUP(E1213,Master!$J:$K,2,0),"")</f>
        <v/>
      </c>
      <c r="F1213" s="4" t="str">
        <f>_xlfn.IFNA(VLOOKUP(G1213,Master!B:C,2,0),"")</f>
        <v/>
      </c>
      <c r="I1213" s="3" t="str">
        <f>_xlfn.IFNA(VLOOKUP(E1213,Master!$J:$M,4,0),"")</f>
        <v/>
      </c>
      <c r="J1213" s="3" t="str">
        <f>_xlfn.IFNA(VLOOKUP($E1213,Master!$J:$M,3,0),"")</f>
        <v/>
      </c>
      <c r="AC1213" s="26">
        <f t="shared" si="38"/>
        <v>0</v>
      </c>
      <c r="AD1213" s="26">
        <f t="shared" si="39"/>
        <v>0</v>
      </c>
    </row>
    <row r="1214" spans="2:30" ht="15" customHeight="1">
      <c r="B1214" s="3" t="str">
        <f>_xlfn.IFNA(VLOOKUP(C1214,Master!$J:$K,2,0),"")</f>
        <v/>
      </c>
      <c r="D1214" s="4" t="str">
        <f>_xlfn.IFNA(VLOOKUP(E1214,Master!$J:$K,2,0),"")</f>
        <v/>
      </c>
      <c r="F1214" s="4" t="str">
        <f>_xlfn.IFNA(VLOOKUP(G1214,Master!B:C,2,0),"")</f>
        <v/>
      </c>
      <c r="I1214" s="3" t="str">
        <f>_xlfn.IFNA(VLOOKUP(E1214,Master!$J:$M,4,0),"")</f>
        <v/>
      </c>
      <c r="J1214" s="3" t="str">
        <f>_xlfn.IFNA(VLOOKUP($E1214,Master!$J:$M,3,0),"")</f>
        <v/>
      </c>
      <c r="AC1214" s="26">
        <f t="shared" si="38"/>
        <v>0</v>
      </c>
      <c r="AD1214" s="26">
        <f t="shared" si="39"/>
        <v>0</v>
      </c>
    </row>
    <row r="1215" spans="2:30" ht="15" customHeight="1">
      <c r="B1215" s="3" t="str">
        <f>_xlfn.IFNA(VLOOKUP(C1215,Master!$J:$K,2,0),"")</f>
        <v/>
      </c>
      <c r="D1215" s="4" t="str">
        <f>_xlfn.IFNA(VLOOKUP(E1215,Master!$J:$K,2,0),"")</f>
        <v/>
      </c>
      <c r="F1215" s="4" t="str">
        <f>_xlfn.IFNA(VLOOKUP(G1215,Master!B:C,2,0),"")</f>
        <v/>
      </c>
      <c r="I1215" s="3" t="str">
        <f>_xlfn.IFNA(VLOOKUP(E1215,Master!$J:$M,4,0),"")</f>
        <v/>
      </c>
      <c r="J1215" s="3" t="str">
        <f>_xlfn.IFNA(VLOOKUP($E1215,Master!$J:$M,3,0),"")</f>
        <v/>
      </c>
      <c r="AC1215" s="26">
        <f t="shared" si="38"/>
        <v>0</v>
      </c>
      <c r="AD1215" s="26">
        <f t="shared" si="39"/>
        <v>0</v>
      </c>
    </row>
    <row r="1216" spans="2:30" ht="15" customHeight="1">
      <c r="B1216" s="3" t="str">
        <f>_xlfn.IFNA(VLOOKUP(C1216,Master!$J:$K,2,0),"")</f>
        <v/>
      </c>
      <c r="D1216" s="4" t="str">
        <f>_xlfn.IFNA(VLOOKUP(E1216,Master!$J:$K,2,0),"")</f>
        <v/>
      </c>
      <c r="F1216" s="4" t="str">
        <f>_xlfn.IFNA(VLOOKUP(G1216,Master!B:C,2,0),"")</f>
        <v/>
      </c>
      <c r="I1216" s="3" t="str">
        <f>_xlfn.IFNA(VLOOKUP(E1216,Master!$J:$M,4,0),"")</f>
        <v/>
      </c>
      <c r="J1216" s="3" t="str">
        <f>_xlfn.IFNA(VLOOKUP($E1216,Master!$J:$M,3,0),"")</f>
        <v/>
      </c>
      <c r="AC1216" s="26">
        <f t="shared" si="38"/>
        <v>0</v>
      </c>
      <c r="AD1216" s="26">
        <f t="shared" si="39"/>
        <v>0</v>
      </c>
    </row>
    <row r="1217" spans="2:30" ht="15" customHeight="1">
      <c r="B1217" s="3" t="str">
        <f>_xlfn.IFNA(VLOOKUP(C1217,Master!$J:$K,2,0),"")</f>
        <v/>
      </c>
      <c r="D1217" s="4" t="str">
        <f>_xlfn.IFNA(VLOOKUP(E1217,Master!$J:$K,2,0),"")</f>
        <v/>
      </c>
      <c r="F1217" s="4" t="str">
        <f>_xlfn.IFNA(VLOOKUP(G1217,Master!B:C,2,0),"")</f>
        <v/>
      </c>
      <c r="I1217" s="3" t="str">
        <f>_xlfn.IFNA(VLOOKUP(E1217,Master!$J:$M,4,0),"")</f>
        <v/>
      </c>
      <c r="J1217" s="3" t="str">
        <f>_xlfn.IFNA(VLOOKUP($E1217,Master!$J:$M,3,0),"")</f>
        <v/>
      </c>
      <c r="AC1217" s="26">
        <f t="shared" si="38"/>
        <v>0</v>
      </c>
      <c r="AD1217" s="26">
        <f t="shared" si="39"/>
        <v>0</v>
      </c>
    </row>
    <row r="1218" spans="2:30" ht="15" customHeight="1">
      <c r="B1218" s="3" t="str">
        <f>_xlfn.IFNA(VLOOKUP(C1218,Master!$J:$K,2,0),"")</f>
        <v/>
      </c>
      <c r="D1218" s="4" t="str">
        <f>_xlfn.IFNA(VLOOKUP(E1218,Master!$J:$K,2,0),"")</f>
        <v/>
      </c>
      <c r="F1218" s="4" t="str">
        <f>_xlfn.IFNA(VLOOKUP(G1218,Master!B:C,2,0),"")</f>
        <v/>
      </c>
      <c r="I1218" s="3" t="str">
        <f>_xlfn.IFNA(VLOOKUP(E1218,Master!$J:$M,4,0),"")</f>
        <v/>
      </c>
      <c r="J1218" s="3" t="str">
        <f>_xlfn.IFNA(VLOOKUP($E1218,Master!$J:$M,3,0),"")</f>
        <v/>
      </c>
      <c r="AC1218" s="26">
        <f t="shared" si="38"/>
        <v>0</v>
      </c>
      <c r="AD1218" s="26">
        <f t="shared" si="39"/>
        <v>0</v>
      </c>
    </row>
    <row r="1219" spans="2:30" ht="15" customHeight="1">
      <c r="B1219" s="3" t="str">
        <f>_xlfn.IFNA(VLOOKUP(C1219,Master!$J:$K,2,0),"")</f>
        <v/>
      </c>
      <c r="D1219" s="4" t="str">
        <f>_xlfn.IFNA(VLOOKUP(E1219,Master!$J:$K,2,0),"")</f>
        <v/>
      </c>
      <c r="F1219" s="4" t="str">
        <f>_xlfn.IFNA(VLOOKUP(G1219,Master!B:C,2,0),"")</f>
        <v/>
      </c>
      <c r="I1219" s="3" t="str">
        <f>_xlfn.IFNA(VLOOKUP(E1219,Master!$J:$M,4,0),"")</f>
        <v/>
      </c>
      <c r="J1219" s="3" t="str">
        <f>_xlfn.IFNA(VLOOKUP($E1219,Master!$J:$M,3,0),"")</f>
        <v/>
      </c>
      <c r="AC1219" s="26">
        <f t="shared" si="38"/>
        <v>0</v>
      </c>
      <c r="AD1219" s="26">
        <f t="shared" si="39"/>
        <v>0</v>
      </c>
    </row>
    <row r="1220" spans="2:30" ht="15" customHeight="1">
      <c r="B1220" s="3" t="str">
        <f>_xlfn.IFNA(VLOOKUP(C1220,Master!$J:$K,2,0),"")</f>
        <v/>
      </c>
      <c r="D1220" s="4" t="str">
        <f>_xlfn.IFNA(VLOOKUP(E1220,Master!$J:$K,2,0),"")</f>
        <v/>
      </c>
      <c r="F1220" s="4" t="str">
        <f>_xlfn.IFNA(VLOOKUP(G1220,Master!B:C,2,0),"")</f>
        <v/>
      </c>
      <c r="I1220" s="3" t="str">
        <f>_xlfn.IFNA(VLOOKUP(E1220,Master!$J:$M,4,0),"")</f>
        <v/>
      </c>
      <c r="J1220" s="3" t="str">
        <f>_xlfn.IFNA(VLOOKUP($E1220,Master!$J:$M,3,0),"")</f>
        <v/>
      </c>
      <c r="AC1220" s="26">
        <f t="shared" si="38"/>
        <v>0</v>
      </c>
      <c r="AD1220" s="26">
        <f t="shared" si="39"/>
        <v>0</v>
      </c>
    </row>
    <row r="1221" spans="2:30" ht="15" customHeight="1">
      <c r="B1221" s="3" t="str">
        <f>_xlfn.IFNA(VLOOKUP(C1221,Master!$J:$K,2,0),"")</f>
        <v/>
      </c>
      <c r="D1221" s="4" t="str">
        <f>_xlfn.IFNA(VLOOKUP(E1221,Master!$J:$K,2,0),"")</f>
        <v/>
      </c>
      <c r="F1221" s="4" t="str">
        <f>_xlfn.IFNA(VLOOKUP(G1221,Master!B:C,2,0),"")</f>
        <v/>
      </c>
      <c r="I1221" s="3" t="str">
        <f>_xlfn.IFNA(VLOOKUP(E1221,Master!$J:$M,4,0),"")</f>
        <v/>
      </c>
      <c r="J1221" s="3" t="str">
        <f>_xlfn.IFNA(VLOOKUP($E1221,Master!$J:$M,3,0),"")</f>
        <v/>
      </c>
      <c r="AC1221" s="26">
        <f t="shared" si="38"/>
        <v>0</v>
      </c>
      <c r="AD1221" s="26">
        <f t="shared" si="39"/>
        <v>0</v>
      </c>
    </row>
    <row r="1222" spans="2:30" ht="15" customHeight="1">
      <c r="B1222" s="3" t="str">
        <f>_xlfn.IFNA(VLOOKUP(C1222,Master!$J:$K,2,0),"")</f>
        <v/>
      </c>
      <c r="D1222" s="4" t="str">
        <f>_xlfn.IFNA(VLOOKUP(E1222,Master!$J:$K,2,0),"")</f>
        <v/>
      </c>
      <c r="F1222" s="4" t="str">
        <f>_xlfn.IFNA(VLOOKUP(G1222,Master!B:C,2,0),"")</f>
        <v/>
      </c>
      <c r="I1222" s="3" t="str">
        <f>_xlfn.IFNA(VLOOKUP(E1222,Master!$J:$M,4,0),"")</f>
        <v/>
      </c>
      <c r="J1222" s="3" t="str">
        <f>_xlfn.IFNA(VLOOKUP($E1222,Master!$J:$M,3,0),"")</f>
        <v/>
      </c>
      <c r="AC1222" s="26">
        <f t="shared" si="38"/>
        <v>0</v>
      </c>
      <c r="AD1222" s="26">
        <f t="shared" si="39"/>
        <v>0</v>
      </c>
    </row>
    <row r="1223" spans="2:30" ht="15" customHeight="1">
      <c r="B1223" s="3" t="str">
        <f>_xlfn.IFNA(VLOOKUP(C1223,Master!$J:$K,2,0),"")</f>
        <v/>
      </c>
      <c r="D1223" s="4" t="str">
        <f>_xlfn.IFNA(VLOOKUP(E1223,Master!$J:$K,2,0),"")</f>
        <v/>
      </c>
      <c r="F1223" s="4" t="str">
        <f>_xlfn.IFNA(VLOOKUP(G1223,Master!B:C,2,0),"")</f>
        <v/>
      </c>
      <c r="I1223" s="3" t="str">
        <f>_xlfn.IFNA(VLOOKUP(E1223,Master!$J:$M,4,0),"")</f>
        <v/>
      </c>
      <c r="J1223" s="3" t="str">
        <f>_xlfn.IFNA(VLOOKUP($E1223,Master!$J:$M,3,0),"")</f>
        <v/>
      </c>
      <c r="AC1223" s="26">
        <f t="shared" si="38"/>
        <v>0</v>
      </c>
      <c r="AD1223" s="26">
        <f t="shared" si="39"/>
        <v>0</v>
      </c>
    </row>
    <row r="1224" spans="2:30" ht="15" customHeight="1">
      <c r="B1224" s="3" t="str">
        <f>_xlfn.IFNA(VLOOKUP(C1224,Master!$J:$K,2,0),"")</f>
        <v/>
      </c>
      <c r="D1224" s="4" t="str">
        <f>_xlfn.IFNA(VLOOKUP(E1224,Master!$J:$K,2,0),"")</f>
        <v/>
      </c>
      <c r="F1224" s="4" t="str">
        <f>_xlfn.IFNA(VLOOKUP(G1224,Master!B:C,2,0),"")</f>
        <v/>
      </c>
      <c r="I1224" s="3" t="str">
        <f>_xlfn.IFNA(VLOOKUP(E1224,Master!$J:$M,4,0),"")</f>
        <v/>
      </c>
      <c r="J1224" s="3" t="str">
        <f>_xlfn.IFNA(VLOOKUP($E1224,Master!$J:$M,3,0),"")</f>
        <v/>
      </c>
      <c r="AC1224" s="26">
        <f t="shared" si="38"/>
        <v>0</v>
      </c>
      <c r="AD1224" s="26">
        <f t="shared" si="39"/>
        <v>0</v>
      </c>
    </row>
    <row r="1225" spans="2:30" ht="15" customHeight="1">
      <c r="B1225" s="3" t="str">
        <f>_xlfn.IFNA(VLOOKUP(C1225,Master!$J:$K,2,0),"")</f>
        <v/>
      </c>
      <c r="D1225" s="4" t="str">
        <f>_xlfn.IFNA(VLOOKUP(E1225,Master!$J:$K,2,0),"")</f>
        <v/>
      </c>
      <c r="F1225" s="4" t="str">
        <f>_xlfn.IFNA(VLOOKUP(G1225,Master!B:C,2,0),"")</f>
        <v/>
      </c>
      <c r="I1225" s="3" t="str">
        <f>_xlfn.IFNA(VLOOKUP(E1225,Master!$J:$M,4,0),"")</f>
        <v/>
      </c>
      <c r="J1225" s="3" t="str">
        <f>_xlfn.IFNA(VLOOKUP($E1225,Master!$J:$M,3,0),"")</f>
        <v/>
      </c>
      <c r="AC1225" s="26">
        <f t="shared" si="38"/>
        <v>0</v>
      </c>
      <c r="AD1225" s="26">
        <f t="shared" si="39"/>
        <v>0</v>
      </c>
    </row>
    <row r="1226" spans="2:30" ht="15" customHeight="1">
      <c r="B1226" s="3" t="str">
        <f>_xlfn.IFNA(VLOOKUP(C1226,Master!$J:$K,2,0),"")</f>
        <v/>
      </c>
      <c r="D1226" s="4" t="str">
        <f>_xlfn.IFNA(VLOOKUP(E1226,Master!$J:$K,2,0),"")</f>
        <v/>
      </c>
      <c r="F1226" s="4" t="str">
        <f>_xlfn.IFNA(VLOOKUP(G1226,Master!B:C,2,0),"")</f>
        <v/>
      </c>
      <c r="I1226" s="3" t="str">
        <f>_xlfn.IFNA(VLOOKUP(E1226,Master!$J:$M,4,0),"")</f>
        <v/>
      </c>
      <c r="J1226" s="3" t="str">
        <f>_xlfn.IFNA(VLOOKUP($E1226,Master!$J:$M,3,0),"")</f>
        <v/>
      </c>
      <c r="AC1226" s="26">
        <f t="shared" si="38"/>
        <v>0</v>
      </c>
      <c r="AD1226" s="26">
        <f t="shared" si="39"/>
        <v>0</v>
      </c>
    </row>
    <row r="1227" spans="2:30" ht="15" customHeight="1">
      <c r="B1227" s="3" t="str">
        <f>_xlfn.IFNA(VLOOKUP(C1227,Master!$J:$K,2,0),"")</f>
        <v/>
      </c>
      <c r="D1227" s="4" t="str">
        <f>_xlfn.IFNA(VLOOKUP(E1227,Master!$J:$K,2,0),"")</f>
        <v/>
      </c>
      <c r="F1227" s="4" t="str">
        <f>_xlfn.IFNA(VLOOKUP(G1227,Master!B:C,2,0),"")</f>
        <v/>
      </c>
      <c r="I1227" s="3" t="str">
        <f>_xlfn.IFNA(VLOOKUP(E1227,Master!$J:$M,4,0),"")</f>
        <v/>
      </c>
      <c r="J1227" s="3" t="str">
        <f>_xlfn.IFNA(VLOOKUP($E1227,Master!$J:$M,3,0),"")</f>
        <v/>
      </c>
      <c r="AC1227" s="26">
        <f t="shared" si="38"/>
        <v>0</v>
      </c>
      <c r="AD1227" s="26">
        <f t="shared" si="39"/>
        <v>0</v>
      </c>
    </row>
    <row r="1228" spans="2:30" ht="15" customHeight="1">
      <c r="B1228" s="3" t="str">
        <f>_xlfn.IFNA(VLOOKUP(C1228,Master!$J:$K,2,0),"")</f>
        <v/>
      </c>
      <c r="D1228" s="4" t="str">
        <f>_xlfn.IFNA(VLOOKUP(E1228,Master!$J:$K,2,0),"")</f>
        <v/>
      </c>
      <c r="F1228" s="4" t="str">
        <f>_xlfn.IFNA(VLOOKUP(G1228,Master!B:C,2,0),"")</f>
        <v/>
      </c>
      <c r="I1228" s="3" t="str">
        <f>_xlfn.IFNA(VLOOKUP(E1228,Master!$J:$M,4,0),"")</f>
        <v/>
      </c>
      <c r="J1228" s="3" t="str">
        <f>_xlfn.IFNA(VLOOKUP($E1228,Master!$J:$M,3,0),"")</f>
        <v/>
      </c>
      <c r="AC1228" s="26">
        <f t="shared" si="38"/>
        <v>0</v>
      </c>
      <c r="AD1228" s="26">
        <f t="shared" si="39"/>
        <v>0</v>
      </c>
    </row>
    <row r="1229" spans="2:30" ht="15" customHeight="1">
      <c r="B1229" s="3" t="str">
        <f>_xlfn.IFNA(VLOOKUP(C1229,Master!$J:$K,2,0),"")</f>
        <v/>
      </c>
      <c r="D1229" s="4" t="str">
        <f>_xlfn.IFNA(VLOOKUP(E1229,Master!$J:$K,2,0),"")</f>
        <v/>
      </c>
      <c r="F1229" s="4" t="str">
        <f>_xlfn.IFNA(VLOOKUP(G1229,Master!B:C,2,0),"")</f>
        <v/>
      </c>
      <c r="I1229" s="3" t="str">
        <f>_xlfn.IFNA(VLOOKUP(E1229,Master!$J:$M,4,0),"")</f>
        <v/>
      </c>
      <c r="J1229" s="3" t="str">
        <f>_xlfn.IFNA(VLOOKUP($E1229,Master!$J:$M,3,0),"")</f>
        <v/>
      </c>
      <c r="AC1229" s="26">
        <f t="shared" ref="AC1229:AC1292" si="40">SUM(K1229:P1229)</f>
        <v>0</v>
      </c>
      <c r="AD1229" s="26">
        <f t="shared" ref="AD1229:AD1292" si="41">SUM(Q1229:AB1229)</f>
        <v>0</v>
      </c>
    </row>
    <row r="1230" spans="2:30" ht="15" customHeight="1">
      <c r="B1230" s="3" t="str">
        <f>_xlfn.IFNA(VLOOKUP(C1230,Master!$J:$K,2,0),"")</f>
        <v/>
      </c>
      <c r="D1230" s="4" t="str">
        <f>_xlfn.IFNA(VLOOKUP(E1230,Master!$J:$K,2,0),"")</f>
        <v/>
      </c>
      <c r="F1230" s="4" t="str">
        <f>_xlfn.IFNA(VLOOKUP(G1230,Master!B:C,2,0),"")</f>
        <v/>
      </c>
      <c r="I1230" s="3" t="str">
        <f>_xlfn.IFNA(VLOOKUP(E1230,Master!$J:$M,4,0),"")</f>
        <v/>
      </c>
      <c r="J1230" s="3" t="str">
        <f>_xlfn.IFNA(VLOOKUP($E1230,Master!$J:$M,3,0),"")</f>
        <v/>
      </c>
      <c r="AC1230" s="26">
        <f t="shared" si="40"/>
        <v>0</v>
      </c>
      <c r="AD1230" s="26">
        <f t="shared" si="41"/>
        <v>0</v>
      </c>
    </row>
    <row r="1231" spans="2:30" ht="15" customHeight="1">
      <c r="B1231" s="3" t="str">
        <f>_xlfn.IFNA(VLOOKUP(C1231,Master!$J:$K,2,0),"")</f>
        <v/>
      </c>
      <c r="D1231" s="4" t="str">
        <f>_xlfn.IFNA(VLOOKUP(E1231,Master!$J:$K,2,0),"")</f>
        <v/>
      </c>
      <c r="F1231" s="4" t="str">
        <f>_xlfn.IFNA(VLOOKUP(G1231,Master!B:C,2,0),"")</f>
        <v/>
      </c>
      <c r="I1231" s="3" t="str">
        <f>_xlfn.IFNA(VLOOKUP(E1231,Master!$J:$M,4,0),"")</f>
        <v/>
      </c>
      <c r="J1231" s="3" t="str">
        <f>_xlfn.IFNA(VLOOKUP($E1231,Master!$J:$M,3,0),"")</f>
        <v/>
      </c>
      <c r="AC1231" s="26">
        <f t="shared" si="40"/>
        <v>0</v>
      </c>
      <c r="AD1231" s="26">
        <f t="shared" si="41"/>
        <v>0</v>
      </c>
    </row>
    <row r="1232" spans="2:30" ht="15" customHeight="1">
      <c r="B1232" s="3" t="str">
        <f>_xlfn.IFNA(VLOOKUP(C1232,Master!$J:$K,2,0),"")</f>
        <v/>
      </c>
      <c r="D1232" s="4" t="str">
        <f>_xlfn.IFNA(VLOOKUP(E1232,Master!$J:$K,2,0),"")</f>
        <v/>
      </c>
      <c r="F1232" s="4" t="str">
        <f>_xlfn.IFNA(VLOOKUP(G1232,Master!B:C,2,0),"")</f>
        <v/>
      </c>
      <c r="I1232" s="3" t="str">
        <f>_xlfn.IFNA(VLOOKUP(E1232,Master!$J:$M,4,0),"")</f>
        <v/>
      </c>
      <c r="J1232" s="3" t="str">
        <f>_xlfn.IFNA(VLOOKUP($E1232,Master!$J:$M,3,0),"")</f>
        <v/>
      </c>
      <c r="AC1232" s="26">
        <f t="shared" si="40"/>
        <v>0</v>
      </c>
      <c r="AD1232" s="26">
        <f t="shared" si="41"/>
        <v>0</v>
      </c>
    </row>
    <row r="1233" spans="2:30" ht="15" customHeight="1">
      <c r="B1233" s="3" t="str">
        <f>_xlfn.IFNA(VLOOKUP(C1233,Master!$J:$K,2,0),"")</f>
        <v/>
      </c>
      <c r="D1233" s="4" t="str">
        <f>_xlfn.IFNA(VLOOKUP(E1233,Master!$J:$K,2,0),"")</f>
        <v/>
      </c>
      <c r="F1233" s="4" t="str">
        <f>_xlfn.IFNA(VLOOKUP(G1233,Master!B:C,2,0),"")</f>
        <v/>
      </c>
      <c r="I1233" s="3" t="str">
        <f>_xlfn.IFNA(VLOOKUP(E1233,Master!$J:$M,4,0),"")</f>
        <v/>
      </c>
      <c r="J1233" s="3" t="str">
        <f>_xlfn.IFNA(VLOOKUP($E1233,Master!$J:$M,3,0),"")</f>
        <v/>
      </c>
      <c r="AC1233" s="26">
        <f t="shared" si="40"/>
        <v>0</v>
      </c>
      <c r="AD1233" s="26">
        <f t="shared" si="41"/>
        <v>0</v>
      </c>
    </row>
    <row r="1234" spans="2:30" ht="15" customHeight="1">
      <c r="B1234" s="3" t="str">
        <f>_xlfn.IFNA(VLOOKUP(C1234,Master!$J:$K,2,0),"")</f>
        <v/>
      </c>
      <c r="D1234" s="4" t="str">
        <f>_xlfn.IFNA(VLOOKUP(E1234,Master!$J:$K,2,0),"")</f>
        <v/>
      </c>
      <c r="F1234" s="4" t="str">
        <f>_xlfn.IFNA(VLOOKUP(G1234,Master!B:C,2,0),"")</f>
        <v/>
      </c>
      <c r="I1234" s="3" t="str">
        <f>_xlfn.IFNA(VLOOKUP(E1234,Master!$J:$M,4,0),"")</f>
        <v/>
      </c>
      <c r="J1234" s="3" t="str">
        <f>_xlfn.IFNA(VLOOKUP($E1234,Master!$J:$M,3,0),"")</f>
        <v/>
      </c>
      <c r="AC1234" s="26">
        <f t="shared" si="40"/>
        <v>0</v>
      </c>
      <c r="AD1234" s="26">
        <f t="shared" si="41"/>
        <v>0</v>
      </c>
    </row>
    <row r="1235" spans="2:30" ht="15" customHeight="1">
      <c r="B1235" s="3" t="str">
        <f>_xlfn.IFNA(VLOOKUP(C1235,Master!$J:$K,2,0),"")</f>
        <v/>
      </c>
      <c r="D1235" s="4" t="str">
        <f>_xlfn.IFNA(VLOOKUP(E1235,Master!$J:$K,2,0),"")</f>
        <v/>
      </c>
      <c r="F1235" s="4" t="str">
        <f>_xlfn.IFNA(VLOOKUP(G1235,Master!B:C,2,0),"")</f>
        <v/>
      </c>
      <c r="I1235" s="3" t="str">
        <f>_xlfn.IFNA(VLOOKUP(E1235,Master!$J:$M,4,0),"")</f>
        <v/>
      </c>
      <c r="J1235" s="3" t="str">
        <f>_xlfn.IFNA(VLOOKUP($E1235,Master!$J:$M,3,0),"")</f>
        <v/>
      </c>
      <c r="AC1235" s="26">
        <f t="shared" si="40"/>
        <v>0</v>
      </c>
      <c r="AD1235" s="26">
        <f t="shared" si="41"/>
        <v>0</v>
      </c>
    </row>
    <row r="1236" spans="2:30" ht="15" customHeight="1">
      <c r="B1236" s="3" t="str">
        <f>_xlfn.IFNA(VLOOKUP(C1236,Master!$J:$K,2,0),"")</f>
        <v/>
      </c>
      <c r="D1236" s="4" t="str">
        <f>_xlfn.IFNA(VLOOKUP(E1236,Master!$J:$K,2,0),"")</f>
        <v/>
      </c>
      <c r="F1236" s="4" t="str">
        <f>_xlfn.IFNA(VLOOKUP(G1236,Master!B:C,2,0),"")</f>
        <v/>
      </c>
      <c r="I1236" s="3" t="str">
        <f>_xlfn.IFNA(VLOOKUP(E1236,Master!$J:$M,4,0),"")</f>
        <v/>
      </c>
      <c r="J1236" s="3" t="str">
        <f>_xlfn.IFNA(VLOOKUP($E1236,Master!$J:$M,3,0),"")</f>
        <v/>
      </c>
      <c r="AC1236" s="26">
        <f t="shared" si="40"/>
        <v>0</v>
      </c>
      <c r="AD1236" s="26">
        <f t="shared" si="41"/>
        <v>0</v>
      </c>
    </row>
    <row r="1237" spans="2:30" ht="15" customHeight="1">
      <c r="B1237" s="3" t="str">
        <f>_xlfn.IFNA(VLOOKUP(C1237,Master!$J:$K,2,0),"")</f>
        <v/>
      </c>
      <c r="D1237" s="4" t="str">
        <f>_xlfn.IFNA(VLOOKUP(E1237,Master!$J:$K,2,0),"")</f>
        <v/>
      </c>
      <c r="F1237" s="4" t="str">
        <f>_xlfn.IFNA(VLOOKUP(G1237,Master!B:C,2,0),"")</f>
        <v/>
      </c>
      <c r="I1237" s="3" t="str">
        <f>_xlfn.IFNA(VLOOKUP(E1237,Master!$J:$M,4,0),"")</f>
        <v/>
      </c>
      <c r="J1237" s="3" t="str">
        <f>_xlfn.IFNA(VLOOKUP($E1237,Master!$J:$M,3,0),"")</f>
        <v/>
      </c>
      <c r="AC1237" s="26">
        <f t="shared" si="40"/>
        <v>0</v>
      </c>
      <c r="AD1237" s="26">
        <f t="shared" si="41"/>
        <v>0</v>
      </c>
    </row>
    <row r="1238" spans="2:30" ht="15" customHeight="1">
      <c r="B1238" s="3" t="str">
        <f>_xlfn.IFNA(VLOOKUP(C1238,Master!$J:$K,2,0),"")</f>
        <v/>
      </c>
      <c r="D1238" s="4" t="str">
        <f>_xlfn.IFNA(VLOOKUP(E1238,Master!$J:$K,2,0),"")</f>
        <v/>
      </c>
      <c r="F1238" s="4" t="str">
        <f>_xlfn.IFNA(VLOOKUP(G1238,Master!B:C,2,0),"")</f>
        <v/>
      </c>
      <c r="I1238" s="3" t="str">
        <f>_xlfn.IFNA(VLOOKUP(E1238,Master!$J:$M,4,0),"")</f>
        <v/>
      </c>
      <c r="J1238" s="3" t="str">
        <f>_xlfn.IFNA(VLOOKUP($E1238,Master!$J:$M,3,0),"")</f>
        <v/>
      </c>
      <c r="AC1238" s="26">
        <f t="shared" si="40"/>
        <v>0</v>
      </c>
      <c r="AD1238" s="26">
        <f t="shared" si="41"/>
        <v>0</v>
      </c>
    </row>
    <row r="1239" spans="2:30" ht="15" customHeight="1">
      <c r="B1239" s="3" t="str">
        <f>_xlfn.IFNA(VLOOKUP(C1239,Master!$J:$K,2,0),"")</f>
        <v/>
      </c>
      <c r="D1239" s="4" t="str">
        <f>_xlfn.IFNA(VLOOKUP(E1239,Master!$J:$K,2,0),"")</f>
        <v/>
      </c>
      <c r="F1239" s="4" t="str">
        <f>_xlfn.IFNA(VLOOKUP(G1239,Master!B:C,2,0),"")</f>
        <v/>
      </c>
      <c r="I1239" s="3" t="str">
        <f>_xlfn.IFNA(VLOOKUP(E1239,Master!$J:$M,4,0),"")</f>
        <v/>
      </c>
      <c r="J1239" s="3" t="str">
        <f>_xlfn.IFNA(VLOOKUP($E1239,Master!$J:$M,3,0),"")</f>
        <v/>
      </c>
      <c r="AC1239" s="26">
        <f t="shared" si="40"/>
        <v>0</v>
      </c>
      <c r="AD1239" s="26">
        <f t="shared" si="41"/>
        <v>0</v>
      </c>
    </row>
    <row r="1240" spans="2:30" ht="15" customHeight="1">
      <c r="B1240" s="3" t="str">
        <f>_xlfn.IFNA(VLOOKUP(C1240,Master!$J:$K,2,0),"")</f>
        <v/>
      </c>
      <c r="D1240" s="4" t="str">
        <f>_xlfn.IFNA(VLOOKUP(E1240,Master!$J:$K,2,0),"")</f>
        <v/>
      </c>
      <c r="F1240" s="4" t="str">
        <f>_xlfn.IFNA(VLOOKUP(G1240,Master!B:C,2,0),"")</f>
        <v/>
      </c>
      <c r="I1240" s="3" t="str">
        <f>_xlfn.IFNA(VLOOKUP(E1240,Master!$J:$M,4,0),"")</f>
        <v/>
      </c>
      <c r="J1240" s="3" t="str">
        <f>_xlfn.IFNA(VLOOKUP($E1240,Master!$J:$M,3,0),"")</f>
        <v/>
      </c>
      <c r="AC1240" s="26">
        <f t="shared" si="40"/>
        <v>0</v>
      </c>
      <c r="AD1240" s="26">
        <f t="shared" si="41"/>
        <v>0</v>
      </c>
    </row>
    <row r="1241" spans="2:30" ht="15" customHeight="1">
      <c r="B1241" s="3" t="str">
        <f>_xlfn.IFNA(VLOOKUP(C1241,Master!$J:$K,2,0),"")</f>
        <v/>
      </c>
      <c r="D1241" s="4" t="str">
        <f>_xlfn.IFNA(VLOOKUP(E1241,Master!$J:$K,2,0),"")</f>
        <v/>
      </c>
      <c r="F1241" s="4" t="str">
        <f>_xlfn.IFNA(VLOOKUP(G1241,Master!B:C,2,0),"")</f>
        <v/>
      </c>
      <c r="I1241" s="3" t="str">
        <f>_xlfn.IFNA(VLOOKUP(E1241,Master!$J:$M,4,0),"")</f>
        <v/>
      </c>
      <c r="J1241" s="3" t="str">
        <f>_xlfn.IFNA(VLOOKUP($E1241,Master!$J:$M,3,0),"")</f>
        <v/>
      </c>
      <c r="AC1241" s="26">
        <f t="shared" si="40"/>
        <v>0</v>
      </c>
      <c r="AD1241" s="26">
        <f t="shared" si="41"/>
        <v>0</v>
      </c>
    </row>
    <row r="1242" spans="2:30" ht="15" customHeight="1">
      <c r="B1242" s="3" t="str">
        <f>_xlfn.IFNA(VLOOKUP(C1242,Master!$J:$K,2,0),"")</f>
        <v/>
      </c>
      <c r="D1242" s="4" t="str">
        <f>_xlfn.IFNA(VLOOKUP(E1242,Master!$J:$K,2,0),"")</f>
        <v/>
      </c>
      <c r="F1242" s="4" t="str">
        <f>_xlfn.IFNA(VLOOKUP(G1242,Master!B:C,2,0),"")</f>
        <v/>
      </c>
      <c r="I1242" s="3" t="str">
        <f>_xlfn.IFNA(VLOOKUP(E1242,Master!$J:$M,4,0),"")</f>
        <v/>
      </c>
      <c r="J1242" s="3" t="str">
        <f>_xlfn.IFNA(VLOOKUP($E1242,Master!$J:$M,3,0),"")</f>
        <v/>
      </c>
      <c r="AC1242" s="26">
        <f t="shared" si="40"/>
        <v>0</v>
      </c>
      <c r="AD1242" s="26">
        <f t="shared" si="41"/>
        <v>0</v>
      </c>
    </row>
    <row r="1243" spans="2:30" ht="15" customHeight="1">
      <c r="B1243" s="3" t="str">
        <f>_xlfn.IFNA(VLOOKUP(C1243,Master!$J:$K,2,0),"")</f>
        <v/>
      </c>
      <c r="D1243" s="4" t="str">
        <f>_xlfn.IFNA(VLOOKUP(E1243,Master!$J:$K,2,0),"")</f>
        <v/>
      </c>
      <c r="F1243" s="4" t="str">
        <f>_xlfn.IFNA(VLOOKUP(G1243,Master!B:C,2,0),"")</f>
        <v/>
      </c>
      <c r="I1243" s="3" t="str">
        <f>_xlfn.IFNA(VLOOKUP(E1243,Master!$J:$M,4,0),"")</f>
        <v/>
      </c>
      <c r="J1243" s="3" t="str">
        <f>_xlfn.IFNA(VLOOKUP($E1243,Master!$J:$M,3,0),"")</f>
        <v/>
      </c>
      <c r="AC1243" s="26">
        <f t="shared" si="40"/>
        <v>0</v>
      </c>
      <c r="AD1243" s="26">
        <f t="shared" si="41"/>
        <v>0</v>
      </c>
    </row>
    <row r="1244" spans="2:30" ht="15" customHeight="1">
      <c r="B1244" s="3" t="str">
        <f>_xlfn.IFNA(VLOOKUP(C1244,Master!$J:$K,2,0),"")</f>
        <v/>
      </c>
      <c r="D1244" s="4" t="str">
        <f>_xlfn.IFNA(VLOOKUP(E1244,Master!$J:$K,2,0),"")</f>
        <v/>
      </c>
      <c r="F1244" s="4" t="str">
        <f>_xlfn.IFNA(VLOOKUP(G1244,Master!B:C,2,0),"")</f>
        <v/>
      </c>
      <c r="I1244" s="3" t="str">
        <f>_xlfn.IFNA(VLOOKUP(E1244,Master!$J:$M,4,0),"")</f>
        <v/>
      </c>
      <c r="J1244" s="3" t="str">
        <f>_xlfn.IFNA(VLOOKUP($E1244,Master!$J:$M,3,0),"")</f>
        <v/>
      </c>
      <c r="AC1244" s="26">
        <f t="shared" si="40"/>
        <v>0</v>
      </c>
      <c r="AD1244" s="26">
        <f t="shared" si="41"/>
        <v>0</v>
      </c>
    </row>
    <row r="1245" spans="2:30" ht="15" customHeight="1">
      <c r="B1245" s="3" t="str">
        <f>_xlfn.IFNA(VLOOKUP(C1245,Master!$J:$K,2,0),"")</f>
        <v/>
      </c>
      <c r="D1245" s="4" t="str">
        <f>_xlfn.IFNA(VLOOKUP(E1245,Master!$J:$K,2,0),"")</f>
        <v/>
      </c>
      <c r="F1245" s="4" t="str">
        <f>_xlfn.IFNA(VLOOKUP(G1245,Master!B:C,2,0),"")</f>
        <v/>
      </c>
      <c r="I1245" s="3" t="str">
        <f>_xlfn.IFNA(VLOOKUP(E1245,Master!$J:$M,4,0),"")</f>
        <v/>
      </c>
      <c r="J1245" s="3" t="str">
        <f>_xlfn.IFNA(VLOOKUP($E1245,Master!$J:$M,3,0),"")</f>
        <v/>
      </c>
      <c r="AC1245" s="26">
        <f t="shared" si="40"/>
        <v>0</v>
      </c>
      <c r="AD1245" s="26">
        <f t="shared" si="41"/>
        <v>0</v>
      </c>
    </row>
    <row r="1246" spans="2:30" ht="15" customHeight="1">
      <c r="B1246" s="3" t="str">
        <f>_xlfn.IFNA(VLOOKUP(C1246,Master!$J:$K,2,0),"")</f>
        <v/>
      </c>
      <c r="D1246" s="4" t="str">
        <f>_xlfn.IFNA(VLOOKUP(E1246,Master!$J:$K,2,0),"")</f>
        <v/>
      </c>
      <c r="F1246" s="4" t="str">
        <f>_xlfn.IFNA(VLOOKUP(G1246,Master!B:C,2,0),"")</f>
        <v/>
      </c>
      <c r="I1246" s="3" t="str">
        <f>_xlfn.IFNA(VLOOKUP(E1246,Master!$J:$M,4,0),"")</f>
        <v/>
      </c>
      <c r="J1246" s="3" t="str">
        <f>_xlfn.IFNA(VLOOKUP($E1246,Master!$J:$M,3,0),"")</f>
        <v/>
      </c>
      <c r="AC1246" s="26">
        <f t="shared" si="40"/>
        <v>0</v>
      </c>
      <c r="AD1246" s="26">
        <f t="shared" si="41"/>
        <v>0</v>
      </c>
    </row>
    <row r="1247" spans="2:30" ht="15" customHeight="1">
      <c r="B1247" s="3" t="str">
        <f>_xlfn.IFNA(VLOOKUP(C1247,Master!$J:$K,2,0),"")</f>
        <v/>
      </c>
      <c r="D1247" s="4" t="str">
        <f>_xlfn.IFNA(VLOOKUP(E1247,Master!$J:$K,2,0),"")</f>
        <v/>
      </c>
      <c r="F1247" s="4" t="str">
        <f>_xlfn.IFNA(VLOOKUP(G1247,Master!B:C,2,0),"")</f>
        <v/>
      </c>
      <c r="I1247" s="3" t="str">
        <f>_xlfn.IFNA(VLOOKUP(E1247,Master!$J:$M,4,0),"")</f>
        <v/>
      </c>
      <c r="J1247" s="3" t="str">
        <f>_xlfn.IFNA(VLOOKUP($E1247,Master!$J:$M,3,0),"")</f>
        <v/>
      </c>
      <c r="AC1247" s="26">
        <f t="shared" si="40"/>
        <v>0</v>
      </c>
      <c r="AD1247" s="26">
        <f t="shared" si="41"/>
        <v>0</v>
      </c>
    </row>
    <row r="1248" spans="2:30" ht="15" customHeight="1">
      <c r="B1248" s="3" t="str">
        <f>_xlfn.IFNA(VLOOKUP(C1248,Master!$J:$K,2,0),"")</f>
        <v/>
      </c>
      <c r="D1248" s="4" t="str">
        <f>_xlfn.IFNA(VLOOKUP(E1248,Master!$J:$K,2,0),"")</f>
        <v/>
      </c>
      <c r="F1248" s="4" t="str">
        <f>_xlfn.IFNA(VLOOKUP(G1248,Master!B:C,2,0),"")</f>
        <v/>
      </c>
      <c r="I1248" s="3" t="str">
        <f>_xlfn.IFNA(VLOOKUP(E1248,Master!$J:$M,4,0),"")</f>
        <v/>
      </c>
      <c r="J1248" s="3" t="str">
        <f>_xlfn.IFNA(VLOOKUP($E1248,Master!$J:$M,3,0),"")</f>
        <v/>
      </c>
      <c r="AC1248" s="26">
        <f t="shared" si="40"/>
        <v>0</v>
      </c>
      <c r="AD1248" s="26">
        <f t="shared" si="41"/>
        <v>0</v>
      </c>
    </row>
    <row r="1249" spans="2:30" ht="15" customHeight="1">
      <c r="B1249" s="3" t="str">
        <f>_xlfn.IFNA(VLOOKUP(C1249,Master!$J:$K,2,0),"")</f>
        <v/>
      </c>
      <c r="D1249" s="4" t="str">
        <f>_xlfn.IFNA(VLOOKUP(E1249,Master!$J:$K,2,0),"")</f>
        <v/>
      </c>
      <c r="F1249" s="4" t="str">
        <f>_xlfn.IFNA(VLOOKUP(G1249,Master!B:C,2,0),"")</f>
        <v/>
      </c>
      <c r="I1249" s="3" t="str">
        <f>_xlfn.IFNA(VLOOKUP(E1249,Master!$J:$M,4,0),"")</f>
        <v/>
      </c>
      <c r="J1249" s="3" t="str">
        <f>_xlfn.IFNA(VLOOKUP($E1249,Master!$J:$M,3,0),"")</f>
        <v/>
      </c>
      <c r="AC1249" s="26">
        <f t="shared" si="40"/>
        <v>0</v>
      </c>
      <c r="AD1249" s="26">
        <f t="shared" si="41"/>
        <v>0</v>
      </c>
    </row>
    <row r="1250" spans="2:30" ht="15" customHeight="1">
      <c r="B1250" s="3" t="str">
        <f>_xlfn.IFNA(VLOOKUP(C1250,Master!$J:$K,2,0),"")</f>
        <v/>
      </c>
      <c r="D1250" s="4" t="str">
        <f>_xlfn.IFNA(VLOOKUP(E1250,Master!$J:$K,2,0),"")</f>
        <v/>
      </c>
      <c r="F1250" s="4" t="str">
        <f>_xlfn.IFNA(VLOOKUP(G1250,Master!B:C,2,0),"")</f>
        <v/>
      </c>
      <c r="I1250" s="3" t="str">
        <f>_xlfn.IFNA(VLOOKUP(E1250,Master!$J:$M,4,0),"")</f>
        <v/>
      </c>
      <c r="J1250" s="3" t="str">
        <f>_xlfn.IFNA(VLOOKUP($E1250,Master!$J:$M,3,0),"")</f>
        <v/>
      </c>
      <c r="AC1250" s="26">
        <f t="shared" si="40"/>
        <v>0</v>
      </c>
      <c r="AD1250" s="26">
        <f t="shared" si="41"/>
        <v>0</v>
      </c>
    </row>
    <row r="1251" spans="2:30" ht="15" customHeight="1">
      <c r="B1251" s="3" t="str">
        <f>_xlfn.IFNA(VLOOKUP(C1251,Master!$J:$K,2,0),"")</f>
        <v/>
      </c>
      <c r="D1251" s="4" t="str">
        <f>_xlfn.IFNA(VLOOKUP(E1251,Master!$J:$K,2,0),"")</f>
        <v/>
      </c>
      <c r="F1251" s="4" t="str">
        <f>_xlfn.IFNA(VLOOKUP(G1251,Master!B:C,2,0),"")</f>
        <v/>
      </c>
      <c r="I1251" s="3" t="str">
        <f>_xlfn.IFNA(VLOOKUP(E1251,Master!$J:$M,4,0),"")</f>
        <v/>
      </c>
      <c r="J1251" s="3" t="str">
        <f>_xlfn.IFNA(VLOOKUP($E1251,Master!$J:$M,3,0),"")</f>
        <v/>
      </c>
      <c r="AC1251" s="26">
        <f t="shared" si="40"/>
        <v>0</v>
      </c>
      <c r="AD1251" s="26">
        <f t="shared" si="41"/>
        <v>0</v>
      </c>
    </row>
    <row r="1252" spans="2:30" ht="15" customHeight="1">
      <c r="B1252" s="3" t="str">
        <f>_xlfn.IFNA(VLOOKUP(C1252,Master!$J:$K,2,0),"")</f>
        <v/>
      </c>
      <c r="D1252" s="4" t="str">
        <f>_xlfn.IFNA(VLOOKUP(E1252,Master!$J:$K,2,0),"")</f>
        <v/>
      </c>
      <c r="F1252" s="4" t="str">
        <f>_xlfn.IFNA(VLOOKUP(G1252,Master!B:C,2,0),"")</f>
        <v/>
      </c>
      <c r="I1252" s="3" t="str">
        <f>_xlfn.IFNA(VLOOKUP(E1252,Master!$J:$M,4,0),"")</f>
        <v/>
      </c>
      <c r="J1252" s="3" t="str">
        <f>_xlfn.IFNA(VLOOKUP($E1252,Master!$J:$M,3,0),"")</f>
        <v/>
      </c>
      <c r="AC1252" s="26">
        <f t="shared" si="40"/>
        <v>0</v>
      </c>
      <c r="AD1252" s="26">
        <f t="shared" si="41"/>
        <v>0</v>
      </c>
    </row>
    <row r="1253" spans="2:30" ht="15" customHeight="1">
      <c r="B1253" s="3" t="str">
        <f>_xlfn.IFNA(VLOOKUP(C1253,Master!$J:$K,2,0),"")</f>
        <v/>
      </c>
      <c r="D1253" s="4" t="str">
        <f>_xlfn.IFNA(VLOOKUP(E1253,Master!$J:$K,2,0),"")</f>
        <v/>
      </c>
      <c r="F1253" s="4" t="str">
        <f>_xlfn.IFNA(VLOOKUP(G1253,Master!B:C,2,0),"")</f>
        <v/>
      </c>
      <c r="I1253" s="3" t="str">
        <f>_xlfn.IFNA(VLOOKUP(E1253,Master!$J:$M,4,0),"")</f>
        <v/>
      </c>
      <c r="J1253" s="3" t="str">
        <f>_xlfn.IFNA(VLOOKUP($E1253,Master!$J:$M,3,0),"")</f>
        <v/>
      </c>
      <c r="AC1253" s="26">
        <f t="shared" si="40"/>
        <v>0</v>
      </c>
      <c r="AD1253" s="26">
        <f t="shared" si="41"/>
        <v>0</v>
      </c>
    </row>
    <row r="1254" spans="2:30" ht="15" customHeight="1">
      <c r="B1254" s="3" t="str">
        <f>_xlfn.IFNA(VLOOKUP(C1254,Master!$J:$K,2,0),"")</f>
        <v/>
      </c>
      <c r="D1254" s="4" t="str">
        <f>_xlfn.IFNA(VLOOKUP(E1254,Master!$J:$K,2,0),"")</f>
        <v/>
      </c>
      <c r="F1254" s="4" t="str">
        <f>_xlfn.IFNA(VLOOKUP(G1254,Master!B:C,2,0),"")</f>
        <v/>
      </c>
      <c r="I1254" s="3" t="str">
        <f>_xlfn.IFNA(VLOOKUP(E1254,Master!$J:$M,4,0),"")</f>
        <v/>
      </c>
      <c r="J1254" s="3" t="str">
        <f>_xlfn.IFNA(VLOOKUP($E1254,Master!$J:$M,3,0),"")</f>
        <v/>
      </c>
      <c r="AC1254" s="26">
        <f t="shared" si="40"/>
        <v>0</v>
      </c>
      <c r="AD1254" s="26">
        <f t="shared" si="41"/>
        <v>0</v>
      </c>
    </row>
    <row r="1255" spans="2:30" ht="15" customHeight="1">
      <c r="B1255" s="3" t="str">
        <f>_xlfn.IFNA(VLOOKUP(C1255,Master!$J:$K,2,0),"")</f>
        <v/>
      </c>
      <c r="D1255" s="4" t="str">
        <f>_xlfn.IFNA(VLOOKUP(E1255,Master!$J:$K,2,0),"")</f>
        <v/>
      </c>
      <c r="F1255" s="4" t="str">
        <f>_xlfn.IFNA(VLOOKUP(G1255,Master!B:C,2,0),"")</f>
        <v/>
      </c>
      <c r="I1255" s="3" t="str">
        <f>_xlfn.IFNA(VLOOKUP(E1255,Master!$J:$M,4,0),"")</f>
        <v/>
      </c>
      <c r="J1255" s="3" t="str">
        <f>_xlfn.IFNA(VLOOKUP($E1255,Master!$J:$M,3,0),"")</f>
        <v/>
      </c>
      <c r="AC1255" s="26">
        <f t="shared" si="40"/>
        <v>0</v>
      </c>
      <c r="AD1255" s="26">
        <f t="shared" si="41"/>
        <v>0</v>
      </c>
    </row>
    <row r="1256" spans="2:30" ht="15" customHeight="1">
      <c r="B1256" s="3" t="str">
        <f>_xlfn.IFNA(VLOOKUP(C1256,Master!$J:$K,2,0),"")</f>
        <v/>
      </c>
      <c r="D1256" s="4" t="str">
        <f>_xlfn.IFNA(VLOOKUP(E1256,Master!$J:$K,2,0),"")</f>
        <v/>
      </c>
      <c r="F1256" s="4" t="str">
        <f>_xlfn.IFNA(VLOOKUP(G1256,Master!B:C,2,0),"")</f>
        <v/>
      </c>
      <c r="I1256" s="3" t="str">
        <f>_xlfn.IFNA(VLOOKUP(E1256,Master!$J:$M,4,0),"")</f>
        <v/>
      </c>
      <c r="J1256" s="3" t="str">
        <f>_xlfn.IFNA(VLOOKUP($E1256,Master!$J:$M,3,0),"")</f>
        <v/>
      </c>
      <c r="AC1256" s="26">
        <f t="shared" si="40"/>
        <v>0</v>
      </c>
      <c r="AD1256" s="26">
        <f t="shared" si="41"/>
        <v>0</v>
      </c>
    </row>
    <row r="1257" spans="2:30" ht="15" customHeight="1">
      <c r="B1257" s="3" t="str">
        <f>_xlfn.IFNA(VLOOKUP(C1257,Master!$J:$K,2,0),"")</f>
        <v/>
      </c>
      <c r="D1257" s="4" t="str">
        <f>_xlfn.IFNA(VLOOKUP(E1257,Master!$J:$K,2,0),"")</f>
        <v/>
      </c>
      <c r="F1257" s="4" t="str">
        <f>_xlfn.IFNA(VLOOKUP(G1257,Master!B:C,2,0),"")</f>
        <v/>
      </c>
      <c r="I1257" s="3" t="str">
        <f>_xlfn.IFNA(VLOOKUP(E1257,Master!$J:$M,4,0),"")</f>
        <v/>
      </c>
      <c r="J1257" s="3" t="str">
        <f>_xlfn.IFNA(VLOOKUP($E1257,Master!$J:$M,3,0),"")</f>
        <v/>
      </c>
      <c r="AC1257" s="26">
        <f t="shared" si="40"/>
        <v>0</v>
      </c>
      <c r="AD1257" s="26">
        <f t="shared" si="41"/>
        <v>0</v>
      </c>
    </row>
    <row r="1258" spans="2:30" ht="15" customHeight="1">
      <c r="B1258" s="3" t="str">
        <f>_xlfn.IFNA(VLOOKUP(C1258,Master!$J:$K,2,0),"")</f>
        <v/>
      </c>
      <c r="D1258" s="4" t="str">
        <f>_xlfn.IFNA(VLOOKUP(E1258,Master!$J:$K,2,0),"")</f>
        <v/>
      </c>
      <c r="F1258" s="4" t="str">
        <f>_xlfn.IFNA(VLOOKUP(G1258,Master!B:C,2,0),"")</f>
        <v/>
      </c>
      <c r="I1258" s="3" t="str">
        <f>_xlfn.IFNA(VLOOKUP(E1258,Master!$J:$M,4,0),"")</f>
        <v/>
      </c>
      <c r="J1258" s="3" t="str">
        <f>_xlfn.IFNA(VLOOKUP($E1258,Master!$J:$M,3,0),"")</f>
        <v/>
      </c>
      <c r="AC1258" s="26">
        <f t="shared" si="40"/>
        <v>0</v>
      </c>
      <c r="AD1258" s="26">
        <f t="shared" si="41"/>
        <v>0</v>
      </c>
    </row>
    <row r="1259" spans="2:30" ht="15" customHeight="1">
      <c r="B1259" s="3" t="str">
        <f>_xlfn.IFNA(VLOOKUP(C1259,Master!$J:$K,2,0),"")</f>
        <v/>
      </c>
      <c r="D1259" s="4" t="str">
        <f>_xlfn.IFNA(VLOOKUP(E1259,Master!$J:$K,2,0),"")</f>
        <v/>
      </c>
      <c r="F1259" s="4" t="str">
        <f>_xlfn.IFNA(VLOOKUP(G1259,Master!B:C,2,0),"")</f>
        <v/>
      </c>
      <c r="I1259" s="3" t="str">
        <f>_xlfn.IFNA(VLOOKUP(E1259,Master!$J:$M,4,0),"")</f>
        <v/>
      </c>
      <c r="J1259" s="3" t="str">
        <f>_xlfn.IFNA(VLOOKUP($E1259,Master!$J:$M,3,0),"")</f>
        <v/>
      </c>
      <c r="AC1259" s="26">
        <f t="shared" si="40"/>
        <v>0</v>
      </c>
      <c r="AD1259" s="26">
        <f t="shared" si="41"/>
        <v>0</v>
      </c>
    </row>
    <row r="1260" spans="2:30" ht="15" customHeight="1">
      <c r="B1260" s="3" t="str">
        <f>_xlfn.IFNA(VLOOKUP(C1260,Master!$J:$K,2,0),"")</f>
        <v/>
      </c>
      <c r="D1260" s="4" t="str">
        <f>_xlfn.IFNA(VLOOKUP(E1260,Master!$J:$K,2,0),"")</f>
        <v/>
      </c>
      <c r="F1260" s="4" t="str">
        <f>_xlfn.IFNA(VLOOKUP(G1260,Master!B:C,2,0),"")</f>
        <v/>
      </c>
      <c r="I1260" s="3" t="str">
        <f>_xlfn.IFNA(VLOOKUP(E1260,Master!$J:$M,4,0),"")</f>
        <v/>
      </c>
      <c r="J1260" s="3" t="str">
        <f>_xlfn.IFNA(VLOOKUP($E1260,Master!$J:$M,3,0),"")</f>
        <v/>
      </c>
      <c r="AC1260" s="26">
        <f t="shared" si="40"/>
        <v>0</v>
      </c>
      <c r="AD1260" s="26">
        <f t="shared" si="41"/>
        <v>0</v>
      </c>
    </row>
    <row r="1261" spans="2:30" ht="15" customHeight="1">
      <c r="B1261" s="3" t="str">
        <f>_xlfn.IFNA(VLOOKUP(C1261,Master!$J:$K,2,0),"")</f>
        <v/>
      </c>
      <c r="D1261" s="4" t="str">
        <f>_xlfn.IFNA(VLOOKUP(E1261,Master!$J:$K,2,0),"")</f>
        <v/>
      </c>
      <c r="F1261" s="4" t="str">
        <f>_xlfn.IFNA(VLOOKUP(G1261,Master!B:C,2,0),"")</f>
        <v/>
      </c>
      <c r="I1261" s="3" t="str">
        <f>_xlfn.IFNA(VLOOKUP(E1261,Master!$J:$M,4,0),"")</f>
        <v/>
      </c>
      <c r="J1261" s="3" t="str">
        <f>_xlfn.IFNA(VLOOKUP($E1261,Master!$J:$M,3,0),"")</f>
        <v/>
      </c>
      <c r="AC1261" s="26">
        <f t="shared" si="40"/>
        <v>0</v>
      </c>
      <c r="AD1261" s="26">
        <f t="shared" si="41"/>
        <v>0</v>
      </c>
    </row>
    <row r="1262" spans="2:30" ht="15" customHeight="1">
      <c r="B1262" s="3" t="str">
        <f>_xlfn.IFNA(VLOOKUP(C1262,Master!$J:$K,2,0),"")</f>
        <v/>
      </c>
      <c r="D1262" s="4" t="str">
        <f>_xlfn.IFNA(VLOOKUP(E1262,Master!$J:$K,2,0),"")</f>
        <v/>
      </c>
      <c r="F1262" s="4" t="str">
        <f>_xlfn.IFNA(VLOOKUP(G1262,Master!B:C,2,0),"")</f>
        <v/>
      </c>
      <c r="I1262" s="3" t="str">
        <f>_xlfn.IFNA(VLOOKUP(E1262,Master!$J:$M,4,0),"")</f>
        <v/>
      </c>
      <c r="J1262" s="3" t="str">
        <f>_xlfn.IFNA(VLOOKUP($E1262,Master!$J:$M,3,0),"")</f>
        <v/>
      </c>
      <c r="AC1262" s="26">
        <f t="shared" si="40"/>
        <v>0</v>
      </c>
      <c r="AD1262" s="26">
        <f t="shared" si="41"/>
        <v>0</v>
      </c>
    </row>
    <row r="1263" spans="2:30" ht="15" customHeight="1">
      <c r="B1263" s="3" t="str">
        <f>_xlfn.IFNA(VLOOKUP(C1263,Master!$J:$K,2,0),"")</f>
        <v/>
      </c>
      <c r="D1263" s="4" t="str">
        <f>_xlfn.IFNA(VLOOKUP(E1263,Master!$J:$K,2,0),"")</f>
        <v/>
      </c>
      <c r="F1263" s="4" t="str">
        <f>_xlfn.IFNA(VLOOKUP(G1263,Master!B:C,2,0),"")</f>
        <v/>
      </c>
      <c r="I1263" s="3" t="str">
        <f>_xlfn.IFNA(VLOOKUP(E1263,Master!$J:$M,4,0),"")</f>
        <v/>
      </c>
      <c r="J1263" s="3" t="str">
        <f>_xlfn.IFNA(VLOOKUP($E1263,Master!$J:$M,3,0),"")</f>
        <v/>
      </c>
      <c r="AC1263" s="26">
        <f t="shared" si="40"/>
        <v>0</v>
      </c>
      <c r="AD1263" s="26">
        <f t="shared" si="41"/>
        <v>0</v>
      </c>
    </row>
    <row r="1264" spans="2:30" ht="15" customHeight="1">
      <c r="B1264" s="3" t="str">
        <f>_xlfn.IFNA(VLOOKUP(C1264,Master!$J:$K,2,0),"")</f>
        <v/>
      </c>
      <c r="D1264" s="4" t="str">
        <f>_xlfn.IFNA(VLOOKUP(E1264,Master!$J:$K,2,0),"")</f>
        <v/>
      </c>
      <c r="F1264" s="4" t="str">
        <f>_xlfn.IFNA(VLOOKUP(G1264,Master!B:C,2,0),"")</f>
        <v/>
      </c>
      <c r="I1264" s="3" t="str">
        <f>_xlfn.IFNA(VLOOKUP(E1264,Master!$J:$M,4,0),"")</f>
        <v/>
      </c>
      <c r="J1264" s="3" t="str">
        <f>_xlfn.IFNA(VLOOKUP($E1264,Master!$J:$M,3,0),"")</f>
        <v/>
      </c>
      <c r="AC1264" s="26">
        <f t="shared" si="40"/>
        <v>0</v>
      </c>
      <c r="AD1264" s="26">
        <f t="shared" si="41"/>
        <v>0</v>
      </c>
    </row>
    <row r="1265" spans="2:30" ht="15" customHeight="1">
      <c r="B1265" s="3" t="str">
        <f>_xlfn.IFNA(VLOOKUP(C1265,Master!$J:$K,2,0),"")</f>
        <v/>
      </c>
      <c r="D1265" s="4" t="str">
        <f>_xlfn.IFNA(VLOOKUP(E1265,Master!$J:$K,2,0),"")</f>
        <v/>
      </c>
      <c r="F1265" s="4" t="str">
        <f>_xlfn.IFNA(VLOOKUP(G1265,Master!B:C,2,0),"")</f>
        <v/>
      </c>
      <c r="I1265" s="3" t="str">
        <f>_xlfn.IFNA(VLOOKUP(E1265,Master!$J:$M,4,0),"")</f>
        <v/>
      </c>
      <c r="J1265" s="3" t="str">
        <f>_xlfn.IFNA(VLOOKUP($E1265,Master!$J:$M,3,0),"")</f>
        <v/>
      </c>
      <c r="AC1265" s="26">
        <f t="shared" si="40"/>
        <v>0</v>
      </c>
      <c r="AD1265" s="26">
        <f t="shared" si="41"/>
        <v>0</v>
      </c>
    </row>
    <row r="1266" spans="2:30" ht="15" customHeight="1">
      <c r="B1266" s="3" t="str">
        <f>_xlfn.IFNA(VLOOKUP(C1266,Master!$J:$K,2,0),"")</f>
        <v/>
      </c>
      <c r="D1266" s="4" t="str">
        <f>_xlfn.IFNA(VLOOKUP(E1266,Master!$J:$K,2,0),"")</f>
        <v/>
      </c>
      <c r="F1266" s="4" t="str">
        <f>_xlfn.IFNA(VLOOKUP(G1266,Master!B:C,2,0),"")</f>
        <v/>
      </c>
      <c r="I1266" s="3" t="str">
        <f>_xlfn.IFNA(VLOOKUP(E1266,Master!$J:$M,4,0),"")</f>
        <v/>
      </c>
      <c r="J1266" s="3" t="str">
        <f>_xlfn.IFNA(VLOOKUP($E1266,Master!$J:$M,3,0),"")</f>
        <v/>
      </c>
      <c r="AC1266" s="26">
        <f t="shared" si="40"/>
        <v>0</v>
      </c>
      <c r="AD1266" s="26">
        <f t="shared" si="41"/>
        <v>0</v>
      </c>
    </row>
    <row r="1267" spans="2:30" ht="15" customHeight="1">
      <c r="B1267" s="3" t="str">
        <f>_xlfn.IFNA(VLOOKUP(C1267,Master!$J:$K,2,0),"")</f>
        <v/>
      </c>
      <c r="D1267" s="4" t="str">
        <f>_xlfn.IFNA(VLOOKUP(E1267,Master!$J:$K,2,0),"")</f>
        <v/>
      </c>
      <c r="F1267" s="4" t="str">
        <f>_xlfn.IFNA(VLOOKUP(G1267,Master!B:C,2,0),"")</f>
        <v/>
      </c>
      <c r="I1267" s="3" t="str">
        <f>_xlfn.IFNA(VLOOKUP(E1267,Master!$J:$M,4,0),"")</f>
        <v/>
      </c>
      <c r="J1267" s="3" t="str">
        <f>_xlfn.IFNA(VLOOKUP($E1267,Master!$J:$M,3,0),"")</f>
        <v/>
      </c>
      <c r="AC1267" s="26">
        <f t="shared" si="40"/>
        <v>0</v>
      </c>
      <c r="AD1267" s="26">
        <f t="shared" si="41"/>
        <v>0</v>
      </c>
    </row>
    <row r="1268" spans="2:30" ht="15" customHeight="1">
      <c r="B1268" s="3" t="str">
        <f>_xlfn.IFNA(VLOOKUP(C1268,Master!$J:$K,2,0),"")</f>
        <v/>
      </c>
      <c r="D1268" s="4" t="str">
        <f>_xlfn.IFNA(VLOOKUP(E1268,Master!$J:$K,2,0),"")</f>
        <v/>
      </c>
      <c r="F1268" s="4" t="str">
        <f>_xlfn.IFNA(VLOOKUP(G1268,Master!B:C,2,0),"")</f>
        <v/>
      </c>
      <c r="I1268" s="3" t="str">
        <f>_xlfn.IFNA(VLOOKUP(E1268,Master!$J:$M,4,0),"")</f>
        <v/>
      </c>
      <c r="J1268" s="3" t="str">
        <f>_xlfn.IFNA(VLOOKUP($E1268,Master!$J:$M,3,0),"")</f>
        <v/>
      </c>
      <c r="AC1268" s="26">
        <f t="shared" si="40"/>
        <v>0</v>
      </c>
      <c r="AD1268" s="26">
        <f t="shared" si="41"/>
        <v>0</v>
      </c>
    </row>
    <row r="1269" spans="2:30" ht="15" customHeight="1">
      <c r="B1269" s="3" t="str">
        <f>_xlfn.IFNA(VLOOKUP(C1269,Master!$J:$K,2,0),"")</f>
        <v/>
      </c>
      <c r="D1269" s="4" t="str">
        <f>_xlfn.IFNA(VLOOKUP(E1269,Master!$J:$K,2,0),"")</f>
        <v/>
      </c>
      <c r="F1269" s="4" t="str">
        <f>_xlfn.IFNA(VLOOKUP(G1269,Master!B:C,2,0),"")</f>
        <v/>
      </c>
      <c r="I1269" s="3" t="str">
        <f>_xlfn.IFNA(VLOOKUP(E1269,Master!$J:$M,4,0),"")</f>
        <v/>
      </c>
      <c r="J1269" s="3" t="str">
        <f>_xlfn.IFNA(VLOOKUP($E1269,Master!$J:$M,3,0),"")</f>
        <v/>
      </c>
      <c r="AC1269" s="26">
        <f t="shared" si="40"/>
        <v>0</v>
      </c>
      <c r="AD1269" s="26">
        <f t="shared" si="41"/>
        <v>0</v>
      </c>
    </row>
    <row r="1270" spans="2:30" ht="15" customHeight="1">
      <c r="B1270" s="3" t="str">
        <f>_xlfn.IFNA(VLOOKUP(C1270,Master!$J:$K,2,0),"")</f>
        <v/>
      </c>
      <c r="D1270" s="4" t="str">
        <f>_xlfn.IFNA(VLOOKUP(E1270,Master!$J:$K,2,0),"")</f>
        <v/>
      </c>
      <c r="F1270" s="4" t="str">
        <f>_xlfn.IFNA(VLOOKUP(G1270,Master!B:C,2,0),"")</f>
        <v/>
      </c>
      <c r="I1270" s="3" t="str">
        <f>_xlfn.IFNA(VLOOKUP(E1270,Master!$J:$M,4,0),"")</f>
        <v/>
      </c>
      <c r="J1270" s="3" t="str">
        <f>_xlfn.IFNA(VLOOKUP($E1270,Master!$J:$M,3,0),"")</f>
        <v/>
      </c>
      <c r="AC1270" s="26">
        <f t="shared" si="40"/>
        <v>0</v>
      </c>
      <c r="AD1270" s="26">
        <f t="shared" si="41"/>
        <v>0</v>
      </c>
    </row>
    <row r="1271" spans="2:30" ht="15" customHeight="1">
      <c r="B1271" s="3" t="str">
        <f>_xlfn.IFNA(VLOOKUP(C1271,Master!$J:$K,2,0),"")</f>
        <v/>
      </c>
      <c r="D1271" s="4" t="str">
        <f>_xlfn.IFNA(VLOOKUP(E1271,Master!$J:$K,2,0),"")</f>
        <v/>
      </c>
      <c r="F1271" s="4" t="str">
        <f>_xlfn.IFNA(VLOOKUP(G1271,Master!B:C,2,0),"")</f>
        <v/>
      </c>
      <c r="I1271" s="3" t="str">
        <f>_xlfn.IFNA(VLOOKUP(E1271,Master!$J:$M,4,0),"")</f>
        <v/>
      </c>
      <c r="J1271" s="3" t="str">
        <f>_xlfn.IFNA(VLOOKUP($E1271,Master!$J:$M,3,0),"")</f>
        <v/>
      </c>
      <c r="AC1271" s="26">
        <f t="shared" si="40"/>
        <v>0</v>
      </c>
      <c r="AD1271" s="26">
        <f t="shared" si="41"/>
        <v>0</v>
      </c>
    </row>
    <row r="1272" spans="2:30" ht="15" customHeight="1">
      <c r="B1272" s="3" t="str">
        <f>_xlfn.IFNA(VLOOKUP(C1272,Master!$J:$K,2,0),"")</f>
        <v/>
      </c>
      <c r="D1272" s="4" t="str">
        <f>_xlfn.IFNA(VLOOKUP(E1272,Master!$J:$K,2,0),"")</f>
        <v/>
      </c>
      <c r="F1272" s="4" t="str">
        <f>_xlfn.IFNA(VLOOKUP(G1272,Master!B:C,2,0),"")</f>
        <v/>
      </c>
      <c r="I1272" s="3" t="str">
        <f>_xlfn.IFNA(VLOOKUP(E1272,Master!$J:$M,4,0),"")</f>
        <v/>
      </c>
      <c r="J1272" s="3" t="str">
        <f>_xlfn.IFNA(VLOOKUP($E1272,Master!$J:$M,3,0),"")</f>
        <v/>
      </c>
      <c r="AC1272" s="26">
        <f t="shared" si="40"/>
        <v>0</v>
      </c>
      <c r="AD1272" s="26">
        <f t="shared" si="41"/>
        <v>0</v>
      </c>
    </row>
    <row r="1273" spans="2:30" ht="15" customHeight="1">
      <c r="B1273" s="3" t="str">
        <f>_xlfn.IFNA(VLOOKUP(C1273,Master!$J:$K,2,0),"")</f>
        <v/>
      </c>
      <c r="D1273" s="4" t="str">
        <f>_xlfn.IFNA(VLOOKUP(E1273,Master!$J:$K,2,0),"")</f>
        <v/>
      </c>
      <c r="F1273" s="4" t="str">
        <f>_xlfn.IFNA(VLOOKUP(G1273,Master!B:C,2,0),"")</f>
        <v/>
      </c>
      <c r="I1273" s="3" t="str">
        <f>_xlfn.IFNA(VLOOKUP(E1273,Master!$J:$M,4,0),"")</f>
        <v/>
      </c>
      <c r="J1273" s="3" t="str">
        <f>_xlfn.IFNA(VLOOKUP($E1273,Master!$J:$M,3,0),"")</f>
        <v/>
      </c>
      <c r="AC1273" s="26">
        <f t="shared" si="40"/>
        <v>0</v>
      </c>
      <c r="AD1273" s="26">
        <f t="shared" si="41"/>
        <v>0</v>
      </c>
    </row>
    <row r="1274" spans="2:30" ht="15" customHeight="1">
      <c r="B1274" s="3" t="str">
        <f>_xlfn.IFNA(VLOOKUP(C1274,Master!$J:$K,2,0),"")</f>
        <v/>
      </c>
      <c r="D1274" s="4" t="str">
        <f>_xlfn.IFNA(VLOOKUP(E1274,Master!$J:$K,2,0),"")</f>
        <v/>
      </c>
      <c r="F1274" s="4" t="str">
        <f>_xlfn.IFNA(VLOOKUP(G1274,Master!B:C,2,0),"")</f>
        <v/>
      </c>
      <c r="I1274" s="3" t="str">
        <f>_xlfn.IFNA(VLOOKUP(E1274,Master!$J:$M,4,0),"")</f>
        <v/>
      </c>
      <c r="J1274" s="3" t="str">
        <f>_xlfn.IFNA(VLOOKUP($E1274,Master!$J:$M,3,0),"")</f>
        <v/>
      </c>
      <c r="AC1274" s="26">
        <f t="shared" si="40"/>
        <v>0</v>
      </c>
      <c r="AD1274" s="26">
        <f t="shared" si="41"/>
        <v>0</v>
      </c>
    </row>
    <row r="1275" spans="2:30" ht="15" customHeight="1">
      <c r="B1275" s="3" t="str">
        <f>_xlfn.IFNA(VLOOKUP(C1275,Master!$J:$K,2,0),"")</f>
        <v/>
      </c>
      <c r="D1275" s="4" t="str">
        <f>_xlfn.IFNA(VLOOKUP(E1275,Master!$J:$K,2,0),"")</f>
        <v/>
      </c>
      <c r="F1275" s="4" t="str">
        <f>_xlfn.IFNA(VLOOKUP(G1275,Master!B:C,2,0),"")</f>
        <v/>
      </c>
      <c r="I1275" s="3" t="str">
        <f>_xlfn.IFNA(VLOOKUP(E1275,Master!$J:$M,4,0),"")</f>
        <v/>
      </c>
      <c r="J1275" s="3" t="str">
        <f>_xlfn.IFNA(VLOOKUP($E1275,Master!$J:$M,3,0),"")</f>
        <v/>
      </c>
      <c r="AC1275" s="26">
        <f t="shared" si="40"/>
        <v>0</v>
      </c>
      <c r="AD1275" s="26">
        <f t="shared" si="41"/>
        <v>0</v>
      </c>
    </row>
    <row r="1276" spans="2:30" ht="15" customHeight="1">
      <c r="B1276" s="3" t="str">
        <f>_xlfn.IFNA(VLOOKUP(C1276,Master!$J:$K,2,0),"")</f>
        <v/>
      </c>
      <c r="D1276" s="4" t="str">
        <f>_xlfn.IFNA(VLOOKUP(E1276,Master!$J:$K,2,0),"")</f>
        <v/>
      </c>
      <c r="F1276" s="4" t="str">
        <f>_xlfn.IFNA(VLOOKUP(G1276,Master!B:C,2,0),"")</f>
        <v/>
      </c>
      <c r="I1276" s="3" t="str">
        <f>_xlfn.IFNA(VLOOKUP(E1276,Master!$J:$M,4,0),"")</f>
        <v/>
      </c>
      <c r="J1276" s="3" t="str">
        <f>_xlfn.IFNA(VLOOKUP($E1276,Master!$J:$M,3,0),"")</f>
        <v/>
      </c>
      <c r="AC1276" s="26">
        <f t="shared" si="40"/>
        <v>0</v>
      </c>
      <c r="AD1276" s="26">
        <f t="shared" si="41"/>
        <v>0</v>
      </c>
    </row>
    <row r="1277" spans="2:30" ht="15" customHeight="1">
      <c r="B1277" s="3" t="str">
        <f>_xlfn.IFNA(VLOOKUP(C1277,Master!$J:$K,2,0),"")</f>
        <v/>
      </c>
      <c r="D1277" s="4" t="str">
        <f>_xlfn.IFNA(VLOOKUP(E1277,Master!$J:$K,2,0),"")</f>
        <v/>
      </c>
      <c r="F1277" s="4" t="str">
        <f>_xlfn.IFNA(VLOOKUP(G1277,Master!B:C,2,0),"")</f>
        <v/>
      </c>
      <c r="I1277" s="3" t="str">
        <f>_xlfn.IFNA(VLOOKUP(E1277,Master!$J:$M,4,0),"")</f>
        <v/>
      </c>
      <c r="J1277" s="3" t="str">
        <f>_xlfn.IFNA(VLOOKUP($E1277,Master!$J:$M,3,0),"")</f>
        <v/>
      </c>
      <c r="AC1277" s="26">
        <f t="shared" si="40"/>
        <v>0</v>
      </c>
      <c r="AD1277" s="26">
        <f t="shared" si="41"/>
        <v>0</v>
      </c>
    </row>
    <row r="1278" spans="2:30" ht="15" customHeight="1">
      <c r="B1278" s="3" t="str">
        <f>_xlfn.IFNA(VLOOKUP(C1278,Master!$J:$K,2,0),"")</f>
        <v/>
      </c>
      <c r="D1278" s="4" t="str">
        <f>_xlfn.IFNA(VLOOKUP(E1278,Master!$J:$K,2,0),"")</f>
        <v/>
      </c>
      <c r="F1278" s="4" t="str">
        <f>_xlfn.IFNA(VLOOKUP(G1278,Master!B:C,2,0),"")</f>
        <v/>
      </c>
      <c r="I1278" s="3" t="str">
        <f>_xlfn.IFNA(VLOOKUP(E1278,Master!$J:$M,4,0),"")</f>
        <v/>
      </c>
      <c r="J1278" s="3" t="str">
        <f>_xlfn.IFNA(VLOOKUP($E1278,Master!$J:$M,3,0),"")</f>
        <v/>
      </c>
      <c r="AC1278" s="26">
        <f t="shared" si="40"/>
        <v>0</v>
      </c>
      <c r="AD1278" s="26">
        <f t="shared" si="41"/>
        <v>0</v>
      </c>
    </row>
    <row r="1279" spans="2:30" ht="15" customHeight="1">
      <c r="B1279" s="3" t="str">
        <f>_xlfn.IFNA(VLOOKUP(C1279,Master!$J:$K,2,0),"")</f>
        <v/>
      </c>
      <c r="D1279" s="4" t="str">
        <f>_xlfn.IFNA(VLOOKUP(E1279,Master!$J:$K,2,0),"")</f>
        <v/>
      </c>
      <c r="F1279" s="4" t="str">
        <f>_xlfn.IFNA(VLOOKUP(G1279,Master!B:C,2,0),"")</f>
        <v/>
      </c>
      <c r="I1279" s="3" t="str">
        <f>_xlfn.IFNA(VLOOKUP(E1279,Master!$J:$M,4,0),"")</f>
        <v/>
      </c>
      <c r="J1279" s="3" t="str">
        <f>_xlfn.IFNA(VLOOKUP($E1279,Master!$J:$M,3,0),"")</f>
        <v/>
      </c>
      <c r="AC1279" s="26">
        <f t="shared" si="40"/>
        <v>0</v>
      </c>
      <c r="AD1279" s="26">
        <f t="shared" si="41"/>
        <v>0</v>
      </c>
    </row>
    <row r="1280" spans="2:30" ht="15" customHeight="1">
      <c r="B1280" s="3" t="str">
        <f>_xlfn.IFNA(VLOOKUP(C1280,Master!$J:$K,2,0),"")</f>
        <v/>
      </c>
      <c r="D1280" s="4" t="str">
        <f>_xlfn.IFNA(VLOOKUP(E1280,Master!$J:$K,2,0),"")</f>
        <v/>
      </c>
      <c r="F1280" s="4" t="str">
        <f>_xlfn.IFNA(VLOOKUP(G1280,Master!B:C,2,0),"")</f>
        <v/>
      </c>
      <c r="I1280" s="3" t="str">
        <f>_xlfn.IFNA(VLOOKUP(E1280,Master!$J:$M,4,0),"")</f>
        <v/>
      </c>
      <c r="J1280" s="3" t="str">
        <f>_xlfn.IFNA(VLOOKUP($E1280,Master!$J:$M,3,0),"")</f>
        <v/>
      </c>
      <c r="AC1280" s="26">
        <f t="shared" si="40"/>
        <v>0</v>
      </c>
      <c r="AD1280" s="26">
        <f t="shared" si="41"/>
        <v>0</v>
      </c>
    </row>
    <row r="1281" spans="2:30" ht="15" customHeight="1">
      <c r="B1281" s="3" t="str">
        <f>_xlfn.IFNA(VLOOKUP(C1281,Master!$J:$K,2,0),"")</f>
        <v/>
      </c>
      <c r="D1281" s="4" t="str">
        <f>_xlfn.IFNA(VLOOKUP(E1281,Master!$J:$K,2,0),"")</f>
        <v/>
      </c>
      <c r="F1281" s="4" t="str">
        <f>_xlfn.IFNA(VLOOKUP(G1281,Master!B:C,2,0),"")</f>
        <v/>
      </c>
      <c r="I1281" s="3" t="str">
        <f>_xlfn.IFNA(VLOOKUP(E1281,Master!$J:$M,4,0),"")</f>
        <v/>
      </c>
      <c r="J1281" s="3" t="str">
        <f>_xlfn.IFNA(VLOOKUP($E1281,Master!$J:$M,3,0),"")</f>
        <v/>
      </c>
      <c r="AC1281" s="26">
        <f t="shared" si="40"/>
        <v>0</v>
      </c>
      <c r="AD1281" s="26">
        <f t="shared" si="41"/>
        <v>0</v>
      </c>
    </row>
    <row r="1282" spans="2:30" ht="15" customHeight="1">
      <c r="B1282" s="3" t="str">
        <f>_xlfn.IFNA(VLOOKUP(C1282,Master!$J:$K,2,0),"")</f>
        <v/>
      </c>
      <c r="D1282" s="4" t="str">
        <f>_xlfn.IFNA(VLOOKUP(E1282,Master!$J:$K,2,0),"")</f>
        <v/>
      </c>
      <c r="F1282" s="4" t="str">
        <f>_xlfn.IFNA(VLOOKUP(G1282,Master!B:C,2,0),"")</f>
        <v/>
      </c>
      <c r="I1282" s="3" t="str">
        <f>_xlfn.IFNA(VLOOKUP(E1282,Master!$J:$M,4,0),"")</f>
        <v/>
      </c>
      <c r="J1282" s="3" t="str">
        <f>_xlfn.IFNA(VLOOKUP($E1282,Master!$J:$M,3,0),"")</f>
        <v/>
      </c>
      <c r="AC1282" s="26">
        <f t="shared" si="40"/>
        <v>0</v>
      </c>
      <c r="AD1282" s="26">
        <f t="shared" si="41"/>
        <v>0</v>
      </c>
    </row>
    <row r="1283" spans="2:30" ht="15" customHeight="1">
      <c r="B1283" s="3" t="str">
        <f>_xlfn.IFNA(VLOOKUP(C1283,Master!$J:$K,2,0),"")</f>
        <v/>
      </c>
      <c r="D1283" s="4" t="str">
        <f>_xlfn.IFNA(VLOOKUP(E1283,Master!$J:$K,2,0),"")</f>
        <v/>
      </c>
      <c r="F1283" s="4" t="str">
        <f>_xlfn.IFNA(VLOOKUP(G1283,Master!B:C,2,0),"")</f>
        <v/>
      </c>
      <c r="I1283" s="3" t="str">
        <f>_xlfn.IFNA(VLOOKUP(E1283,Master!$J:$M,4,0),"")</f>
        <v/>
      </c>
      <c r="J1283" s="3" t="str">
        <f>_xlfn.IFNA(VLOOKUP($E1283,Master!$J:$M,3,0),"")</f>
        <v/>
      </c>
      <c r="AC1283" s="26">
        <f t="shared" si="40"/>
        <v>0</v>
      </c>
      <c r="AD1283" s="26">
        <f t="shared" si="41"/>
        <v>0</v>
      </c>
    </row>
    <row r="1284" spans="2:30" ht="15" customHeight="1">
      <c r="B1284" s="3" t="str">
        <f>_xlfn.IFNA(VLOOKUP(C1284,Master!$J:$K,2,0),"")</f>
        <v/>
      </c>
      <c r="D1284" s="4" t="str">
        <f>_xlfn.IFNA(VLOOKUP(E1284,Master!$J:$K,2,0),"")</f>
        <v/>
      </c>
      <c r="F1284" s="4" t="str">
        <f>_xlfn.IFNA(VLOOKUP(G1284,Master!B:C,2,0),"")</f>
        <v/>
      </c>
      <c r="I1284" s="3" t="str">
        <f>_xlfn.IFNA(VLOOKUP(E1284,Master!$J:$M,4,0),"")</f>
        <v/>
      </c>
      <c r="J1284" s="3" t="str">
        <f>_xlfn.IFNA(VLOOKUP($E1284,Master!$J:$M,3,0),"")</f>
        <v/>
      </c>
      <c r="AC1284" s="26">
        <f t="shared" si="40"/>
        <v>0</v>
      </c>
      <c r="AD1284" s="26">
        <f t="shared" si="41"/>
        <v>0</v>
      </c>
    </row>
    <row r="1285" spans="2:30" ht="15" customHeight="1">
      <c r="B1285" s="3" t="str">
        <f>_xlfn.IFNA(VLOOKUP(C1285,Master!$J:$K,2,0),"")</f>
        <v/>
      </c>
      <c r="D1285" s="4" t="str">
        <f>_xlfn.IFNA(VLOOKUP(E1285,Master!$J:$K,2,0),"")</f>
        <v/>
      </c>
      <c r="F1285" s="4" t="str">
        <f>_xlfn.IFNA(VLOOKUP(G1285,Master!B:C,2,0),"")</f>
        <v/>
      </c>
      <c r="I1285" s="3" t="str">
        <f>_xlfn.IFNA(VLOOKUP(E1285,Master!$J:$M,4,0),"")</f>
        <v/>
      </c>
      <c r="J1285" s="3" t="str">
        <f>_xlfn.IFNA(VLOOKUP($E1285,Master!$J:$M,3,0),"")</f>
        <v/>
      </c>
      <c r="AC1285" s="26">
        <f t="shared" si="40"/>
        <v>0</v>
      </c>
      <c r="AD1285" s="26">
        <f t="shared" si="41"/>
        <v>0</v>
      </c>
    </row>
    <row r="1286" spans="2:30" ht="15" customHeight="1">
      <c r="B1286" s="3" t="str">
        <f>_xlfn.IFNA(VLOOKUP(C1286,Master!$J:$K,2,0),"")</f>
        <v/>
      </c>
      <c r="D1286" s="4" t="str">
        <f>_xlfn.IFNA(VLOOKUP(E1286,Master!$J:$K,2,0),"")</f>
        <v/>
      </c>
      <c r="F1286" s="4" t="str">
        <f>_xlfn.IFNA(VLOOKUP(G1286,Master!B:C,2,0),"")</f>
        <v/>
      </c>
      <c r="I1286" s="3" t="str">
        <f>_xlfn.IFNA(VLOOKUP(E1286,Master!$J:$M,4,0),"")</f>
        <v/>
      </c>
      <c r="J1286" s="3" t="str">
        <f>_xlfn.IFNA(VLOOKUP($E1286,Master!$J:$M,3,0),"")</f>
        <v/>
      </c>
      <c r="AC1286" s="26">
        <f t="shared" si="40"/>
        <v>0</v>
      </c>
      <c r="AD1286" s="26">
        <f t="shared" si="41"/>
        <v>0</v>
      </c>
    </row>
    <row r="1287" spans="2:30" ht="15" customHeight="1">
      <c r="B1287" s="3" t="str">
        <f>_xlfn.IFNA(VLOOKUP(C1287,Master!$J:$K,2,0),"")</f>
        <v/>
      </c>
      <c r="D1287" s="4" t="str">
        <f>_xlfn.IFNA(VLOOKUP(E1287,Master!$J:$K,2,0),"")</f>
        <v/>
      </c>
      <c r="F1287" s="4" t="str">
        <f>_xlfn.IFNA(VLOOKUP(G1287,Master!B:C,2,0),"")</f>
        <v/>
      </c>
      <c r="I1287" s="3" t="str">
        <f>_xlfn.IFNA(VLOOKUP(E1287,Master!$J:$M,4,0),"")</f>
        <v/>
      </c>
      <c r="J1287" s="3" t="str">
        <f>_xlfn.IFNA(VLOOKUP($E1287,Master!$J:$M,3,0),"")</f>
        <v/>
      </c>
      <c r="AC1287" s="26">
        <f t="shared" si="40"/>
        <v>0</v>
      </c>
      <c r="AD1287" s="26">
        <f t="shared" si="41"/>
        <v>0</v>
      </c>
    </row>
    <row r="1288" spans="2:30" ht="15" customHeight="1">
      <c r="B1288" s="3" t="str">
        <f>_xlfn.IFNA(VLOOKUP(C1288,Master!$J:$K,2,0),"")</f>
        <v/>
      </c>
      <c r="D1288" s="4" t="str">
        <f>_xlfn.IFNA(VLOOKUP(E1288,Master!$J:$K,2,0),"")</f>
        <v/>
      </c>
      <c r="F1288" s="4" t="str">
        <f>_xlfn.IFNA(VLOOKUP(G1288,Master!B:C,2,0),"")</f>
        <v/>
      </c>
      <c r="I1288" s="3" t="str">
        <f>_xlfn.IFNA(VLOOKUP(E1288,Master!$J:$M,4,0),"")</f>
        <v/>
      </c>
      <c r="J1288" s="3" t="str">
        <f>_xlfn.IFNA(VLOOKUP($E1288,Master!$J:$M,3,0),"")</f>
        <v/>
      </c>
      <c r="AC1288" s="26">
        <f t="shared" si="40"/>
        <v>0</v>
      </c>
      <c r="AD1288" s="26">
        <f t="shared" si="41"/>
        <v>0</v>
      </c>
    </row>
    <row r="1289" spans="2:30" ht="15" customHeight="1">
      <c r="B1289" s="3" t="str">
        <f>_xlfn.IFNA(VLOOKUP(C1289,Master!$J:$K,2,0),"")</f>
        <v/>
      </c>
      <c r="D1289" s="4" t="str">
        <f>_xlfn.IFNA(VLOOKUP(E1289,Master!$J:$K,2,0),"")</f>
        <v/>
      </c>
      <c r="F1289" s="4" t="str">
        <f>_xlfn.IFNA(VLOOKUP(G1289,Master!B:C,2,0),"")</f>
        <v/>
      </c>
      <c r="I1289" s="3" t="str">
        <f>_xlfn.IFNA(VLOOKUP(E1289,Master!$J:$M,4,0),"")</f>
        <v/>
      </c>
      <c r="J1289" s="3" t="str">
        <f>_xlfn.IFNA(VLOOKUP($E1289,Master!$J:$M,3,0),"")</f>
        <v/>
      </c>
      <c r="AC1289" s="26">
        <f t="shared" si="40"/>
        <v>0</v>
      </c>
      <c r="AD1289" s="26">
        <f t="shared" si="41"/>
        <v>0</v>
      </c>
    </row>
    <row r="1290" spans="2:30" ht="15" customHeight="1">
      <c r="B1290" s="3" t="str">
        <f>_xlfn.IFNA(VLOOKUP(C1290,Master!$J:$K,2,0),"")</f>
        <v/>
      </c>
      <c r="D1290" s="4" t="str">
        <f>_xlfn.IFNA(VLOOKUP(E1290,Master!$J:$K,2,0),"")</f>
        <v/>
      </c>
      <c r="F1290" s="4" t="str">
        <f>_xlfn.IFNA(VLOOKUP(G1290,Master!B:C,2,0),"")</f>
        <v/>
      </c>
      <c r="I1290" s="3" t="str">
        <f>_xlfn.IFNA(VLOOKUP(E1290,Master!$J:$M,4,0),"")</f>
        <v/>
      </c>
      <c r="J1290" s="3" t="str">
        <f>_xlfn.IFNA(VLOOKUP($E1290,Master!$J:$M,3,0),"")</f>
        <v/>
      </c>
      <c r="AC1290" s="26">
        <f t="shared" si="40"/>
        <v>0</v>
      </c>
      <c r="AD1290" s="26">
        <f t="shared" si="41"/>
        <v>0</v>
      </c>
    </row>
    <row r="1291" spans="2:30" ht="15" customHeight="1">
      <c r="B1291" s="3" t="str">
        <f>_xlfn.IFNA(VLOOKUP(C1291,Master!$J:$K,2,0),"")</f>
        <v/>
      </c>
      <c r="D1291" s="4" t="str">
        <f>_xlfn.IFNA(VLOOKUP(E1291,Master!$J:$K,2,0),"")</f>
        <v/>
      </c>
      <c r="F1291" s="4" t="str">
        <f>_xlfn.IFNA(VLOOKUP(G1291,Master!B:C,2,0),"")</f>
        <v/>
      </c>
      <c r="I1291" s="3" t="str">
        <f>_xlfn.IFNA(VLOOKUP(E1291,Master!$J:$M,4,0),"")</f>
        <v/>
      </c>
      <c r="J1291" s="3" t="str">
        <f>_xlfn.IFNA(VLOOKUP($E1291,Master!$J:$M,3,0),"")</f>
        <v/>
      </c>
      <c r="AC1291" s="26">
        <f t="shared" si="40"/>
        <v>0</v>
      </c>
      <c r="AD1291" s="26">
        <f t="shared" si="41"/>
        <v>0</v>
      </c>
    </row>
    <row r="1292" spans="2:30" ht="15" customHeight="1">
      <c r="B1292" s="3" t="str">
        <f>_xlfn.IFNA(VLOOKUP(C1292,Master!$J:$K,2,0),"")</f>
        <v/>
      </c>
      <c r="D1292" s="4" t="str">
        <f>_xlfn.IFNA(VLOOKUP(E1292,Master!$J:$K,2,0),"")</f>
        <v/>
      </c>
      <c r="F1292" s="4" t="str">
        <f>_xlfn.IFNA(VLOOKUP(G1292,Master!B:C,2,0),"")</f>
        <v/>
      </c>
      <c r="I1292" s="3" t="str">
        <f>_xlfn.IFNA(VLOOKUP(E1292,Master!$J:$M,4,0),"")</f>
        <v/>
      </c>
      <c r="J1292" s="3" t="str">
        <f>_xlfn.IFNA(VLOOKUP($E1292,Master!$J:$M,3,0),"")</f>
        <v/>
      </c>
      <c r="AC1292" s="26">
        <f t="shared" si="40"/>
        <v>0</v>
      </c>
      <c r="AD1292" s="26">
        <f t="shared" si="41"/>
        <v>0</v>
      </c>
    </row>
    <row r="1293" spans="2:30" ht="15" customHeight="1">
      <c r="B1293" s="3" t="str">
        <f>_xlfn.IFNA(VLOOKUP(C1293,Master!$J:$K,2,0),"")</f>
        <v/>
      </c>
      <c r="D1293" s="4" t="str">
        <f>_xlfn.IFNA(VLOOKUP(E1293,Master!$J:$K,2,0),"")</f>
        <v/>
      </c>
      <c r="F1293" s="4" t="str">
        <f>_xlfn.IFNA(VLOOKUP(G1293,Master!B:C,2,0),"")</f>
        <v/>
      </c>
      <c r="I1293" s="3" t="str">
        <f>_xlfn.IFNA(VLOOKUP(E1293,Master!$J:$M,4,0),"")</f>
        <v/>
      </c>
      <c r="J1293" s="3" t="str">
        <f>_xlfn.IFNA(VLOOKUP($E1293,Master!$J:$M,3,0),"")</f>
        <v/>
      </c>
      <c r="AC1293" s="26">
        <f t="shared" ref="AC1293:AC1356" si="42">SUM(K1293:P1293)</f>
        <v>0</v>
      </c>
      <c r="AD1293" s="26">
        <f t="shared" ref="AD1293:AD1356" si="43">SUM(Q1293:AB1293)</f>
        <v>0</v>
      </c>
    </row>
    <row r="1294" spans="2:30" ht="15" customHeight="1">
      <c r="B1294" s="3" t="str">
        <f>_xlfn.IFNA(VLOOKUP(C1294,Master!$J:$K,2,0),"")</f>
        <v/>
      </c>
      <c r="D1294" s="4" t="str">
        <f>_xlfn.IFNA(VLOOKUP(E1294,Master!$J:$K,2,0),"")</f>
        <v/>
      </c>
      <c r="F1294" s="4" t="str">
        <f>_xlfn.IFNA(VLOOKUP(G1294,Master!B:C,2,0),"")</f>
        <v/>
      </c>
      <c r="I1294" s="3" t="str">
        <f>_xlfn.IFNA(VLOOKUP(E1294,Master!$J:$M,4,0),"")</f>
        <v/>
      </c>
      <c r="J1294" s="3" t="str">
        <f>_xlfn.IFNA(VLOOKUP($E1294,Master!$J:$M,3,0),"")</f>
        <v/>
      </c>
      <c r="AC1294" s="26">
        <f t="shared" si="42"/>
        <v>0</v>
      </c>
      <c r="AD1294" s="26">
        <f t="shared" si="43"/>
        <v>0</v>
      </c>
    </row>
    <row r="1295" spans="2:30" ht="15" customHeight="1">
      <c r="B1295" s="3" t="str">
        <f>_xlfn.IFNA(VLOOKUP(C1295,Master!$J:$K,2,0),"")</f>
        <v/>
      </c>
      <c r="D1295" s="4" t="str">
        <f>_xlfn.IFNA(VLOOKUP(E1295,Master!$J:$K,2,0),"")</f>
        <v/>
      </c>
      <c r="F1295" s="4" t="str">
        <f>_xlfn.IFNA(VLOOKUP(G1295,Master!B:C,2,0),"")</f>
        <v/>
      </c>
      <c r="I1295" s="3" t="str">
        <f>_xlfn.IFNA(VLOOKUP(E1295,Master!$J:$M,4,0),"")</f>
        <v/>
      </c>
      <c r="J1295" s="3" t="str">
        <f>_xlfn.IFNA(VLOOKUP($E1295,Master!$J:$M,3,0),"")</f>
        <v/>
      </c>
      <c r="AC1295" s="26">
        <f t="shared" si="42"/>
        <v>0</v>
      </c>
      <c r="AD1295" s="26">
        <f t="shared" si="43"/>
        <v>0</v>
      </c>
    </row>
    <row r="1296" spans="2:30" ht="15" customHeight="1">
      <c r="B1296" s="3" t="str">
        <f>_xlfn.IFNA(VLOOKUP(C1296,Master!$J:$K,2,0),"")</f>
        <v/>
      </c>
      <c r="D1296" s="4" t="str">
        <f>_xlfn.IFNA(VLOOKUP(E1296,Master!$J:$K,2,0),"")</f>
        <v/>
      </c>
      <c r="F1296" s="4" t="str">
        <f>_xlfn.IFNA(VLOOKUP(G1296,Master!B:C,2,0),"")</f>
        <v/>
      </c>
      <c r="I1296" s="3" t="str">
        <f>_xlfn.IFNA(VLOOKUP(E1296,Master!$J:$M,4,0),"")</f>
        <v/>
      </c>
      <c r="J1296" s="3" t="str">
        <f>_xlfn.IFNA(VLOOKUP($E1296,Master!$J:$M,3,0),"")</f>
        <v/>
      </c>
      <c r="AC1296" s="26">
        <f t="shared" si="42"/>
        <v>0</v>
      </c>
      <c r="AD1296" s="26">
        <f t="shared" si="43"/>
        <v>0</v>
      </c>
    </row>
    <row r="1297" spans="2:30" ht="15" customHeight="1">
      <c r="B1297" s="3" t="str">
        <f>_xlfn.IFNA(VLOOKUP(C1297,Master!$J:$K,2,0),"")</f>
        <v/>
      </c>
      <c r="D1297" s="4" t="str">
        <f>_xlfn.IFNA(VLOOKUP(E1297,Master!$J:$K,2,0),"")</f>
        <v/>
      </c>
      <c r="F1297" s="4" t="str">
        <f>_xlfn.IFNA(VLOOKUP(G1297,Master!B:C,2,0),"")</f>
        <v/>
      </c>
      <c r="I1297" s="3" t="str">
        <f>_xlfn.IFNA(VLOOKUP(E1297,Master!$J:$M,4,0),"")</f>
        <v/>
      </c>
      <c r="J1297" s="3" t="str">
        <f>_xlfn.IFNA(VLOOKUP($E1297,Master!$J:$M,3,0),"")</f>
        <v/>
      </c>
      <c r="AC1297" s="26">
        <f t="shared" si="42"/>
        <v>0</v>
      </c>
      <c r="AD1297" s="26">
        <f t="shared" si="43"/>
        <v>0</v>
      </c>
    </row>
    <row r="1298" spans="2:30" ht="15" customHeight="1">
      <c r="B1298" s="3" t="str">
        <f>_xlfn.IFNA(VLOOKUP(C1298,Master!$J:$K,2,0),"")</f>
        <v/>
      </c>
      <c r="D1298" s="4" t="str">
        <f>_xlfn.IFNA(VLOOKUP(E1298,Master!$J:$K,2,0),"")</f>
        <v/>
      </c>
      <c r="F1298" s="4" t="str">
        <f>_xlfn.IFNA(VLOOKUP(G1298,Master!B:C,2,0),"")</f>
        <v/>
      </c>
      <c r="I1298" s="3" t="str">
        <f>_xlfn.IFNA(VLOOKUP(E1298,Master!$J:$M,4,0),"")</f>
        <v/>
      </c>
      <c r="J1298" s="3" t="str">
        <f>_xlfn.IFNA(VLOOKUP($E1298,Master!$J:$M,3,0),"")</f>
        <v/>
      </c>
      <c r="AC1298" s="26">
        <f t="shared" si="42"/>
        <v>0</v>
      </c>
      <c r="AD1298" s="26">
        <f t="shared" si="43"/>
        <v>0</v>
      </c>
    </row>
    <row r="1299" spans="2:30" ht="15" customHeight="1">
      <c r="B1299" s="3" t="str">
        <f>_xlfn.IFNA(VLOOKUP(C1299,Master!$J:$K,2,0),"")</f>
        <v/>
      </c>
      <c r="D1299" s="4" t="str">
        <f>_xlfn.IFNA(VLOOKUP(E1299,Master!$J:$K,2,0),"")</f>
        <v/>
      </c>
      <c r="F1299" s="4" t="str">
        <f>_xlfn.IFNA(VLOOKUP(G1299,Master!B:C,2,0),"")</f>
        <v/>
      </c>
      <c r="I1299" s="3" t="str">
        <f>_xlfn.IFNA(VLOOKUP(E1299,Master!$J:$M,4,0),"")</f>
        <v/>
      </c>
      <c r="J1299" s="3" t="str">
        <f>_xlfn.IFNA(VLOOKUP($E1299,Master!$J:$M,3,0),"")</f>
        <v/>
      </c>
      <c r="AC1299" s="26">
        <f t="shared" si="42"/>
        <v>0</v>
      </c>
      <c r="AD1299" s="26">
        <f t="shared" si="43"/>
        <v>0</v>
      </c>
    </row>
    <row r="1300" spans="2:30" ht="15" customHeight="1">
      <c r="B1300" s="3" t="str">
        <f>_xlfn.IFNA(VLOOKUP(C1300,Master!$J:$K,2,0),"")</f>
        <v/>
      </c>
      <c r="D1300" s="4" t="str">
        <f>_xlfn.IFNA(VLOOKUP(E1300,Master!$J:$K,2,0),"")</f>
        <v/>
      </c>
      <c r="F1300" s="4" t="str">
        <f>_xlfn.IFNA(VLOOKUP(G1300,Master!B:C,2,0),"")</f>
        <v/>
      </c>
      <c r="I1300" s="3" t="str">
        <f>_xlfn.IFNA(VLOOKUP(E1300,Master!$J:$M,4,0),"")</f>
        <v/>
      </c>
      <c r="J1300" s="3" t="str">
        <f>_xlfn.IFNA(VLOOKUP($E1300,Master!$J:$M,3,0),"")</f>
        <v/>
      </c>
      <c r="AC1300" s="26">
        <f t="shared" si="42"/>
        <v>0</v>
      </c>
      <c r="AD1300" s="26">
        <f t="shared" si="43"/>
        <v>0</v>
      </c>
    </row>
    <row r="1301" spans="2:30" ht="15" customHeight="1">
      <c r="B1301" s="3" t="str">
        <f>_xlfn.IFNA(VLOOKUP(C1301,Master!$J:$K,2,0),"")</f>
        <v/>
      </c>
      <c r="D1301" s="4" t="str">
        <f>_xlfn.IFNA(VLOOKUP(E1301,Master!$J:$K,2,0),"")</f>
        <v/>
      </c>
      <c r="F1301" s="4" t="str">
        <f>_xlfn.IFNA(VLOOKUP(G1301,Master!B:C,2,0),"")</f>
        <v/>
      </c>
      <c r="I1301" s="3" t="str">
        <f>_xlfn.IFNA(VLOOKUP(E1301,Master!$J:$M,4,0),"")</f>
        <v/>
      </c>
      <c r="J1301" s="3" t="str">
        <f>_xlfn.IFNA(VLOOKUP($E1301,Master!$J:$M,3,0),"")</f>
        <v/>
      </c>
      <c r="AC1301" s="26">
        <f t="shared" si="42"/>
        <v>0</v>
      </c>
      <c r="AD1301" s="26">
        <f t="shared" si="43"/>
        <v>0</v>
      </c>
    </row>
    <row r="1302" spans="2:30" ht="15" customHeight="1">
      <c r="B1302" s="3" t="str">
        <f>_xlfn.IFNA(VLOOKUP(C1302,Master!$J:$K,2,0),"")</f>
        <v/>
      </c>
      <c r="D1302" s="4" t="str">
        <f>_xlfn.IFNA(VLOOKUP(E1302,Master!$J:$K,2,0),"")</f>
        <v/>
      </c>
      <c r="F1302" s="4" t="str">
        <f>_xlfn.IFNA(VLOOKUP(G1302,Master!B:C,2,0),"")</f>
        <v/>
      </c>
      <c r="I1302" s="3" t="str">
        <f>_xlfn.IFNA(VLOOKUP(E1302,Master!$J:$M,4,0),"")</f>
        <v/>
      </c>
      <c r="J1302" s="3" t="str">
        <f>_xlfn.IFNA(VLOOKUP($E1302,Master!$J:$M,3,0),"")</f>
        <v/>
      </c>
      <c r="AC1302" s="26">
        <f t="shared" si="42"/>
        <v>0</v>
      </c>
      <c r="AD1302" s="26">
        <f t="shared" si="43"/>
        <v>0</v>
      </c>
    </row>
    <row r="1303" spans="2:30" ht="15" customHeight="1">
      <c r="B1303" s="3" t="str">
        <f>_xlfn.IFNA(VLOOKUP(C1303,Master!$J:$K,2,0),"")</f>
        <v/>
      </c>
      <c r="D1303" s="4" t="str">
        <f>_xlfn.IFNA(VLOOKUP(E1303,Master!$J:$K,2,0),"")</f>
        <v/>
      </c>
      <c r="F1303" s="4" t="str">
        <f>_xlfn.IFNA(VLOOKUP(G1303,Master!B:C,2,0),"")</f>
        <v/>
      </c>
      <c r="I1303" s="3" t="str">
        <f>_xlfn.IFNA(VLOOKUP(E1303,Master!$J:$M,4,0),"")</f>
        <v/>
      </c>
      <c r="J1303" s="3" t="str">
        <f>_xlfn.IFNA(VLOOKUP($E1303,Master!$J:$M,3,0),"")</f>
        <v/>
      </c>
      <c r="AC1303" s="26">
        <f t="shared" si="42"/>
        <v>0</v>
      </c>
      <c r="AD1303" s="26">
        <f t="shared" si="43"/>
        <v>0</v>
      </c>
    </row>
    <row r="1304" spans="2:30" ht="15" customHeight="1">
      <c r="B1304" s="3" t="str">
        <f>_xlfn.IFNA(VLOOKUP(C1304,Master!$J:$K,2,0),"")</f>
        <v/>
      </c>
      <c r="D1304" s="4" t="str">
        <f>_xlfn.IFNA(VLOOKUP(E1304,Master!$J:$K,2,0),"")</f>
        <v/>
      </c>
      <c r="F1304" s="4" t="str">
        <f>_xlfn.IFNA(VLOOKUP(G1304,Master!B:C,2,0),"")</f>
        <v/>
      </c>
      <c r="I1304" s="3" t="str">
        <f>_xlfn.IFNA(VLOOKUP(E1304,Master!$J:$M,4,0),"")</f>
        <v/>
      </c>
      <c r="J1304" s="3" t="str">
        <f>_xlfn.IFNA(VLOOKUP($E1304,Master!$J:$M,3,0),"")</f>
        <v/>
      </c>
      <c r="AC1304" s="26">
        <f t="shared" si="42"/>
        <v>0</v>
      </c>
      <c r="AD1304" s="26">
        <f t="shared" si="43"/>
        <v>0</v>
      </c>
    </row>
    <row r="1305" spans="2:30" ht="15" customHeight="1">
      <c r="B1305" s="3" t="str">
        <f>_xlfn.IFNA(VLOOKUP(C1305,Master!$J:$K,2,0),"")</f>
        <v/>
      </c>
      <c r="D1305" s="4" t="str">
        <f>_xlfn.IFNA(VLOOKUP(E1305,Master!$J:$K,2,0),"")</f>
        <v/>
      </c>
      <c r="F1305" s="4" t="str">
        <f>_xlfn.IFNA(VLOOKUP(G1305,Master!B:C,2,0),"")</f>
        <v/>
      </c>
      <c r="I1305" s="3" t="str">
        <f>_xlfn.IFNA(VLOOKUP(E1305,Master!$J:$M,4,0),"")</f>
        <v/>
      </c>
      <c r="J1305" s="3" t="str">
        <f>_xlfn.IFNA(VLOOKUP($E1305,Master!$J:$M,3,0),"")</f>
        <v/>
      </c>
      <c r="AC1305" s="26">
        <f t="shared" si="42"/>
        <v>0</v>
      </c>
      <c r="AD1305" s="26">
        <f t="shared" si="43"/>
        <v>0</v>
      </c>
    </row>
    <row r="1306" spans="2:30" ht="15" customHeight="1">
      <c r="B1306" s="3" t="str">
        <f>_xlfn.IFNA(VLOOKUP(C1306,Master!$J:$K,2,0),"")</f>
        <v/>
      </c>
      <c r="D1306" s="4" t="str">
        <f>_xlfn.IFNA(VLOOKUP(E1306,Master!$J:$K,2,0),"")</f>
        <v/>
      </c>
      <c r="F1306" s="4" t="str">
        <f>_xlfn.IFNA(VLOOKUP(G1306,Master!B:C,2,0),"")</f>
        <v/>
      </c>
      <c r="I1306" s="3" t="str">
        <f>_xlfn.IFNA(VLOOKUP(E1306,Master!$J:$M,4,0),"")</f>
        <v/>
      </c>
      <c r="J1306" s="3" t="str">
        <f>_xlfn.IFNA(VLOOKUP($E1306,Master!$J:$M,3,0),"")</f>
        <v/>
      </c>
      <c r="AC1306" s="26">
        <f t="shared" si="42"/>
        <v>0</v>
      </c>
      <c r="AD1306" s="26">
        <f t="shared" si="43"/>
        <v>0</v>
      </c>
    </row>
    <row r="1307" spans="2:30" ht="15" customHeight="1">
      <c r="B1307" s="3" t="str">
        <f>_xlfn.IFNA(VLOOKUP(C1307,Master!$J:$K,2,0),"")</f>
        <v/>
      </c>
      <c r="D1307" s="4" t="str">
        <f>_xlfn.IFNA(VLOOKUP(E1307,Master!$J:$K,2,0),"")</f>
        <v/>
      </c>
      <c r="F1307" s="4" t="str">
        <f>_xlfn.IFNA(VLOOKUP(G1307,Master!B:C,2,0),"")</f>
        <v/>
      </c>
      <c r="I1307" s="3" t="str">
        <f>_xlfn.IFNA(VLOOKUP(E1307,Master!$J:$M,4,0),"")</f>
        <v/>
      </c>
      <c r="J1307" s="3" t="str">
        <f>_xlfn.IFNA(VLOOKUP($E1307,Master!$J:$M,3,0),"")</f>
        <v/>
      </c>
      <c r="AC1307" s="26">
        <f t="shared" si="42"/>
        <v>0</v>
      </c>
      <c r="AD1307" s="26">
        <f t="shared" si="43"/>
        <v>0</v>
      </c>
    </row>
    <row r="1308" spans="2:30" ht="15" customHeight="1">
      <c r="B1308" s="3" t="str">
        <f>_xlfn.IFNA(VLOOKUP(C1308,Master!$J:$K,2,0),"")</f>
        <v/>
      </c>
      <c r="D1308" s="4" t="str">
        <f>_xlfn.IFNA(VLOOKUP(E1308,Master!$J:$K,2,0),"")</f>
        <v/>
      </c>
      <c r="F1308" s="4" t="str">
        <f>_xlfn.IFNA(VLOOKUP(G1308,Master!B:C,2,0),"")</f>
        <v/>
      </c>
      <c r="I1308" s="3" t="str">
        <f>_xlfn.IFNA(VLOOKUP(E1308,Master!$J:$M,4,0),"")</f>
        <v/>
      </c>
      <c r="J1308" s="3" t="str">
        <f>_xlfn.IFNA(VLOOKUP($E1308,Master!$J:$M,3,0),"")</f>
        <v/>
      </c>
      <c r="AC1308" s="26">
        <f t="shared" si="42"/>
        <v>0</v>
      </c>
      <c r="AD1308" s="26">
        <f t="shared" si="43"/>
        <v>0</v>
      </c>
    </row>
    <row r="1309" spans="2:30" ht="15" customHeight="1">
      <c r="B1309" s="3" t="str">
        <f>_xlfn.IFNA(VLOOKUP(C1309,Master!$J:$K,2,0),"")</f>
        <v/>
      </c>
      <c r="D1309" s="4" t="str">
        <f>_xlfn.IFNA(VLOOKUP(E1309,Master!$J:$K,2,0),"")</f>
        <v/>
      </c>
      <c r="F1309" s="4" t="str">
        <f>_xlfn.IFNA(VLOOKUP(G1309,Master!B:C,2,0),"")</f>
        <v/>
      </c>
      <c r="I1309" s="3" t="str">
        <f>_xlfn.IFNA(VLOOKUP(E1309,Master!$J:$M,4,0),"")</f>
        <v/>
      </c>
      <c r="J1309" s="3" t="str">
        <f>_xlfn.IFNA(VLOOKUP($E1309,Master!$J:$M,3,0),"")</f>
        <v/>
      </c>
      <c r="AC1309" s="26">
        <f t="shared" si="42"/>
        <v>0</v>
      </c>
      <c r="AD1309" s="26">
        <f t="shared" si="43"/>
        <v>0</v>
      </c>
    </row>
    <row r="1310" spans="2:30" ht="15" customHeight="1">
      <c r="B1310" s="3" t="str">
        <f>_xlfn.IFNA(VLOOKUP(C1310,Master!$J:$K,2,0),"")</f>
        <v/>
      </c>
      <c r="D1310" s="4" t="str">
        <f>_xlfn.IFNA(VLOOKUP(E1310,Master!$J:$K,2,0),"")</f>
        <v/>
      </c>
      <c r="F1310" s="4" t="str">
        <f>_xlfn.IFNA(VLOOKUP(G1310,Master!B:C,2,0),"")</f>
        <v/>
      </c>
      <c r="I1310" s="3" t="str">
        <f>_xlfn.IFNA(VLOOKUP(E1310,Master!$J:$M,4,0),"")</f>
        <v/>
      </c>
      <c r="J1310" s="3" t="str">
        <f>_xlfn.IFNA(VLOOKUP($E1310,Master!$J:$M,3,0),"")</f>
        <v/>
      </c>
      <c r="AC1310" s="26">
        <f t="shared" si="42"/>
        <v>0</v>
      </c>
      <c r="AD1310" s="26">
        <f t="shared" si="43"/>
        <v>0</v>
      </c>
    </row>
    <row r="1311" spans="2:30" ht="15" customHeight="1">
      <c r="B1311" s="3" t="str">
        <f>_xlfn.IFNA(VLOOKUP(C1311,Master!$J:$K,2,0),"")</f>
        <v/>
      </c>
      <c r="D1311" s="4" t="str">
        <f>_xlfn.IFNA(VLOOKUP(E1311,Master!$J:$K,2,0),"")</f>
        <v/>
      </c>
      <c r="F1311" s="4" t="str">
        <f>_xlfn.IFNA(VLOOKUP(G1311,Master!B:C,2,0),"")</f>
        <v/>
      </c>
      <c r="I1311" s="3" t="str">
        <f>_xlfn.IFNA(VLOOKUP(E1311,Master!$J:$M,4,0),"")</f>
        <v/>
      </c>
      <c r="J1311" s="3" t="str">
        <f>_xlfn.IFNA(VLOOKUP($E1311,Master!$J:$M,3,0),"")</f>
        <v/>
      </c>
      <c r="AC1311" s="26">
        <f t="shared" si="42"/>
        <v>0</v>
      </c>
      <c r="AD1311" s="26">
        <f t="shared" si="43"/>
        <v>0</v>
      </c>
    </row>
    <row r="1312" spans="2:30" ht="15" customHeight="1">
      <c r="B1312" s="3" t="str">
        <f>_xlfn.IFNA(VLOOKUP(C1312,Master!$J:$K,2,0),"")</f>
        <v/>
      </c>
      <c r="D1312" s="4" t="str">
        <f>_xlfn.IFNA(VLOOKUP(E1312,Master!$J:$K,2,0),"")</f>
        <v/>
      </c>
      <c r="F1312" s="4" t="str">
        <f>_xlfn.IFNA(VLOOKUP(G1312,Master!B:C,2,0),"")</f>
        <v/>
      </c>
      <c r="I1312" s="3" t="str">
        <f>_xlfn.IFNA(VLOOKUP(E1312,Master!$J:$M,4,0),"")</f>
        <v/>
      </c>
      <c r="J1312" s="3" t="str">
        <f>_xlfn.IFNA(VLOOKUP($E1312,Master!$J:$M,3,0),"")</f>
        <v/>
      </c>
      <c r="AC1312" s="26">
        <f t="shared" si="42"/>
        <v>0</v>
      </c>
      <c r="AD1312" s="26">
        <f t="shared" si="43"/>
        <v>0</v>
      </c>
    </row>
    <row r="1313" spans="2:30" ht="15" customHeight="1">
      <c r="B1313" s="3" t="str">
        <f>_xlfn.IFNA(VLOOKUP(C1313,Master!$J:$K,2,0),"")</f>
        <v/>
      </c>
      <c r="D1313" s="4" t="str">
        <f>_xlfn.IFNA(VLOOKUP(E1313,Master!$J:$K,2,0),"")</f>
        <v/>
      </c>
      <c r="F1313" s="4" t="str">
        <f>_xlfn.IFNA(VLOOKUP(G1313,Master!B:C,2,0),"")</f>
        <v/>
      </c>
      <c r="I1313" s="3" t="str">
        <f>_xlfn.IFNA(VLOOKUP(E1313,Master!$J:$M,4,0),"")</f>
        <v/>
      </c>
      <c r="J1313" s="3" t="str">
        <f>_xlfn.IFNA(VLOOKUP($E1313,Master!$J:$M,3,0),"")</f>
        <v/>
      </c>
      <c r="AC1313" s="26">
        <f t="shared" si="42"/>
        <v>0</v>
      </c>
      <c r="AD1313" s="26">
        <f t="shared" si="43"/>
        <v>0</v>
      </c>
    </row>
    <row r="1314" spans="2:30" ht="15" customHeight="1">
      <c r="B1314" s="3" t="str">
        <f>_xlfn.IFNA(VLOOKUP(C1314,Master!$J:$K,2,0),"")</f>
        <v/>
      </c>
      <c r="D1314" s="4" t="str">
        <f>_xlfn.IFNA(VLOOKUP(E1314,Master!$J:$K,2,0),"")</f>
        <v/>
      </c>
      <c r="F1314" s="4" t="str">
        <f>_xlfn.IFNA(VLOOKUP(G1314,Master!B:C,2,0),"")</f>
        <v/>
      </c>
      <c r="I1314" s="3" t="str">
        <f>_xlfn.IFNA(VLOOKUP(E1314,Master!$J:$M,4,0),"")</f>
        <v/>
      </c>
      <c r="J1314" s="3" t="str">
        <f>_xlfn.IFNA(VLOOKUP($E1314,Master!$J:$M,3,0),"")</f>
        <v/>
      </c>
      <c r="AC1314" s="26">
        <f t="shared" si="42"/>
        <v>0</v>
      </c>
      <c r="AD1314" s="26">
        <f t="shared" si="43"/>
        <v>0</v>
      </c>
    </row>
    <row r="1315" spans="2:30" ht="15" customHeight="1">
      <c r="B1315" s="3" t="str">
        <f>_xlfn.IFNA(VLOOKUP(C1315,Master!$J:$K,2,0),"")</f>
        <v/>
      </c>
      <c r="D1315" s="4" t="str">
        <f>_xlfn.IFNA(VLOOKUP(E1315,Master!$J:$K,2,0),"")</f>
        <v/>
      </c>
      <c r="F1315" s="4" t="str">
        <f>_xlfn.IFNA(VLOOKUP(G1315,Master!B:C,2,0),"")</f>
        <v/>
      </c>
      <c r="I1315" s="3" t="str">
        <f>_xlfn.IFNA(VLOOKUP(E1315,Master!$J:$M,4,0),"")</f>
        <v/>
      </c>
      <c r="J1315" s="3" t="str">
        <f>_xlfn.IFNA(VLOOKUP($E1315,Master!$J:$M,3,0),"")</f>
        <v/>
      </c>
      <c r="AC1315" s="26">
        <f t="shared" si="42"/>
        <v>0</v>
      </c>
      <c r="AD1315" s="26">
        <f t="shared" si="43"/>
        <v>0</v>
      </c>
    </row>
    <row r="1316" spans="2:30" ht="15" customHeight="1">
      <c r="B1316" s="3" t="str">
        <f>_xlfn.IFNA(VLOOKUP(C1316,Master!$J:$K,2,0),"")</f>
        <v/>
      </c>
      <c r="D1316" s="4" t="str">
        <f>_xlfn.IFNA(VLOOKUP(E1316,Master!$J:$K,2,0),"")</f>
        <v/>
      </c>
      <c r="F1316" s="4" t="str">
        <f>_xlfn.IFNA(VLOOKUP(G1316,Master!B:C,2,0),"")</f>
        <v/>
      </c>
      <c r="I1316" s="3" t="str">
        <f>_xlfn.IFNA(VLOOKUP(E1316,Master!$J:$M,4,0),"")</f>
        <v/>
      </c>
      <c r="J1316" s="3" t="str">
        <f>_xlfn.IFNA(VLOOKUP($E1316,Master!$J:$M,3,0),"")</f>
        <v/>
      </c>
      <c r="AC1316" s="26">
        <f t="shared" si="42"/>
        <v>0</v>
      </c>
      <c r="AD1316" s="26">
        <f t="shared" si="43"/>
        <v>0</v>
      </c>
    </row>
    <row r="1317" spans="2:30" ht="15" customHeight="1">
      <c r="B1317" s="3" t="str">
        <f>_xlfn.IFNA(VLOOKUP(C1317,Master!$J:$K,2,0),"")</f>
        <v/>
      </c>
      <c r="D1317" s="4" t="str">
        <f>_xlfn.IFNA(VLOOKUP(E1317,Master!$J:$K,2,0),"")</f>
        <v/>
      </c>
      <c r="F1317" s="4" t="str">
        <f>_xlfn.IFNA(VLOOKUP(G1317,Master!B:C,2,0),"")</f>
        <v/>
      </c>
      <c r="I1317" s="3" t="str">
        <f>_xlfn.IFNA(VLOOKUP(E1317,Master!$J:$M,4,0),"")</f>
        <v/>
      </c>
      <c r="J1317" s="3" t="str">
        <f>_xlfn.IFNA(VLOOKUP($E1317,Master!$J:$M,3,0),"")</f>
        <v/>
      </c>
      <c r="AC1317" s="26">
        <f t="shared" si="42"/>
        <v>0</v>
      </c>
      <c r="AD1317" s="26">
        <f t="shared" si="43"/>
        <v>0</v>
      </c>
    </row>
    <row r="1318" spans="2:30" ht="15" customHeight="1">
      <c r="B1318" s="3" t="str">
        <f>_xlfn.IFNA(VLOOKUP(C1318,Master!$J:$K,2,0),"")</f>
        <v/>
      </c>
      <c r="D1318" s="4" t="str">
        <f>_xlfn.IFNA(VLOOKUP(E1318,Master!$J:$K,2,0),"")</f>
        <v/>
      </c>
      <c r="F1318" s="4" t="str">
        <f>_xlfn.IFNA(VLOOKUP(G1318,Master!B:C,2,0),"")</f>
        <v/>
      </c>
      <c r="I1318" s="3" t="str">
        <f>_xlfn.IFNA(VLOOKUP(E1318,Master!$J:$M,4,0),"")</f>
        <v/>
      </c>
      <c r="J1318" s="3" t="str">
        <f>_xlfn.IFNA(VLOOKUP($E1318,Master!$J:$M,3,0),"")</f>
        <v/>
      </c>
      <c r="AC1318" s="26">
        <f t="shared" si="42"/>
        <v>0</v>
      </c>
      <c r="AD1318" s="26">
        <f t="shared" si="43"/>
        <v>0</v>
      </c>
    </row>
    <row r="1319" spans="2:30" ht="15" customHeight="1">
      <c r="B1319" s="3" t="str">
        <f>_xlfn.IFNA(VLOOKUP(C1319,Master!$J:$K,2,0),"")</f>
        <v/>
      </c>
      <c r="D1319" s="4" t="str">
        <f>_xlfn.IFNA(VLOOKUP(E1319,Master!$J:$K,2,0),"")</f>
        <v/>
      </c>
      <c r="F1319" s="4" t="str">
        <f>_xlfn.IFNA(VLOOKUP(G1319,Master!B:C,2,0),"")</f>
        <v/>
      </c>
      <c r="I1319" s="3" t="str">
        <f>_xlfn.IFNA(VLOOKUP(E1319,Master!$J:$M,4,0),"")</f>
        <v/>
      </c>
      <c r="J1319" s="3" t="str">
        <f>_xlfn.IFNA(VLOOKUP($E1319,Master!$J:$M,3,0),"")</f>
        <v/>
      </c>
      <c r="AC1319" s="26">
        <f t="shared" si="42"/>
        <v>0</v>
      </c>
      <c r="AD1319" s="26">
        <f t="shared" si="43"/>
        <v>0</v>
      </c>
    </row>
    <row r="1320" spans="2:30" ht="15" customHeight="1">
      <c r="B1320" s="3" t="str">
        <f>_xlfn.IFNA(VLOOKUP(C1320,Master!$J:$K,2,0),"")</f>
        <v/>
      </c>
      <c r="D1320" s="4" t="str">
        <f>_xlfn.IFNA(VLOOKUP(E1320,Master!$J:$K,2,0),"")</f>
        <v/>
      </c>
      <c r="F1320" s="4" t="str">
        <f>_xlfn.IFNA(VLOOKUP(G1320,Master!B:C,2,0),"")</f>
        <v/>
      </c>
      <c r="I1320" s="3" t="str">
        <f>_xlfn.IFNA(VLOOKUP(E1320,Master!$J:$M,4,0),"")</f>
        <v/>
      </c>
      <c r="J1320" s="3" t="str">
        <f>_xlfn.IFNA(VLOOKUP($E1320,Master!$J:$M,3,0),"")</f>
        <v/>
      </c>
      <c r="AC1320" s="26">
        <f t="shared" si="42"/>
        <v>0</v>
      </c>
      <c r="AD1320" s="26">
        <f t="shared" si="43"/>
        <v>0</v>
      </c>
    </row>
    <row r="1321" spans="2:30" ht="15" customHeight="1">
      <c r="B1321" s="3" t="str">
        <f>_xlfn.IFNA(VLOOKUP(C1321,Master!$J:$K,2,0),"")</f>
        <v/>
      </c>
      <c r="D1321" s="4" t="str">
        <f>_xlfn.IFNA(VLOOKUP(E1321,Master!$J:$K,2,0),"")</f>
        <v/>
      </c>
      <c r="F1321" s="4" t="str">
        <f>_xlfn.IFNA(VLOOKUP(G1321,Master!B:C,2,0),"")</f>
        <v/>
      </c>
      <c r="I1321" s="3" t="str">
        <f>_xlfn.IFNA(VLOOKUP(E1321,Master!$J:$M,4,0),"")</f>
        <v/>
      </c>
      <c r="J1321" s="3" t="str">
        <f>_xlfn.IFNA(VLOOKUP($E1321,Master!$J:$M,3,0),"")</f>
        <v/>
      </c>
      <c r="AC1321" s="26">
        <f t="shared" si="42"/>
        <v>0</v>
      </c>
      <c r="AD1321" s="26">
        <f t="shared" si="43"/>
        <v>0</v>
      </c>
    </row>
    <row r="1322" spans="2:30" ht="15" customHeight="1">
      <c r="B1322" s="3" t="str">
        <f>_xlfn.IFNA(VLOOKUP(C1322,Master!$J:$K,2,0),"")</f>
        <v/>
      </c>
      <c r="D1322" s="4" t="str">
        <f>_xlfn.IFNA(VLOOKUP(E1322,Master!$J:$K,2,0),"")</f>
        <v/>
      </c>
      <c r="F1322" s="4" t="str">
        <f>_xlfn.IFNA(VLOOKUP(G1322,Master!B:C,2,0),"")</f>
        <v/>
      </c>
      <c r="I1322" s="3" t="str">
        <f>_xlfn.IFNA(VLOOKUP(E1322,Master!$J:$M,4,0),"")</f>
        <v/>
      </c>
      <c r="J1322" s="3" t="str">
        <f>_xlfn.IFNA(VLOOKUP($E1322,Master!$J:$M,3,0),"")</f>
        <v/>
      </c>
      <c r="AC1322" s="26">
        <f t="shared" si="42"/>
        <v>0</v>
      </c>
      <c r="AD1322" s="26">
        <f t="shared" si="43"/>
        <v>0</v>
      </c>
    </row>
    <row r="1323" spans="2:30" ht="15" customHeight="1">
      <c r="B1323" s="3" t="str">
        <f>_xlfn.IFNA(VLOOKUP(C1323,Master!$J:$K,2,0),"")</f>
        <v/>
      </c>
      <c r="D1323" s="4" t="str">
        <f>_xlfn.IFNA(VLOOKUP(E1323,Master!$J:$K,2,0),"")</f>
        <v/>
      </c>
      <c r="F1323" s="4" t="str">
        <f>_xlfn.IFNA(VLOOKUP(G1323,Master!B:C,2,0),"")</f>
        <v/>
      </c>
      <c r="I1323" s="3" t="str">
        <f>_xlfn.IFNA(VLOOKUP(E1323,Master!$J:$M,4,0),"")</f>
        <v/>
      </c>
      <c r="J1323" s="3" t="str">
        <f>_xlfn.IFNA(VLOOKUP($E1323,Master!$J:$M,3,0),"")</f>
        <v/>
      </c>
      <c r="AC1323" s="26">
        <f t="shared" si="42"/>
        <v>0</v>
      </c>
      <c r="AD1323" s="26">
        <f t="shared" si="43"/>
        <v>0</v>
      </c>
    </row>
    <row r="1324" spans="2:30" ht="15" customHeight="1">
      <c r="B1324" s="3" t="str">
        <f>_xlfn.IFNA(VLOOKUP(C1324,Master!$J:$K,2,0),"")</f>
        <v/>
      </c>
      <c r="D1324" s="4" t="str">
        <f>_xlfn.IFNA(VLOOKUP(E1324,Master!$J:$K,2,0),"")</f>
        <v/>
      </c>
      <c r="F1324" s="4" t="str">
        <f>_xlfn.IFNA(VLOOKUP(G1324,Master!B:C,2,0),"")</f>
        <v/>
      </c>
      <c r="I1324" s="3" t="str">
        <f>_xlfn.IFNA(VLOOKUP(E1324,Master!$J:$M,4,0),"")</f>
        <v/>
      </c>
      <c r="J1324" s="3" t="str">
        <f>_xlfn.IFNA(VLOOKUP($E1324,Master!$J:$M,3,0),"")</f>
        <v/>
      </c>
      <c r="AC1324" s="26">
        <f t="shared" si="42"/>
        <v>0</v>
      </c>
      <c r="AD1324" s="26">
        <f t="shared" si="43"/>
        <v>0</v>
      </c>
    </row>
    <row r="1325" spans="2:30" ht="15" customHeight="1">
      <c r="B1325" s="3" t="str">
        <f>_xlfn.IFNA(VLOOKUP(C1325,Master!$J:$K,2,0),"")</f>
        <v/>
      </c>
      <c r="D1325" s="4" t="str">
        <f>_xlfn.IFNA(VLOOKUP(E1325,Master!$J:$K,2,0),"")</f>
        <v/>
      </c>
      <c r="F1325" s="4" t="str">
        <f>_xlfn.IFNA(VLOOKUP(G1325,Master!B:C,2,0),"")</f>
        <v/>
      </c>
      <c r="I1325" s="3" t="str">
        <f>_xlfn.IFNA(VLOOKUP(E1325,Master!$J:$M,4,0),"")</f>
        <v/>
      </c>
      <c r="J1325" s="3" t="str">
        <f>_xlfn.IFNA(VLOOKUP($E1325,Master!$J:$M,3,0),"")</f>
        <v/>
      </c>
      <c r="AC1325" s="26">
        <f t="shared" si="42"/>
        <v>0</v>
      </c>
      <c r="AD1325" s="26">
        <f t="shared" si="43"/>
        <v>0</v>
      </c>
    </row>
    <row r="1326" spans="2:30" ht="15" customHeight="1">
      <c r="B1326" s="3" t="str">
        <f>_xlfn.IFNA(VLOOKUP(C1326,Master!$J:$K,2,0),"")</f>
        <v/>
      </c>
      <c r="D1326" s="4" t="str">
        <f>_xlfn.IFNA(VLOOKUP(E1326,Master!$J:$K,2,0),"")</f>
        <v/>
      </c>
      <c r="F1326" s="4" t="str">
        <f>_xlfn.IFNA(VLOOKUP(G1326,Master!B:C,2,0),"")</f>
        <v/>
      </c>
      <c r="I1326" s="3" t="str">
        <f>_xlfn.IFNA(VLOOKUP(E1326,Master!$J:$M,4,0),"")</f>
        <v/>
      </c>
      <c r="J1326" s="3" t="str">
        <f>_xlfn.IFNA(VLOOKUP($E1326,Master!$J:$M,3,0),"")</f>
        <v/>
      </c>
      <c r="AC1326" s="26">
        <f t="shared" si="42"/>
        <v>0</v>
      </c>
      <c r="AD1326" s="26">
        <f t="shared" si="43"/>
        <v>0</v>
      </c>
    </row>
    <row r="1327" spans="2:30" ht="15" customHeight="1">
      <c r="B1327" s="3" t="str">
        <f>_xlfn.IFNA(VLOOKUP(C1327,Master!$J:$K,2,0),"")</f>
        <v/>
      </c>
      <c r="D1327" s="4" t="str">
        <f>_xlfn.IFNA(VLOOKUP(E1327,Master!$J:$K,2,0),"")</f>
        <v/>
      </c>
      <c r="F1327" s="4" t="str">
        <f>_xlfn.IFNA(VLOOKUP(G1327,Master!B:C,2,0),"")</f>
        <v/>
      </c>
      <c r="I1327" s="3" t="str">
        <f>_xlfn.IFNA(VLOOKUP(E1327,Master!$J:$M,4,0),"")</f>
        <v/>
      </c>
      <c r="J1327" s="3" t="str">
        <f>_xlfn.IFNA(VLOOKUP($E1327,Master!$J:$M,3,0),"")</f>
        <v/>
      </c>
      <c r="AC1327" s="26">
        <f t="shared" si="42"/>
        <v>0</v>
      </c>
      <c r="AD1327" s="26">
        <f t="shared" si="43"/>
        <v>0</v>
      </c>
    </row>
    <row r="1328" spans="2:30" ht="15" customHeight="1">
      <c r="B1328" s="3" t="str">
        <f>_xlfn.IFNA(VLOOKUP(C1328,Master!$J:$K,2,0),"")</f>
        <v/>
      </c>
      <c r="D1328" s="4" t="str">
        <f>_xlfn.IFNA(VLOOKUP(E1328,Master!$J:$K,2,0),"")</f>
        <v/>
      </c>
      <c r="F1328" s="4" t="str">
        <f>_xlfn.IFNA(VLOOKUP(G1328,Master!B:C,2,0),"")</f>
        <v/>
      </c>
      <c r="I1328" s="3" t="str">
        <f>_xlfn.IFNA(VLOOKUP(E1328,Master!$J:$M,4,0),"")</f>
        <v/>
      </c>
      <c r="J1328" s="3" t="str">
        <f>_xlfn.IFNA(VLOOKUP($E1328,Master!$J:$M,3,0),"")</f>
        <v/>
      </c>
      <c r="AC1328" s="26">
        <f t="shared" si="42"/>
        <v>0</v>
      </c>
      <c r="AD1328" s="26">
        <f t="shared" si="43"/>
        <v>0</v>
      </c>
    </row>
    <row r="1329" spans="2:30" ht="15" customHeight="1">
      <c r="B1329" s="3" t="str">
        <f>_xlfn.IFNA(VLOOKUP(C1329,Master!$J:$K,2,0),"")</f>
        <v/>
      </c>
      <c r="D1329" s="4" t="str">
        <f>_xlfn.IFNA(VLOOKUP(E1329,Master!$J:$K,2,0),"")</f>
        <v/>
      </c>
      <c r="F1329" s="4" t="str">
        <f>_xlfn.IFNA(VLOOKUP(G1329,Master!B:C,2,0),"")</f>
        <v/>
      </c>
      <c r="I1329" s="3" t="str">
        <f>_xlfn.IFNA(VLOOKUP(E1329,Master!$J:$M,4,0),"")</f>
        <v/>
      </c>
      <c r="J1329" s="3" t="str">
        <f>_xlfn.IFNA(VLOOKUP($E1329,Master!$J:$M,3,0),"")</f>
        <v/>
      </c>
      <c r="AC1329" s="26">
        <f t="shared" si="42"/>
        <v>0</v>
      </c>
      <c r="AD1329" s="26">
        <f t="shared" si="43"/>
        <v>0</v>
      </c>
    </row>
    <row r="1330" spans="2:30" ht="15" customHeight="1">
      <c r="B1330" s="3" t="str">
        <f>_xlfn.IFNA(VLOOKUP(C1330,Master!$J:$K,2,0),"")</f>
        <v/>
      </c>
      <c r="D1330" s="4" t="str">
        <f>_xlfn.IFNA(VLOOKUP(E1330,Master!$J:$K,2,0),"")</f>
        <v/>
      </c>
      <c r="F1330" s="4" t="str">
        <f>_xlfn.IFNA(VLOOKUP(G1330,Master!B:C,2,0),"")</f>
        <v/>
      </c>
      <c r="I1330" s="3" t="str">
        <f>_xlfn.IFNA(VLOOKUP(E1330,Master!$J:$M,4,0),"")</f>
        <v/>
      </c>
      <c r="J1330" s="3" t="str">
        <f>_xlfn.IFNA(VLOOKUP($E1330,Master!$J:$M,3,0),"")</f>
        <v/>
      </c>
      <c r="AC1330" s="26">
        <f t="shared" si="42"/>
        <v>0</v>
      </c>
      <c r="AD1330" s="26">
        <f t="shared" si="43"/>
        <v>0</v>
      </c>
    </row>
    <row r="1331" spans="2:30" ht="15" customHeight="1">
      <c r="B1331" s="3" t="str">
        <f>_xlfn.IFNA(VLOOKUP(C1331,Master!$J:$K,2,0),"")</f>
        <v/>
      </c>
      <c r="D1331" s="4" t="str">
        <f>_xlfn.IFNA(VLOOKUP(E1331,Master!$J:$K,2,0),"")</f>
        <v/>
      </c>
      <c r="F1331" s="4" t="str">
        <f>_xlfn.IFNA(VLOOKUP(G1331,Master!B:C,2,0),"")</f>
        <v/>
      </c>
      <c r="I1331" s="3" t="str">
        <f>_xlfn.IFNA(VLOOKUP(E1331,Master!$J:$M,4,0),"")</f>
        <v/>
      </c>
      <c r="J1331" s="3" t="str">
        <f>_xlfn.IFNA(VLOOKUP($E1331,Master!$J:$M,3,0),"")</f>
        <v/>
      </c>
      <c r="AC1331" s="26">
        <f t="shared" si="42"/>
        <v>0</v>
      </c>
      <c r="AD1331" s="26">
        <f t="shared" si="43"/>
        <v>0</v>
      </c>
    </row>
    <row r="1332" spans="2:30" ht="15" customHeight="1">
      <c r="B1332" s="3" t="str">
        <f>_xlfn.IFNA(VLOOKUP(C1332,Master!$J:$K,2,0),"")</f>
        <v/>
      </c>
      <c r="D1332" s="4" t="str">
        <f>_xlfn.IFNA(VLOOKUP(E1332,Master!$J:$K,2,0),"")</f>
        <v/>
      </c>
      <c r="F1332" s="4" t="str">
        <f>_xlfn.IFNA(VLOOKUP(G1332,Master!B:C,2,0),"")</f>
        <v/>
      </c>
      <c r="I1332" s="3" t="str">
        <f>_xlfn.IFNA(VLOOKUP(E1332,Master!$J:$M,4,0),"")</f>
        <v/>
      </c>
      <c r="J1332" s="3" t="str">
        <f>_xlfn.IFNA(VLOOKUP($E1332,Master!$J:$M,3,0),"")</f>
        <v/>
      </c>
      <c r="AC1332" s="26">
        <f t="shared" si="42"/>
        <v>0</v>
      </c>
      <c r="AD1332" s="26">
        <f t="shared" si="43"/>
        <v>0</v>
      </c>
    </row>
    <row r="1333" spans="2:30" ht="15" customHeight="1">
      <c r="B1333" s="3" t="str">
        <f>_xlfn.IFNA(VLOOKUP(C1333,Master!$J:$K,2,0),"")</f>
        <v/>
      </c>
      <c r="D1333" s="4" t="str">
        <f>_xlfn.IFNA(VLOOKUP(E1333,Master!$J:$K,2,0),"")</f>
        <v/>
      </c>
      <c r="F1333" s="4" t="str">
        <f>_xlfn.IFNA(VLOOKUP(G1333,Master!B:C,2,0),"")</f>
        <v/>
      </c>
      <c r="I1333" s="3" t="str">
        <f>_xlfn.IFNA(VLOOKUP(E1333,Master!$J:$M,4,0),"")</f>
        <v/>
      </c>
      <c r="J1333" s="3" t="str">
        <f>_xlfn.IFNA(VLOOKUP($E1333,Master!$J:$M,3,0),"")</f>
        <v/>
      </c>
      <c r="AC1333" s="26">
        <f t="shared" si="42"/>
        <v>0</v>
      </c>
      <c r="AD1333" s="26">
        <f t="shared" si="43"/>
        <v>0</v>
      </c>
    </row>
    <row r="1334" spans="2:30" ht="15" customHeight="1">
      <c r="B1334" s="3" t="str">
        <f>_xlfn.IFNA(VLOOKUP(C1334,Master!$J:$K,2,0),"")</f>
        <v/>
      </c>
      <c r="D1334" s="4" t="str">
        <f>_xlfn.IFNA(VLOOKUP(E1334,Master!$J:$K,2,0),"")</f>
        <v/>
      </c>
      <c r="F1334" s="4" t="str">
        <f>_xlfn.IFNA(VLOOKUP(G1334,Master!B:C,2,0),"")</f>
        <v/>
      </c>
      <c r="I1334" s="3" t="str">
        <f>_xlfn.IFNA(VLOOKUP(E1334,Master!$J:$M,4,0),"")</f>
        <v/>
      </c>
      <c r="J1334" s="3" t="str">
        <f>_xlfn.IFNA(VLOOKUP($E1334,Master!$J:$M,3,0),"")</f>
        <v/>
      </c>
      <c r="AC1334" s="26">
        <f t="shared" si="42"/>
        <v>0</v>
      </c>
      <c r="AD1334" s="26">
        <f t="shared" si="43"/>
        <v>0</v>
      </c>
    </row>
    <row r="1335" spans="2:30" ht="15" customHeight="1">
      <c r="B1335" s="3" t="str">
        <f>_xlfn.IFNA(VLOOKUP(C1335,Master!$J:$K,2,0),"")</f>
        <v/>
      </c>
      <c r="D1335" s="4" t="str">
        <f>_xlfn.IFNA(VLOOKUP(E1335,Master!$J:$K,2,0),"")</f>
        <v/>
      </c>
      <c r="F1335" s="4" t="str">
        <f>_xlfn.IFNA(VLOOKUP(G1335,Master!B:C,2,0),"")</f>
        <v/>
      </c>
      <c r="I1335" s="3" t="str">
        <f>_xlfn.IFNA(VLOOKUP(E1335,Master!$J:$M,4,0),"")</f>
        <v/>
      </c>
      <c r="J1335" s="3" t="str">
        <f>_xlfn.IFNA(VLOOKUP($E1335,Master!$J:$M,3,0),"")</f>
        <v/>
      </c>
      <c r="AC1335" s="26">
        <f t="shared" si="42"/>
        <v>0</v>
      </c>
      <c r="AD1335" s="26">
        <f t="shared" si="43"/>
        <v>0</v>
      </c>
    </row>
    <row r="1336" spans="2:30" ht="15" customHeight="1">
      <c r="B1336" s="3" t="str">
        <f>_xlfn.IFNA(VLOOKUP(C1336,Master!$J:$K,2,0),"")</f>
        <v/>
      </c>
      <c r="D1336" s="4" t="str">
        <f>_xlfn.IFNA(VLOOKUP(E1336,Master!$J:$K,2,0),"")</f>
        <v/>
      </c>
      <c r="F1336" s="4" t="str">
        <f>_xlfn.IFNA(VLOOKUP(G1336,Master!B:C,2,0),"")</f>
        <v/>
      </c>
      <c r="I1336" s="3" t="str">
        <f>_xlfn.IFNA(VLOOKUP(E1336,Master!$J:$M,4,0),"")</f>
        <v/>
      </c>
      <c r="J1336" s="3" t="str">
        <f>_xlfn.IFNA(VLOOKUP($E1336,Master!$J:$M,3,0),"")</f>
        <v/>
      </c>
      <c r="AC1336" s="26">
        <f t="shared" si="42"/>
        <v>0</v>
      </c>
      <c r="AD1336" s="26">
        <f t="shared" si="43"/>
        <v>0</v>
      </c>
    </row>
    <row r="1337" spans="2:30" ht="15" customHeight="1">
      <c r="B1337" s="3" t="str">
        <f>_xlfn.IFNA(VLOOKUP(C1337,Master!$J:$K,2,0),"")</f>
        <v/>
      </c>
      <c r="D1337" s="4" t="str">
        <f>_xlfn.IFNA(VLOOKUP(E1337,Master!$J:$K,2,0),"")</f>
        <v/>
      </c>
      <c r="F1337" s="4" t="str">
        <f>_xlfn.IFNA(VLOOKUP(G1337,Master!B:C,2,0),"")</f>
        <v/>
      </c>
      <c r="I1337" s="3" t="str">
        <f>_xlfn.IFNA(VLOOKUP(E1337,Master!$J:$M,4,0),"")</f>
        <v/>
      </c>
      <c r="J1337" s="3" t="str">
        <f>_xlfn.IFNA(VLOOKUP($E1337,Master!$J:$M,3,0),"")</f>
        <v/>
      </c>
      <c r="AC1337" s="26">
        <f t="shared" si="42"/>
        <v>0</v>
      </c>
      <c r="AD1337" s="26">
        <f t="shared" si="43"/>
        <v>0</v>
      </c>
    </row>
    <row r="1338" spans="2:30" ht="15" customHeight="1">
      <c r="B1338" s="3" t="str">
        <f>_xlfn.IFNA(VLOOKUP(C1338,Master!$J:$K,2,0),"")</f>
        <v/>
      </c>
      <c r="D1338" s="4" t="str">
        <f>_xlfn.IFNA(VLOOKUP(E1338,Master!$J:$K,2,0),"")</f>
        <v/>
      </c>
      <c r="F1338" s="4" t="str">
        <f>_xlfn.IFNA(VLOOKUP(G1338,Master!B:C,2,0),"")</f>
        <v/>
      </c>
      <c r="I1338" s="3" t="str">
        <f>_xlfn.IFNA(VLOOKUP(E1338,Master!$J:$M,4,0),"")</f>
        <v/>
      </c>
      <c r="J1338" s="3" t="str">
        <f>_xlfn.IFNA(VLOOKUP($E1338,Master!$J:$M,3,0),"")</f>
        <v/>
      </c>
      <c r="AC1338" s="26">
        <f t="shared" si="42"/>
        <v>0</v>
      </c>
      <c r="AD1338" s="26">
        <f t="shared" si="43"/>
        <v>0</v>
      </c>
    </row>
    <row r="1339" spans="2:30" ht="15" customHeight="1">
      <c r="B1339" s="3" t="str">
        <f>_xlfn.IFNA(VLOOKUP(C1339,Master!$J:$K,2,0),"")</f>
        <v/>
      </c>
      <c r="D1339" s="4" t="str">
        <f>_xlfn.IFNA(VLOOKUP(E1339,Master!$J:$K,2,0),"")</f>
        <v/>
      </c>
      <c r="F1339" s="4" t="str">
        <f>_xlfn.IFNA(VLOOKUP(G1339,Master!B:C,2,0),"")</f>
        <v/>
      </c>
      <c r="I1339" s="3" t="str">
        <f>_xlfn.IFNA(VLOOKUP(E1339,Master!$J:$M,4,0),"")</f>
        <v/>
      </c>
      <c r="J1339" s="3" t="str">
        <f>_xlfn.IFNA(VLOOKUP($E1339,Master!$J:$M,3,0),"")</f>
        <v/>
      </c>
      <c r="AC1339" s="26">
        <f t="shared" si="42"/>
        <v>0</v>
      </c>
      <c r="AD1339" s="26">
        <f t="shared" si="43"/>
        <v>0</v>
      </c>
    </row>
    <row r="1340" spans="2:30" ht="15" customHeight="1">
      <c r="B1340" s="3" t="str">
        <f>_xlfn.IFNA(VLOOKUP(C1340,Master!$J:$K,2,0),"")</f>
        <v/>
      </c>
      <c r="D1340" s="4" t="str">
        <f>_xlfn.IFNA(VLOOKUP(E1340,Master!$J:$K,2,0),"")</f>
        <v/>
      </c>
      <c r="F1340" s="4" t="str">
        <f>_xlfn.IFNA(VLOOKUP(G1340,Master!B:C,2,0),"")</f>
        <v/>
      </c>
      <c r="I1340" s="3" t="str">
        <f>_xlfn.IFNA(VLOOKUP(E1340,Master!$J:$M,4,0),"")</f>
        <v/>
      </c>
      <c r="J1340" s="3" t="str">
        <f>_xlfn.IFNA(VLOOKUP($E1340,Master!$J:$M,3,0),"")</f>
        <v/>
      </c>
      <c r="AC1340" s="26">
        <f t="shared" si="42"/>
        <v>0</v>
      </c>
      <c r="AD1340" s="26">
        <f t="shared" si="43"/>
        <v>0</v>
      </c>
    </row>
    <row r="1341" spans="2:30" ht="15" customHeight="1">
      <c r="B1341" s="3" t="str">
        <f>_xlfn.IFNA(VLOOKUP(C1341,Master!$J:$K,2,0),"")</f>
        <v/>
      </c>
      <c r="D1341" s="4" t="str">
        <f>_xlfn.IFNA(VLOOKUP(E1341,Master!$J:$K,2,0),"")</f>
        <v/>
      </c>
      <c r="F1341" s="4" t="str">
        <f>_xlfn.IFNA(VLOOKUP(G1341,Master!B:C,2,0),"")</f>
        <v/>
      </c>
      <c r="I1341" s="3" t="str">
        <f>_xlfn.IFNA(VLOOKUP(E1341,Master!$J:$M,4,0),"")</f>
        <v/>
      </c>
      <c r="J1341" s="3" t="str">
        <f>_xlfn.IFNA(VLOOKUP($E1341,Master!$J:$M,3,0),"")</f>
        <v/>
      </c>
      <c r="AC1341" s="26">
        <f t="shared" si="42"/>
        <v>0</v>
      </c>
      <c r="AD1341" s="26">
        <f t="shared" si="43"/>
        <v>0</v>
      </c>
    </row>
    <row r="1342" spans="2:30" ht="15" customHeight="1">
      <c r="B1342" s="3" t="str">
        <f>_xlfn.IFNA(VLOOKUP(C1342,Master!$J:$K,2,0),"")</f>
        <v/>
      </c>
      <c r="D1342" s="4" t="str">
        <f>_xlfn.IFNA(VLOOKUP(E1342,Master!$J:$K,2,0),"")</f>
        <v/>
      </c>
      <c r="F1342" s="4" t="str">
        <f>_xlfn.IFNA(VLOOKUP(G1342,Master!B:C,2,0),"")</f>
        <v/>
      </c>
      <c r="I1342" s="3" t="str">
        <f>_xlfn.IFNA(VLOOKUP(E1342,Master!$J:$M,4,0),"")</f>
        <v/>
      </c>
      <c r="J1342" s="3" t="str">
        <f>_xlfn.IFNA(VLOOKUP($E1342,Master!$J:$M,3,0),"")</f>
        <v/>
      </c>
      <c r="AC1342" s="26">
        <f t="shared" si="42"/>
        <v>0</v>
      </c>
      <c r="AD1342" s="26">
        <f t="shared" si="43"/>
        <v>0</v>
      </c>
    </row>
    <row r="1343" spans="2:30" ht="15" customHeight="1">
      <c r="B1343" s="3" t="str">
        <f>_xlfn.IFNA(VLOOKUP(C1343,Master!$J:$K,2,0),"")</f>
        <v/>
      </c>
      <c r="D1343" s="4" t="str">
        <f>_xlfn.IFNA(VLOOKUP(E1343,Master!$J:$K,2,0),"")</f>
        <v/>
      </c>
      <c r="F1343" s="4" t="str">
        <f>_xlfn.IFNA(VLOOKUP(G1343,Master!B:C,2,0),"")</f>
        <v/>
      </c>
      <c r="I1343" s="3" t="str">
        <f>_xlfn.IFNA(VLOOKUP(E1343,Master!$J:$M,4,0),"")</f>
        <v/>
      </c>
      <c r="J1343" s="3" t="str">
        <f>_xlfn.IFNA(VLOOKUP($E1343,Master!$J:$M,3,0),"")</f>
        <v/>
      </c>
      <c r="AC1343" s="26">
        <f t="shared" si="42"/>
        <v>0</v>
      </c>
      <c r="AD1343" s="26">
        <f t="shared" si="43"/>
        <v>0</v>
      </c>
    </row>
    <row r="1344" spans="2:30" ht="15" customHeight="1">
      <c r="B1344" s="3" t="str">
        <f>_xlfn.IFNA(VLOOKUP(C1344,Master!$J:$K,2,0),"")</f>
        <v/>
      </c>
      <c r="D1344" s="4" t="str">
        <f>_xlfn.IFNA(VLOOKUP(E1344,Master!$J:$K,2,0),"")</f>
        <v/>
      </c>
      <c r="F1344" s="4" t="str">
        <f>_xlfn.IFNA(VLOOKUP(G1344,Master!B:C,2,0),"")</f>
        <v/>
      </c>
      <c r="I1344" s="3" t="str">
        <f>_xlfn.IFNA(VLOOKUP(E1344,Master!$J:$M,4,0),"")</f>
        <v/>
      </c>
      <c r="J1344" s="3" t="str">
        <f>_xlfn.IFNA(VLOOKUP($E1344,Master!$J:$M,3,0),"")</f>
        <v/>
      </c>
      <c r="AC1344" s="26">
        <f t="shared" si="42"/>
        <v>0</v>
      </c>
      <c r="AD1344" s="26">
        <f t="shared" si="43"/>
        <v>0</v>
      </c>
    </row>
    <row r="1345" spans="2:30" ht="15" customHeight="1">
      <c r="B1345" s="3" t="str">
        <f>_xlfn.IFNA(VLOOKUP(C1345,Master!$J:$K,2,0),"")</f>
        <v/>
      </c>
      <c r="D1345" s="4" t="str">
        <f>_xlfn.IFNA(VLOOKUP(E1345,Master!$J:$K,2,0),"")</f>
        <v/>
      </c>
      <c r="F1345" s="4" t="str">
        <f>_xlfn.IFNA(VLOOKUP(G1345,Master!B:C,2,0),"")</f>
        <v/>
      </c>
      <c r="I1345" s="3" t="str">
        <f>_xlfn.IFNA(VLOOKUP(E1345,Master!$J:$M,4,0),"")</f>
        <v/>
      </c>
      <c r="J1345" s="3" t="str">
        <f>_xlfn.IFNA(VLOOKUP($E1345,Master!$J:$M,3,0),"")</f>
        <v/>
      </c>
      <c r="AC1345" s="26">
        <f t="shared" si="42"/>
        <v>0</v>
      </c>
      <c r="AD1345" s="26">
        <f t="shared" si="43"/>
        <v>0</v>
      </c>
    </row>
    <row r="1346" spans="2:30" ht="15" customHeight="1">
      <c r="B1346" s="3" t="str">
        <f>_xlfn.IFNA(VLOOKUP(C1346,Master!$J:$K,2,0),"")</f>
        <v/>
      </c>
      <c r="D1346" s="4" t="str">
        <f>_xlfn.IFNA(VLOOKUP(E1346,Master!$J:$K,2,0),"")</f>
        <v/>
      </c>
      <c r="F1346" s="4" t="str">
        <f>_xlfn.IFNA(VLOOKUP(G1346,Master!B:C,2,0),"")</f>
        <v/>
      </c>
      <c r="I1346" s="3" t="str">
        <f>_xlfn.IFNA(VLOOKUP(E1346,Master!$J:$M,4,0),"")</f>
        <v/>
      </c>
      <c r="J1346" s="3" t="str">
        <f>_xlfn.IFNA(VLOOKUP($E1346,Master!$J:$M,3,0),"")</f>
        <v/>
      </c>
      <c r="AC1346" s="26">
        <f t="shared" si="42"/>
        <v>0</v>
      </c>
      <c r="AD1346" s="26">
        <f t="shared" si="43"/>
        <v>0</v>
      </c>
    </row>
    <row r="1347" spans="2:30" ht="15" customHeight="1">
      <c r="B1347" s="3" t="str">
        <f>_xlfn.IFNA(VLOOKUP(C1347,Master!$J:$K,2,0),"")</f>
        <v/>
      </c>
      <c r="D1347" s="4" t="str">
        <f>_xlfn.IFNA(VLOOKUP(E1347,Master!$J:$K,2,0),"")</f>
        <v/>
      </c>
      <c r="F1347" s="4" t="str">
        <f>_xlfn.IFNA(VLOOKUP(G1347,Master!B:C,2,0),"")</f>
        <v/>
      </c>
      <c r="I1347" s="3" t="str">
        <f>_xlfn.IFNA(VLOOKUP(E1347,Master!$J:$M,4,0),"")</f>
        <v/>
      </c>
      <c r="J1347" s="3" t="str">
        <f>_xlfn.IFNA(VLOOKUP($E1347,Master!$J:$M,3,0),"")</f>
        <v/>
      </c>
      <c r="AC1347" s="26">
        <f t="shared" si="42"/>
        <v>0</v>
      </c>
      <c r="AD1347" s="26">
        <f t="shared" si="43"/>
        <v>0</v>
      </c>
    </row>
    <row r="1348" spans="2:30" ht="15" customHeight="1">
      <c r="B1348" s="3" t="str">
        <f>_xlfn.IFNA(VLOOKUP(C1348,Master!$J:$K,2,0),"")</f>
        <v/>
      </c>
      <c r="D1348" s="4" t="str">
        <f>_xlfn.IFNA(VLOOKUP(E1348,Master!$J:$K,2,0),"")</f>
        <v/>
      </c>
      <c r="F1348" s="4" t="str">
        <f>_xlfn.IFNA(VLOOKUP(G1348,Master!B:C,2,0),"")</f>
        <v/>
      </c>
      <c r="I1348" s="3" t="str">
        <f>_xlfn.IFNA(VLOOKUP(E1348,Master!$J:$M,4,0),"")</f>
        <v/>
      </c>
      <c r="J1348" s="3" t="str">
        <f>_xlfn.IFNA(VLOOKUP($E1348,Master!$J:$M,3,0),"")</f>
        <v/>
      </c>
      <c r="AC1348" s="26">
        <f t="shared" si="42"/>
        <v>0</v>
      </c>
      <c r="AD1348" s="26">
        <f t="shared" si="43"/>
        <v>0</v>
      </c>
    </row>
    <row r="1349" spans="2:30" ht="15" customHeight="1">
      <c r="B1349" s="3" t="str">
        <f>_xlfn.IFNA(VLOOKUP(C1349,Master!$J:$K,2,0),"")</f>
        <v/>
      </c>
      <c r="D1349" s="4" t="str">
        <f>_xlfn.IFNA(VLOOKUP(E1349,Master!$J:$K,2,0),"")</f>
        <v/>
      </c>
      <c r="F1349" s="4" t="str">
        <f>_xlfn.IFNA(VLOOKUP(G1349,Master!B:C,2,0),"")</f>
        <v/>
      </c>
      <c r="I1349" s="3" t="str">
        <f>_xlfn.IFNA(VLOOKUP(E1349,Master!$J:$M,4,0),"")</f>
        <v/>
      </c>
      <c r="J1349" s="3" t="str">
        <f>_xlfn.IFNA(VLOOKUP($E1349,Master!$J:$M,3,0),"")</f>
        <v/>
      </c>
      <c r="AC1349" s="26">
        <f t="shared" si="42"/>
        <v>0</v>
      </c>
      <c r="AD1349" s="26">
        <f t="shared" si="43"/>
        <v>0</v>
      </c>
    </row>
    <row r="1350" spans="2:30" ht="15" customHeight="1">
      <c r="B1350" s="3" t="str">
        <f>_xlfn.IFNA(VLOOKUP(C1350,Master!$J:$K,2,0),"")</f>
        <v/>
      </c>
      <c r="D1350" s="4" t="str">
        <f>_xlfn.IFNA(VLOOKUP(E1350,Master!$J:$K,2,0),"")</f>
        <v/>
      </c>
      <c r="F1350" s="4" t="str">
        <f>_xlfn.IFNA(VLOOKUP(G1350,Master!B:C,2,0),"")</f>
        <v/>
      </c>
      <c r="I1350" s="3" t="str">
        <f>_xlfn.IFNA(VLOOKUP(E1350,Master!$J:$M,4,0),"")</f>
        <v/>
      </c>
      <c r="J1350" s="3" t="str">
        <f>_xlfn.IFNA(VLOOKUP($E1350,Master!$J:$M,3,0),"")</f>
        <v/>
      </c>
      <c r="AC1350" s="26">
        <f t="shared" si="42"/>
        <v>0</v>
      </c>
      <c r="AD1350" s="26">
        <f t="shared" si="43"/>
        <v>0</v>
      </c>
    </row>
    <row r="1351" spans="2:30" ht="15" customHeight="1">
      <c r="B1351" s="3" t="str">
        <f>_xlfn.IFNA(VLOOKUP(C1351,Master!$J:$K,2,0),"")</f>
        <v/>
      </c>
      <c r="D1351" s="4" t="str">
        <f>_xlfn.IFNA(VLOOKUP(E1351,Master!$J:$K,2,0),"")</f>
        <v/>
      </c>
      <c r="F1351" s="4" t="str">
        <f>_xlfn.IFNA(VLOOKUP(G1351,Master!B:C,2,0),"")</f>
        <v/>
      </c>
      <c r="I1351" s="3" t="str">
        <f>_xlfn.IFNA(VLOOKUP(E1351,Master!$J:$M,4,0),"")</f>
        <v/>
      </c>
      <c r="J1351" s="3" t="str">
        <f>_xlfn.IFNA(VLOOKUP($E1351,Master!$J:$M,3,0),"")</f>
        <v/>
      </c>
      <c r="AC1351" s="26">
        <f t="shared" si="42"/>
        <v>0</v>
      </c>
      <c r="AD1351" s="26">
        <f t="shared" si="43"/>
        <v>0</v>
      </c>
    </row>
    <row r="1352" spans="2:30" ht="15" customHeight="1">
      <c r="B1352" s="3" t="str">
        <f>_xlfn.IFNA(VLOOKUP(C1352,Master!$J:$K,2,0),"")</f>
        <v/>
      </c>
      <c r="D1352" s="4" t="str">
        <f>_xlfn.IFNA(VLOOKUP(E1352,Master!$J:$K,2,0),"")</f>
        <v/>
      </c>
      <c r="F1352" s="4" t="str">
        <f>_xlfn.IFNA(VLOOKUP(G1352,Master!B:C,2,0),"")</f>
        <v/>
      </c>
      <c r="I1352" s="3" t="str">
        <f>_xlfn.IFNA(VLOOKUP(E1352,Master!$J:$M,4,0),"")</f>
        <v/>
      </c>
      <c r="J1352" s="3" t="str">
        <f>_xlfn.IFNA(VLOOKUP($E1352,Master!$J:$M,3,0),"")</f>
        <v/>
      </c>
      <c r="AC1352" s="26">
        <f t="shared" si="42"/>
        <v>0</v>
      </c>
      <c r="AD1352" s="26">
        <f t="shared" si="43"/>
        <v>0</v>
      </c>
    </row>
    <row r="1353" spans="2:30" ht="15" customHeight="1">
      <c r="B1353" s="3" t="str">
        <f>_xlfn.IFNA(VLOOKUP(C1353,Master!$J:$K,2,0),"")</f>
        <v/>
      </c>
      <c r="D1353" s="4" t="str">
        <f>_xlfn.IFNA(VLOOKUP(E1353,Master!$J:$K,2,0),"")</f>
        <v/>
      </c>
      <c r="F1353" s="4" t="str">
        <f>_xlfn.IFNA(VLOOKUP(G1353,Master!B:C,2,0),"")</f>
        <v/>
      </c>
      <c r="I1353" s="3" t="str">
        <f>_xlfn.IFNA(VLOOKUP(E1353,Master!$J:$M,4,0),"")</f>
        <v/>
      </c>
      <c r="J1353" s="3" t="str">
        <f>_xlfn.IFNA(VLOOKUP($E1353,Master!$J:$M,3,0),"")</f>
        <v/>
      </c>
      <c r="AC1353" s="26">
        <f t="shared" si="42"/>
        <v>0</v>
      </c>
      <c r="AD1353" s="26">
        <f t="shared" si="43"/>
        <v>0</v>
      </c>
    </row>
    <row r="1354" spans="2:30" ht="15" customHeight="1">
      <c r="B1354" s="3" t="str">
        <f>_xlfn.IFNA(VLOOKUP(C1354,Master!$J:$K,2,0),"")</f>
        <v/>
      </c>
      <c r="D1354" s="4" t="str">
        <f>_xlfn.IFNA(VLOOKUP(E1354,Master!$J:$K,2,0),"")</f>
        <v/>
      </c>
      <c r="F1354" s="4" t="str">
        <f>_xlfn.IFNA(VLOOKUP(G1354,Master!B:C,2,0),"")</f>
        <v/>
      </c>
      <c r="I1354" s="3" t="str">
        <f>_xlfn.IFNA(VLOOKUP(E1354,Master!$J:$M,4,0),"")</f>
        <v/>
      </c>
      <c r="J1354" s="3" t="str">
        <f>_xlfn.IFNA(VLOOKUP($E1354,Master!$J:$M,3,0),"")</f>
        <v/>
      </c>
      <c r="AC1354" s="26">
        <f t="shared" si="42"/>
        <v>0</v>
      </c>
      <c r="AD1354" s="26">
        <f t="shared" si="43"/>
        <v>0</v>
      </c>
    </row>
    <row r="1355" spans="2:30" ht="15" customHeight="1">
      <c r="B1355" s="3" t="str">
        <f>_xlfn.IFNA(VLOOKUP(C1355,Master!$J:$K,2,0),"")</f>
        <v/>
      </c>
      <c r="D1355" s="4" t="str">
        <f>_xlfn.IFNA(VLOOKUP(E1355,Master!$J:$K,2,0),"")</f>
        <v/>
      </c>
      <c r="F1355" s="4" t="str">
        <f>_xlfn.IFNA(VLOOKUP(G1355,Master!B:C,2,0),"")</f>
        <v/>
      </c>
      <c r="I1355" s="3" t="str">
        <f>_xlfn.IFNA(VLOOKUP(E1355,Master!$J:$M,4,0),"")</f>
        <v/>
      </c>
      <c r="J1355" s="3" t="str">
        <f>_xlfn.IFNA(VLOOKUP($E1355,Master!$J:$M,3,0),"")</f>
        <v/>
      </c>
      <c r="AC1355" s="26">
        <f t="shared" si="42"/>
        <v>0</v>
      </c>
      <c r="AD1355" s="26">
        <f t="shared" si="43"/>
        <v>0</v>
      </c>
    </row>
    <row r="1356" spans="2:30" ht="15" customHeight="1">
      <c r="B1356" s="3" t="str">
        <f>_xlfn.IFNA(VLOOKUP(C1356,Master!$J:$K,2,0),"")</f>
        <v/>
      </c>
      <c r="D1356" s="4" t="str">
        <f>_xlfn.IFNA(VLOOKUP(E1356,Master!$J:$K,2,0),"")</f>
        <v/>
      </c>
      <c r="F1356" s="4" t="str">
        <f>_xlfn.IFNA(VLOOKUP(G1356,Master!B:C,2,0),"")</f>
        <v/>
      </c>
      <c r="I1356" s="3" t="str">
        <f>_xlfn.IFNA(VLOOKUP(E1356,Master!$J:$M,4,0),"")</f>
        <v/>
      </c>
      <c r="J1356" s="3" t="str">
        <f>_xlfn.IFNA(VLOOKUP($E1356,Master!$J:$M,3,0),"")</f>
        <v/>
      </c>
      <c r="AC1356" s="26">
        <f t="shared" si="42"/>
        <v>0</v>
      </c>
      <c r="AD1356" s="26">
        <f t="shared" si="43"/>
        <v>0</v>
      </c>
    </row>
    <row r="1357" spans="2:30" ht="15" customHeight="1">
      <c r="B1357" s="3" t="str">
        <f>_xlfn.IFNA(VLOOKUP(C1357,Master!$J:$K,2,0),"")</f>
        <v/>
      </c>
      <c r="D1357" s="4" t="str">
        <f>_xlfn.IFNA(VLOOKUP(E1357,Master!$J:$K,2,0),"")</f>
        <v/>
      </c>
      <c r="F1357" s="4" t="str">
        <f>_xlfn.IFNA(VLOOKUP(G1357,Master!B:C,2,0),"")</f>
        <v/>
      </c>
      <c r="I1357" s="3" t="str">
        <f>_xlfn.IFNA(VLOOKUP(E1357,Master!$J:$M,4,0),"")</f>
        <v/>
      </c>
      <c r="J1357" s="3" t="str">
        <f>_xlfn.IFNA(VLOOKUP($E1357,Master!$J:$M,3,0),"")</f>
        <v/>
      </c>
      <c r="AC1357" s="26">
        <f t="shared" ref="AC1357:AC1402" si="44">SUM(K1357:P1357)</f>
        <v>0</v>
      </c>
      <c r="AD1357" s="26">
        <f t="shared" ref="AD1357:AD1402" si="45">SUM(Q1357:AB1357)</f>
        <v>0</v>
      </c>
    </row>
    <row r="1358" spans="2:30" ht="15" customHeight="1">
      <c r="B1358" s="3" t="str">
        <f>_xlfn.IFNA(VLOOKUP(C1358,Master!$J:$K,2,0),"")</f>
        <v/>
      </c>
      <c r="D1358" s="4" t="str">
        <f>_xlfn.IFNA(VLOOKUP(E1358,Master!$J:$K,2,0),"")</f>
        <v/>
      </c>
      <c r="F1358" s="4" t="str">
        <f>_xlfn.IFNA(VLOOKUP(G1358,Master!B:C,2,0),"")</f>
        <v/>
      </c>
      <c r="I1358" s="3" t="str">
        <f>_xlfn.IFNA(VLOOKUP(E1358,Master!$J:$M,4,0),"")</f>
        <v/>
      </c>
      <c r="J1358" s="3" t="str">
        <f>_xlfn.IFNA(VLOOKUP($E1358,Master!$J:$M,3,0),"")</f>
        <v/>
      </c>
      <c r="AC1358" s="26">
        <f t="shared" si="44"/>
        <v>0</v>
      </c>
      <c r="AD1358" s="26">
        <f t="shared" si="45"/>
        <v>0</v>
      </c>
    </row>
    <row r="1359" spans="2:30" ht="15" customHeight="1">
      <c r="B1359" s="3" t="str">
        <f>_xlfn.IFNA(VLOOKUP(C1359,Master!$J:$K,2,0),"")</f>
        <v/>
      </c>
      <c r="D1359" s="4" t="str">
        <f>_xlfn.IFNA(VLOOKUP(E1359,Master!$J:$K,2,0),"")</f>
        <v/>
      </c>
      <c r="F1359" s="4" t="str">
        <f>_xlfn.IFNA(VLOOKUP(G1359,Master!B:C,2,0),"")</f>
        <v/>
      </c>
      <c r="I1359" s="3" t="str">
        <f>_xlfn.IFNA(VLOOKUP(E1359,Master!$J:$M,4,0),"")</f>
        <v/>
      </c>
      <c r="J1359" s="3" t="str">
        <f>_xlfn.IFNA(VLOOKUP($E1359,Master!$J:$M,3,0),"")</f>
        <v/>
      </c>
      <c r="AC1359" s="26">
        <f t="shared" si="44"/>
        <v>0</v>
      </c>
      <c r="AD1359" s="26">
        <f t="shared" si="45"/>
        <v>0</v>
      </c>
    </row>
    <row r="1360" spans="2:30" ht="15" customHeight="1">
      <c r="B1360" s="3" t="str">
        <f>_xlfn.IFNA(VLOOKUP(C1360,Master!$J:$K,2,0),"")</f>
        <v/>
      </c>
      <c r="D1360" s="4" t="str">
        <f>_xlfn.IFNA(VLOOKUP(E1360,Master!$J:$K,2,0),"")</f>
        <v/>
      </c>
      <c r="F1360" s="4" t="str">
        <f>_xlfn.IFNA(VLOOKUP(G1360,Master!B:C,2,0),"")</f>
        <v/>
      </c>
      <c r="I1360" s="3" t="str">
        <f>_xlfn.IFNA(VLOOKUP(E1360,Master!$J:$M,4,0),"")</f>
        <v/>
      </c>
      <c r="J1360" s="3" t="str">
        <f>_xlfn.IFNA(VLOOKUP($E1360,Master!$J:$M,3,0),"")</f>
        <v/>
      </c>
      <c r="AC1360" s="26">
        <f t="shared" si="44"/>
        <v>0</v>
      </c>
      <c r="AD1360" s="26">
        <f t="shared" si="45"/>
        <v>0</v>
      </c>
    </row>
    <row r="1361" spans="2:30" ht="15" customHeight="1">
      <c r="B1361" s="3" t="str">
        <f>_xlfn.IFNA(VLOOKUP(C1361,Master!$J:$K,2,0),"")</f>
        <v/>
      </c>
      <c r="D1361" s="4" t="str">
        <f>_xlfn.IFNA(VLOOKUP(E1361,Master!$J:$K,2,0),"")</f>
        <v/>
      </c>
      <c r="F1361" s="4" t="str">
        <f>_xlfn.IFNA(VLOOKUP(G1361,Master!B:C,2,0),"")</f>
        <v/>
      </c>
      <c r="I1361" s="3" t="str">
        <f>_xlfn.IFNA(VLOOKUP(E1361,Master!$J:$M,4,0),"")</f>
        <v/>
      </c>
      <c r="J1361" s="3" t="str">
        <f>_xlfn.IFNA(VLOOKUP($E1361,Master!$J:$M,3,0),"")</f>
        <v/>
      </c>
      <c r="AC1361" s="26">
        <f t="shared" si="44"/>
        <v>0</v>
      </c>
      <c r="AD1361" s="26">
        <f t="shared" si="45"/>
        <v>0</v>
      </c>
    </row>
    <row r="1362" spans="2:30" ht="15" customHeight="1">
      <c r="B1362" s="3" t="str">
        <f>_xlfn.IFNA(VLOOKUP(C1362,Master!$J:$K,2,0),"")</f>
        <v/>
      </c>
      <c r="D1362" s="4" t="str">
        <f>_xlfn.IFNA(VLOOKUP(E1362,Master!$J:$K,2,0),"")</f>
        <v/>
      </c>
      <c r="F1362" s="4" t="str">
        <f>_xlfn.IFNA(VLOOKUP(G1362,Master!B:C,2,0),"")</f>
        <v/>
      </c>
      <c r="I1362" s="3" t="str">
        <f>_xlfn.IFNA(VLOOKUP(E1362,Master!$J:$M,4,0),"")</f>
        <v/>
      </c>
      <c r="J1362" s="3" t="str">
        <f>_xlfn.IFNA(VLOOKUP($E1362,Master!$J:$M,3,0),"")</f>
        <v/>
      </c>
      <c r="AC1362" s="26">
        <f t="shared" si="44"/>
        <v>0</v>
      </c>
      <c r="AD1362" s="26">
        <f t="shared" si="45"/>
        <v>0</v>
      </c>
    </row>
    <row r="1363" spans="2:30" ht="15" customHeight="1">
      <c r="B1363" s="3" t="str">
        <f>_xlfn.IFNA(VLOOKUP(C1363,Master!$J:$K,2,0),"")</f>
        <v/>
      </c>
      <c r="D1363" s="4" t="str">
        <f>_xlfn.IFNA(VLOOKUP(E1363,Master!$J:$K,2,0),"")</f>
        <v/>
      </c>
      <c r="F1363" s="4" t="str">
        <f>_xlfn.IFNA(VLOOKUP(G1363,Master!B:C,2,0),"")</f>
        <v/>
      </c>
      <c r="I1363" s="3" t="str">
        <f>_xlfn.IFNA(VLOOKUP(E1363,Master!$J:$M,4,0),"")</f>
        <v/>
      </c>
      <c r="J1363" s="3" t="str">
        <f>_xlfn.IFNA(VLOOKUP($E1363,Master!$J:$M,3,0),"")</f>
        <v/>
      </c>
      <c r="AC1363" s="26">
        <f t="shared" si="44"/>
        <v>0</v>
      </c>
      <c r="AD1363" s="26">
        <f t="shared" si="45"/>
        <v>0</v>
      </c>
    </row>
    <row r="1364" spans="2:30" ht="15" customHeight="1">
      <c r="B1364" s="3" t="str">
        <f>_xlfn.IFNA(VLOOKUP(C1364,Master!$J:$K,2,0),"")</f>
        <v/>
      </c>
      <c r="D1364" s="4" t="str">
        <f>_xlfn.IFNA(VLOOKUP(E1364,Master!$J:$K,2,0),"")</f>
        <v/>
      </c>
      <c r="F1364" s="4" t="str">
        <f>_xlfn.IFNA(VLOOKUP(G1364,Master!B:C,2,0),"")</f>
        <v/>
      </c>
      <c r="I1364" s="3" t="str">
        <f>_xlfn.IFNA(VLOOKUP(E1364,Master!$J:$M,4,0),"")</f>
        <v/>
      </c>
      <c r="J1364" s="3" t="str">
        <f>_xlfn.IFNA(VLOOKUP($E1364,Master!$J:$M,3,0),"")</f>
        <v/>
      </c>
      <c r="AC1364" s="26">
        <f t="shared" si="44"/>
        <v>0</v>
      </c>
      <c r="AD1364" s="26">
        <f t="shared" si="45"/>
        <v>0</v>
      </c>
    </row>
    <row r="1365" spans="2:30" ht="15" customHeight="1">
      <c r="B1365" s="3" t="str">
        <f>_xlfn.IFNA(VLOOKUP(C1365,Master!$J:$K,2,0),"")</f>
        <v/>
      </c>
      <c r="D1365" s="4" t="str">
        <f>_xlfn.IFNA(VLOOKUP(E1365,Master!$J:$K,2,0),"")</f>
        <v/>
      </c>
      <c r="F1365" s="4" t="str">
        <f>_xlfn.IFNA(VLOOKUP(G1365,Master!B:C,2,0),"")</f>
        <v/>
      </c>
      <c r="I1365" s="3" t="str">
        <f>_xlfn.IFNA(VLOOKUP(E1365,Master!$J:$M,4,0),"")</f>
        <v/>
      </c>
      <c r="J1365" s="3" t="str">
        <f>_xlfn.IFNA(VLOOKUP($E1365,Master!$J:$M,3,0),"")</f>
        <v/>
      </c>
      <c r="AC1365" s="26">
        <f t="shared" si="44"/>
        <v>0</v>
      </c>
      <c r="AD1365" s="26">
        <f t="shared" si="45"/>
        <v>0</v>
      </c>
    </row>
    <row r="1366" spans="2:30" ht="15" customHeight="1">
      <c r="B1366" s="3" t="str">
        <f>_xlfn.IFNA(VLOOKUP(C1366,Master!$J:$K,2,0),"")</f>
        <v/>
      </c>
      <c r="D1366" s="4" t="str">
        <f>_xlfn.IFNA(VLOOKUP(E1366,Master!$J:$K,2,0),"")</f>
        <v/>
      </c>
      <c r="F1366" s="4" t="str">
        <f>_xlfn.IFNA(VLOOKUP(G1366,Master!B:C,2,0),"")</f>
        <v/>
      </c>
      <c r="I1366" s="3" t="str">
        <f>_xlfn.IFNA(VLOOKUP(E1366,Master!$J:$M,4,0),"")</f>
        <v/>
      </c>
      <c r="J1366" s="3" t="str">
        <f>_xlfn.IFNA(VLOOKUP($E1366,Master!$J:$M,3,0),"")</f>
        <v/>
      </c>
      <c r="AC1366" s="26">
        <f t="shared" si="44"/>
        <v>0</v>
      </c>
      <c r="AD1366" s="26">
        <f t="shared" si="45"/>
        <v>0</v>
      </c>
    </row>
    <row r="1367" spans="2:30" ht="15" customHeight="1">
      <c r="B1367" s="3" t="str">
        <f>_xlfn.IFNA(VLOOKUP(C1367,Master!$J:$K,2,0),"")</f>
        <v/>
      </c>
      <c r="D1367" s="4" t="str">
        <f>_xlfn.IFNA(VLOOKUP(E1367,Master!$J:$K,2,0),"")</f>
        <v/>
      </c>
      <c r="F1367" s="4" t="str">
        <f>_xlfn.IFNA(VLOOKUP(G1367,Master!B:C,2,0),"")</f>
        <v/>
      </c>
      <c r="I1367" s="3" t="str">
        <f>_xlfn.IFNA(VLOOKUP(E1367,Master!$J:$M,4,0),"")</f>
        <v/>
      </c>
      <c r="J1367" s="3" t="str">
        <f>_xlfn.IFNA(VLOOKUP($E1367,Master!$J:$M,3,0),"")</f>
        <v/>
      </c>
      <c r="AC1367" s="26">
        <f t="shared" si="44"/>
        <v>0</v>
      </c>
      <c r="AD1367" s="26">
        <f t="shared" si="45"/>
        <v>0</v>
      </c>
    </row>
    <row r="1368" spans="2:30" ht="15" customHeight="1">
      <c r="B1368" s="3" t="str">
        <f>_xlfn.IFNA(VLOOKUP(C1368,Master!$J:$K,2,0),"")</f>
        <v/>
      </c>
      <c r="D1368" s="4" t="str">
        <f>_xlfn.IFNA(VLOOKUP(E1368,Master!$J:$K,2,0),"")</f>
        <v/>
      </c>
      <c r="F1368" s="4" t="str">
        <f>_xlfn.IFNA(VLOOKUP(G1368,Master!B:C,2,0),"")</f>
        <v/>
      </c>
      <c r="I1368" s="3" t="str">
        <f>_xlfn.IFNA(VLOOKUP(E1368,Master!$J:$M,4,0),"")</f>
        <v/>
      </c>
      <c r="J1368" s="3" t="str">
        <f>_xlfn.IFNA(VLOOKUP($E1368,Master!$J:$M,3,0),"")</f>
        <v/>
      </c>
      <c r="AC1368" s="26">
        <f t="shared" si="44"/>
        <v>0</v>
      </c>
      <c r="AD1368" s="26">
        <f t="shared" si="45"/>
        <v>0</v>
      </c>
    </row>
    <row r="1369" spans="2:30" ht="15" customHeight="1">
      <c r="B1369" s="3" t="str">
        <f>_xlfn.IFNA(VLOOKUP(C1369,Master!$J:$K,2,0),"")</f>
        <v/>
      </c>
      <c r="D1369" s="4" t="str">
        <f>_xlfn.IFNA(VLOOKUP(E1369,Master!$J:$K,2,0),"")</f>
        <v/>
      </c>
      <c r="F1369" s="4" t="str">
        <f>_xlfn.IFNA(VLOOKUP(G1369,Master!B:C,2,0),"")</f>
        <v/>
      </c>
      <c r="I1369" s="3" t="str">
        <f>_xlfn.IFNA(VLOOKUP(E1369,Master!$J:$M,4,0),"")</f>
        <v/>
      </c>
      <c r="J1369" s="3" t="str">
        <f>_xlfn.IFNA(VLOOKUP($E1369,Master!$J:$M,3,0),"")</f>
        <v/>
      </c>
      <c r="AC1369" s="26">
        <f t="shared" si="44"/>
        <v>0</v>
      </c>
      <c r="AD1369" s="26">
        <f t="shared" si="45"/>
        <v>0</v>
      </c>
    </row>
    <row r="1370" spans="2:30" ht="15" customHeight="1">
      <c r="B1370" s="3" t="str">
        <f>_xlfn.IFNA(VLOOKUP(C1370,Master!$J:$K,2,0),"")</f>
        <v/>
      </c>
      <c r="D1370" s="4" t="str">
        <f>_xlfn.IFNA(VLOOKUP(E1370,Master!$J:$K,2,0),"")</f>
        <v/>
      </c>
      <c r="F1370" s="4" t="str">
        <f>_xlfn.IFNA(VLOOKUP(G1370,Master!B:C,2,0),"")</f>
        <v/>
      </c>
      <c r="I1370" s="3" t="str">
        <f>_xlfn.IFNA(VLOOKUP(E1370,Master!$J:$M,4,0),"")</f>
        <v/>
      </c>
      <c r="J1370" s="3" t="str">
        <f>_xlfn.IFNA(VLOOKUP($E1370,Master!$J:$M,3,0),"")</f>
        <v/>
      </c>
      <c r="AC1370" s="26">
        <f t="shared" si="44"/>
        <v>0</v>
      </c>
      <c r="AD1370" s="26">
        <f t="shared" si="45"/>
        <v>0</v>
      </c>
    </row>
    <row r="1371" spans="2:30" ht="15" customHeight="1">
      <c r="B1371" s="3" t="str">
        <f>_xlfn.IFNA(VLOOKUP(C1371,Master!$J:$K,2,0),"")</f>
        <v/>
      </c>
      <c r="D1371" s="4" t="str">
        <f>_xlfn.IFNA(VLOOKUP(E1371,Master!$J:$K,2,0),"")</f>
        <v/>
      </c>
      <c r="F1371" s="4" t="str">
        <f>_xlfn.IFNA(VLOOKUP(G1371,Master!B:C,2,0),"")</f>
        <v/>
      </c>
      <c r="I1371" s="3" t="str">
        <f>_xlfn.IFNA(VLOOKUP(E1371,Master!$J:$M,4,0),"")</f>
        <v/>
      </c>
      <c r="J1371" s="3" t="str">
        <f>_xlfn.IFNA(VLOOKUP($E1371,Master!$J:$M,3,0),"")</f>
        <v/>
      </c>
      <c r="AC1371" s="26">
        <f t="shared" si="44"/>
        <v>0</v>
      </c>
      <c r="AD1371" s="26">
        <f t="shared" si="45"/>
        <v>0</v>
      </c>
    </row>
    <row r="1372" spans="2:30" ht="15" customHeight="1">
      <c r="B1372" s="3" t="str">
        <f>_xlfn.IFNA(VLOOKUP(C1372,Master!$J:$K,2,0),"")</f>
        <v/>
      </c>
      <c r="D1372" s="4" t="str">
        <f>_xlfn.IFNA(VLOOKUP(E1372,Master!$J:$K,2,0),"")</f>
        <v/>
      </c>
      <c r="F1372" s="4" t="str">
        <f>_xlfn.IFNA(VLOOKUP(G1372,Master!B:C,2,0),"")</f>
        <v/>
      </c>
      <c r="I1372" s="3" t="str">
        <f>_xlfn.IFNA(VLOOKUP(E1372,Master!$J:$M,4,0),"")</f>
        <v/>
      </c>
      <c r="J1372" s="3" t="str">
        <f>_xlfn.IFNA(VLOOKUP($E1372,Master!$J:$M,3,0),"")</f>
        <v/>
      </c>
      <c r="AC1372" s="26">
        <f t="shared" si="44"/>
        <v>0</v>
      </c>
      <c r="AD1372" s="26">
        <f t="shared" si="45"/>
        <v>0</v>
      </c>
    </row>
    <row r="1373" spans="2:30" ht="15" customHeight="1">
      <c r="B1373" s="3" t="str">
        <f>_xlfn.IFNA(VLOOKUP(C1373,Master!$J:$K,2,0),"")</f>
        <v/>
      </c>
      <c r="D1373" s="4" t="str">
        <f>_xlfn.IFNA(VLOOKUP(E1373,Master!$J:$K,2,0),"")</f>
        <v/>
      </c>
      <c r="F1373" s="4" t="str">
        <f>_xlfn.IFNA(VLOOKUP(G1373,Master!B:C,2,0),"")</f>
        <v/>
      </c>
      <c r="I1373" s="3" t="str">
        <f>_xlfn.IFNA(VLOOKUP(E1373,Master!$J:$M,4,0),"")</f>
        <v/>
      </c>
      <c r="J1373" s="3" t="str">
        <f>_xlfn.IFNA(VLOOKUP($E1373,Master!$J:$M,3,0),"")</f>
        <v/>
      </c>
      <c r="AC1373" s="26">
        <f t="shared" si="44"/>
        <v>0</v>
      </c>
      <c r="AD1373" s="26">
        <f t="shared" si="45"/>
        <v>0</v>
      </c>
    </row>
    <row r="1374" spans="2:30" ht="15" customHeight="1">
      <c r="B1374" s="3" t="str">
        <f>_xlfn.IFNA(VLOOKUP(C1374,Master!$J:$K,2,0),"")</f>
        <v/>
      </c>
      <c r="D1374" s="4" t="str">
        <f>_xlfn.IFNA(VLOOKUP(E1374,Master!$J:$K,2,0),"")</f>
        <v/>
      </c>
      <c r="F1374" s="4" t="str">
        <f>_xlfn.IFNA(VLOOKUP(G1374,Master!B:C,2,0),"")</f>
        <v/>
      </c>
      <c r="I1374" s="3" t="str">
        <f>_xlfn.IFNA(VLOOKUP(E1374,Master!$J:$M,4,0),"")</f>
        <v/>
      </c>
      <c r="J1374" s="3" t="str">
        <f>_xlfn.IFNA(VLOOKUP($E1374,Master!$J:$M,3,0),"")</f>
        <v/>
      </c>
      <c r="AC1374" s="26">
        <f t="shared" si="44"/>
        <v>0</v>
      </c>
      <c r="AD1374" s="26">
        <f t="shared" si="45"/>
        <v>0</v>
      </c>
    </row>
    <row r="1375" spans="2:30" ht="15" customHeight="1">
      <c r="B1375" s="3" t="str">
        <f>_xlfn.IFNA(VLOOKUP(C1375,Master!$J:$K,2,0),"")</f>
        <v/>
      </c>
      <c r="D1375" s="4" t="str">
        <f>_xlfn.IFNA(VLOOKUP(E1375,Master!$J:$K,2,0),"")</f>
        <v/>
      </c>
      <c r="F1375" s="4" t="str">
        <f>_xlfn.IFNA(VLOOKUP(G1375,Master!B:C,2,0),"")</f>
        <v/>
      </c>
      <c r="I1375" s="3" t="str">
        <f>_xlfn.IFNA(VLOOKUP(E1375,Master!$J:$M,4,0),"")</f>
        <v/>
      </c>
      <c r="J1375" s="3" t="str">
        <f>_xlfn.IFNA(VLOOKUP($E1375,Master!$J:$M,3,0),"")</f>
        <v/>
      </c>
      <c r="AC1375" s="26">
        <f t="shared" si="44"/>
        <v>0</v>
      </c>
      <c r="AD1375" s="26">
        <f t="shared" si="45"/>
        <v>0</v>
      </c>
    </row>
    <row r="1376" spans="2:30" ht="15" customHeight="1">
      <c r="B1376" s="3" t="str">
        <f>_xlfn.IFNA(VLOOKUP(C1376,Master!$J:$K,2,0),"")</f>
        <v/>
      </c>
      <c r="D1376" s="4" t="str">
        <f>_xlfn.IFNA(VLOOKUP(E1376,Master!$J:$K,2,0),"")</f>
        <v/>
      </c>
      <c r="F1376" s="4" t="str">
        <f>_xlfn.IFNA(VLOOKUP(G1376,Master!B:C,2,0),"")</f>
        <v/>
      </c>
      <c r="I1376" s="3" t="str">
        <f>_xlfn.IFNA(VLOOKUP(E1376,Master!$J:$M,4,0),"")</f>
        <v/>
      </c>
      <c r="J1376" s="3" t="str">
        <f>_xlfn.IFNA(VLOOKUP($E1376,Master!$J:$M,3,0),"")</f>
        <v/>
      </c>
      <c r="AC1376" s="26">
        <f t="shared" si="44"/>
        <v>0</v>
      </c>
      <c r="AD1376" s="26">
        <f t="shared" si="45"/>
        <v>0</v>
      </c>
    </row>
    <row r="1377" spans="2:30" ht="15" customHeight="1">
      <c r="B1377" s="3" t="str">
        <f>_xlfn.IFNA(VLOOKUP(C1377,Master!$J:$K,2,0),"")</f>
        <v/>
      </c>
      <c r="D1377" s="4" t="str">
        <f>_xlfn.IFNA(VLOOKUP(E1377,Master!$J:$K,2,0),"")</f>
        <v/>
      </c>
      <c r="F1377" s="4" t="str">
        <f>_xlfn.IFNA(VLOOKUP(G1377,Master!B:C,2,0),"")</f>
        <v/>
      </c>
      <c r="I1377" s="3" t="str">
        <f>_xlfn.IFNA(VLOOKUP(E1377,Master!$J:$M,4,0),"")</f>
        <v/>
      </c>
      <c r="J1377" s="3" t="str">
        <f>_xlfn.IFNA(VLOOKUP($E1377,Master!$J:$M,3,0),"")</f>
        <v/>
      </c>
      <c r="AC1377" s="26">
        <f t="shared" si="44"/>
        <v>0</v>
      </c>
      <c r="AD1377" s="26">
        <f t="shared" si="45"/>
        <v>0</v>
      </c>
    </row>
    <row r="1378" spans="2:30" ht="15" customHeight="1">
      <c r="B1378" s="3" t="str">
        <f>_xlfn.IFNA(VLOOKUP(C1378,Master!$J:$K,2,0),"")</f>
        <v/>
      </c>
      <c r="D1378" s="4" t="str">
        <f>_xlfn.IFNA(VLOOKUP(E1378,Master!$J:$K,2,0),"")</f>
        <v/>
      </c>
      <c r="F1378" s="4" t="str">
        <f>_xlfn.IFNA(VLOOKUP(G1378,Master!B:C,2,0),"")</f>
        <v/>
      </c>
      <c r="I1378" s="3" t="str">
        <f>_xlfn.IFNA(VLOOKUP(E1378,Master!$J:$M,4,0),"")</f>
        <v/>
      </c>
      <c r="J1378" s="3" t="str">
        <f>_xlfn.IFNA(VLOOKUP($E1378,Master!$J:$M,3,0),"")</f>
        <v/>
      </c>
      <c r="AC1378" s="26">
        <f t="shared" si="44"/>
        <v>0</v>
      </c>
      <c r="AD1378" s="26">
        <f t="shared" si="45"/>
        <v>0</v>
      </c>
    </row>
    <row r="1379" spans="2:30" ht="15" customHeight="1">
      <c r="B1379" s="3" t="str">
        <f>_xlfn.IFNA(VLOOKUP(C1379,Master!$J:$K,2,0),"")</f>
        <v/>
      </c>
      <c r="D1379" s="4" t="str">
        <f>_xlfn.IFNA(VLOOKUP(E1379,Master!$J:$K,2,0),"")</f>
        <v/>
      </c>
      <c r="F1379" s="4" t="str">
        <f>_xlfn.IFNA(VLOOKUP(G1379,Master!B:C,2,0),"")</f>
        <v/>
      </c>
      <c r="I1379" s="3" t="str">
        <f>_xlfn.IFNA(VLOOKUP(E1379,Master!$J:$M,4,0),"")</f>
        <v/>
      </c>
      <c r="J1379" s="3" t="str">
        <f>_xlfn.IFNA(VLOOKUP($E1379,Master!$J:$M,3,0),"")</f>
        <v/>
      </c>
      <c r="AC1379" s="26">
        <f t="shared" si="44"/>
        <v>0</v>
      </c>
      <c r="AD1379" s="26">
        <f t="shared" si="45"/>
        <v>0</v>
      </c>
    </row>
    <row r="1380" spans="2:30" ht="15" customHeight="1">
      <c r="B1380" s="3" t="str">
        <f>_xlfn.IFNA(VLOOKUP(C1380,Master!$J:$K,2,0),"")</f>
        <v/>
      </c>
      <c r="D1380" s="4" t="str">
        <f>_xlfn.IFNA(VLOOKUP(E1380,Master!$J:$K,2,0),"")</f>
        <v/>
      </c>
      <c r="F1380" s="4" t="str">
        <f>_xlfn.IFNA(VLOOKUP(G1380,Master!B:C,2,0),"")</f>
        <v/>
      </c>
      <c r="I1380" s="3" t="str">
        <f>_xlfn.IFNA(VLOOKUP(E1380,Master!$J:$M,4,0),"")</f>
        <v/>
      </c>
      <c r="J1380" s="3" t="str">
        <f>_xlfn.IFNA(VLOOKUP($E1380,Master!$J:$M,3,0),"")</f>
        <v/>
      </c>
      <c r="AC1380" s="26">
        <f t="shared" si="44"/>
        <v>0</v>
      </c>
      <c r="AD1380" s="26">
        <f t="shared" si="45"/>
        <v>0</v>
      </c>
    </row>
    <row r="1381" spans="2:30" ht="15" customHeight="1">
      <c r="B1381" s="3" t="str">
        <f>_xlfn.IFNA(VLOOKUP(C1381,Master!$J:$K,2,0),"")</f>
        <v/>
      </c>
      <c r="D1381" s="4" t="str">
        <f>_xlfn.IFNA(VLOOKUP(E1381,Master!$J:$K,2,0),"")</f>
        <v/>
      </c>
      <c r="F1381" s="4" t="str">
        <f>_xlfn.IFNA(VLOOKUP(G1381,Master!B:C,2,0),"")</f>
        <v/>
      </c>
      <c r="I1381" s="3" t="str">
        <f>_xlfn.IFNA(VLOOKUP(E1381,Master!$J:$M,4,0),"")</f>
        <v/>
      </c>
      <c r="J1381" s="3" t="str">
        <f>_xlfn.IFNA(VLOOKUP($E1381,Master!$J:$M,3,0),"")</f>
        <v/>
      </c>
      <c r="AC1381" s="26">
        <f t="shared" si="44"/>
        <v>0</v>
      </c>
      <c r="AD1381" s="26">
        <f t="shared" si="45"/>
        <v>0</v>
      </c>
    </row>
    <row r="1382" spans="2:30" ht="15" customHeight="1">
      <c r="B1382" s="3" t="str">
        <f>_xlfn.IFNA(VLOOKUP(C1382,Master!$J:$K,2,0),"")</f>
        <v/>
      </c>
      <c r="D1382" s="4" t="str">
        <f>_xlfn.IFNA(VLOOKUP(E1382,Master!$J:$K,2,0),"")</f>
        <v/>
      </c>
      <c r="F1382" s="4" t="str">
        <f>_xlfn.IFNA(VLOOKUP(G1382,Master!B:C,2,0),"")</f>
        <v/>
      </c>
      <c r="I1382" s="3" t="str">
        <f>_xlfn.IFNA(VLOOKUP(E1382,Master!$J:$M,4,0),"")</f>
        <v/>
      </c>
      <c r="J1382" s="3" t="str">
        <f>_xlfn.IFNA(VLOOKUP($E1382,Master!$J:$M,3,0),"")</f>
        <v/>
      </c>
      <c r="AC1382" s="26">
        <f t="shared" si="44"/>
        <v>0</v>
      </c>
      <c r="AD1382" s="26">
        <f t="shared" si="45"/>
        <v>0</v>
      </c>
    </row>
    <row r="1383" spans="2:30" ht="15" customHeight="1">
      <c r="B1383" s="3" t="str">
        <f>_xlfn.IFNA(VLOOKUP(C1383,Master!$J:$K,2,0),"")</f>
        <v/>
      </c>
      <c r="D1383" s="4" t="str">
        <f>_xlfn.IFNA(VLOOKUP(E1383,Master!$J:$K,2,0),"")</f>
        <v/>
      </c>
      <c r="F1383" s="4" t="str">
        <f>_xlfn.IFNA(VLOOKUP(G1383,Master!B:C,2,0),"")</f>
        <v/>
      </c>
      <c r="I1383" s="3" t="str">
        <f>_xlfn.IFNA(VLOOKUP(E1383,Master!$J:$M,4,0),"")</f>
        <v/>
      </c>
      <c r="J1383" s="3" t="str">
        <f>_xlfn.IFNA(VLOOKUP($E1383,Master!$J:$M,3,0),"")</f>
        <v/>
      </c>
      <c r="AC1383" s="26">
        <f t="shared" si="44"/>
        <v>0</v>
      </c>
      <c r="AD1383" s="26">
        <f t="shared" si="45"/>
        <v>0</v>
      </c>
    </row>
    <row r="1384" spans="2:30" ht="15" customHeight="1">
      <c r="B1384" s="3" t="str">
        <f>_xlfn.IFNA(VLOOKUP(C1384,Master!$J:$K,2,0),"")</f>
        <v/>
      </c>
      <c r="D1384" s="4" t="str">
        <f>_xlfn.IFNA(VLOOKUP(E1384,Master!$J:$K,2,0),"")</f>
        <v/>
      </c>
      <c r="F1384" s="4" t="str">
        <f>_xlfn.IFNA(VLOOKUP(G1384,Master!B:C,2,0),"")</f>
        <v/>
      </c>
      <c r="I1384" s="3" t="str">
        <f>_xlfn.IFNA(VLOOKUP(E1384,Master!$J:$M,4,0),"")</f>
        <v/>
      </c>
      <c r="J1384" s="3" t="str">
        <f>_xlfn.IFNA(VLOOKUP($E1384,Master!$J:$M,3,0),"")</f>
        <v/>
      </c>
      <c r="AC1384" s="26">
        <f t="shared" si="44"/>
        <v>0</v>
      </c>
      <c r="AD1384" s="26">
        <f t="shared" si="45"/>
        <v>0</v>
      </c>
    </row>
    <row r="1385" spans="2:30" ht="15" customHeight="1">
      <c r="B1385" s="3" t="str">
        <f>_xlfn.IFNA(VLOOKUP(C1385,Master!$J:$K,2,0),"")</f>
        <v/>
      </c>
      <c r="D1385" s="4" t="str">
        <f>_xlfn.IFNA(VLOOKUP(E1385,Master!$J:$K,2,0),"")</f>
        <v/>
      </c>
      <c r="F1385" s="4" t="str">
        <f>_xlfn.IFNA(VLOOKUP(G1385,Master!B:C,2,0),"")</f>
        <v/>
      </c>
      <c r="I1385" s="3" t="str">
        <f>_xlfn.IFNA(VLOOKUP(E1385,Master!$J:$M,4,0),"")</f>
        <v/>
      </c>
      <c r="J1385" s="3" t="str">
        <f>_xlfn.IFNA(VLOOKUP($E1385,Master!$J:$M,3,0),"")</f>
        <v/>
      </c>
      <c r="AC1385" s="26">
        <f t="shared" si="44"/>
        <v>0</v>
      </c>
      <c r="AD1385" s="26">
        <f t="shared" si="45"/>
        <v>0</v>
      </c>
    </row>
    <row r="1386" spans="2:30" ht="15" customHeight="1">
      <c r="B1386" s="3" t="str">
        <f>_xlfn.IFNA(VLOOKUP(C1386,Master!$J:$K,2,0),"")</f>
        <v/>
      </c>
      <c r="D1386" s="4" t="str">
        <f>_xlfn.IFNA(VLOOKUP(E1386,Master!$J:$K,2,0),"")</f>
        <v/>
      </c>
      <c r="F1386" s="4" t="str">
        <f>_xlfn.IFNA(VLOOKUP(G1386,Master!B:C,2,0),"")</f>
        <v/>
      </c>
      <c r="I1386" s="3" t="str">
        <f>_xlfn.IFNA(VLOOKUP(E1386,Master!$J:$M,4,0),"")</f>
        <v/>
      </c>
      <c r="J1386" s="3" t="str">
        <f>_xlfn.IFNA(VLOOKUP($E1386,Master!$J:$M,3,0),"")</f>
        <v/>
      </c>
      <c r="AC1386" s="26">
        <f t="shared" si="44"/>
        <v>0</v>
      </c>
      <c r="AD1386" s="26">
        <f t="shared" si="45"/>
        <v>0</v>
      </c>
    </row>
    <row r="1387" spans="2:30" ht="15" customHeight="1">
      <c r="B1387" s="3" t="str">
        <f>_xlfn.IFNA(VLOOKUP(C1387,Master!$J:$K,2,0),"")</f>
        <v/>
      </c>
      <c r="D1387" s="4" t="str">
        <f>_xlfn.IFNA(VLOOKUP(E1387,Master!$J:$K,2,0),"")</f>
        <v/>
      </c>
      <c r="F1387" s="4" t="str">
        <f>_xlfn.IFNA(VLOOKUP(G1387,Master!B:C,2,0),"")</f>
        <v/>
      </c>
      <c r="I1387" s="3" t="str">
        <f>_xlfn.IFNA(VLOOKUP(E1387,Master!$J:$M,4,0),"")</f>
        <v/>
      </c>
      <c r="J1387" s="3" t="str">
        <f>_xlfn.IFNA(VLOOKUP($E1387,Master!$J:$M,3,0),"")</f>
        <v/>
      </c>
      <c r="AC1387" s="26">
        <f t="shared" si="44"/>
        <v>0</v>
      </c>
      <c r="AD1387" s="26">
        <f t="shared" si="45"/>
        <v>0</v>
      </c>
    </row>
    <row r="1388" spans="2:30" ht="15" customHeight="1">
      <c r="B1388" s="3" t="str">
        <f>_xlfn.IFNA(VLOOKUP(C1388,Master!$J:$K,2,0),"")</f>
        <v/>
      </c>
      <c r="D1388" s="4" t="str">
        <f>_xlfn.IFNA(VLOOKUP(E1388,Master!$J:$K,2,0),"")</f>
        <v/>
      </c>
      <c r="F1388" s="4" t="str">
        <f>_xlfn.IFNA(VLOOKUP(G1388,Master!B:C,2,0),"")</f>
        <v/>
      </c>
      <c r="I1388" s="3" t="str">
        <f>_xlfn.IFNA(VLOOKUP(E1388,Master!$J:$M,4,0),"")</f>
        <v/>
      </c>
      <c r="J1388" s="3" t="str">
        <f>_xlfn.IFNA(VLOOKUP($E1388,Master!$J:$M,3,0),"")</f>
        <v/>
      </c>
      <c r="AC1388" s="26">
        <f t="shared" si="44"/>
        <v>0</v>
      </c>
      <c r="AD1388" s="26">
        <f t="shared" si="45"/>
        <v>0</v>
      </c>
    </row>
    <row r="1389" spans="2:30" ht="15" customHeight="1">
      <c r="B1389" s="3" t="str">
        <f>_xlfn.IFNA(VLOOKUP(C1389,Master!$J:$K,2,0),"")</f>
        <v/>
      </c>
      <c r="D1389" s="4" t="str">
        <f>_xlfn.IFNA(VLOOKUP(E1389,Master!$J:$K,2,0),"")</f>
        <v/>
      </c>
      <c r="F1389" s="4" t="str">
        <f>_xlfn.IFNA(VLOOKUP(G1389,Master!B:C,2,0),"")</f>
        <v/>
      </c>
      <c r="I1389" s="3" t="str">
        <f>_xlfn.IFNA(VLOOKUP(E1389,Master!$J:$M,4,0),"")</f>
        <v/>
      </c>
      <c r="J1389" s="3" t="str">
        <f>_xlfn.IFNA(VLOOKUP($E1389,Master!$J:$M,3,0),"")</f>
        <v/>
      </c>
      <c r="AC1389" s="26">
        <f t="shared" si="44"/>
        <v>0</v>
      </c>
      <c r="AD1389" s="26">
        <f t="shared" si="45"/>
        <v>0</v>
      </c>
    </row>
    <row r="1390" spans="2:30" ht="15" customHeight="1">
      <c r="B1390" s="3" t="str">
        <f>_xlfn.IFNA(VLOOKUP(C1390,Master!$J:$K,2,0),"")</f>
        <v/>
      </c>
      <c r="D1390" s="4" t="str">
        <f>_xlfn.IFNA(VLOOKUP(E1390,Master!$J:$K,2,0),"")</f>
        <v/>
      </c>
      <c r="F1390" s="4" t="str">
        <f>_xlfn.IFNA(VLOOKUP(G1390,Master!B:C,2,0),"")</f>
        <v/>
      </c>
      <c r="I1390" s="3" t="str">
        <f>_xlfn.IFNA(VLOOKUP(E1390,Master!$J:$M,4,0),"")</f>
        <v/>
      </c>
      <c r="J1390" s="3" t="str">
        <f>_xlfn.IFNA(VLOOKUP($E1390,Master!$J:$M,3,0),"")</f>
        <v/>
      </c>
      <c r="AC1390" s="26">
        <f t="shared" si="44"/>
        <v>0</v>
      </c>
      <c r="AD1390" s="26">
        <f t="shared" si="45"/>
        <v>0</v>
      </c>
    </row>
    <row r="1391" spans="2:30" ht="15" customHeight="1">
      <c r="B1391" s="3" t="str">
        <f>_xlfn.IFNA(VLOOKUP(C1391,Master!$J:$K,2,0),"")</f>
        <v/>
      </c>
      <c r="D1391" s="4" t="str">
        <f>_xlfn.IFNA(VLOOKUP(E1391,Master!$J:$K,2,0),"")</f>
        <v/>
      </c>
      <c r="F1391" s="4" t="str">
        <f>_xlfn.IFNA(VLOOKUP(G1391,Master!B:C,2,0),"")</f>
        <v/>
      </c>
      <c r="I1391" s="3" t="str">
        <f>_xlfn.IFNA(VLOOKUP(E1391,Master!$J:$M,4,0),"")</f>
        <v/>
      </c>
      <c r="J1391" s="3" t="str">
        <f>_xlfn.IFNA(VLOOKUP($E1391,Master!$J:$M,3,0),"")</f>
        <v/>
      </c>
      <c r="AC1391" s="26">
        <f t="shared" si="44"/>
        <v>0</v>
      </c>
      <c r="AD1391" s="26">
        <f t="shared" si="45"/>
        <v>0</v>
      </c>
    </row>
    <row r="1392" spans="2:30" ht="15" customHeight="1">
      <c r="B1392" s="3" t="str">
        <f>_xlfn.IFNA(VLOOKUP(C1392,Master!$J:$K,2,0),"")</f>
        <v/>
      </c>
      <c r="D1392" s="4" t="str">
        <f>_xlfn.IFNA(VLOOKUP(E1392,Master!$J:$K,2,0),"")</f>
        <v/>
      </c>
      <c r="F1392" s="4" t="str">
        <f>_xlfn.IFNA(VLOOKUP(G1392,Master!B:C,2,0),"")</f>
        <v/>
      </c>
      <c r="I1392" s="3" t="str">
        <f>_xlfn.IFNA(VLOOKUP(E1392,Master!$J:$M,4,0),"")</f>
        <v/>
      </c>
      <c r="J1392" s="3" t="str">
        <f>_xlfn.IFNA(VLOOKUP($E1392,Master!$J:$M,3,0),"")</f>
        <v/>
      </c>
      <c r="AC1392" s="26">
        <f t="shared" si="44"/>
        <v>0</v>
      </c>
      <c r="AD1392" s="26">
        <f t="shared" si="45"/>
        <v>0</v>
      </c>
    </row>
    <row r="1393" spans="2:30" ht="15" customHeight="1">
      <c r="B1393" s="3" t="str">
        <f>_xlfn.IFNA(VLOOKUP(C1393,Master!$J:$K,2,0),"")</f>
        <v/>
      </c>
      <c r="D1393" s="4" t="str">
        <f>_xlfn.IFNA(VLOOKUP(E1393,Master!$J:$K,2,0),"")</f>
        <v/>
      </c>
      <c r="F1393" s="4" t="str">
        <f>_xlfn.IFNA(VLOOKUP(G1393,Master!B:C,2,0),"")</f>
        <v/>
      </c>
      <c r="I1393" s="3" t="str">
        <f>_xlfn.IFNA(VLOOKUP(E1393,Master!$J:$M,4,0),"")</f>
        <v/>
      </c>
      <c r="J1393" s="3" t="str">
        <f>_xlfn.IFNA(VLOOKUP($E1393,Master!$J:$M,3,0),"")</f>
        <v/>
      </c>
      <c r="AC1393" s="26">
        <f t="shared" si="44"/>
        <v>0</v>
      </c>
      <c r="AD1393" s="26">
        <f t="shared" si="45"/>
        <v>0</v>
      </c>
    </row>
    <row r="1394" spans="2:30" ht="15" customHeight="1">
      <c r="B1394" s="3" t="str">
        <f>_xlfn.IFNA(VLOOKUP(C1394,Master!$J:$K,2,0),"")</f>
        <v/>
      </c>
      <c r="D1394" s="4" t="str">
        <f>_xlfn.IFNA(VLOOKUP(E1394,Master!$J:$K,2,0),"")</f>
        <v/>
      </c>
      <c r="F1394" s="4" t="str">
        <f>_xlfn.IFNA(VLOOKUP(G1394,Master!B:C,2,0),"")</f>
        <v/>
      </c>
      <c r="I1394" s="3" t="str">
        <f>_xlfn.IFNA(VLOOKUP(E1394,Master!$J:$M,4,0),"")</f>
        <v/>
      </c>
      <c r="J1394" s="3" t="str">
        <f>_xlfn.IFNA(VLOOKUP($E1394,Master!$J:$M,3,0),"")</f>
        <v/>
      </c>
      <c r="AC1394" s="26">
        <f t="shared" si="44"/>
        <v>0</v>
      </c>
      <c r="AD1394" s="26">
        <f t="shared" si="45"/>
        <v>0</v>
      </c>
    </row>
    <row r="1395" spans="2:30" ht="15" customHeight="1">
      <c r="B1395" s="3" t="str">
        <f>_xlfn.IFNA(VLOOKUP(C1395,Master!$J:$K,2,0),"")</f>
        <v/>
      </c>
      <c r="D1395" s="4" t="str">
        <f>_xlfn.IFNA(VLOOKUP(E1395,Master!$J:$K,2,0),"")</f>
        <v/>
      </c>
      <c r="F1395" s="4" t="str">
        <f>_xlfn.IFNA(VLOOKUP(G1395,Master!B:C,2,0),"")</f>
        <v/>
      </c>
      <c r="I1395" s="3" t="str">
        <f>_xlfn.IFNA(VLOOKUP(E1395,Master!$J:$M,4,0),"")</f>
        <v/>
      </c>
      <c r="J1395" s="3" t="str">
        <f>_xlfn.IFNA(VLOOKUP($E1395,Master!$J:$M,3,0),"")</f>
        <v/>
      </c>
      <c r="AC1395" s="26">
        <f t="shared" si="44"/>
        <v>0</v>
      </c>
      <c r="AD1395" s="26">
        <f t="shared" si="45"/>
        <v>0</v>
      </c>
    </row>
    <row r="1396" spans="2:30" ht="15" customHeight="1">
      <c r="B1396" s="3" t="str">
        <f>_xlfn.IFNA(VLOOKUP(C1396,Master!$J:$K,2,0),"")</f>
        <v/>
      </c>
      <c r="D1396" s="4" t="str">
        <f>_xlfn.IFNA(VLOOKUP(E1396,Master!$J:$K,2,0),"")</f>
        <v/>
      </c>
      <c r="F1396" s="4" t="str">
        <f>_xlfn.IFNA(VLOOKUP(G1396,Master!B:C,2,0),"")</f>
        <v/>
      </c>
      <c r="I1396" s="3" t="str">
        <f>_xlfn.IFNA(VLOOKUP(E1396,Master!$J:$M,4,0),"")</f>
        <v/>
      </c>
      <c r="J1396" s="3" t="str">
        <f>_xlfn.IFNA(VLOOKUP($E1396,Master!$J:$M,3,0),"")</f>
        <v/>
      </c>
      <c r="AC1396" s="26">
        <f t="shared" si="44"/>
        <v>0</v>
      </c>
      <c r="AD1396" s="26">
        <f t="shared" si="45"/>
        <v>0</v>
      </c>
    </row>
    <row r="1397" spans="2:30" ht="15" customHeight="1">
      <c r="B1397" s="3" t="str">
        <f>_xlfn.IFNA(VLOOKUP(C1397,Master!$J:$K,2,0),"")</f>
        <v/>
      </c>
      <c r="D1397" s="4" t="str">
        <f>_xlfn.IFNA(VLOOKUP(E1397,Master!$J:$K,2,0),"")</f>
        <v/>
      </c>
      <c r="F1397" s="4" t="str">
        <f>_xlfn.IFNA(VLOOKUP(G1397,Master!B:C,2,0),"")</f>
        <v/>
      </c>
      <c r="I1397" s="3" t="str">
        <f>_xlfn.IFNA(VLOOKUP(E1397,Master!$J:$M,4,0),"")</f>
        <v/>
      </c>
      <c r="J1397" s="3" t="str">
        <f>_xlfn.IFNA(VLOOKUP($E1397,Master!$J:$M,3,0),"")</f>
        <v/>
      </c>
      <c r="AC1397" s="26">
        <f t="shared" si="44"/>
        <v>0</v>
      </c>
      <c r="AD1397" s="26">
        <f t="shared" si="45"/>
        <v>0</v>
      </c>
    </row>
    <row r="1398" spans="2:30" ht="15" customHeight="1">
      <c r="B1398" s="3" t="str">
        <f>_xlfn.IFNA(VLOOKUP(C1398,Master!$J:$K,2,0),"")</f>
        <v/>
      </c>
      <c r="D1398" s="4" t="str">
        <f>_xlfn.IFNA(VLOOKUP(E1398,Master!$J:$K,2,0),"")</f>
        <v/>
      </c>
      <c r="F1398" s="4" t="str">
        <f>_xlfn.IFNA(VLOOKUP(G1398,Master!B:C,2,0),"")</f>
        <v/>
      </c>
      <c r="I1398" s="3" t="str">
        <f>_xlfn.IFNA(VLOOKUP(E1398,Master!$J:$M,4,0),"")</f>
        <v/>
      </c>
      <c r="J1398" s="3" t="str">
        <f>_xlfn.IFNA(VLOOKUP($E1398,Master!$J:$M,3,0),"")</f>
        <v/>
      </c>
      <c r="AC1398" s="26">
        <f t="shared" si="44"/>
        <v>0</v>
      </c>
      <c r="AD1398" s="26">
        <f t="shared" si="45"/>
        <v>0</v>
      </c>
    </row>
    <row r="1399" spans="2:30" ht="15" customHeight="1">
      <c r="B1399" s="3" t="str">
        <f>_xlfn.IFNA(VLOOKUP(C1399,Master!$J:$K,2,0),"")</f>
        <v/>
      </c>
      <c r="D1399" s="4" t="str">
        <f>_xlfn.IFNA(VLOOKUP(E1399,Master!$J:$K,2,0),"")</f>
        <v/>
      </c>
      <c r="F1399" s="4" t="str">
        <f>_xlfn.IFNA(VLOOKUP(G1399,Master!B:C,2,0),"")</f>
        <v/>
      </c>
      <c r="I1399" s="3" t="str">
        <f>_xlfn.IFNA(VLOOKUP(E1399,Master!$J:$M,4,0),"")</f>
        <v/>
      </c>
      <c r="J1399" s="3" t="str">
        <f>_xlfn.IFNA(VLOOKUP($E1399,Master!$J:$M,3,0),"")</f>
        <v/>
      </c>
      <c r="AC1399" s="26">
        <f t="shared" si="44"/>
        <v>0</v>
      </c>
      <c r="AD1399" s="26">
        <f t="shared" si="45"/>
        <v>0</v>
      </c>
    </row>
    <row r="1400" spans="2:30" ht="15" customHeight="1">
      <c r="B1400" s="3" t="str">
        <f>_xlfn.IFNA(VLOOKUP(C1400,Master!$J:$K,2,0),"")</f>
        <v/>
      </c>
      <c r="D1400" s="4" t="str">
        <f>_xlfn.IFNA(VLOOKUP(E1400,Master!$J:$K,2,0),"")</f>
        <v/>
      </c>
      <c r="F1400" s="4" t="str">
        <f>_xlfn.IFNA(VLOOKUP(G1400,Master!B:C,2,0),"")</f>
        <v/>
      </c>
      <c r="I1400" s="3" t="str">
        <f>_xlfn.IFNA(VLOOKUP(E1400,Master!$J:$M,4,0),"")</f>
        <v/>
      </c>
      <c r="J1400" s="3" t="str">
        <f>_xlfn.IFNA(VLOOKUP($E1400,Master!$J:$M,3,0),"")</f>
        <v/>
      </c>
      <c r="AC1400" s="26">
        <f t="shared" si="44"/>
        <v>0</v>
      </c>
      <c r="AD1400" s="26">
        <f t="shared" si="45"/>
        <v>0</v>
      </c>
    </row>
    <row r="1401" spans="2:30" ht="15" customHeight="1">
      <c r="B1401" s="3" t="str">
        <f>_xlfn.IFNA(VLOOKUP(C1401,Master!$J:$K,2,0),"")</f>
        <v/>
      </c>
      <c r="D1401" s="4" t="str">
        <f>_xlfn.IFNA(VLOOKUP(E1401,Master!$J:$K,2,0),"")</f>
        <v/>
      </c>
      <c r="F1401" s="4" t="str">
        <f>_xlfn.IFNA(VLOOKUP(G1401,Master!B:C,2,0),"")</f>
        <v/>
      </c>
      <c r="I1401" s="3" t="str">
        <f>_xlfn.IFNA(VLOOKUP(E1401,Master!$J:$M,4,0),"")</f>
        <v/>
      </c>
      <c r="J1401" s="3" t="str">
        <f>_xlfn.IFNA(VLOOKUP($E1401,Master!$J:$M,3,0),"")</f>
        <v/>
      </c>
      <c r="AC1401" s="26">
        <f t="shared" si="44"/>
        <v>0</v>
      </c>
      <c r="AD1401" s="26">
        <f t="shared" si="45"/>
        <v>0</v>
      </c>
    </row>
    <row r="1402" spans="2:30" ht="15" customHeight="1">
      <c r="B1402" s="3" t="str">
        <f>_xlfn.IFNA(VLOOKUP(C1402,Master!$J:$K,2,0),"")</f>
        <v/>
      </c>
      <c r="D1402" s="4" t="str">
        <f>_xlfn.IFNA(VLOOKUP(E1402,Master!$J:$K,2,0),"")</f>
        <v/>
      </c>
      <c r="F1402" s="4" t="str">
        <f>_xlfn.IFNA(VLOOKUP(G1402,Master!B:C,2,0),"")</f>
        <v/>
      </c>
      <c r="I1402" s="3" t="str">
        <f>_xlfn.IFNA(VLOOKUP(E1402,Master!$J:$M,4,0),"")</f>
        <v/>
      </c>
      <c r="J1402" s="3" t="str">
        <f>_xlfn.IFNA(VLOOKUP($E1402,Master!$J:$M,3,0),"")</f>
        <v/>
      </c>
      <c r="AC1402" s="26">
        <f t="shared" si="44"/>
        <v>0</v>
      </c>
      <c r="AD1402" s="26">
        <f t="shared" si="45"/>
        <v>0</v>
      </c>
    </row>
  </sheetData>
  <autoFilter ref="A1:AH1402" xr:uid="{FB550788-399E-4F4A-A0C3-8B94AA58D596}"/>
  <phoneticPr fontId="7" type="noConversion"/>
  <conditionalFormatting sqref="A1:A1048576 C1:C1048576 E1:E1048576 G1:H1048576 AE1:AG1048576">
    <cfRule type="containsBlanks" dxfId="3" priority="3">
      <formula>LEN(TRIM(A1))=0</formula>
    </cfRule>
  </conditionalFormatting>
  <conditionalFormatting sqref="B1:B1048576 D1:D1048576 F1:F1048576 I1:J1048576 AH1:AH1048576 AC1:AD1048576">
    <cfRule type="containsBlanks" dxfId="2" priority="2">
      <formula>LEN(TRIM(B1))=0</formula>
    </cfRule>
  </conditionalFormatting>
  <conditionalFormatting sqref="K1:AB1048576">
    <cfRule type="expression" priority="4">
      <formula>#REF! &gt; 0</formula>
    </cfRule>
    <cfRule type="containsBlanks" dxfId="1" priority="5">
      <formula>LEN(TRIM(K1))=0</formula>
    </cfRule>
  </conditionalFormatting>
  <conditionalFormatting sqref="AC1:AD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E0DD80-CD35-4C25-9DC8-E570F3D90499}">
          <x14:formula1>
            <xm:f>Master!$S$2:$S$4</xm:f>
          </x14:formula1>
          <xm:sqref>AG2:AG1048576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A2:A1048576</xm:sqref>
        </x14:dataValidation>
        <x14:dataValidation type="list" allowBlank="1" showInputMessage="1" showErrorMessage="1" xr:uid="{E7A2D90E-BC03-4668-96C5-2D0778242D9A}">
          <x14:formula1>
            <xm:f>Master!$J$2:$J$42</xm:f>
          </x14:formula1>
          <xm:sqref>C2:C1048576 E2:E1048576</xm:sqref>
        </x14:dataValidation>
        <x14:dataValidation type="list" allowBlank="1" showInputMessage="1" showErrorMessage="1" xr:uid="{0DFCF46C-9C69-4ABA-BA0A-B740071FFE1F}">
          <x14:formula1>
            <xm:f>Master!$B$2:$B$173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6"/>
  <sheetViews>
    <sheetView zoomScale="80" zoomScaleNormal="80" workbookViewId="0">
      <pane xSplit="2" ySplit="1" topLeftCell="C86" activePane="bottomRight" state="frozenSplit"/>
      <selection activeCell="B16" sqref="B16"/>
      <selection pane="topRight" activeCell="B16" sqref="B16"/>
      <selection pane="bottomLeft" activeCell="B16" sqref="B16"/>
      <selection pane="bottomRight" activeCell="B103" sqref="B103"/>
    </sheetView>
  </sheetViews>
  <sheetFormatPr defaultColWidth="8.85546875" defaultRowHeight="18" customHeight="1"/>
  <cols>
    <col min="1" max="1" width="10.7109375" style="9" bestFit="1" customWidth="1"/>
    <col min="2" max="2" width="56.140625" style="8" bestFit="1" customWidth="1"/>
    <col min="3" max="3" width="10.7109375" style="9" bestFit="1" customWidth="1"/>
    <col min="4" max="4" width="10.7109375" style="9" hidden="1" customWidth="1"/>
    <col min="5" max="5" width="12.7109375" style="10" bestFit="1" customWidth="1"/>
    <col min="6" max="6" width="13.140625" style="10" bestFit="1" customWidth="1"/>
    <col min="7" max="7" width="13.85546875" style="10" bestFit="1" customWidth="1"/>
    <col min="8" max="8" width="50.7109375" style="8" customWidth="1"/>
    <col min="9" max="9" width="0.85546875" style="32" customWidth="1"/>
    <col min="10" max="10" width="28.7109375" style="8" bestFit="1" customWidth="1"/>
    <col min="11" max="11" width="11.28515625" style="9" bestFit="1" customWidth="1"/>
    <col min="12" max="12" width="15.85546875" style="8" bestFit="1" customWidth="1"/>
    <col min="13" max="13" width="19.42578125" style="8" bestFit="1" customWidth="1"/>
    <col min="14" max="14" width="28.7109375" style="8" bestFit="1" customWidth="1"/>
    <col min="15" max="15" width="0.85546875" style="32" customWidth="1"/>
    <col min="16" max="16" width="9.85546875" style="8" bestFit="1" customWidth="1"/>
    <col min="17" max="17" width="19.7109375" style="8" bestFit="1" customWidth="1"/>
    <col min="18" max="18" width="0.85546875" style="32" customWidth="1"/>
    <col min="19" max="19" width="18.28515625" style="19" bestFit="1" customWidth="1"/>
    <col min="20" max="20" width="19" style="20" bestFit="1" customWidth="1"/>
    <col min="21" max="21" width="72.7109375" style="21" bestFit="1" customWidth="1"/>
    <col min="22" max="22" width="8.85546875" style="8" customWidth="1"/>
    <col min="23" max="16384" width="8.85546875" style="8"/>
  </cols>
  <sheetData>
    <row r="1" spans="1:21" s="7" customFormat="1" ht="60" customHeight="1">
      <c r="A1" s="33" t="s">
        <v>34</v>
      </c>
      <c r="B1" s="33" t="s">
        <v>35</v>
      </c>
      <c r="C1" s="33" t="s">
        <v>34</v>
      </c>
      <c r="D1" s="33" t="s">
        <v>34</v>
      </c>
      <c r="E1" s="34" t="s">
        <v>36</v>
      </c>
      <c r="F1" s="34" t="s">
        <v>37</v>
      </c>
      <c r="G1" s="34" t="s">
        <v>38</v>
      </c>
      <c r="H1" s="33" t="s">
        <v>39</v>
      </c>
      <c r="I1" s="35"/>
      <c r="J1" s="36" t="s">
        <v>40</v>
      </c>
      <c r="K1" s="36" t="s">
        <v>41</v>
      </c>
      <c r="L1" s="37" t="s">
        <v>9</v>
      </c>
      <c r="M1" s="37" t="s">
        <v>8</v>
      </c>
      <c r="N1" s="36" t="s">
        <v>42</v>
      </c>
      <c r="O1" s="38"/>
      <c r="P1" s="39" t="s">
        <v>43</v>
      </c>
      <c r="Q1" s="39" t="s">
        <v>44</v>
      </c>
      <c r="R1" s="38"/>
      <c r="S1" s="5" t="s">
        <v>45</v>
      </c>
      <c r="T1" s="5" t="s">
        <v>46</v>
      </c>
      <c r="U1" s="6" t="s">
        <v>39</v>
      </c>
    </row>
    <row r="2" spans="1:21" ht="18" customHeight="1">
      <c r="A2" s="9">
        <v>7511101</v>
      </c>
      <c r="B2" s="8" t="s">
        <v>47</v>
      </c>
      <c r="C2" s="9">
        <v>7511101</v>
      </c>
      <c r="D2" s="9">
        <v>7511101</v>
      </c>
      <c r="E2" s="10" t="s">
        <v>48</v>
      </c>
      <c r="F2" s="11" t="s">
        <v>49</v>
      </c>
      <c r="G2" s="10" t="s">
        <v>50</v>
      </c>
      <c r="H2" s="8" t="s">
        <v>47</v>
      </c>
      <c r="J2" s="12" t="s">
        <v>51</v>
      </c>
      <c r="K2" s="13" t="s">
        <v>52</v>
      </c>
      <c r="L2" s="14" t="s">
        <v>48</v>
      </c>
      <c r="M2" s="15" t="s">
        <v>53</v>
      </c>
      <c r="N2" s="15" t="s">
        <v>51</v>
      </c>
      <c r="P2" s="15">
        <v>53450</v>
      </c>
      <c r="Q2" s="15" t="s">
        <v>54</v>
      </c>
      <c r="S2" s="16" t="s">
        <v>55</v>
      </c>
      <c r="T2" s="17" t="s">
        <v>56</v>
      </c>
      <c r="U2" s="18" t="s">
        <v>57</v>
      </c>
    </row>
    <row r="3" spans="1:21" ht="18" customHeight="1">
      <c r="A3" s="9">
        <v>7511102</v>
      </c>
      <c r="B3" s="8" t="s">
        <v>58</v>
      </c>
      <c r="C3" s="9">
        <v>7511102</v>
      </c>
      <c r="D3" s="9">
        <v>7511102</v>
      </c>
      <c r="E3" s="10" t="s">
        <v>48</v>
      </c>
      <c r="F3" s="11" t="s">
        <v>59</v>
      </c>
      <c r="G3" s="10" t="s">
        <v>50</v>
      </c>
      <c r="H3" s="8" t="s">
        <v>60</v>
      </c>
      <c r="J3" s="12" t="s">
        <v>61</v>
      </c>
      <c r="K3" s="13" t="s">
        <v>62</v>
      </c>
      <c r="L3" s="14" t="s">
        <v>48</v>
      </c>
      <c r="M3" s="15" t="s">
        <v>53</v>
      </c>
      <c r="N3" s="15" t="s">
        <v>61</v>
      </c>
      <c r="P3" s="15"/>
      <c r="Q3" s="15"/>
      <c r="S3" s="16" t="s">
        <v>63</v>
      </c>
      <c r="T3" s="17" t="s">
        <v>64</v>
      </c>
      <c r="U3" s="18" t="s">
        <v>65</v>
      </c>
    </row>
    <row r="4" spans="1:21" ht="18" customHeight="1">
      <c r="A4" s="9">
        <v>7511103</v>
      </c>
      <c r="B4" s="8" t="s">
        <v>66</v>
      </c>
      <c r="C4" s="9">
        <v>7511103</v>
      </c>
      <c r="D4" s="9">
        <v>7511103</v>
      </c>
      <c r="E4" s="10" t="s">
        <v>48</v>
      </c>
      <c r="F4" s="11" t="s">
        <v>67</v>
      </c>
      <c r="G4" s="10" t="s">
        <v>68</v>
      </c>
      <c r="H4" s="8" t="s">
        <v>69</v>
      </c>
      <c r="J4" s="12" t="s">
        <v>70</v>
      </c>
      <c r="K4" s="13" t="s">
        <v>71</v>
      </c>
      <c r="L4" s="14" t="s">
        <v>48</v>
      </c>
      <c r="M4" s="15" t="s">
        <v>53</v>
      </c>
      <c r="N4" s="15" t="s">
        <v>70</v>
      </c>
      <c r="P4" s="15"/>
      <c r="Q4" s="15"/>
      <c r="S4" s="16" t="s">
        <v>72</v>
      </c>
      <c r="T4" s="17" t="s">
        <v>73</v>
      </c>
      <c r="U4" s="18" t="s">
        <v>74</v>
      </c>
    </row>
    <row r="5" spans="1:21" ht="18" customHeight="1">
      <c r="A5" s="9">
        <v>7511111</v>
      </c>
      <c r="B5" s="8" t="s">
        <v>75</v>
      </c>
      <c r="C5" s="9">
        <v>7511111</v>
      </c>
      <c r="D5" s="9">
        <v>7511111</v>
      </c>
      <c r="E5" s="10" t="s">
        <v>48</v>
      </c>
      <c r="F5" s="11" t="s">
        <v>76</v>
      </c>
      <c r="G5" s="10" t="s">
        <v>68</v>
      </c>
      <c r="H5" s="8" t="s">
        <v>77</v>
      </c>
      <c r="J5" s="12" t="s">
        <v>78</v>
      </c>
      <c r="K5" s="13" t="s">
        <v>79</v>
      </c>
      <c r="L5" s="14" t="s">
        <v>48</v>
      </c>
      <c r="M5" s="15" t="s">
        <v>53</v>
      </c>
      <c r="N5" s="15" t="s">
        <v>78</v>
      </c>
    </row>
    <row r="6" spans="1:21" ht="18" customHeight="1">
      <c r="A6" s="9">
        <v>7511112</v>
      </c>
      <c r="B6" s="8" t="s">
        <v>80</v>
      </c>
      <c r="C6" s="9">
        <v>7511112</v>
      </c>
      <c r="D6" s="9">
        <v>7511112</v>
      </c>
      <c r="E6" s="10" t="s">
        <v>48</v>
      </c>
      <c r="F6" s="11" t="s">
        <v>81</v>
      </c>
      <c r="G6" s="10" t="s">
        <v>68</v>
      </c>
      <c r="H6" s="8" t="s">
        <v>82</v>
      </c>
      <c r="J6" s="12" t="s">
        <v>83</v>
      </c>
      <c r="K6" s="13" t="s">
        <v>84</v>
      </c>
      <c r="L6" s="14" t="s">
        <v>48</v>
      </c>
      <c r="M6" s="15" t="s">
        <v>53</v>
      </c>
      <c r="N6" s="15" t="s">
        <v>83</v>
      </c>
      <c r="P6" s="8" t="s">
        <v>85</v>
      </c>
    </row>
    <row r="7" spans="1:21" ht="18" customHeight="1">
      <c r="A7" s="9">
        <v>7511121</v>
      </c>
      <c r="B7" s="8" t="s">
        <v>86</v>
      </c>
      <c r="C7" s="9">
        <v>7511121</v>
      </c>
      <c r="D7" s="9">
        <v>7511121</v>
      </c>
      <c r="E7" s="10" t="s">
        <v>48</v>
      </c>
      <c r="F7" s="11" t="s">
        <v>87</v>
      </c>
      <c r="G7" s="10" t="s">
        <v>68</v>
      </c>
      <c r="H7" s="8" t="s">
        <v>88</v>
      </c>
      <c r="J7" s="12" t="s">
        <v>89</v>
      </c>
      <c r="K7" s="13" t="s">
        <v>90</v>
      </c>
      <c r="L7" s="14" t="s">
        <v>48</v>
      </c>
      <c r="M7" s="15" t="s">
        <v>53</v>
      </c>
      <c r="N7" s="15" t="s">
        <v>89</v>
      </c>
      <c r="P7" s="8" t="s">
        <v>91</v>
      </c>
    </row>
    <row r="8" spans="1:21" ht="18" customHeight="1">
      <c r="A8" s="9">
        <v>7511122</v>
      </c>
      <c r="B8" s="8" t="s">
        <v>92</v>
      </c>
      <c r="C8" s="9">
        <v>7511122</v>
      </c>
      <c r="D8" s="9">
        <v>7511122</v>
      </c>
      <c r="E8" s="10" t="s">
        <v>48</v>
      </c>
      <c r="F8" s="11" t="s">
        <v>93</v>
      </c>
      <c r="G8" s="10" t="s">
        <v>68</v>
      </c>
      <c r="H8" s="8" t="s">
        <v>94</v>
      </c>
      <c r="J8" s="12" t="s">
        <v>95</v>
      </c>
      <c r="K8" s="13" t="s">
        <v>96</v>
      </c>
      <c r="L8" s="14" t="s">
        <v>48</v>
      </c>
      <c r="M8" s="15" t="s">
        <v>53</v>
      </c>
      <c r="N8" s="15" t="s">
        <v>95</v>
      </c>
    </row>
    <row r="9" spans="1:21" ht="18" customHeight="1">
      <c r="A9" s="9">
        <v>7511201</v>
      </c>
      <c r="B9" s="8" t="s">
        <v>97</v>
      </c>
      <c r="C9" s="9">
        <v>7511201</v>
      </c>
      <c r="D9" s="9">
        <v>7511201</v>
      </c>
      <c r="E9" s="10" t="s">
        <v>48</v>
      </c>
      <c r="F9" s="11" t="s">
        <v>98</v>
      </c>
      <c r="G9" s="10" t="s">
        <v>99</v>
      </c>
      <c r="H9" s="8" t="s">
        <v>100</v>
      </c>
      <c r="J9" s="12" t="s">
        <v>101</v>
      </c>
      <c r="K9" s="13" t="s">
        <v>102</v>
      </c>
      <c r="L9" s="14" t="s">
        <v>48</v>
      </c>
      <c r="M9" s="15" t="s">
        <v>53</v>
      </c>
      <c r="N9" s="15" t="s">
        <v>101</v>
      </c>
    </row>
    <row r="10" spans="1:21" ht="18" customHeight="1">
      <c r="A10" s="9">
        <v>7512111</v>
      </c>
      <c r="B10" s="8" t="s">
        <v>103</v>
      </c>
      <c r="C10" s="9">
        <v>7512111</v>
      </c>
      <c r="D10" s="9">
        <v>7512111</v>
      </c>
      <c r="E10" s="10" t="s">
        <v>48</v>
      </c>
      <c r="F10" s="11" t="s">
        <v>104</v>
      </c>
      <c r="G10" s="10" t="s">
        <v>105</v>
      </c>
      <c r="H10" s="8" t="s">
        <v>106</v>
      </c>
      <c r="J10" s="12" t="s">
        <v>107</v>
      </c>
      <c r="K10" s="13" t="s">
        <v>108</v>
      </c>
      <c r="L10" s="14" t="s">
        <v>48</v>
      </c>
      <c r="M10" s="15" t="s">
        <v>53</v>
      </c>
      <c r="N10" s="15" t="s">
        <v>107</v>
      </c>
    </row>
    <row r="11" spans="1:21" ht="18" customHeight="1">
      <c r="A11" s="9">
        <v>7512112</v>
      </c>
      <c r="B11" s="8" t="s">
        <v>109</v>
      </c>
      <c r="C11" s="9">
        <v>7512112</v>
      </c>
      <c r="D11" s="9">
        <v>7512112</v>
      </c>
      <c r="E11" s="10" t="s">
        <v>48</v>
      </c>
      <c r="F11" s="11" t="s">
        <v>110</v>
      </c>
      <c r="G11" s="10" t="s">
        <v>105</v>
      </c>
      <c r="H11" s="8" t="s">
        <v>111</v>
      </c>
      <c r="J11" s="12" t="s">
        <v>112</v>
      </c>
      <c r="K11" s="13" t="s">
        <v>113</v>
      </c>
      <c r="L11" s="14" t="s">
        <v>48</v>
      </c>
      <c r="M11" s="15" t="s">
        <v>53</v>
      </c>
      <c r="N11" s="15" t="s">
        <v>112</v>
      </c>
    </row>
    <row r="12" spans="1:21" ht="18" customHeight="1">
      <c r="A12" s="9">
        <v>7514101</v>
      </c>
      <c r="B12" s="8" t="s">
        <v>114</v>
      </c>
      <c r="C12" s="9">
        <v>7514101</v>
      </c>
      <c r="D12" s="9">
        <v>7514101</v>
      </c>
      <c r="E12" s="10" t="s">
        <v>48</v>
      </c>
      <c r="F12" s="11" t="s">
        <v>115</v>
      </c>
      <c r="G12" s="10" t="s">
        <v>68</v>
      </c>
      <c r="H12" s="8" t="s">
        <v>116</v>
      </c>
      <c r="J12" s="12" t="s">
        <v>117</v>
      </c>
      <c r="K12" s="13" t="s">
        <v>118</v>
      </c>
      <c r="L12" s="14" t="s">
        <v>48</v>
      </c>
      <c r="M12" s="15" t="s">
        <v>53</v>
      </c>
      <c r="N12" s="15" t="s">
        <v>117</v>
      </c>
    </row>
    <row r="13" spans="1:21" ht="18" customHeight="1">
      <c r="A13" s="9">
        <v>7514102</v>
      </c>
      <c r="B13" s="8" t="s">
        <v>119</v>
      </c>
      <c r="C13" s="9">
        <v>7514102</v>
      </c>
      <c r="D13" s="9">
        <v>7514102</v>
      </c>
      <c r="E13" s="10" t="s">
        <v>48</v>
      </c>
      <c r="F13" s="11" t="s">
        <v>120</v>
      </c>
      <c r="G13" s="10" t="s">
        <v>68</v>
      </c>
      <c r="H13" s="8" t="s">
        <v>121</v>
      </c>
      <c r="J13" s="12" t="s">
        <v>122</v>
      </c>
      <c r="K13" s="13" t="s">
        <v>123</v>
      </c>
      <c r="L13" s="14" t="s">
        <v>48</v>
      </c>
      <c r="M13" s="15" t="s">
        <v>53</v>
      </c>
      <c r="N13" s="15" t="s">
        <v>122</v>
      </c>
    </row>
    <row r="14" spans="1:21" ht="18" customHeight="1">
      <c r="A14" s="9">
        <v>7515401</v>
      </c>
      <c r="B14" s="8" t="s">
        <v>124</v>
      </c>
      <c r="C14" s="9">
        <v>7515401</v>
      </c>
      <c r="D14" s="9">
        <v>7515401</v>
      </c>
      <c r="E14" s="10" t="s">
        <v>48</v>
      </c>
      <c r="F14" s="11" t="s">
        <v>125</v>
      </c>
      <c r="G14" s="10" t="s">
        <v>105</v>
      </c>
      <c r="H14" s="8" t="s">
        <v>126</v>
      </c>
      <c r="J14" s="12" t="s">
        <v>127</v>
      </c>
      <c r="K14" s="13" t="s">
        <v>128</v>
      </c>
      <c r="L14" s="14" t="s">
        <v>48</v>
      </c>
      <c r="M14" s="15" t="s">
        <v>53</v>
      </c>
      <c r="N14" s="15" t="s">
        <v>127</v>
      </c>
    </row>
    <row r="15" spans="1:21" ht="18" customHeight="1">
      <c r="A15" s="9">
        <v>7515402</v>
      </c>
      <c r="B15" s="8" t="s">
        <v>129</v>
      </c>
      <c r="C15" s="9">
        <v>7515402</v>
      </c>
      <c r="D15" s="9">
        <v>7515402</v>
      </c>
      <c r="E15" s="10" t="s">
        <v>48</v>
      </c>
      <c r="F15" s="11" t="s">
        <v>130</v>
      </c>
      <c r="G15" s="10" t="s">
        <v>105</v>
      </c>
      <c r="H15" s="8" t="s">
        <v>131</v>
      </c>
      <c r="J15" s="12" t="s">
        <v>525</v>
      </c>
      <c r="K15" s="13" t="s">
        <v>526</v>
      </c>
      <c r="L15" s="14" t="s">
        <v>48</v>
      </c>
      <c r="M15" s="15" t="s">
        <v>53</v>
      </c>
      <c r="N15" s="15" t="s">
        <v>525</v>
      </c>
    </row>
    <row r="16" spans="1:21" ht="18" customHeight="1">
      <c r="A16" s="9">
        <v>7515403</v>
      </c>
      <c r="B16" s="8" t="s">
        <v>136</v>
      </c>
      <c r="C16" s="9">
        <v>7515403</v>
      </c>
      <c r="D16" s="9">
        <v>7515403</v>
      </c>
      <c r="E16" s="10" t="s">
        <v>48</v>
      </c>
      <c r="F16" s="11" t="s">
        <v>137</v>
      </c>
      <c r="G16" s="10" t="s">
        <v>105</v>
      </c>
      <c r="H16" s="8" t="s">
        <v>138</v>
      </c>
      <c r="J16" s="12" t="s">
        <v>132</v>
      </c>
      <c r="K16" s="13" t="s">
        <v>133</v>
      </c>
      <c r="L16" s="15" t="s">
        <v>134</v>
      </c>
      <c r="M16" s="15" t="s">
        <v>135</v>
      </c>
      <c r="N16" s="15" t="s">
        <v>132</v>
      </c>
    </row>
    <row r="17" spans="1:18" customFormat="1" ht="18" customHeight="1">
      <c r="A17" s="9">
        <v>7515404</v>
      </c>
      <c r="B17" s="8" t="s">
        <v>141</v>
      </c>
      <c r="C17" s="9">
        <v>7515404</v>
      </c>
      <c r="D17" s="9">
        <v>7515404</v>
      </c>
      <c r="E17" s="10" t="s">
        <v>48</v>
      </c>
      <c r="F17" s="11" t="s">
        <v>142</v>
      </c>
      <c r="G17" s="10" t="s">
        <v>105</v>
      </c>
      <c r="H17" s="8" t="s">
        <v>143</v>
      </c>
      <c r="I17" s="40"/>
      <c r="J17" s="12" t="s">
        <v>139</v>
      </c>
      <c r="K17" s="13" t="s">
        <v>140</v>
      </c>
      <c r="L17" s="15" t="s">
        <v>134</v>
      </c>
      <c r="M17" s="15" t="s">
        <v>135</v>
      </c>
      <c r="N17" s="15" t="s">
        <v>139</v>
      </c>
      <c r="O17" s="40"/>
      <c r="R17" s="40"/>
    </row>
    <row r="18" spans="1:18" ht="18" customHeight="1">
      <c r="A18" s="9">
        <v>7515405</v>
      </c>
      <c r="B18" s="8" t="s">
        <v>146</v>
      </c>
      <c r="C18" s="9">
        <v>7515405</v>
      </c>
      <c r="D18" s="9">
        <v>7515405</v>
      </c>
      <c r="E18" s="10" t="s">
        <v>48</v>
      </c>
      <c r="F18" s="11" t="s">
        <v>147</v>
      </c>
      <c r="G18" s="10" t="s">
        <v>105</v>
      </c>
      <c r="H18" s="8" t="s">
        <v>148</v>
      </c>
      <c r="J18" s="12" t="s">
        <v>144</v>
      </c>
      <c r="K18" s="13" t="s">
        <v>145</v>
      </c>
      <c r="L18" s="15" t="s">
        <v>134</v>
      </c>
      <c r="M18" s="15" t="s">
        <v>135</v>
      </c>
      <c r="N18" s="15" t="s">
        <v>144</v>
      </c>
    </row>
    <row r="19" spans="1:18" ht="18" customHeight="1">
      <c r="A19" s="9">
        <v>7515406</v>
      </c>
      <c r="B19" s="8" t="s">
        <v>151</v>
      </c>
      <c r="C19" s="9">
        <v>7515406</v>
      </c>
      <c r="D19" s="9">
        <v>7515406</v>
      </c>
      <c r="E19" s="10" t="s">
        <v>48</v>
      </c>
      <c r="F19" s="11" t="s">
        <v>152</v>
      </c>
      <c r="G19" s="10" t="s">
        <v>105</v>
      </c>
      <c r="H19" s="8" t="s">
        <v>153</v>
      </c>
      <c r="J19" s="12" t="s">
        <v>149</v>
      </c>
      <c r="K19" s="13" t="s">
        <v>150</v>
      </c>
      <c r="L19" s="15" t="s">
        <v>134</v>
      </c>
      <c r="M19" s="15" t="s">
        <v>135</v>
      </c>
      <c r="N19" s="15" t="s">
        <v>149</v>
      </c>
    </row>
    <row r="20" spans="1:18" ht="18" customHeight="1">
      <c r="A20" s="9">
        <v>7515407</v>
      </c>
      <c r="B20" s="8" t="s">
        <v>156</v>
      </c>
      <c r="C20" s="9">
        <v>7515407</v>
      </c>
      <c r="D20" s="9">
        <v>7515407</v>
      </c>
      <c r="E20" s="10" t="s">
        <v>48</v>
      </c>
      <c r="F20" s="11" t="s">
        <v>157</v>
      </c>
      <c r="G20" s="10" t="s">
        <v>105</v>
      </c>
      <c r="J20" s="12" t="s">
        <v>154</v>
      </c>
      <c r="K20" s="13" t="s">
        <v>155</v>
      </c>
      <c r="L20" s="15" t="s">
        <v>134</v>
      </c>
      <c r="M20" s="15" t="s">
        <v>135</v>
      </c>
      <c r="N20" s="15" t="s">
        <v>154</v>
      </c>
    </row>
    <row r="21" spans="1:18" ht="18" customHeight="1">
      <c r="A21" s="9">
        <v>7515408</v>
      </c>
      <c r="B21" s="8" t="s">
        <v>159</v>
      </c>
      <c r="C21" s="9">
        <v>7515408</v>
      </c>
      <c r="D21" s="9">
        <v>7515408</v>
      </c>
      <c r="E21" s="10" t="s">
        <v>48</v>
      </c>
      <c r="F21" s="11" t="s">
        <v>160</v>
      </c>
      <c r="G21" s="10" t="s">
        <v>105</v>
      </c>
      <c r="H21" s="8" t="s">
        <v>161</v>
      </c>
      <c r="J21" s="12" t="s">
        <v>158</v>
      </c>
      <c r="K21" s="13" t="s">
        <v>527</v>
      </c>
      <c r="L21" s="15" t="s">
        <v>134</v>
      </c>
      <c r="M21" s="15" t="s">
        <v>135</v>
      </c>
      <c r="N21" s="15" t="s">
        <v>158</v>
      </c>
    </row>
    <row r="22" spans="1:18" ht="18" customHeight="1">
      <c r="A22" s="9">
        <v>7515409</v>
      </c>
      <c r="B22" s="8" t="s">
        <v>164</v>
      </c>
      <c r="C22" s="9">
        <v>7515409</v>
      </c>
      <c r="D22" s="9">
        <v>7515409</v>
      </c>
      <c r="E22" s="10" t="s">
        <v>48</v>
      </c>
      <c r="F22" s="11" t="s">
        <v>165</v>
      </c>
      <c r="G22" s="10" t="s">
        <v>105</v>
      </c>
      <c r="H22" s="8" t="s">
        <v>166</v>
      </c>
      <c r="J22" s="12" t="s">
        <v>162</v>
      </c>
      <c r="K22" s="13" t="s">
        <v>163</v>
      </c>
      <c r="L22" s="15" t="s">
        <v>134</v>
      </c>
      <c r="M22" s="15" t="s">
        <v>135</v>
      </c>
      <c r="N22" s="15" t="s">
        <v>162</v>
      </c>
    </row>
    <row r="23" spans="1:18" ht="18" customHeight="1">
      <c r="A23" s="9">
        <v>7515410</v>
      </c>
      <c r="B23" s="8" t="s">
        <v>169</v>
      </c>
      <c r="C23" s="9">
        <v>7515410</v>
      </c>
      <c r="D23" s="9">
        <v>7515410</v>
      </c>
      <c r="E23" s="10" t="s">
        <v>48</v>
      </c>
      <c r="F23" s="11" t="s">
        <v>170</v>
      </c>
      <c r="G23" s="10" t="s">
        <v>105</v>
      </c>
      <c r="H23" s="8" t="s">
        <v>171</v>
      </c>
      <c r="J23" s="12" t="s">
        <v>167</v>
      </c>
      <c r="K23" s="13" t="s">
        <v>168</v>
      </c>
      <c r="L23" s="15" t="s">
        <v>134</v>
      </c>
      <c r="M23" s="15" t="s">
        <v>135</v>
      </c>
      <c r="N23" s="15" t="s">
        <v>167</v>
      </c>
    </row>
    <row r="24" spans="1:18" ht="18" customHeight="1">
      <c r="A24" s="9">
        <v>7515499</v>
      </c>
      <c r="B24" s="8" t="s">
        <v>174</v>
      </c>
      <c r="C24" s="9">
        <v>7515499</v>
      </c>
      <c r="D24" s="9">
        <v>7515499</v>
      </c>
      <c r="E24" s="10" t="s">
        <v>48</v>
      </c>
      <c r="F24" s="11" t="s">
        <v>175</v>
      </c>
      <c r="G24" s="10" t="s">
        <v>105</v>
      </c>
      <c r="H24" s="8" t="s">
        <v>176</v>
      </c>
      <c r="J24" s="12" t="s">
        <v>172</v>
      </c>
      <c r="K24" s="13" t="s">
        <v>173</v>
      </c>
      <c r="L24" s="15" t="s">
        <v>134</v>
      </c>
      <c r="M24" s="15" t="s">
        <v>135</v>
      </c>
      <c r="N24" s="15" t="s">
        <v>172</v>
      </c>
    </row>
    <row r="25" spans="1:18" ht="18" customHeight="1">
      <c r="A25" s="9">
        <v>7516102</v>
      </c>
      <c r="B25" s="8" t="s">
        <v>179</v>
      </c>
      <c r="C25" s="9">
        <v>7516102</v>
      </c>
      <c r="D25" s="9">
        <v>7516102</v>
      </c>
      <c r="E25" s="10" t="s">
        <v>48</v>
      </c>
      <c r="F25" s="11" t="s">
        <v>180</v>
      </c>
      <c r="G25" s="10" t="s">
        <v>181</v>
      </c>
      <c r="H25" s="8" t="s">
        <v>182</v>
      </c>
      <c r="J25" s="12" t="s">
        <v>177</v>
      </c>
      <c r="K25" s="13" t="s">
        <v>178</v>
      </c>
      <c r="L25" s="15" t="s">
        <v>134</v>
      </c>
      <c r="M25" s="15" t="s">
        <v>135</v>
      </c>
      <c r="N25" s="15" t="s">
        <v>177</v>
      </c>
    </row>
    <row r="26" spans="1:18" ht="18" customHeight="1">
      <c r="A26" s="9">
        <v>7519101</v>
      </c>
      <c r="B26" s="8" t="s">
        <v>185</v>
      </c>
      <c r="C26" s="9">
        <v>7519101</v>
      </c>
      <c r="D26" s="9">
        <v>7519101</v>
      </c>
      <c r="E26" s="10" t="s">
        <v>48</v>
      </c>
      <c r="F26" s="11" t="s">
        <v>186</v>
      </c>
      <c r="G26" s="10" t="s">
        <v>50</v>
      </c>
      <c r="H26" s="8" t="s">
        <v>187</v>
      </c>
      <c r="J26" s="12" t="s">
        <v>183</v>
      </c>
      <c r="K26" s="13" t="s">
        <v>184</v>
      </c>
      <c r="L26" s="15" t="s">
        <v>134</v>
      </c>
      <c r="M26" s="15" t="s">
        <v>135</v>
      </c>
      <c r="N26" s="15" t="s">
        <v>183</v>
      </c>
    </row>
    <row r="27" spans="1:18" ht="18" customHeight="1">
      <c r="A27" s="9">
        <v>7521101</v>
      </c>
      <c r="B27" s="8" t="s">
        <v>190</v>
      </c>
      <c r="C27" s="9">
        <v>7521101</v>
      </c>
      <c r="D27" s="9">
        <v>7521101</v>
      </c>
      <c r="E27" s="10" t="s">
        <v>48</v>
      </c>
      <c r="F27" s="11" t="s">
        <v>191</v>
      </c>
      <c r="G27" s="10" t="s">
        <v>68</v>
      </c>
      <c r="H27" s="8" t="s">
        <v>192</v>
      </c>
      <c r="J27" s="12" t="s">
        <v>188</v>
      </c>
      <c r="K27" s="13" t="s">
        <v>189</v>
      </c>
      <c r="L27" s="15" t="s">
        <v>134</v>
      </c>
      <c r="M27" s="15" t="s">
        <v>135</v>
      </c>
      <c r="N27" s="15" t="s">
        <v>188</v>
      </c>
    </row>
    <row r="28" spans="1:18" ht="18" customHeight="1">
      <c r="A28" s="9">
        <v>7521102</v>
      </c>
      <c r="B28" s="8" t="s">
        <v>195</v>
      </c>
      <c r="C28" s="9">
        <v>7521102</v>
      </c>
      <c r="D28" s="9">
        <v>7521102</v>
      </c>
      <c r="E28" s="10" t="s">
        <v>48</v>
      </c>
      <c r="F28" s="11" t="s">
        <v>196</v>
      </c>
      <c r="G28" s="10" t="s">
        <v>99</v>
      </c>
      <c r="H28" s="8" t="s">
        <v>197</v>
      </c>
      <c r="J28" s="12" t="s">
        <v>193</v>
      </c>
      <c r="K28" s="13" t="s">
        <v>194</v>
      </c>
      <c r="L28" s="15" t="s">
        <v>134</v>
      </c>
      <c r="M28" s="15" t="s">
        <v>135</v>
      </c>
      <c r="N28" s="15" t="s">
        <v>193</v>
      </c>
    </row>
    <row r="29" spans="1:18" ht="18" customHeight="1">
      <c r="A29" s="9">
        <v>7571101</v>
      </c>
      <c r="B29" s="8" t="s">
        <v>200</v>
      </c>
      <c r="C29" s="9">
        <v>7571101</v>
      </c>
      <c r="D29" s="9">
        <v>7571101</v>
      </c>
      <c r="E29" s="10" t="s">
        <v>48</v>
      </c>
      <c r="F29" s="11" t="s">
        <v>201</v>
      </c>
      <c r="G29" s="10" t="s">
        <v>202</v>
      </c>
      <c r="H29" s="8" t="s">
        <v>203</v>
      </c>
      <c r="J29" s="12" t="s">
        <v>198</v>
      </c>
      <c r="K29" s="13" t="s">
        <v>199</v>
      </c>
      <c r="L29" s="15" t="s">
        <v>134</v>
      </c>
      <c r="M29" s="15" t="s">
        <v>135</v>
      </c>
      <c r="N29" s="15" t="s">
        <v>198</v>
      </c>
    </row>
    <row r="30" spans="1:18" ht="18" customHeight="1">
      <c r="A30" s="9">
        <v>7611100</v>
      </c>
      <c r="B30" s="8" t="s">
        <v>207</v>
      </c>
      <c r="C30" s="9">
        <v>7611100</v>
      </c>
      <c r="D30" s="9">
        <v>7611100</v>
      </c>
      <c r="E30" s="10" t="s">
        <v>48</v>
      </c>
      <c r="F30" s="11" t="s">
        <v>208</v>
      </c>
      <c r="G30" s="10" t="s">
        <v>209</v>
      </c>
      <c r="H30" s="8" t="s">
        <v>210</v>
      </c>
      <c r="J30" s="12" t="s">
        <v>204</v>
      </c>
      <c r="K30" s="13" t="s">
        <v>205</v>
      </c>
      <c r="L30" s="15" t="s">
        <v>134</v>
      </c>
      <c r="M30" s="15" t="s">
        <v>206</v>
      </c>
      <c r="N30" s="15" t="s">
        <v>204</v>
      </c>
    </row>
    <row r="31" spans="1:18" ht="18" customHeight="1">
      <c r="A31" s="9">
        <v>7611300</v>
      </c>
      <c r="B31" s="8" t="s">
        <v>213</v>
      </c>
      <c r="C31" s="9">
        <v>7611300</v>
      </c>
      <c r="D31" s="9">
        <v>7611300</v>
      </c>
      <c r="E31" s="10" t="s">
        <v>48</v>
      </c>
      <c r="F31" s="11" t="s">
        <v>214</v>
      </c>
      <c r="G31" s="10" t="s">
        <v>209</v>
      </c>
      <c r="H31" s="8" t="s">
        <v>215</v>
      </c>
      <c r="J31" s="12" t="s">
        <v>211</v>
      </c>
      <c r="K31" s="13" t="s">
        <v>212</v>
      </c>
      <c r="L31" s="15" t="s">
        <v>134</v>
      </c>
      <c r="M31" s="15" t="s">
        <v>206</v>
      </c>
      <c r="N31" s="15" t="s">
        <v>211</v>
      </c>
    </row>
    <row r="32" spans="1:18" ht="18" customHeight="1">
      <c r="A32" s="9">
        <v>7611400</v>
      </c>
      <c r="B32" s="8" t="s">
        <v>218</v>
      </c>
      <c r="C32" s="9">
        <v>7611400</v>
      </c>
      <c r="D32" s="9">
        <v>7611400</v>
      </c>
      <c r="E32" s="10" t="s">
        <v>48</v>
      </c>
      <c r="F32" s="11" t="s">
        <v>219</v>
      </c>
      <c r="G32" s="10" t="s">
        <v>209</v>
      </c>
      <c r="H32" s="8" t="s">
        <v>220</v>
      </c>
      <c r="J32" s="12" t="s">
        <v>216</v>
      </c>
      <c r="K32" s="13" t="s">
        <v>217</v>
      </c>
      <c r="L32" s="15" t="s">
        <v>134</v>
      </c>
      <c r="M32" s="15" t="s">
        <v>206</v>
      </c>
      <c r="N32" s="15" t="s">
        <v>216</v>
      </c>
    </row>
    <row r="33" spans="1:14" ht="18" customHeight="1">
      <c r="A33" s="9">
        <v>7611500</v>
      </c>
      <c r="B33" s="8" t="s">
        <v>223</v>
      </c>
      <c r="C33" s="9">
        <v>7611500</v>
      </c>
      <c r="D33" s="9">
        <v>7611500</v>
      </c>
      <c r="E33" s="10" t="s">
        <v>48</v>
      </c>
      <c r="F33" s="11" t="s">
        <v>224</v>
      </c>
      <c r="G33" s="10" t="s">
        <v>209</v>
      </c>
      <c r="H33" s="8" t="s">
        <v>225</v>
      </c>
      <c r="J33" s="12" t="s">
        <v>221</v>
      </c>
      <c r="K33" s="13" t="s">
        <v>222</v>
      </c>
      <c r="L33" s="15" t="s">
        <v>134</v>
      </c>
      <c r="M33" s="15" t="s">
        <v>206</v>
      </c>
      <c r="N33" s="15" t="s">
        <v>221</v>
      </c>
    </row>
    <row r="34" spans="1:14" ht="18" customHeight="1">
      <c r="A34" s="9">
        <v>7611600</v>
      </c>
      <c r="B34" s="8" t="s">
        <v>228</v>
      </c>
      <c r="C34" s="9">
        <v>7611600</v>
      </c>
      <c r="D34" s="9">
        <v>7611600</v>
      </c>
      <c r="E34" s="10" t="s">
        <v>48</v>
      </c>
      <c r="F34" s="11" t="s">
        <v>229</v>
      </c>
      <c r="G34" s="10" t="s">
        <v>209</v>
      </c>
      <c r="H34" s="8" t="s">
        <v>230</v>
      </c>
      <c r="J34" s="12" t="s">
        <v>226</v>
      </c>
      <c r="K34" s="13" t="s">
        <v>227</v>
      </c>
      <c r="L34" s="15" t="s">
        <v>134</v>
      </c>
      <c r="M34" s="15" t="s">
        <v>206</v>
      </c>
      <c r="N34" s="15" t="s">
        <v>226</v>
      </c>
    </row>
    <row r="35" spans="1:14" ht="18" customHeight="1">
      <c r="A35" s="9">
        <v>7611700</v>
      </c>
      <c r="B35" s="8" t="s">
        <v>233</v>
      </c>
      <c r="C35" s="9">
        <v>7611700</v>
      </c>
      <c r="D35" s="9">
        <v>7611700</v>
      </c>
      <c r="E35" s="10" t="s">
        <v>48</v>
      </c>
      <c r="F35" s="11" t="s">
        <v>234</v>
      </c>
      <c r="G35" s="10" t="s">
        <v>209</v>
      </c>
      <c r="H35" s="8" t="s">
        <v>235</v>
      </c>
      <c r="J35" s="12" t="s">
        <v>231</v>
      </c>
      <c r="K35" s="13" t="s">
        <v>232</v>
      </c>
      <c r="L35" s="15" t="s">
        <v>134</v>
      </c>
      <c r="M35" s="15" t="s">
        <v>206</v>
      </c>
      <c r="N35" s="15" t="s">
        <v>231</v>
      </c>
    </row>
    <row r="36" spans="1:14" ht="18" customHeight="1">
      <c r="A36" s="9">
        <v>7611800</v>
      </c>
      <c r="B36" s="8" t="s">
        <v>238</v>
      </c>
      <c r="C36" s="9">
        <v>7611800</v>
      </c>
      <c r="D36" s="9">
        <v>7611800</v>
      </c>
      <c r="E36" s="10" t="s">
        <v>48</v>
      </c>
      <c r="F36" s="11" t="s">
        <v>239</v>
      </c>
      <c r="G36" s="10" t="s">
        <v>209</v>
      </c>
      <c r="H36" s="8" t="s">
        <v>240</v>
      </c>
      <c r="J36" s="12" t="s">
        <v>236</v>
      </c>
      <c r="K36" s="13" t="s">
        <v>237</v>
      </c>
      <c r="L36" s="15" t="s">
        <v>134</v>
      </c>
      <c r="M36" s="15" t="s">
        <v>206</v>
      </c>
      <c r="N36" s="15" t="s">
        <v>236</v>
      </c>
    </row>
    <row r="37" spans="1:14" ht="18" customHeight="1">
      <c r="A37" s="9">
        <v>7621101</v>
      </c>
      <c r="B37" s="8" t="s">
        <v>243</v>
      </c>
      <c r="C37" s="9">
        <v>7621101</v>
      </c>
      <c r="D37" s="9">
        <v>7621101</v>
      </c>
      <c r="E37" s="10" t="s">
        <v>48</v>
      </c>
      <c r="F37" s="11" t="s">
        <v>244</v>
      </c>
      <c r="G37" s="10" t="s">
        <v>245</v>
      </c>
      <c r="H37" s="8" t="s">
        <v>246</v>
      </c>
      <c r="J37" s="12" t="s">
        <v>241</v>
      </c>
      <c r="K37" s="13" t="s">
        <v>242</v>
      </c>
      <c r="L37" s="15" t="s">
        <v>134</v>
      </c>
      <c r="M37" s="15" t="s">
        <v>206</v>
      </c>
      <c r="N37" s="15" t="s">
        <v>241</v>
      </c>
    </row>
    <row r="38" spans="1:14" ht="18" customHeight="1">
      <c r="A38" s="9">
        <v>7621199</v>
      </c>
      <c r="B38" s="8" t="s">
        <v>249</v>
      </c>
      <c r="C38" s="9">
        <v>7621199</v>
      </c>
      <c r="D38" s="9">
        <v>7621199</v>
      </c>
      <c r="E38" s="10" t="s">
        <v>48</v>
      </c>
      <c r="F38" s="11" t="s">
        <v>250</v>
      </c>
      <c r="G38" s="10" t="s">
        <v>251</v>
      </c>
      <c r="H38" s="8" t="s">
        <v>252</v>
      </c>
      <c r="J38" s="12" t="s">
        <v>247</v>
      </c>
      <c r="K38" s="13" t="s">
        <v>248</v>
      </c>
      <c r="L38" s="15" t="s">
        <v>134</v>
      </c>
      <c r="M38" s="15" t="s">
        <v>206</v>
      </c>
      <c r="N38" s="15" t="s">
        <v>247</v>
      </c>
    </row>
    <row r="39" spans="1:14" ht="18" customHeight="1">
      <c r="A39" s="9">
        <v>7631101</v>
      </c>
      <c r="B39" s="8" t="s">
        <v>255</v>
      </c>
      <c r="C39" s="9">
        <v>7631101</v>
      </c>
      <c r="D39" s="9">
        <v>7631101</v>
      </c>
      <c r="E39" s="10" t="s">
        <v>48</v>
      </c>
      <c r="F39" s="11" t="s">
        <v>256</v>
      </c>
      <c r="G39" s="10" t="s">
        <v>257</v>
      </c>
      <c r="H39" s="8" t="s">
        <v>258</v>
      </c>
      <c r="J39" s="12" t="s">
        <v>253</v>
      </c>
      <c r="K39" s="13" t="s">
        <v>254</v>
      </c>
      <c r="L39" s="15" t="s">
        <v>134</v>
      </c>
      <c r="M39" s="15" t="s">
        <v>206</v>
      </c>
      <c r="N39" s="15" t="s">
        <v>253</v>
      </c>
    </row>
    <row r="40" spans="1:14" ht="18" customHeight="1">
      <c r="A40" s="9">
        <v>7631102</v>
      </c>
      <c r="B40" s="8" t="s">
        <v>261</v>
      </c>
      <c r="C40" s="9">
        <v>7631102</v>
      </c>
      <c r="D40" s="9">
        <v>7631102</v>
      </c>
      <c r="E40" s="10" t="s">
        <v>48</v>
      </c>
      <c r="F40" s="11" t="s">
        <v>262</v>
      </c>
      <c r="G40" s="10" t="s">
        <v>263</v>
      </c>
      <c r="H40" s="8" t="s">
        <v>264</v>
      </c>
      <c r="J40" s="41" t="s">
        <v>259</v>
      </c>
      <c r="K40" s="42" t="s">
        <v>260</v>
      </c>
      <c r="L40" s="41" t="s">
        <v>48</v>
      </c>
      <c r="M40" s="41" t="s">
        <v>53</v>
      </c>
      <c r="N40" s="41" t="s">
        <v>259</v>
      </c>
    </row>
    <row r="41" spans="1:14" ht="18" customHeight="1">
      <c r="A41" s="9">
        <v>7641101</v>
      </c>
      <c r="B41" s="8" t="s">
        <v>267</v>
      </c>
      <c r="C41" s="9">
        <v>7641101</v>
      </c>
      <c r="D41" s="9">
        <v>7641101</v>
      </c>
      <c r="E41" s="10" t="s">
        <v>48</v>
      </c>
      <c r="F41" s="11" t="s">
        <v>268</v>
      </c>
      <c r="G41" s="10" t="s">
        <v>269</v>
      </c>
      <c r="H41" s="8" t="s">
        <v>270</v>
      </c>
      <c r="J41" s="12" t="s">
        <v>265</v>
      </c>
      <c r="K41" s="13" t="s">
        <v>266</v>
      </c>
      <c r="L41" s="15" t="s">
        <v>134</v>
      </c>
      <c r="M41" s="15" t="s">
        <v>206</v>
      </c>
      <c r="N41" s="15" t="s">
        <v>265</v>
      </c>
    </row>
    <row r="42" spans="1:14" ht="18" customHeight="1">
      <c r="A42" s="9">
        <v>7641102</v>
      </c>
      <c r="B42" s="8" t="s">
        <v>273</v>
      </c>
      <c r="C42" s="9">
        <v>7641102</v>
      </c>
      <c r="D42" s="9">
        <v>7641102</v>
      </c>
      <c r="E42" s="10" t="s">
        <v>48</v>
      </c>
      <c r="F42" s="11" t="s">
        <v>274</v>
      </c>
      <c r="G42" s="10" t="s">
        <v>269</v>
      </c>
      <c r="H42" s="8" t="s">
        <v>275</v>
      </c>
      <c r="J42" s="12" t="s">
        <v>271</v>
      </c>
      <c r="K42" s="13" t="s">
        <v>272</v>
      </c>
      <c r="L42" s="15" t="s">
        <v>134</v>
      </c>
      <c r="M42" s="15" t="s">
        <v>206</v>
      </c>
      <c r="N42" s="15" t="s">
        <v>271</v>
      </c>
    </row>
    <row r="43" spans="1:14" ht="18" customHeight="1">
      <c r="A43" s="9">
        <v>7641103</v>
      </c>
      <c r="B43" s="8" t="s">
        <v>278</v>
      </c>
      <c r="C43" s="9">
        <v>7641103</v>
      </c>
      <c r="D43" s="9">
        <v>7641103</v>
      </c>
      <c r="E43" s="10" t="s">
        <v>48</v>
      </c>
      <c r="F43" s="11" t="s">
        <v>279</v>
      </c>
      <c r="G43" s="10" t="s">
        <v>280</v>
      </c>
      <c r="H43" s="8" t="s">
        <v>281</v>
      </c>
      <c r="J43" s="8" t="s">
        <v>276</v>
      </c>
      <c r="K43" s="9" t="s">
        <v>277</v>
      </c>
      <c r="N43" s="8" t="s">
        <v>276</v>
      </c>
    </row>
    <row r="44" spans="1:14" ht="18" customHeight="1">
      <c r="A44" s="9">
        <v>7641104</v>
      </c>
      <c r="B44" s="8" t="s">
        <v>282</v>
      </c>
      <c r="C44" s="9">
        <v>7641104</v>
      </c>
      <c r="D44" s="9">
        <v>7641104</v>
      </c>
      <c r="E44" s="10" t="s">
        <v>48</v>
      </c>
      <c r="F44" s="11" t="s">
        <v>283</v>
      </c>
      <c r="G44" s="10" t="s">
        <v>280</v>
      </c>
      <c r="H44" s="8" t="s">
        <v>284</v>
      </c>
    </row>
    <row r="45" spans="1:14" ht="18" customHeight="1">
      <c r="A45" s="9">
        <v>7651101</v>
      </c>
      <c r="B45" s="8" t="s">
        <v>285</v>
      </c>
      <c r="C45" s="9">
        <v>7651101</v>
      </c>
      <c r="D45" s="9">
        <v>7651101</v>
      </c>
      <c r="E45" s="10" t="s">
        <v>48</v>
      </c>
      <c r="F45" s="11" t="s">
        <v>286</v>
      </c>
      <c r="G45" s="10" t="s">
        <v>245</v>
      </c>
      <c r="H45" s="8" t="s">
        <v>287</v>
      </c>
    </row>
    <row r="46" spans="1:14" ht="18" customHeight="1">
      <c r="A46" s="9">
        <v>7651102</v>
      </c>
      <c r="B46" s="8" t="s">
        <v>288</v>
      </c>
      <c r="C46" s="9">
        <v>7651102</v>
      </c>
      <c r="D46" s="9">
        <v>7651102</v>
      </c>
      <c r="E46" s="10" t="s">
        <v>48</v>
      </c>
      <c r="F46" s="11" t="s">
        <v>289</v>
      </c>
      <c r="G46" s="10" t="s">
        <v>245</v>
      </c>
      <c r="H46" s="8" t="s">
        <v>290</v>
      </c>
    </row>
    <row r="47" spans="1:14" ht="18" customHeight="1">
      <c r="A47" s="9">
        <v>7651103</v>
      </c>
      <c r="B47" s="8" t="s">
        <v>291</v>
      </c>
      <c r="C47" s="9">
        <v>7651103</v>
      </c>
      <c r="D47" s="9">
        <v>7651103</v>
      </c>
      <c r="E47" s="10" t="s">
        <v>48</v>
      </c>
      <c r="F47" s="11" t="s">
        <v>292</v>
      </c>
      <c r="G47" s="10" t="s">
        <v>245</v>
      </c>
      <c r="H47" s="8" t="s">
        <v>293</v>
      </c>
    </row>
    <row r="48" spans="1:14" ht="18" customHeight="1">
      <c r="A48" s="9">
        <v>7661101</v>
      </c>
      <c r="B48" s="8" t="s">
        <v>294</v>
      </c>
      <c r="C48" s="9">
        <v>7661101</v>
      </c>
      <c r="D48" s="9">
        <v>7661101</v>
      </c>
      <c r="E48" s="10" t="s">
        <v>48</v>
      </c>
      <c r="F48" s="11" t="s">
        <v>295</v>
      </c>
      <c r="G48" s="10" t="s">
        <v>296</v>
      </c>
      <c r="H48" s="8" t="s">
        <v>297</v>
      </c>
    </row>
    <row r="49" spans="1:8" ht="18" customHeight="1">
      <c r="A49" s="9">
        <v>7671102</v>
      </c>
      <c r="B49" s="8" t="s">
        <v>298</v>
      </c>
      <c r="C49" s="9">
        <v>7671102</v>
      </c>
      <c r="D49" s="9">
        <v>7671102</v>
      </c>
      <c r="E49" s="10" t="s">
        <v>48</v>
      </c>
      <c r="F49" s="11" t="s">
        <v>299</v>
      </c>
      <c r="G49" s="10" t="s">
        <v>280</v>
      </c>
      <c r="H49" s="8" t="s">
        <v>300</v>
      </c>
    </row>
    <row r="50" spans="1:8" ht="18" customHeight="1">
      <c r="A50" s="9">
        <v>7671103</v>
      </c>
      <c r="B50" s="8" t="s">
        <v>301</v>
      </c>
      <c r="C50" s="9">
        <v>7671103</v>
      </c>
      <c r="D50" s="9">
        <v>7671103</v>
      </c>
      <c r="E50" s="10" t="s">
        <v>48</v>
      </c>
      <c r="F50" s="11" t="s">
        <v>302</v>
      </c>
      <c r="G50" s="10" t="s">
        <v>280</v>
      </c>
      <c r="H50" s="8" t="s">
        <v>303</v>
      </c>
    </row>
    <row r="51" spans="1:8" ht="18" customHeight="1">
      <c r="A51" s="9">
        <v>7681101</v>
      </c>
      <c r="B51" s="8" t="s">
        <v>304</v>
      </c>
      <c r="C51" s="9">
        <v>7681101</v>
      </c>
      <c r="D51" s="9">
        <v>7681101</v>
      </c>
      <c r="E51" s="10" t="s">
        <v>48</v>
      </c>
      <c r="F51" s="11" t="s">
        <v>305</v>
      </c>
      <c r="G51" s="10" t="s">
        <v>280</v>
      </c>
      <c r="H51" s="8" t="s">
        <v>306</v>
      </c>
    </row>
    <row r="52" spans="1:8" ht="18" customHeight="1">
      <c r="A52" s="9">
        <v>7691000</v>
      </c>
      <c r="B52" s="8" t="s">
        <v>307</v>
      </c>
      <c r="C52" s="9">
        <v>7691000</v>
      </c>
      <c r="D52" s="9">
        <v>7691000</v>
      </c>
      <c r="E52" s="10" t="s">
        <v>48</v>
      </c>
      <c r="F52" s="11" t="s">
        <v>308</v>
      </c>
      <c r="G52" s="10" t="s">
        <v>280</v>
      </c>
      <c r="H52" s="8" t="s">
        <v>309</v>
      </c>
    </row>
    <row r="53" spans="1:8" ht="18" customHeight="1">
      <c r="A53" s="9">
        <v>7711101</v>
      </c>
      <c r="B53" s="8" t="s">
        <v>310</v>
      </c>
      <c r="C53" s="9">
        <v>7711101</v>
      </c>
      <c r="D53" s="9">
        <v>7711101</v>
      </c>
      <c r="E53" s="10" t="s">
        <v>48</v>
      </c>
      <c r="F53" s="11" t="s">
        <v>311</v>
      </c>
      <c r="G53" s="10" t="s">
        <v>280</v>
      </c>
      <c r="H53" s="8" t="s">
        <v>312</v>
      </c>
    </row>
    <row r="54" spans="1:8" ht="18" customHeight="1">
      <c r="A54" s="9">
        <v>7711102</v>
      </c>
      <c r="B54" s="8" t="s">
        <v>313</v>
      </c>
      <c r="C54" s="9">
        <v>7711102</v>
      </c>
      <c r="D54" s="9">
        <v>7711102</v>
      </c>
      <c r="E54" s="10" t="s">
        <v>48</v>
      </c>
      <c r="F54" s="11" t="s">
        <v>314</v>
      </c>
      <c r="G54" s="10" t="s">
        <v>315</v>
      </c>
      <c r="H54" s="8" t="s">
        <v>316</v>
      </c>
    </row>
    <row r="55" spans="1:8" ht="18" customHeight="1">
      <c r="A55" s="9">
        <v>7711103</v>
      </c>
      <c r="B55" s="8" t="s">
        <v>317</v>
      </c>
      <c r="C55" s="9">
        <v>7711103</v>
      </c>
      <c r="D55" s="9">
        <v>7711103</v>
      </c>
      <c r="E55" s="10" t="s">
        <v>48</v>
      </c>
      <c r="F55" s="11" t="s">
        <v>318</v>
      </c>
      <c r="G55" s="10" t="s">
        <v>280</v>
      </c>
      <c r="H55" s="8" t="s">
        <v>319</v>
      </c>
    </row>
    <row r="56" spans="1:8" ht="18" customHeight="1">
      <c r="A56" s="9">
        <v>7721101</v>
      </c>
      <c r="B56" s="8" t="s">
        <v>320</v>
      </c>
      <c r="C56" s="9">
        <v>7721101</v>
      </c>
      <c r="D56" s="9">
        <v>7721101</v>
      </c>
      <c r="E56" s="10" t="s">
        <v>48</v>
      </c>
      <c r="F56" s="11" t="s">
        <v>321</v>
      </c>
      <c r="G56" s="10" t="s">
        <v>280</v>
      </c>
      <c r="H56" s="8" t="s">
        <v>322</v>
      </c>
    </row>
    <row r="57" spans="1:8" ht="18" customHeight="1">
      <c r="A57" s="9">
        <v>7729101</v>
      </c>
      <c r="B57" s="8" t="s">
        <v>323</v>
      </c>
      <c r="C57" s="9">
        <v>7729101</v>
      </c>
      <c r="D57" s="9">
        <v>7729101</v>
      </c>
      <c r="E57" s="10" t="s">
        <v>48</v>
      </c>
      <c r="F57" s="11" t="s">
        <v>324</v>
      </c>
      <c r="G57" s="10" t="s">
        <v>325</v>
      </c>
      <c r="H57" s="8" t="s">
        <v>326</v>
      </c>
    </row>
    <row r="58" spans="1:8" ht="18" customHeight="1">
      <c r="A58" s="9">
        <v>7729103</v>
      </c>
      <c r="B58" s="8" t="s">
        <v>327</v>
      </c>
      <c r="C58" s="9">
        <v>7729103</v>
      </c>
      <c r="D58" s="9">
        <v>7729103</v>
      </c>
      <c r="E58" s="10" t="s">
        <v>48</v>
      </c>
      <c r="F58" s="11" t="s">
        <v>328</v>
      </c>
      <c r="G58" s="10" t="s">
        <v>329</v>
      </c>
      <c r="H58" s="8" t="s">
        <v>330</v>
      </c>
    </row>
    <row r="59" spans="1:8" ht="18" customHeight="1">
      <c r="A59" s="9">
        <v>7729105</v>
      </c>
      <c r="B59" s="8" t="s">
        <v>331</v>
      </c>
      <c r="C59" s="9">
        <v>7729105</v>
      </c>
      <c r="D59" s="9">
        <v>7729105</v>
      </c>
      <c r="E59" s="10" t="s">
        <v>48</v>
      </c>
      <c r="F59" s="11" t="s">
        <v>332</v>
      </c>
      <c r="G59" s="10" t="s">
        <v>280</v>
      </c>
      <c r="H59" s="8" t="s">
        <v>333</v>
      </c>
    </row>
    <row r="60" spans="1:8" ht="18" customHeight="1">
      <c r="A60" s="9">
        <v>7781101</v>
      </c>
      <c r="B60" s="8" t="s">
        <v>334</v>
      </c>
      <c r="C60" s="9">
        <v>7781101</v>
      </c>
      <c r="D60" s="9">
        <v>7781101</v>
      </c>
      <c r="E60" s="10" t="s">
        <v>48</v>
      </c>
      <c r="F60" s="11" t="s">
        <v>335</v>
      </c>
      <c r="G60" s="10" t="s">
        <v>280</v>
      </c>
      <c r="H60" s="8" t="s">
        <v>336</v>
      </c>
    </row>
    <row r="61" spans="1:8" ht="18" customHeight="1">
      <c r="A61" s="9">
        <v>7781103</v>
      </c>
      <c r="B61" s="8" t="s">
        <v>337</v>
      </c>
      <c r="C61" s="9">
        <v>7781103</v>
      </c>
      <c r="D61" s="9">
        <v>7781103</v>
      </c>
      <c r="E61" s="10" t="s">
        <v>48</v>
      </c>
      <c r="F61" s="11" t="s">
        <v>338</v>
      </c>
      <c r="G61" s="10" t="s">
        <v>280</v>
      </c>
      <c r="H61" s="8" t="s">
        <v>339</v>
      </c>
    </row>
    <row r="62" spans="1:8" ht="18" customHeight="1">
      <c r="A62" s="9">
        <v>7781104</v>
      </c>
      <c r="B62" s="8" t="s">
        <v>340</v>
      </c>
      <c r="C62" s="9">
        <v>7781104</v>
      </c>
      <c r="D62" s="9">
        <v>7781104</v>
      </c>
      <c r="E62" s="10" t="s">
        <v>48</v>
      </c>
      <c r="F62" s="11" t="s">
        <v>341</v>
      </c>
      <c r="G62" s="10" t="s">
        <v>280</v>
      </c>
      <c r="H62" s="8" t="s">
        <v>342</v>
      </c>
    </row>
    <row r="63" spans="1:8" ht="18" customHeight="1">
      <c r="A63" s="9">
        <v>7781105</v>
      </c>
      <c r="B63" s="8" t="s">
        <v>343</v>
      </c>
      <c r="C63" s="9">
        <v>7781105</v>
      </c>
      <c r="D63" s="9">
        <v>7781105</v>
      </c>
      <c r="E63" s="10" t="s">
        <v>48</v>
      </c>
      <c r="F63" s="11" t="s">
        <v>344</v>
      </c>
      <c r="G63" s="10" t="s">
        <v>280</v>
      </c>
      <c r="H63" s="8" t="s">
        <v>345</v>
      </c>
    </row>
    <row r="64" spans="1:8" ht="18" customHeight="1">
      <c r="A64" s="9">
        <v>7781106</v>
      </c>
      <c r="B64" s="8" t="s">
        <v>346</v>
      </c>
      <c r="C64" s="9">
        <v>7781106</v>
      </c>
      <c r="D64" s="9">
        <v>7781106</v>
      </c>
      <c r="E64" s="10" t="s">
        <v>48</v>
      </c>
      <c r="F64" s="11" t="s">
        <v>347</v>
      </c>
      <c r="G64" s="10" t="s">
        <v>280</v>
      </c>
      <c r="H64" s="8" t="s">
        <v>348</v>
      </c>
    </row>
    <row r="65" spans="1:8" ht="18" customHeight="1">
      <c r="A65" s="9">
        <v>7781107</v>
      </c>
      <c r="B65" s="8" t="s">
        <v>349</v>
      </c>
      <c r="C65" s="9">
        <v>7781107</v>
      </c>
      <c r="D65" s="9">
        <v>7781107</v>
      </c>
      <c r="E65" s="10" t="s">
        <v>48</v>
      </c>
      <c r="F65" s="11" t="s">
        <v>350</v>
      </c>
      <c r="G65" s="10" t="s">
        <v>351</v>
      </c>
      <c r="H65" s="8" t="s">
        <v>352</v>
      </c>
    </row>
    <row r="66" spans="1:8" ht="18" customHeight="1">
      <c r="A66" s="9">
        <v>7781111</v>
      </c>
      <c r="B66" s="8" t="s">
        <v>353</v>
      </c>
      <c r="C66" s="9">
        <v>7781111</v>
      </c>
      <c r="D66" s="9">
        <v>7781111</v>
      </c>
      <c r="E66" s="10" t="s">
        <v>48</v>
      </c>
      <c r="F66" s="11" t="s">
        <v>354</v>
      </c>
      <c r="G66" s="10" t="s">
        <v>280</v>
      </c>
      <c r="H66" s="8" t="s">
        <v>355</v>
      </c>
    </row>
    <row r="67" spans="1:8" ht="18" customHeight="1">
      <c r="A67" s="9">
        <v>7781112</v>
      </c>
      <c r="B67" s="8" t="s">
        <v>356</v>
      </c>
      <c r="C67" s="9">
        <v>7781112</v>
      </c>
      <c r="D67" s="9">
        <v>7781112</v>
      </c>
      <c r="E67" s="10" t="s">
        <v>48</v>
      </c>
      <c r="F67" s="11" t="s">
        <v>357</v>
      </c>
      <c r="G67" s="10" t="s">
        <v>280</v>
      </c>
      <c r="H67" s="8" t="s">
        <v>358</v>
      </c>
    </row>
    <row r="68" spans="1:8" ht="18" customHeight="1">
      <c r="A68" s="9">
        <v>7781113</v>
      </c>
      <c r="B68" s="8" t="s">
        <v>359</v>
      </c>
      <c r="C68" s="9">
        <v>7781113</v>
      </c>
      <c r="D68" s="9">
        <v>7781113</v>
      </c>
      <c r="E68" s="10" t="s">
        <v>48</v>
      </c>
      <c r="F68" s="11" t="s">
        <v>360</v>
      </c>
      <c r="G68" s="10" t="s">
        <v>280</v>
      </c>
      <c r="H68" s="8" t="s">
        <v>361</v>
      </c>
    </row>
    <row r="69" spans="1:8" ht="18" customHeight="1">
      <c r="A69" s="9">
        <v>7411101</v>
      </c>
      <c r="B69" s="8" t="s">
        <v>362</v>
      </c>
      <c r="C69" s="9">
        <v>7411101</v>
      </c>
      <c r="D69" s="9">
        <v>7411101</v>
      </c>
      <c r="E69" s="10" t="s">
        <v>48</v>
      </c>
      <c r="F69" s="11" t="s">
        <v>363</v>
      </c>
      <c r="G69" s="10" t="s">
        <v>364</v>
      </c>
      <c r="H69" s="8" t="s">
        <v>365</v>
      </c>
    </row>
    <row r="70" spans="1:8" ht="18" customHeight="1">
      <c r="A70" s="9">
        <v>7411103</v>
      </c>
      <c r="B70" s="8" t="s">
        <v>366</v>
      </c>
      <c r="C70" s="9">
        <v>7411103</v>
      </c>
      <c r="D70" s="9">
        <v>7411103</v>
      </c>
      <c r="E70" s="10" t="s">
        <v>48</v>
      </c>
      <c r="F70" s="11" t="s">
        <v>367</v>
      </c>
      <c r="G70" s="10" t="s">
        <v>368</v>
      </c>
      <c r="H70" s="8" t="s">
        <v>369</v>
      </c>
    </row>
    <row r="71" spans="1:8" ht="18" customHeight="1">
      <c r="A71" s="9">
        <v>7411104</v>
      </c>
      <c r="B71" s="8" t="s">
        <v>370</v>
      </c>
      <c r="C71" s="9">
        <v>7411104</v>
      </c>
      <c r="D71" s="9">
        <v>7411104</v>
      </c>
      <c r="E71" s="10" t="s">
        <v>48</v>
      </c>
      <c r="F71" s="11" t="s">
        <v>371</v>
      </c>
      <c r="G71" s="10" t="s">
        <v>372</v>
      </c>
      <c r="H71" s="8" t="s">
        <v>373</v>
      </c>
    </row>
    <row r="72" spans="1:8" ht="18" customHeight="1">
      <c r="A72" s="9">
        <v>7431101</v>
      </c>
      <c r="B72" s="8" t="s">
        <v>374</v>
      </c>
      <c r="C72" s="9">
        <v>7431101</v>
      </c>
      <c r="D72" s="9">
        <v>7431101</v>
      </c>
      <c r="E72" s="10" t="s">
        <v>48</v>
      </c>
      <c r="F72" s="11" t="s">
        <v>375</v>
      </c>
      <c r="G72" s="10" t="s">
        <v>376</v>
      </c>
      <c r="H72" s="8" t="s">
        <v>377</v>
      </c>
    </row>
    <row r="73" spans="1:8" ht="18" customHeight="1">
      <c r="A73" s="9">
        <v>7451101</v>
      </c>
      <c r="B73" s="8" t="s">
        <v>378</v>
      </c>
      <c r="C73" s="9">
        <v>7451101</v>
      </c>
      <c r="D73" s="9">
        <v>7451101</v>
      </c>
      <c r="E73" s="10" t="s">
        <v>48</v>
      </c>
      <c r="F73" s="11" t="s">
        <v>379</v>
      </c>
      <c r="G73" s="10" t="s">
        <v>380</v>
      </c>
      <c r="H73" s="8" t="s">
        <v>381</v>
      </c>
    </row>
    <row r="74" spans="1:8" ht="18" customHeight="1">
      <c r="A74" s="9">
        <v>7451102</v>
      </c>
      <c r="B74" s="8" t="s">
        <v>382</v>
      </c>
      <c r="C74" s="9">
        <v>7451102</v>
      </c>
      <c r="D74" s="9">
        <v>7451102</v>
      </c>
      <c r="E74" s="10" t="s">
        <v>48</v>
      </c>
      <c r="F74" s="11" t="s">
        <v>383</v>
      </c>
      <c r="G74" s="10" t="s">
        <v>384</v>
      </c>
      <c r="H74" s="8" t="s">
        <v>385</v>
      </c>
    </row>
    <row r="75" spans="1:8" ht="18" customHeight="1">
      <c r="A75" s="9">
        <v>7451103</v>
      </c>
      <c r="B75" s="8" t="s">
        <v>386</v>
      </c>
      <c r="C75" s="9">
        <v>7451103</v>
      </c>
      <c r="D75" s="9">
        <v>7451103</v>
      </c>
      <c r="E75" s="10" t="s">
        <v>48</v>
      </c>
      <c r="F75" s="11" t="s">
        <v>387</v>
      </c>
      <c r="G75" s="10" t="s">
        <v>388</v>
      </c>
      <c r="H75" s="8" t="s">
        <v>389</v>
      </c>
    </row>
    <row r="76" spans="1:8" ht="18" customHeight="1">
      <c r="A76" s="9">
        <v>7461101</v>
      </c>
      <c r="B76" s="8" t="s">
        <v>390</v>
      </c>
      <c r="C76" s="9">
        <v>7461101</v>
      </c>
      <c r="D76" s="9">
        <v>7461101</v>
      </c>
      <c r="E76" s="10" t="s">
        <v>48</v>
      </c>
      <c r="F76" s="11" t="s">
        <v>391</v>
      </c>
      <c r="G76" s="10" t="s">
        <v>392</v>
      </c>
      <c r="H76" s="8" t="s">
        <v>390</v>
      </c>
    </row>
    <row r="77" spans="1:8" ht="18" customHeight="1">
      <c r="A77" s="9">
        <v>7411105</v>
      </c>
      <c r="B77" s="8" t="s">
        <v>393</v>
      </c>
      <c r="C77" s="9">
        <v>7411105</v>
      </c>
      <c r="D77" s="9">
        <v>7411105</v>
      </c>
      <c r="E77" s="10" t="s">
        <v>48</v>
      </c>
      <c r="F77" s="10" t="s">
        <v>394</v>
      </c>
      <c r="G77" s="43" t="s">
        <v>395</v>
      </c>
    </row>
    <row r="78" spans="1:8" ht="18" customHeight="1">
      <c r="A78" s="9">
        <v>7471201</v>
      </c>
      <c r="B78" s="8" t="s">
        <v>396</v>
      </c>
      <c r="C78" s="9">
        <v>7471201</v>
      </c>
      <c r="D78" s="9">
        <v>7471201</v>
      </c>
      <c r="E78" s="10" t="s">
        <v>48</v>
      </c>
      <c r="F78" s="10" t="s">
        <v>397</v>
      </c>
      <c r="G78" s="43" t="s">
        <v>398</v>
      </c>
    </row>
    <row r="79" spans="1:8" ht="18" customHeight="1">
      <c r="A79" s="9">
        <v>7751101</v>
      </c>
      <c r="B79" s="8" t="s">
        <v>399</v>
      </c>
      <c r="C79" s="9">
        <v>7751101</v>
      </c>
      <c r="D79" s="9">
        <v>7751101</v>
      </c>
      <c r="E79" s="10" t="s">
        <v>48</v>
      </c>
      <c r="F79" s="10" t="s">
        <v>400</v>
      </c>
    </row>
    <row r="80" spans="1:8" ht="18" customHeight="1">
      <c r="A80" s="9">
        <v>7751102</v>
      </c>
      <c r="B80" s="8" t="s">
        <v>401</v>
      </c>
      <c r="C80" s="9">
        <v>7751102</v>
      </c>
      <c r="D80" s="9">
        <v>7751102</v>
      </c>
      <c r="E80" s="10" t="s">
        <v>48</v>
      </c>
      <c r="F80" s="10" t="s">
        <v>402</v>
      </c>
    </row>
    <row r="81" spans="1:8" ht="18" customHeight="1">
      <c r="A81" s="22">
        <v>7111211</v>
      </c>
      <c r="B81" s="8" t="s">
        <v>403</v>
      </c>
      <c r="C81" s="22">
        <v>7111211</v>
      </c>
      <c r="D81" s="22">
        <v>7111211</v>
      </c>
      <c r="E81" s="22" t="s">
        <v>134</v>
      </c>
      <c r="F81" s="22" t="s">
        <v>404</v>
      </c>
    </row>
    <row r="82" spans="1:8" ht="18" customHeight="1">
      <c r="A82" s="22">
        <v>7111212</v>
      </c>
      <c r="B82" s="8" t="s">
        <v>405</v>
      </c>
      <c r="C82" s="22">
        <v>7111212</v>
      </c>
      <c r="D82" s="22">
        <v>7111212</v>
      </c>
      <c r="E82" s="22" t="s">
        <v>134</v>
      </c>
      <c r="F82" s="22" t="s">
        <v>406</v>
      </c>
    </row>
    <row r="83" spans="1:8" ht="18" customHeight="1">
      <c r="A83" s="22">
        <v>7111221</v>
      </c>
      <c r="B83" s="8" t="s">
        <v>407</v>
      </c>
      <c r="C83" s="22">
        <v>7111221</v>
      </c>
      <c r="D83" s="22">
        <v>7111221</v>
      </c>
      <c r="E83" s="22" t="s">
        <v>134</v>
      </c>
      <c r="F83" s="22" t="s">
        <v>408</v>
      </c>
    </row>
    <row r="84" spans="1:8" ht="18" customHeight="1">
      <c r="A84" s="22">
        <v>7111222</v>
      </c>
      <c r="B84" s="8" t="s">
        <v>409</v>
      </c>
      <c r="C84" s="22">
        <v>7111222</v>
      </c>
      <c r="D84" s="22">
        <v>7111222</v>
      </c>
      <c r="E84" s="22" t="s">
        <v>134</v>
      </c>
      <c r="F84" s="22" t="s">
        <v>410</v>
      </c>
    </row>
    <row r="85" spans="1:8" ht="18" customHeight="1">
      <c r="A85" s="22">
        <v>7111223</v>
      </c>
      <c r="B85" s="8" t="s">
        <v>411</v>
      </c>
      <c r="C85" s="22">
        <v>7111223</v>
      </c>
      <c r="D85" s="22">
        <v>7111223</v>
      </c>
      <c r="E85" s="22" t="s">
        <v>134</v>
      </c>
      <c r="F85" s="22" t="s">
        <v>412</v>
      </c>
    </row>
    <row r="86" spans="1:8" ht="18" customHeight="1">
      <c r="A86" s="22">
        <v>7111311</v>
      </c>
      <c r="B86" s="8" t="s">
        <v>413</v>
      </c>
      <c r="C86" s="22">
        <v>7111311</v>
      </c>
      <c r="D86" s="22">
        <v>7111311</v>
      </c>
      <c r="E86" s="22" t="s">
        <v>134</v>
      </c>
      <c r="F86" s="22" t="s">
        <v>414</v>
      </c>
    </row>
    <row r="87" spans="1:8" ht="18" customHeight="1">
      <c r="A87" s="22">
        <v>7111312</v>
      </c>
      <c r="B87" s="8" t="s">
        <v>415</v>
      </c>
      <c r="C87" s="22">
        <v>7111312</v>
      </c>
      <c r="D87" s="22">
        <v>7111312</v>
      </c>
      <c r="E87" s="22" t="s">
        <v>134</v>
      </c>
      <c r="F87" s="22" t="s">
        <v>416</v>
      </c>
    </row>
    <row r="88" spans="1:8" ht="18" customHeight="1">
      <c r="A88" s="22">
        <v>7111321</v>
      </c>
      <c r="B88" s="8" t="s">
        <v>417</v>
      </c>
      <c r="C88" s="22">
        <v>7111321</v>
      </c>
      <c r="D88" s="22">
        <v>7111321</v>
      </c>
      <c r="E88" s="22" t="s">
        <v>134</v>
      </c>
      <c r="F88" s="22" t="s">
        <v>418</v>
      </c>
    </row>
    <row r="89" spans="1:8" ht="18" customHeight="1">
      <c r="A89" s="22">
        <v>7111322</v>
      </c>
      <c r="B89" s="8" t="s">
        <v>419</v>
      </c>
      <c r="C89" s="22">
        <v>7111322</v>
      </c>
      <c r="D89" s="22">
        <v>7111322</v>
      </c>
      <c r="E89" s="22" t="s">
        <v>134</v>
      </c>
      <c r="F89" s="22" t="s">
        <v>420</v>
      </c>
    </row>
    <row r="90" spans="1:8" ht="18" customHeight="1">
      <c r="A90" s="22">
        <v>7111323</v>
      </c>
      <c r="B90" s="8" t="s">
        <v>421</v>
      </c>
      <c r="C90" s="22">
        <v>7111323</v>
      </c>
      <c r="D90" s="22">
        <v>7111323</v>
      </c>
      <c r="E90" s="22" t="s">
        <v>134</v>
      </c>
      <c r="F90" s="22" t="s">
        <v>422</v>
      </c>
    </row>
    <row r="91" spans="1:8" ht="18" customHeight="1">
      <c r="A91" s="22">
        <v>7111411</v>
      </c>
      <c r="B91" s="8" t="s">
        <v>423</v>
      </c>
      <c r="C91" s="22">
        <v>7111411</v>
      </c>
      <c r="D91" s="22">
        <v>7111411</v>
      </c>
      <c r="E91" s="22" t="s">
        <v>134</v>
      </c>
      <c r="F91" s="22" t="s">
        <v>424</v>
      </c>
    </row>
    <row r="92" spans="1:8" ht="18" customHeight="1">
      <c r="A92" s="22">
        <v>7151101</v>
      </c>
      <c r="B92" s="8" t="s">
        <v>425</v>
      </c>
      <c r="C92" s="22">
        <v>7151101</v>
      </c>
      <c r="D92" s="22">
        <v>7151101</v>
      </c>
      <c r="E92" s="22" t="s">
        <v>134</v>
      </c>
      <c r="F92" s="22" t="s">
        <v>426</v>
      </c>
    </row>
    <row r="93" spans="1:8" ht="18" customHeight="1">
      <c r="A93" s="22">
        <v>7200000</v>
      </c>
      <c r="B93" s="8" t="s">
        <v>427</v>
      </c>
      <c r="C93" s="22">
        <v>7200000</v>
      </c>
      <c r="D93" s="22">
        <v>7200000</v>
      </c>
      <c r="E93" s="22" t="s">
        <v>134</v>
      </c>
      <c r="F93" s="22" t="s">
        <v>428</v>
      </c>
    </row>
    <row r="94" spans="1:8" ht="18" customHeight="1">
      <c r="A94" s="22">
        <v>7211101</v>
      </c>
      <c r="B94" s="8" t="s">
        <v>429</v>
      </c>
      <c r="C94" s="22">
        <v>7211101</v>
      </c>
      <c r="D94" s="22">
        <v>7211101</v>
      </c>
      <c r="E94" s="22" t="s">
        <v>134</v>
      </c>
      <c r="F94" s="22" t="s">
        <v>430</v>
      </c>
    </row>
    <row r="95" spans="1:8" ht="18" customHeight="1">
      <c r="A95" s="22">
        <v>7211102</v>
      </c>
      <c r="B95" s="8" t="s">
        <v>431</v>
      </c>
      <c r="C95" s="22">
        <v>7211102</v>
      </c>
      <c r="D95" s="22">
        <v>7211102</v>
      </c>
      <c r="E95" s="22" t="s">
        <v>134</v>
      </c>
      <c r="F95" s="22" t="s">
        <v>432</v>
      </c>
      <c r="G95" s="22">
        <v>901</v>
      </c>
      <c r="H95" s="8" t="s">
        <v>433</v>
      </c>
    </row>
    <row r="96" spans="1:8" ht="18" customHeight="1">
      <c r="A96" s="22">
        <v>7211103</v>
      </c>
      <c r="B96" s="8" t="s">
        <v>434</v>
      </c>
      <c r="C96" s="22">
        <v>7211103</v>
      </c>
      <c r="D96" s="22">
        <v>7211103</v>
      </c>
      <c r="E96" s="22" t="s">
        <v>134</v>
      </c>
      <c r="F96" s="22" t="s">
        <v>435</v>
      </c>
      <c r="G96" s="22"/>
    </row>
    <row r="97" spans="1:8" ht="18" customHeight="1">
      <c r="A97" s="22">
        <v>7211104</v>
      </c>
      <c r="B97" s="8" t="s">
        <v>436</v>
      </c>
      <c r="C97" s="22">
        <v>7211104</v>
      </c>
      <c r="D97" s="22">
        <v>7211104</v>
      </c>
      <c r="E97" s="22" t="s">
        <v>134</v>
      </c>
      <c r="F97" s="22" t="s">
        <v>437</v>
      </c>
      <c r="G97" s="22">
        <v>302</v>
      </c>
    </row>
    <row r="98" spans="1:8" ht="18" customHeight="1">
      <c r="A98" s="22">
        <v>7221101</v>
      </c>
      <c r="B98" s="8" t="s">
        <v>438</v>
      </c>
      <c r="C98" s="22">
        <v>7221101</v>
      </c>
      <c r="D98" s="22">
        <v>7221101</v>
      </c>
      <c r="E98" s="22" t="s">
        <v>134</v>
      </c>
      <c r="F98" s="22" t="s">
        <v>439</v>
      </c>
      <c r="G98" s="22">
        <v>302</v>
      </c>
      <c r="H98" s="8" t="s">
        <v>440</v>
      </c>
    </row>
    <row r="99" spans="1:8" ht="18" customHeight="1">
      <c r="A99" s="22">
        <v>7221102</v>
      </c>
      <c r="B99" s="8" t="s">
        <v>441</v>
      </c>
      <c r="C99" s="22">
        <v>7221102</v>
      </c>
      <c r="D99" s="22">
        <v>7221102</v>
      </c>
      <c r="E99" s="22" t="s">
        <v>134</v>
      </c>
      <c r="F99" s="22" t="s">
        <v>442</v>
      </c>
      <c r="G99" s="22">
        <v>301</v>
      </c>
      <c r="H99" s="8" t="s">
        <v>443</v>
      </c>
    </row>
    <row r="100" spans="1:8" ht="18" customHeight="1">
      <c r="A100" s="22">
        <v>7511101</v>
      </c>
      <c r="B100" s="8" t="s">
        <v>47</v>
      </c>
      <c r="C100" s="22">
        <v>7511101</v>
      </c>
      <c r="D100" s="22">
        <v>7511101</v>
      </c>
      <c r="E100" s="22" t="s">
        <v>134</v>
      </c>
      <c r="F100" s="22" t="s">
        <v>444</v>
      </c>
      <c r="G100" s="22">
        <v>602</v>
      </c>
      <c r="H100" s="8" t="s">
        <v>47</v>
      </c>
    </row>
    <row r="101" spans="1:8" ht="18" customHeight="1">
      <c r="A101" s="22">
        <v>7511102</v>
      </c>
      <c r="B101" s="8" t="s">
        <v>58</v>
      </c>
      <c r="C101" s="22">
        <v>7511102</v>
      </c>
      <c r="D101" s="22">
        <v>7511102</v>
      </c>
      <c r="E101" s="22" t="s">
        <v>134</v>
      </c>
      <c r="F101" s="22" t="s">
        <v>445</v>
      </c>
      <c r="G101" s="22">
        <v>602</v>
      </c>
      <c r="H101" s="8" t="s">
        <v>60</v>
      </c>
    </row>
    <row r="102" spans="1:8" ht="18" customHeight="1">
      <c r="A102" s="22">
        <v>7511103</v>
      </c>
      <c r="B102" s="8" t="s">
        <v>531</v>
      </c>
      <c r="C102" s="22">
        <v>7511103</v>
      </c>
      <c r="D102" s="22">
        <v>7511103</v>
      </c>
      <c r="E102" s="22" t="s">
        <v>134</v>
      </c>
      <c r="F102" s="22" t="s">
        <v>446</v>
      </c>
      <c r="G102" s="22">
        <v>601</v>
      </c>
      <c r="H102" s="8" t="s">
        <v>69</v>
      </c>
    </row>
    <row r="103" spans="1:8" ht="18" customHeight="1">
      <c r="A103" s="22">
        <v>7511111</v>
      </c>
      <c r="B103" s="8" t="s">
        <v>75</v>
      </c>
      <c r="C103" s="22">
        <v>7511111</v>
      </c>
      <c r="D103" s="22">
        <v>7511111</v>
      </c>
      <c r="E103" s="22" t="s">
        <v>134</v>
      </c>
      <c r="F103" s="22" t="s">
        <v>447</v>
      </c>
      <c r="G103" s="22">
        <v>601</v>
      </c>
      <c r="H103" s="8" t="s">
        <v>77</v>
      </c>
    </row>
    <row r="104" spans="1:8" ht="18" customHeight="1">
      <c r="A104" s="22">
        <v>7511112</v>
      </c>
      <c r="B104" s="8" t="s">
        <v>80</v>
      </c>
      <c r="C104" s="22">
        <v>7511112</v>
      </c>
      <c r="D104" s="22">
        <v>7511112</v>
      </c>
      <c r="E104" s="22" t="s">
        <v>134</v>
      </c>
      <c r="F104" s="22" t="s">
        <v>448</v>
      </c>
      <c r="G104" s="22">
        <v>601</v>
      </c>
      <c r="H104" s="8" t="s">
        <v>82</v>
      </c>
    </row>
    <row r="105" spans="1:8" ht="18" customHeight="1">
      <c r="A105" s="22">
        <v>7511121</v>
      </c>
      <c r="B105" s="8" t="s">
        <v>86</v>
      </c>
      <c r="C105" s="22">
        <v>7511121</v>
      </c>
      <c r="D105" s="22">
        <v>7511121</v>
      </c>
      <c r="E105" s="22" t="s">
        <v>134</v>
      </c>
      <c r="F105" s="22" t="s">
        <v>449</v>
      </c>
      <c r="G105" s="22">
        <v>601</v>
      </c>
      <c r="H105" s="8" t="s">
        <v>88</v>
      </c>
    </row>
    <row r="106" spans="1:8" ht="18" customHeight="1">
      <c r="A106" s="22">
        <v>7511122</v>
      </c>
      <c r="B106" s="8" t="s">
        <v>92</v>
      </c>
      <c r="C106" s="22">
        <v>7511122</v>
      </c>
      <c r="D106" s="22">
        <v>7511122</v>
      </c>
      <c r="E106" s="22" t="s">
        <v>134</v>
      </c>
      <c r="F106" s="22" t="s">
        <v>450</v>
      </c>
      <c r="G106" s="22">
        <v>601</v>
      </c>
      <c r="H106" s="8" t="s">
        <v>94</v>
      </c>
    </row>
    <row r="107" spans="1:8" ht="18" customHeight="1">
      <c r="A107" s="22">
        <v>7511201</v>
      </c>
      <c r="B107" s="8" t="s">
        <v>97</v>
      </c>
      <c r="C107" s="22">
        <v>7511201</v>
      </c>
      <c r="D107" s="22">
        <v>7511201</v>
      </c>
      <c r="E107" s="22" t="s">
        <v>134</v>
      </c>
      <c r="F107" s="22" t="s">
        <v>451</v>
      </c>
      <c r="G107" s="22">
        <v>603</v>
      </c>
      <c r="H107" s="8" t="s">
        <v>100</v>
      </c>
    </row>
    <row r="108" spans="1:8" ht="18" customHeight="1">
      <c r="A108" s="22">
        <v>7512111</v>
      </c>
      <c r="B108" s="8" t="s">
        <v>103</v>
      </c>
      <c r="C108" s="22">
        <v>7512111</v>
      </c>
      <c r="D108" s="22">
        <v>7512111</v>
      </c>
      <c r="E108" s="22" t="s">
        <v>134</v>
      </c>
      <c r="F108" s="22" t="s">
        <v>452</v>
      </c>
      <c r="G108" s="22">
        <v>604</v>
      </c>
      <c r="H108" s="8" t="s">
        <v>106</v>
      </c>
    </row>
    <row r="109" spans="1:8" ht="18" customHeight="1">
      <c r="A109" s="22">
        <v>7512112</v>
      </c>
      <c r="B109" s="8" t="s">
        <v>109</v>
      </c>
      <c r="C109" s="22">
        <v>7512112</v>
      </c>
      <c r="D109" s="22">
        <v>7512112</v>
      </c>
      <c r="E109" s="22" t="s">
        <v>134</v>
      </c>
      <c r="F109" s="22" t="s">
        <v>453</v>
      </c>
      <c r="G109" s="22">
        <v>604</v>
      </c>
      <c r="H109" s="8" t="s">
        <v>111</v>
      </c>
    </row>
    <row r="110" spans="1:8" ht="18" customHeight="1">
      <c r="A110" s="22">
        <v>7514101</v>
      </c>
      <c r="B110" s="8" t="s">
        <v>114</v>
      </c>
      <c r="C110" s="22">
        <v>7514101</v>
      </c>
      <c r="D110" s="22">
        <v>7514101</v>
      </c>
      <c r="E110" s="22" t="s">
        <v>134</v>
      </c>
      <c r="F110" s="22" t="s">
        <v>454</v>
      </c>
      <c r="G110" s="22">
        <v>601</v>
      </c>
      <c r="H110" s="8" t="s">
        <v>116</v>
      </c>
    </row>
    <row r="111" spans="1:8" ht="18" customHeight="1">
      <c r="A111" s="22">
        <v>7514102</v>
      </c>
      <c r="B111" s="8" t="s">
        <v>119</v>
      </c>
      <c r="C111" s="22">
        <v>7514102</v>
      </c>
      <c r="D111" s="22">
        <v>7514102</v>
      </c>
      <c r="E111" s="22" t="s">
        <v>134</v>
      </c>
      <c r="F111" s="22" t="s">
        <v>455</v>
      </c>
      <c r="G111" s="22">
        <v>601</v>
      </c>
      <c r="H111" s="8" t="s">
        <v>121</v>
      </c>
    </row>
    <row r="112" spans="1:8" ht="18" customHeight="1">
      <c r="A112" s="22">
        <v>7515401</v>
      </c>
      <c r="B112" s="8" t="s">
        <v>124</v>
      </c>
      <c r="C112" s="22">
        <v>7515401</v>
      </c>
      <c r="D112" s="22">
        <v>7515401</v>
      </c>
      <c r="E112" s="22" t="s">
        <v>134</v>
      </c>
      <c r="F112" s="22" t="s">
        <v>456</v>
      </c>
      <c r="G112" s="22">
        <v>604</v>
      </c>
      <c r="H112" s="8" t="s">
        <v>126</v>
      </c>
    </row>
    <row r="113" spans="1:8" ht="18" customHeight="1">
      <c r="A113" s="22">
        <v>7515402</v>
      </c>
      <c r="B113" s="8" t="s">
        <v>129</v>
      </c>
      <c r="C113" s="22">
        <v>7515402</v>
      </c>
      <c r="D113" s="22">
        <v>7515402</v>
      </c>
      <c r="E113" s="22" t="s">
        <v>134</v>
      </c>
      <c r="F113" s="22" t="s">
        <v>457</v>
      </c>
      <c r="G113" s="22">
        <v>604</v>
      </c>
      <c r="H113" s="8" t="s">
        <v>131</v>
      </c>
    </row>
    <row r="114" spans="1:8" ht="18" customHeight="1">
      <c r="A114" s="22">
        <v>7515403</v>
      </c>
      <c r="B114" s="8" t="s">
        <v>136</v>
      </c>
      <c r="C114" s="22">
        <v>7515403</v>
      </c>
      <c r="D114" s="22">
        <v>7515403</v>
      </c>
      <c r="E114" s="22" t="s">
        <v>134</v>
      </c>
      <c r="F114" s="22" t="s">
        <v>458</v>
      </c>
      <c r="G114" s="22">
        <v>604</v>
      </c>
      <c r="H114" s="8" t="s">
        <v>138</v>
      </c>
    </row>
    <row r="115" spans="1:8" ht="18" customHeight="1">
      <c r="A115" s="22">
        <v>7515404</v>
      </c>
      <c r="B115" s="8" t="s">
        <v>141</v>
      </c>
      <c r="C115" s="22">
        <v>7515404</v>
      </c>
      <c r="D115" s="22">
        <v>7515404</v>
      </c>
      <c r="E115" s="22" t="s">
        <v>134</v>
      </c>
      <c r="F115" s="22" t="s">
        <v>459</v>
      </c>
      <c r="G115" s="22">
        <v>604</v>
      </c>
      <c r="H115" s="8" t="s">
        <v>143</v>
      </c>
    </row>
    <row r="116" spans="1:8" ht="18" customHeight="1">
      <c r="A116" s="22">
        <v>7515405</v>
      </c>
      <c r="B116" s="8" t="s">
        <v>146</v>
      </c>
      <c r="C116" s="22">
        <v>7515405</v>
      </c>
      <c r="D116" s="22">
        <v>7515405</v>
      </c>
      <c r="E116" s="22" t="s">
        <v>134</v>
      </c>
      <c r="F116" s="22" t="s">
        <v>460</v>
      </c>
      <c r="G116" s="22">
        <v>604</v>
      </c>
      <c r="H116" s="8" t="s">
        <v>148</v>
      </c>
    </row>
    <row r="117" spans="1:8" ht="18" customHeight="1">
      <c r="A117" s="22">
        <v>7515406</v>
      </c>
      <c r="B117" s="8" t="s">
        <v>151</v>
      </c>
      <c r="C117" s="22">
        <v>7515406</v>
      </c>
      <c r="D117" s="22">
        <v>7515406</v>
      </c>
      <c r="E117" s="22" t="s">
        <v>134</v>
      </c>
      <c r="F117" s="22" t="s">
        <v>461</v>
      </c>
      <c r="G117" s="22">
        <v>604</v>
      </c>
      <c r="H117" s="8" t="s">
        <v>153</v>
      </c>
    </row>
    <row r="118" spans="1:8" ht="18" customHeight="1">
      <c r="A118" s="22">
        <v>7515407</v>
      </c>
      <c r="B118" s="8" t="s">
        <v>156</v>
      </c>
      <c r="C118" s="22">
        <v>7515407</v>
      </c>
      <c r="D118" s="22">
        <v>7515407</v>
      </c>
      <c r="E118" s="22" t="s">
        <v>134</v>
      </c>
      <c r="F118" s="22" t="s">
        <v>462</v>
      </c>
      <c r="G118" s="22">
        <v>604</v>
      </c>
    </row>
    <row r="119" spans="1:8" ht="18" customHeight="1">
      <c r="A119" s="22">
        <v>7515408</v>
      </c>
      <c r="B119" s="8" t="s">
        <v>159</v>
      </c>
      <c r="C119" s="22">
        <v>7515408</v>
      </c>
      <c r="D119" s="22">
        <v>7515408</v>
      </c>
      <c r="E119" s="22" t="s">
        <v>134</v>
      </c>
      <c r="F119" s="22" t="s">
        <v>463</v>
      </c>
      <c r="G119" s="22">
        <v>604</v>
      </c>
      <c r="H119" s="8" t="s">
        <v>161</v>
      </c>
    </row>
    <row r="120" spans="1:8" ht="18" customHeight="1">
      <c r="A120" s="22">
        <v>7515409</v>
      </c>
      <c r="B120" s="8" t="s">
        <v>164</v>
      </c>
      <c r="C120" s="22">
        <v>7515409</v>
      </c>
      <c r="D120" s="22">
        <v>7515409</v>
      </c>
      <c r="E120" s="22" t="s">
        <v>134</v>
      </c>
      <c r="F120" s="22" t="s">
        <v>464</v>
      </c>
      <c r="G120" s="22">
        <v>604</v>
      </c>
      <c r="H120" s="8" t="s">
        <v>166</v>
      </c>
    </row>
    <row r="121" spans="1:8" ht="18" customHeight="1">
      <c r="A121" s="22">
        <v>7515410</v>
      </c>
      <c r="B121" s="8" t="s">
        <v>169</v>
      </c>
      <c r="C121" s="22">
        <v>7515410</v>
      </c>
      <c r="D121" s="22">
        <v>7515410</v>
      </c>
      <c r="E121" s="22" t="s">
        <v>134</v>
      </c>
      <c r="F121" s="22" t="s">
        <v>465</v>
      </c>
      <c r="G121" s="22">
        <v>604</v>
      </c>
      <c r="H121" s="8" t="s">
        <v>171</v>
      </c>
    </row>
    <row r="122" spans="1:8" ht="18" customHeight="1">
      <c r="A122" s="22">
        <v>7515499</v>
      </c>
      <c r="B122" s="8" t="s">
        <v>174</v>
      </c>
      <c r="C122" s="22">
        <v>7515499</v>
      </c>
      <c r="D122" s="22">
        <v>7515499</v>
      </c>
      <c r="E122" s="22" t="s">
        <v>134</v>
      </c>
      <c r="F122" s="22" t="s">
        <v>466</v>
      </c>
      <c r="G122" s="22">
        <v>604</v>
      </c>
      <c r="H122" s="8" t="s">
        <v>176</v>
      </c>
    </row>
    <row r="123" spans="1:8" ht="18" customHeight="1">
      <c r="A123" s="22">
        <v>7516102</v>
      </c>
      <c r="B123" s="8" t="s">
        <v>179</v>
      </c>
      <c r="C123" s="22">
        <v>7516102</v>
      </c>
      <c r="D123" s="22">
        <v>7516102</v>
      </c>
      <c r="E123" s="22" t="s">
        <v>134</v>
      </c>
      <c r="F123" s="22" t="s">
        <v>467</v>
      </c>
      <c r="G123" s="22">
        <v>605</v>
      </c>
      <c r="H123" s="8" t="s">
        <v>182</v>
      </c>
    </row>
    <row r="124" spans="1:8" ht="18" customHeight="1">
      <c r="A124" s="22">
        <v>7519101</v>
      </c>
      <c r="B124" s="8" t="s">
        <v>185</v>
      </c>
      <c r="C124" s="22">
        <v>7519101</v>
      </c>
      <c r="D124" s="22">
        <v>7519101</v>
      </c>
      <c r="E124" s="22" t="s">
        <v>134</v>
      </c>
      <c r="F124" s="22" t="s">
        <v>468</v>
      </c>
      <c r="G124" s="22">
        <v>602</v>
      </c>
      <c r="H124" s="8" t="s">
        <v>187</v>
      </c>
    </row>
    <row r="125" spans="1:8" ht="18" customHeight="1">
      <c r="A125" s="22">
        <v>7521101</v>
      </c>
      <c r="B125" s="8" t="s">
        <v>190</v>
      </c>
      <c r="C125" s="22">
        <v>7521101</v>
      </c>
      <c r="D125" s="22">
        <v>7521101</v>
      </c>
      <c r="E125" s="22" t="s">
        <v>134</v>
      </c>
      <c r="F125" s="22" t="s">
        <v>469</v>
      </c>
      <c r="G125" s="22">
        <v>601</v>
      </c>
      <c r="H125" s="8" t="s">
        <v>192</v>
      </c>
    </row>
    <row r="126" spans="1:8" ht="18" customHeight="1">
      <c r="A126" s="22">
        <v>7521102</v>
      </c>
      <c r="B126" s="8" t="s">
        <v>195</v>
      </c>
      <c r="C126" s="22">
        <v>7521102</v>
      </c>
      <c r="D126" s="22">
        <v>7521102</v>
      </c>
      <c r="E126" s="22" t="s">
        <v>134</v>
      </c>
      <c r="F126" s="22" t="s">
        <v>470</v>
      </c>
      <c r="G126" s="22">
        <v>603</v>
      </c>
      <c r="H126" s="8" t="s">
        <v>197</v>
      </c>
    </row>
    <row r="127" spans="1:8" ht="18" customHeight="1">
      <c r="A127" s="22">
        <v>7571101</v>
      </c>
      <c r="B127" s="8" t="s">
        <v>200</v>
      </c>
      <c r="C127" s="22">
        <v>7571101</v>
      </c>
      <c r="D127" s="22">
        <v>7571101</v>
      </c>
      <c r="E127" s="22" t="s">
        <v>134</v>
      </c>
      <c r="F127" s="22" t="s">
        <v>471</v>
      </c>
      <c r="G127" s="22">
        <v>606</v>
      </c>
      <c r="H127" s="8" t="s">
        <v>203</v>
      </c>
    </row>
    <row r="128" spans="1:8" ht="18" customHeight="1">
      <c r="A128" s="22">
        <v>7611100</v>
      </c>
      <c r="B128" s="8" t="s">
        <v>207</v>
      </c>
      <c r="C128" s="22">
        <v>7611100</v>
      </c>
      <c r="D128" s="22">
        <v>7611100</v>
      </c>
      <c r="E128" s="22" t="s">
        <v>134</v>
      </c>
      <c r="F128" s="22" t="s">
        <v>472</v>
      </c>
      <c r="G128" s="22">
        <v>701</v>
      </c>
      <c r="H128" s="8" t="s">
        <v>210</v>
      </c>
    </row>
    <row r="129" spans="1:8" ht="18" customHeight="1">
      <c r="A129" s="22">
        <v>7611300</v>
      </c>
      <c r="B129" s="8" t="s">
        <v>213</v>
      </c>
      <c r="C129" s="22">
        <v>7611300</v>
      </c>
      <c r="D129" s="22">
        <v>7611300</v>
      </c>
      <c r="E129" s="22" t="s">
        <v>134</v>
      </c>
      <c r="F129" s="22" t="s">
        <v>473</v>
      </c>
      <c r="G129" s="22">
        <v>701</v>
      </c>
      <c r="H129" s="8" t="s">
        <v>215</v>
      </c>
    </row>
    <row r="130" spans="1:8" ht="18" customHeight="1">
      <c r="A130" s="22">
        <v>7611400</v>
      </c>
      <c r="B130" s="8" t="s">
        <v>218</v>
      </c>
      <c r="C130" s="22">
        <v>7611400</v>
      </c>
      <c r="D130" s="22">
        <v>7611400</v>
      </c>
      <c r="E130" s="22" t="s">
        <v>134</v>
      </c>
      <c r="F130" s="22" t="s">
        <v>474</v>
      </c>
      <c r="G130" s="22">
        <v>701</v>
      </c>
      <c r="H130" s="8" t="s">
        <v>220</v>
      </c>
    </row>
    <row r="131" spans="1:8" ht="18" customHeight="1">
      <c r="A131" s="22">
        <v>7611500</v>
      </c>
      <c r="B131" s="8" t="s">
        <v>223</v>
      </c>
      <c r="C131" s="22">
        <v>7611500</v>
      </c>
      <c r="D131" s="22">
        <v>7611500</v>
      </c>
      <c r="E131" s="22" t="s">
        <v>134</v>
      </c>
      <c r="F131" s="22" t="s">
        <v>475</v>
      </c>
      <c r="G131" s="22">
        <v>701</v>
      </c>
      <c r="H131" s="8" t="s">
        <v>225</v>
      </c>
    </row>
    <row r="132" spans="1:8" ht="18" customHeight="1">
      <c r="A132" s="22">
        <v>7611600</v>
      </c>
      <c r="B132" s="8" t="s">
        <v>228</v>
      </c>
      <c r="C132" s="22">
        <v>7611600</v>
      </c>
      <c r="D132" s="22">
        <v>7611600</v>
      </c>
      <c r="E132" s="22" t="s">
        <v>134</v>
      </c>
      <c r="F132" s="22" t="s">
        <v>476</v>
      </c>
      <c r="G132" s="22">
        <v>701</v>
      </c>
      <c r="H132" s="8" t="s">
        <v>230</v>
      </c>
    </row>
    <row r="133" spans="1:8" ht="18" customHeight="1">
      <c r="A133" s="22">
        <v>7611700</v>
      </c>
      <c r="B133" s="8" t="s">
        <v>233</v>
      </c>
      <c r="C133" s="22">
        <v>7611700</v>
      </c>
      <c r="D133" s="22">
        <v>7611700</v>
      </c>
      <c r="E133" s="22" t="s">
        <v>134</v>
      </c>
      <c r="F133" s="22" t="s">
        <v>477</v>
      </c>
      <c r="G133" s="22">
        <v>701</v>
      </c>
      <c r="H133" s="8" t="s">
        <v>478</v>
      </c>
    </row>
    <row r="134" spans="1:8" ht="18" customHeight="1">
      <c r="A134" s="22">
        <v>7611800</v>
      </c>
      <c r="B134" s="8" t="s">
        <v>238</v>
      </c>
      <c r="C134" s="22">
        <v>7611800</v>
      </c>
      <c r="D134" s="22">
        <v>7611800</v>
      </c>
      <c r="E134" s="22" t="s">
        <v>134</v>
      </c>
      <c r="F134" s="22" t="s">
        <v>479</v>
      </c>
      <c r="G134" s="22">
        <v>701</v>
      </c>
      <c r="H134" s="8" t="s">
        <v>240</v>
      </c>
    </row>
    <row r="135" spans="1:8" ht="18" customHeight="1">
      <c r="A135" s="22">
        <v>7621101</v>
      </c>
      <c r="B135" s="8" t="s">
        <v>243</v>
      </c>
      <c r="C135" s="22">
        <v>7621101</v>
      </c>
      <c r="D135" s="22">
        <v>7621101</v>
      </c>
      <c r="E135" s="22" t="s">
        <v>134</v>
      </c>
      <c r="F135" s="22" t="s">
        <v>480</v>
      </c>
      <c r="G135" s="22">
        <v>903</v>
      </c>
      <c r="H135" s="8" t="s">
        <v>246</v>
      </c>
    </row>
    <row r="136" spans="1:8" ht="18" customHeight="1">
      <c r="A136" s="44">
        <v>7621199</v>
      </c>
      <c r="B136" s="8" t="s">
        <v>249</v>
      </c>
      <c r="C136" s="44">
        <v>7621199</v>
      </c>
      <c r="D136" s="44">
        <v>7621199</v>
      </c>
      <c r="E136" s="22" t="s">
        <v>134</v>
      </c>
      <c r="F136" s="22" t="s">
        <v>481</v>
      </c>
      <c r="G136" s="22">
        <v>801</v>
      </c>
      <c r="H136" s="8" t="s">
        <v>252</v>
      </c>
    </row>
    <row r="137" spans="1:8" ht="18" customHeight="1">
      <c r="A137" s="22">
        <v>7631101</v>
      </c>
      <c r="B137" s="8" t="s">
        <v>255</v>
      </c>
      <c r="C137" s="22">
        <v>7631101</v>
      </c>
      <c r="D137" s="22">
        <v>7631101</v>
      </c>
      <c r="E137" s="22" t="s">
        <v>134</v>
      </c>
      <c r="F137" s="22" t="s">
        <v>482</v>
      </c>
      <c r="G137" s="22">
        <v>501</v>
      </c>
      <c r="H137" s="8" t="s">
        <v>258</v>
      </c>
    </row>
    <row r="138" spans="1:8" ht="18" customHeight="1">
      <c r="A138" s="22">
        <v>7631102</v>
      </c>
      <c r="B138" s="8" t="s">
        <v>261</v>
      </c>
      <c r="C138" s="22">
        <v>7631102</v>
      </c>
      <c r="D138" s="22">
        <v>7631102</v>
      </c>
      <c r="E138" s="22" t="s">
        <v>134</v>
      </c>
      <c r="F138" s="22" t="s">
        <v>483</v>
      </c>
      <c r="G138" s="22">
        <v>502</v>
      </c>
      <c r="H138" s="8" t="s">
        <v>264</v>
      </c>
    </row>
    <row r="139" spans="1:8" ht="18" customHeight="1">
      <c r="A139" s="22">
        <v>7641101</v>
      </c>
      <c r="B139" s="8" t="s">
        <v>267</v>
      </c>
      <c r="C139" s="22">
        <v>7641101</v>
      </c>
      <c r="D139" s="22">
        <v>7641101</v>
      </c>
      <c r="E139" s="22" t="s">
        <v>134</v>
      </c>
      <c r="F139" s="22" t="s">
        <v>484</v>
      </c>
      <c r="G139" s="22">
        <v>401</v>
      </c>
      <c r="H139" s="8" t="s">
        <v>270</v>
      </c>
    </row>
    <row r="140" spans="1:8" ht="18" customHeight="1">
      <c r="A140" s="22">
        <v>7641102</v>
      </c>
      <c r="B140" s="8" t="s">
        <v>273</v>
      </c>
      <c r="C140" s="22">
        <v>7641102</v>
      </c>
      <c r="D140" s="22">
        <v>7641102</v>
      </c>
      <c r="E140" s="22" t="s">
        <v>134</v>
      </c>
      <c r="F140" s="22" t="s">
        <v>485</v>
      </c>
      <c r="G140" s="22">
        <v>401</v>
      </c>
      <c r="H140" s="8" t="s">
        <v>275</v>
      </c>
    </row>
    <row r="141" spans="1:8" ht="18" customHeight="1">
      <c r="A141" s="22">
        <v>7641103</v>
      </c>
      <c r="B141" s="8" t="s">
        <v>278</v>
      </c>
      <c r="C141" s="22">
        <v>7641103</v>
      </c>
      <c r="D141" s="22">
        <v>7641103</v>
      </c>
      <c r="E141" s="22" t="s">
        <v>134</v>
      </c>
      <c r="F141" s="22" t="s">
        <v>486</v>
      </c>
      <c r="G141" s="22">
        <v>902</v>
      </c>
      <c r="H141" s="8" t="s">
        <v>281</v>
      </c>
    </row>
    <row r="142" spans="1:8" ht="18" customHeight="1">
      <c r="A142" s="22">
        <v>7641104</v>
      </c>
      <c r="B142" s="8" t="s">
        <v>282</v>
      </c>
      <c r="C142" s="22">
        <v>7641104</v>
      </c>
      <c r="D142" s="22">
        <v>7641104</v>
      </c>
      <c r="E142" s="22" t="s">
        <v>134</v>
      </c>
      <c r="F142" s="22" t="s">
        <v>487</v>
      </c>
      <c r="G142" s="22">
        <v>999</v>
      </c>
      <c r="H142" s="8" t="s">
        <v>284</v>
      </c>
    </row>
    <row r="143" spans="1:8" ht="18" customHeight="1">
      <c r="A143" s="22">
        <v>7651101</v>
      </c>
      <c r="B143" s="8" t="s">
        <v>285</v>
      </c>
      <c r="C143" s="22">
        <v>7651101</v>
      </c>
      <c r="D143" s="22">
        <v>7651101</v>
      </c>
      <c r="E143" s="22" t="s">
        <v>134</v>
      </c>
      <c r="F143" s="22" t="s">
        <v>488</v>
      </c>
      <c r="G143" s="22">
        <v>903</v>
      </c>
      <c r="H143" s="8" t="s">
        <v>287</v>
      </c>
    </row>
    <row r="144" spans="1:8" ht="18" customHeight="1">
      <c r="A144" s="22">
        <v>7651102</v>
      </c>
      <c r="B144" s="8" t="s">
        <v>288</v>
      </c>
      <c r="C144" s="22">
        <v>7651102</v>
      </c>
      <c r="D144" s="22">
        <v>7651102</v>
      </c>
      <c r="E144" s="22" t="s">
        <v>134</v>
      </c>
      <c r="F144" s="22" t="s">
        <v>489</v>
      </c>
      <c r="G144" s="22">
        <v>903</v>
      </c>
      <c r="H144" s="8" t="s">
        <v>290</v>
      </c>
    </row>
    <row r="145" spans="1:8" ht="18" customHeight="1">
      <c r="A145" s="22">
        <v>7651103</v>
      </c>
      <c r="B145" s="8" t="s">
        <v>291</v>
      </c>
      <c r="C145" s="22">
        <v>7651103</v>
      </c>
      <c r="D145" s="22">
        <v>7651103</v>
      </c>
      <c r="E145" s="22" t="s">
        <v>134</v>
      </c>
      <c r="F145" s="22" t="s">
        <v>490</v>
      </c>
      <c r="G145" s="22">
        <v>903</v>
      </c>
      <c r="H145" s="8" t="s">
        <v>293</v>
      </c>
    </row>
    <row r="146" spans="1:8" ht="18" customHeight="1">
      <c r="A146" s="22">
        <v>7661101</v>
      </c>
      <c r="B146" s="8" t="s">
        <v>294</v>
      </c>
      <c r="C146" s="22">
        <v>7661101</v>
      </c>
      <c r="D146" s="22">
        <v>7661101</v>
      </c>
      <c r="E146" s="22" t="s">
        <v>134</v>
      </c>
      <c r="F146" s="22" t="s">
        <v>491</v>
      </c>
      <c r="G146" s="22">
        <v>999</v>
      </c>
      <c r="H146" s="8" t="s">
        <v>297</v>
      </c>
    </row>
    <row r="147" spans="1:8" ht="18" customHeight="1">
      <c r="A147" s="22">
        <v>7671102</v>
      </c>
      <c r="B147" s="8" t="s">
        <v>298</v>
      </c>
      <c r="C147" s="22">
        <v>7671102</v>
      </c>
      <c r="D147" s="22">
        <v>7671102</v>
      </c>
      <c r="E147" s="22" t="s">
        <v>134</v>
      </c>
      <c r="F147" s="22" t="s">
        <v>492</v>
      </c>
      <c r="G147" s="22">
        <v>999</v>
      </c>
      <c r="H147" s="8" t="s">
        <v>300</v>
      </c>
    </row>
    <row r="148" spans="1:8" ht="18" customHeight="1">
      <c r="A148" s="22">
        <v>7671103</v>
      </c>
      <c r="B148" s="8" t="s">
        <v>301</v>
      </c>
      <c r="C148" s="22">
        <v>7671103</v>
      </c>
      <c r="D148" s="22">
        <v>7671103</v>
      </c>
      <c r="E148" s="22" t="s">
        <v>134</v>
      </c>
      <c r="F148" s="22" t="s">
        <v>493</v>
      </c>
      <c r="G148" s="22">
        <v>999</v>
      </c>
      <c r="H148" s="8" t="s">
        <v>303</v>
      </c>
    </row>
    <row r="149" spans="1:8" ht="18" customHeight="1">
      <c r="A149" s="22">
        <v>7681101</v>
      </c>
      <c r="B149" s="8" t="s">
        <v>304</v>
      </c>
      <c r="C149" s="22">
        <v>7681101</v>
      </c>
      <c r="D149" s="22">
        <v>7681101</v>
      </c>
      <c r="E149" s="22" t="s">
        <v>134</v>
      </c>
      <c r="F149" s="22" t="s">
        <v>494</v>
      </c>
      <c r="G149" s="22">
        <v>999</v>
      </c>
      <c r="H149" s="8" t="s">
        <v>306</v>
      </c>
    </row>
    <row r="150" spans="1:8" ht="18" customHeight="1">
      <c r="A150" s="22">
        <v>7691000</v>
      </c>
      <c r="B150" s="8" t="s">
        <v>307</v>
      </c>
      <c r="C150" s="22">
        <v>7691000</v>
      </c>
      <c r="D150" s="22">
        <v>7691000</v>
      </c>
      <c r="E150" s="22" t="s">
        <v>134</v>
      </c>
      <c r="F150" s="22" t="s">
        <v>495</v>
      </c>
      <c r="G150" s="22">
        <v>999</v>
      </c>
      <c r="H150" s="8" t="s">
        <v>309</v>
      </c>
    </row>
    <row r="151" spans="1:8" ht="18" customHeight="1">
      <c r="A151" s="22">
        <v>7711101</v>
      </c>
      <c r="B151" s="8" t="s">
        <v>310</v>
      </c>
      <c r="C151" s="22">
        <v>7711101</v>
      </c>
      <c r="D151" s="22">
        <v>7711101</v>
      </c>
      <c r="E151" s="22" t="s">
        <v>134</v>
      </c>
      <c r="F151" s="22" t="s">
        <v>496</v>
      </c>
      <c r="G151" s="22">
        <v>999</v>
      </c>
      <c r="H151" s="8" t="s">
        <v>312</v>
      </c>
    </row>
    <row r="152" spans="1:8" ht="18" customHeight="1">
      <c r="A152" s="22">
        <v>7711102</v>
      </c>
      <c r="B152" s="8" t="s">
        <v>313</v>
      </c>
      <c r="C152" s="22">
        <v>7711102</v>
      </c>
      <c r="D152" s="22">
        <v>7711102</v>
      </c>
      <c r="E152" s="22" t="s">
        <v>134</v>
      </c>
      <c r="F152" s="22" t="s">
        <v>497</v>
      </c>
      <c r="G152" s="22">
        <v>904</v>
      </c>
      <c r="H152" s="8" t="s">
        <v>316</v>
      </c>
    </row>
    <row r="153" spans="1:8" ht="18" customHeight="1">
      <c r="A153" s="22">
        <v>7711103</v>
      </c>
      <c r="B153" s="8" t="s">
        <v>317</v>
      </c>
      <c r="C153" s="22">
        <v>7711103</v>
      </c>
      <c r="D153" s="22">
        <v>7711103</v>
      </c>
      <c r="E153" s="22" t="s">
        <v>134</v>
      </c>
      <c r="F153" s="22" t="s">
        <v>498</v>
      </c>
      <c r="G153" s="22">
        <v>999</v>
      </c>
      <c r="H153" s="8" t="s">
        <v>319</v>
      </c>
    </row>
    <row r="154" spans="1:8" ht="18" customHeight="1">
      <c r="A154" s="22">
        <v>7721101</v>
      </c>
      <c r="B154" s="8" t="s">
        <v>320</v>
      </c>
      <c r="C154" s="22">
        <v>7721101</v>
      </c>
      <c r="D154" s="22">
        <v>7721101</v>
      </c>
      <c r="E154" s="22" t="s">
        <v>134</v>
      </c>
      <c r="F154" s="22" t="s">
        <v>499</v>
      </c>
      <c r="G154" s="22">
        <v>999</v>
      </c>
      <c r="H154" s="8" t="s">
        <v>322</v>
      </c>
    </row>
    <row r="155" spans="1:8" ht="18" customHeight="1">
      <c r="A155" s="22">
        <v>7729101</v>
      </c>
      <c r="B155" s="8" t="s">
        <v>323</v>
      </c>
      <c r="C155" s="22">
        <v>7729101</v>
      </c>
      <c r="D155" s="22">
        <v>7729101</v>
      </c>
      <c r="E155" s="22" t="s">
        <v>134</v>
      </c>
      <c r="F155" s="22" t="s">
        <v>500</v>
      </c>
      <c r="G155" s="22">
        <v>905</v>
      </c>
      <c r="H155" s="8" t="s">
        <v>326</v>
      </c>
    </row>
    <row r="156" spans="1:8" ht="18" customHeight="1">
      <c r="A156" s="22">
        <v>7729103</v>
      </c>
      <c r="B156" s="8" t="s">
        <v>327</v>
      </c>
      <c r="C156" s="22">
        <v>7729103</v>
      </c>
      <c r="D156" s="22">
        <v>7729103</v>
      </c>
      <c r="E156" s="22" t="s">
        <v>134</v>
      </c>
      <c r="F156" s="22" t="s">
        <v>501</v>
      </c>
      <c r="G156" s="22">
        <v>907</v>
      </c>
      <c r="H156" s="8" t="s">
        <v>330</v>
      </c>
    </row>
    <row r="157" spans="1:8" ht="18" customHeight="1">
      <c r="A157" s="22">
        <v>7729105</v>
      </c>
      <c r="B157" s="8" t="s">
        <v>331</v>
      </c>
      <c r="C157" s="22">
        <v>7729105</v>
      </c>
      <c r="D157" s="22">
        <v>7729105</v>
      </c>
      <c r="E157" s="22" t="s">
        <v>134</v>
      </c>
      <c r="F157" s="22" t="s">
        <v>502</v>
      </c>
      <c r="G157" s="22">
        <v>999</v>
      </c>
      <c r="H157" s="8" t="s">
        <v>333</v>
      </c>
    </row>
    <row r="158" spans="1:8" ht="18" customHeight="1">
      <c r="A158" s="22">
        <v>7781101</v>
      </c>
      <c r="B158" s="8" t="s">
        <v>334</v>
      </c>
      <c r="C158" s="22">
        <v>7781101</v>
      </c>
      <c r="D158" s="22">
        <v>7781101</v>
      </c>
      <c r="E158" s="22" t="s">
        <v>134</v>
      </c>
      <c r="F158" s="22" t="s">
        <v>503</v>
      </c>
      <c r="G158" s="22">
        <v>999</v>
      </c>
      <c r="H158" s="8" t="s">
        <v>336</v>
      </c>
    </row>
    <row r="159" spans="1:8" ht="18" customHeight="1">
      <c r="A159" s="22">
        <v>7781103</v>
      </c>
      <c r="B159" s="8" t="s">
        <v>337</v>
      </c>
      <c r="C159" s="22">
        <v>7781103</v>
      </c>
      <c r="D159" s="22">
        <v>7781103</v>
      </c>
      <c r="E159" s="22" t="s">
        <v>134</v>
      </c>
      <c r="F159" s="22" t="s">
        <v>504</v>
      </c>
      <c r="G159" s="22">
        <v>999</v>
      </c>
      <c r="H159" s="8" t="s">
        <v>339</v>
      </c>
    </row>
    <row r="160" spans="1:8" ht="18" customHeight="1">
      <c r="A160" s="22">
        <v>7781104</v>
      </c>
      <c r="B160" s="8" t="s">
        <v>340</v>
      </c>
      <c r="C160" s="22">
        <v>7781104</v>
      </c>
      <c r="D160" s="22">
        <v>7781104</v>
      </c>
      <c r="E160" s="22" t="s">
        <v>134</v>
      </c>
      <c r="F160" s="22" t="s">
        <v>505</v>
      </c>
      <c r="G160" s="22">
        <v>999</v>
      </c>
      <c r="H160" s="8" t="s">
        <v>342</v>
      </c>
    </row>
    <row r="161" spans="1:21" ht="18" customHeight="1">
      <c r="A161" s="22">
        <v>7781105</v>
      </c>
      <c r="B161" s="8" t="s">
        <v>343</v>
      </c>
      <c r="C161" s="22">
        <v>7781105</v>
      </c>
      <c r="D161" s="22">
        <v>7781105</v>
      </c>
      <c r="E161" s="22" t="s">
        <v>134</v>
      </c>
      <c r="F161" s="22" t="s">
        <v>506</v>
      </c>
      <c r="G161" s="22">
        <v>999</v>
      </c>
      <c r="H161" s="8" t="s">
        <v>345</v>
      </c>
    </row>
    <row r="162" spans="1:21" ht="18" customHeight="1">
      <c r="A162" s="22">
        <v>7781106</v>
      </c>
      <c r="B162" s="8" t="s">
        <v>346</v>
      </c>
      <c r="C162" s="22">
        <v>7781106</v>
      </c>
      <c r="D162" s="22">
        <v>7781106</v>
      </c>
      <c r="E162" s="22" t="s">
        <v>134</v>
      </c>
      <c r="F162" s="22" t="s">
        <v>507</v>
      </c>
      <c r="G162" s="22">
        <v>999</v>
      </c>
      <c r="H162" s="8" t="s">
        <v>348</v>
      </c>
    </row>
    <row r="163" spans="1:21" ht="18" customHeight="1">
      <c r="A163" s="22">
        <v>7781107</v>
      </c>
      <c r="B163" s="8" t="s">
        <v>349</v>
      </c>
      <c r="C163" s="22">
        <v>7781107</v>
      </c>
      <c r="D163" s="22">
        <v>7781107</v>
      </c>
      <c r="E163" s="22" t="s">
        <v>134</v>
      </c>
      <c r="F163" s="22" t="s">
        <v>508</v>
      </c>
      <c r="G163" s="22">
        <v>906</v>
      </c>
      <c r="H163" s="8" t="s">
        <v>352</v>
      </c>
    </row>
    <row r="164" spans="1:21" ht="18" customHeight="1">
      <c r="A164" s="22">
        <v>7781111</v>
      </c>
      <c r="B164" s="8" t="s">
        <v>353</v>
      </c>
      <c r="C164" s="22">
        <v>7781111</v>
      </c>
      <c r="D164" s="22">
        <v>7781111</v>
      </c>
      <c r="E164" s="22" t="s">
        <v>134</v>
      </c>
      <c r="F164" s="22" t="s">
        <v>509</v>
      </c>
      <c r="G164" s="22">
        <v>999</v>
      </c>
      <c r="H164" s="8" t="s">
        <v>355</v>
      </c>
    </row>
    <row r="165" spans="1:21" ht="18" customHeight="1">
      <c r="A165" s="22">
        <v>7781112</v>
      </c>
      <c r="B165" s="8" t="s">
        <v>356</v>
      </c>
      <c r="C165" s="22">
        <v>7781112</v>
      </c>
      <c r="D165" s="22">
        <v>7781112</v>
      </c>
      <c r="E165" s="22" t="s">
        <v>134</v>
      </c>
      <c r="F165" s="22" t="s">
        <v>510</v>
      </c>
      <c r="G165" s="22">
        <v>999</v>
      </c>
      <c r="H165" s="8" t="s">
        <v>358</v>
      </c>
    </row>
    <row r="166" spans="1:21" ht="18" customHeight="1">
      <c r="A166" s="22">
        <v>7781113</v>
      </c>
      <c r="B166" s="8" t="s">
        <v>359</v>
      </c>
      <c r="C166" s="22">
        <v>7781113</v>
      </c>
      <c r="D166" s="22">
        <v>7781113</v>
      </c>
      <c r="E166" s="22" t="s">
        <v>134</v>
      </c>
      <c r="F166" s="22" t="s">
        <v>511</v>
      </c>
      <c r="G166" s="22">
        <v>999</v>
      </c>
      <c r="H166" s="8" t="s">
        <v>361</v>
      </c>
    </row>
    <row r="167" spans="1:21" ht="18" customHeight="1">
      <c r="A167" s="9">
        <v>8291101</v>
      </c>
      <c r="B167" s="8" t="s">
        <v>512</v>
      </c>
      <c r="C167" s="9">
        <v>8291101</v>
      </c>
      <c r="D167" s="9">
        <v>8291101</v>
      </c>
      <c r="E167" s="10" t="s">
        <v>513</v>
      </c>
      <c r="F167" s="10" t="s">
        <v>514</v>
      </c>
    </row>
    <row r="168" spans="1:21" ht="18" customHeight="1">
      <c r="A168" s="9">
        <v>8291102</v>
      </c>
      <c r="B168" s="8" t="s">
        <v>515</v>
      </c>
      <c r="C168" s="9">
        <v>8291102</v>
      </c>
      <c r="D168" s="9">
        <v>8291102</v>
      </c>
      <c r="E168" s="10" t="s">
        <v>513</v>
      </c>
      <c r="F168" s="10" t="s">
        <v>516</v>
      </c>
    </row>
    <row r="169" spans="1:21" ht="18" customHeight="1">
      <c r="A169" s="9">
        <v>8291201</v>
      </c>
      <c r="B169" s="8" t="s">
        <v>517</v>
      </c>
      <c r="C169" s="9">
        <v>8291201</v>
      </c>
      <c r="D169" s="9">
        <v>8291201</v>
      </c>
      <c r="E169" s="10" t="s">
        <v>513</v>
      </c>
      <c r="F169" s="10" t="s">
        <v>518</v>
      </c>
    </row>
    <row r="170" spans="1:21" ht="18" customHeight="1">
      <c r="A170" s="9">
        <v>8291202</v>
      </c>
      <c r="B170" s="8" t="s">
        <v>519</v>
      </c>
      <c r="C170" s="9">
        <v>8291202</v>
      </c>
      <c r="D170" s="9">
        <v>8291202</v>
      </c>
      <c r="E170" s="10" t="s">
        <v>513</v>
      </c>
      <c r="F170" s="10" t="s">
        <v>520</v>
      </c>
    </row>
    <row r="171" spans="1:21" ht="18" customHeight="1">
      <c r="A171" s="9">
        <v>8291203</v>
      </c>
      <c r="B171" s="8" t="s">
        <v>521</v>
      </c>
      <c r="C171" s="9">
        <v>8291203</v>
      </c>
      <c r="D171" s="9">
        <v>8291203</v>
      </c>
      <c r="E171" s="10" t="s">
        <v>513</v>
      </c>
      <c r="F171" s="10" t="s">
        <v>522</v>
      </c>
    </row>
    <row r="172" spans="1:21" ht="18" customHeight="1">
      <c r="A172" s="9">
        <v>8191101</v>
      </c>
      <c r="B172" s="8" t="s">
        <v>523</v>
      </c>
      <c r="C172" s="9">
        <v>8191101</v>
      </c>
      <c r="D172" s="9">
        <v>8191101</v>
      </c>
      <c r="E172" s="10" t="s">
        <v>513</v>
      </c>
      <c r="F172" s="10" t="s">
        <v>524</v>
      </c>
    </row>
    <row r="173" spans="1:21" ht="18" customHeight="1">
      <c r="A173" s="9">
        <v>8413101</v>
      </c>
      <c r="B173" s="8" t="s">
        <v>529</v>
      </c>
      <c r="C173" s="9">
        <v>8413101</v>
      </c>
      <c r="E173" s="10" t="s">
        <v>513</v>
      </c>
      <c r="F173" s="10" t="s">
        <v>530</v>
      </c>
    </row>
    <row r="174" spans="1:21" ht="18" customHeight="1">
      <c r="G174" s="3"/>
    </row>
    <row r="175" spans="1:21" ht="18" customHeight="1">
      <c r="U175" s="20"/>
    </row>
    <row r="176" spans="1:21" ht="18" customHeight="1">
      <c r="U176" s="20"/>
    </row>
  </sheetData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AEA9-42B9-4502-A70E-3E4296AF1E93}">
  <dimension ref="A1:C4"/>
  <sheetViews>
    <sheetView showGridLines="0" workbookViewId="0">
      <selection activeCell="B13" sqref="B13:B14"/>
    </sheetView>
  </sheetViews>
  <sheetFormatPr defaultRowHeight="15"/>
  <cols>
    <col min="1" max="1" width="13.42578125" bestFit="1" customWidth="1"/>
    <col min="2" max="2" width="14.140625" bestFit="1" customWidth="1"/>
    <col min="3" max="3" width="72.7109375" bestFit="1" customWidth="1"/>
  </cols>
  <sheetData>
    <row r="1" spans="1:3">
      <c r="A1" s="5" t="s">
        <v>45</v>
      </c>
      <c r="B1" s="5" t="s">
        <v>46</v>
      </c>
      <c r="C1" s="5" t="s">
        <v>39</v>
      </c>
    </row>
    <row r="2" spans="1:3">
      <c r="A2" s="54" t="s">
        <v>55</v>
      </c>
      <c r="B2" s="17" t="s">
        <v>56</v>
      </c>
      <c r="C2" s="17" t="s">
        <v>57</v>
      </c>
    </row>
    <row r="3" spans="1:3">
      <c r="A3" s="54" t="s">
        <v>63</v>
      </c>
      <c r="B3" s="17" t="s">
        <v>64</v>
      </c>
      <c r="C3" s="17" t="s">
        <v>65</v>
      </c>
    </row>
    <row r="4" spans="1:3">
      <c r="A4" s="54" t="s">
        <v>72</v>
      </c>
      <c r="B4" s="17" t="s">
        <v>73</v>
      </c>
      <c r="C4" s="1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225-FA68-499F-B6EE-9E0C1CDAF318}">
  <dimension ref="A1"/>
  <sheetViews>
    <sheetView workbookViewId="0">
      <selection activeCell="B16" sqref="B16"/>
    </sheetView>
  </sheetViews>
  <sheetFormatPr defaultRowHeight="15"/>
  <sheetData>
    <row r="1" spans="1:1">
      <c r="A1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Master</vt:lpstr>
      <vt:lpstr>Priority</vt:lpstr>
      <vt:lpstr>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40 NGKBUSI</cp:lastModifiedBy>
  <dcterms:created xsi:type="dcterms:W3CDTF">2020-12-08T03:20:39Z</dcterms:created>
  <dcterms:modified xsi:type="dcterms:W3CDTF">2024-03-14T04:33:39Z</dcterms:modified>
</cp:coreProperties>
</file>
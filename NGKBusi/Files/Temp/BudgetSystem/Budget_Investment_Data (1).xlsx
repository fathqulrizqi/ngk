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B7B7EB2C-3F33-4F0E-A058-81E02B5C0C64}" xr6:coauthVersionLast="47" xr6:coauthVersionMax="47" xr10:uidLastSave="{00000000-0000-0000-0000-000000000000}"/>
  <x:bookViews>
    <x:workbookView xWindow="-120" yWindow="-120" windowWidth="21840" windowHeight="13020" firstSheet="0" activeTab="0" xr2:uid="{DBC91B5C-E501-473C-9992-DED489074C07}"/>
  </x:bookViews>
  <x:sheets>
    <x:sheet name="Data" sheetId="3" r:id="rId1"/>
    <x:sheet name="V1" sheetId="9" state="hidden" r:id="rId2"/>
    <x:sheet name="Master" sheetId="2" state="hidden" r:id="rId3"/>
    <x:sheet name="Master_Section" sheetId="6" state="hidden" r:id="rId4"/>
    <x:sheet name="COA" sheetId="1" state="hidden" r:id="rId5"/>
    <x:sheet name="Password" sheetId="7" state="hidden" r:id="rId6"/>
    <x:sheet name="Priority" sheetId="8" r:id="rId7"/>
  </x:sheets>
  <x:externalReferences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  <x:externalReference r:id="rId16"/>
    <x:externalReference r:id="rId17"/>
    <x:externalReference r:id="rId18"/>
    <x:externalReference r:id="rId19"/>
    <x:externalReference r:id="rId20"/>
  </x:externalReferences>
  <x:definedNames>
    <x:definedName name="_xlnm._FilterDatabase" localSheetId="0" hidden="1">Data!$H$1:$O$1</x:definedName>
    <x:definedName name="_j102" localSheetId="0">#REF!</x:definedName>
    <x:definedName name="_Key1" localSheetId="0" hidden="1">#REF!</x:definedName>
    <x:definedName name="_Sort" localSheetId="0" hidden="1">#REF!</x:definedName>
    <x:definedName name="aa" localSheetId="0">#REF!</x:definedName>
    <x:definedName name="AB" localSheetId="0">#REF!</x:definedName>
    <x:definedName name="ai" localSheetId="0">#REF!</x:definedName>
    <x:definedName name="as" localSheetId="0">#REF!</x:definedName>
    <x:definedName name="assit" localSheetId="0">#REF!</x:definedName>
    <x:definedName name="b" localSheetId="0">#REF!</x:definedName>
    <x:definedName name="BC" localSheetId="0">#REF!</x:definedName>
    <x:definedName name="BI" localSheetId="0">#REF!</x:definedName>
    <x:definedName name="BO" localSheetId="0">#REF!</x:definedName>
    <x:definedName name="cc" localSheetId="0">#REF!</x:definedName>
    <x:definedName name="ccc" localSheetId="0" hidden="1">#REF!</x:definedName>
    <x:definedName name="CH" localSheetId="0">#REF!</x:definedName>
    <x:definedName name="CI" localSheetId="0">#REF!</x:definedName>
    <x:definedName name="Ck_for" localSheetId="0">#REF!</x:definedName>
    <x:definedName name="Ck_in" localSheetId="0">#REF!</x:definedName>
    <x:definedName name="Ck_out" localSheetId="0">#REF!</x:definedName>
    <x:definedName name="d" localSheetId="0">#REF!</x:definedName>
    <x:definedName name="_xlnm.Database" localSheetId="0">#REF!</x:definedName>
    <x:definedName name="dd" localSheetId="0">#REF!</x:definedName>
    <x:definedName name="ddd" localSheetId="0" hidden="1">#REF!</x:definedName>
    <x:definedName name="DF" localSheetId="0">#REF!</x:definedName>
    <x:definedName name="e" localSheetId="0">#REF!</x:definedName>
    <x:definedName name="ee" localSheetId="0">#REF!</x:definedName>
    <x:definedName name="eXCRATE" localSheetId="0">#REF!</x:definedName>
    <x:definedName name="exrate" localSheetId="0">#REF!</x:definedName>
    <x:definedName name="F" localSheetId="0">#REF!</x:definedName>
    <x:definedName name="fcb" localSheetId="0">#REF!</x:definedName>
    <x:definedName name="FG" localSheetId="0">#REF!</x:definedName>
    <x:definedName name="g" localSheetId="0">#REF!</x:definedName>
    <x:definedName name="gg" localSheetId="0">#REF!</x:definedName>
    <x:definedName name="HF" localSheetId="0">#REF!</x:definedName>
    <x:definedName name="HTML_Control" localSheetId="0" hidden="1">{"'Stock November   ' 99'!$A$1:$AF$46"}</x:definedName>
    <x:definedName name="kissa" localSheetId="0">#REF!</x:definedName>
    <x:definedName name="kissakei" localSheetId="0">#REF!</x:definedName>
    <x:definedName name="kk" localSheetId="0">#REF!</x:definedName>
    <x:definedName name="kkk" localSheetId="0">#REF!</x:definedName>
    <x:definedName name="kkkk" localSheetId="0">#REF!</x:definedName>
    <x:definedName name="l" localSheetId="0">#REF!</x:definedName>
    <x:definedName name="L_01" localSheetId="0">#REF!</x:definedName>
    <x:definedName name="LIA" localSheetId="0">#REF!</x:definedName>
    <x:definedName name="LILI" localSheetId="0">#REF!</x:definedName>
    <x:definedName name="LINA" localSheetId="0">#REF!</x:definedName>
    <x:definedName name="m" localSheetId="0">#REF!</x:definedName>
    <x:definedName name="Manufacturing" localSheetId="0">#REF!</x:definedName>
    <x:definedName name="MR" localSheetId="0">#REF!</x:definedName>
    <x:definedName name="nittk" localSheetId="0">#REF!</x:definedName>
    <x:definedName name="nittk_ok" localSheetId="0">#REF!</x:definedName>
    <x:definedName name="nittoukei" localSheetId="0">#REF!</x:definedName>
    <x:definedName name="Print_Area_MI" localSheetId="0">#REF!</x:definedName>
    <x:definedName name="ry" localSheetId="0">#REF!</x:definedName>
    <x:definedName name="ryohikei" localSheetId="0">#REF!</x:definedName>
    <x:definedName name="S" localSheetId="0">#REF!</x:definedName>
    <x:definedName name="sais" localSheetId="0">#REF!</x:definedName>
    <x:definedName name="saisyuu" localSheetId="0">#REF!</x:definedName>
    <x:definedName name="se" localSheetId="0">#REF!</x:definedName>
    <x:definedName name="sett" localSheetId="0">#REF!</x:definedName>
    <x:definedName name="setta" localSheetId="0">#REF!</x:definedName>
    <x:definedName name="settaihikei" localSheetId="0">#REF!</x:definedName>
    <x:definedName name="settaikousai" localSheetId="0">#REF!</x:definedName>
    <x:definedName name="SEX" localSheetId="0">#REF!</x:definedName>
    <x:definedName name="shu" localSheetId="0">#REF!</x:definedName>
    <x:definedName name="shukuhakukei" localSheetId="0">#REF!</x:definedName>
    <x:definedName name="so" localSheetId="0">#REF!</x:definedName>
    <x:definedName name="son" localSheetId="0">#REF!</x:definedName>
    <x:definedName name="sonot" localSheetId="0">#REF!</x:definedName>
    <x:definedName name="sonotakei" localSheetId="0">#REF!</x:definedName>
    <x:definedName name="ST" localSheetId="0">#REF!</x:definedName>
    <x:definedName name="stt" localSheetId="0">#REF!</x:definedName>
    <x:definedName name="SX" localSheetId="0">#REF!</x:definedName>
    <x:definedName name="sxx" localSheetId="0">#REF!</x:definedName>
    <x:definedName name="Tgl" localSheetId="0">#REF!</x:definedName>
    <x:definedName name="tgll" localSheetId="0">#REF!</x:definedName>
    <x:definedName name="tr" localSheetId="0">#REF!</x:definedName>
    <x:definedName name="train" localSheetId="0">#REF!</x:definedName>
    <x:definedName name="TRIAL" localSheetId="0">#REF!</x:definedName>
    <x:definedName name="tttttttttttt" localSheetId="0">#REF!</x:definedName>
    <x:definedName name="tu" localSheetId="0">#REF!</x:definedName>
    <x:definedName name="tuusinhikei" localSheetId="0">#REF!</x:definedName>
    <x:definedName name="u" localSheetId="0">#REF!</x:definedName>
    <x:definedName name="uj" localSheetId="0" hidden="1">{"'Stock November   ' 99'!$A$1:$AF$46"}</x:definedName>
    <x:definedName name="uji" localSheetId="0" hidden="1">{"'Stock November   ' 99'!$A$1:$AF$46"}</x:definedName>
    <x:definedName name="UT" localSheetId="0">#REF!</x:definedName>
    <x:definedName name="uu" localSheetId="0">#REF!</x:definedName>
    <x:definedName name="ww" localSheetId="0">#REF!</x:definedName>
    <x:definedName name="ﾃﾞｰﾀ海市" localSheetId="0">#REF!</x:definedName>
    <x:definedName name="ルピア" localSheetId="0">#REF!</x:definedName>
    <x:definedName name="予算ﾚｰﾄ" localSheetId="0">#REF!</x:definedName>
    <x:definedName name="今" localSheetId="0">#REF!</x:definedName>
    <x:definedName name="仲介" localSheetId="0">#REF!</x:definedName>
    <x:definedName name="元" localSheetId="0">#REF!</x:definedName>
    <x:definedName name="円" localSheetId="0">#REF!</x:definedName>
    <x:definedName name="円vsドル_レート" localSheetId="0">#REF!</x:definedName>
    <x:definedName name="印刷領域" localSheetId="0">#REF!</x:definedName>
    <x:definedName name="品種別実績" localSheetId="0">#REF!</x:definedName>
    <x:definedName name="実績レート" localSheetId="0">#REF!</x:definedName>
    <x:definedName name="対象日数" localSheetId="0">#REF!</x:definedName>
    <x:definedName name="技術開発経費181" localSheetId="0">#REF!</x:definedName>
    <x:definedName name="技術開発経費182" localSheetId="0">#REF!</x:definedName>
    <x:definedName name="日数" localSheetId="0">#REF!</x:definedName>
    <x:definedName name="期" localSheetId="0">#REF!</x:definedName>
    <x:definedName name="機能分類リスト" localSheetId="0">[12]開発計画品番リスト!#REF!</x:definedName>
    <x:definedName name="比率" localSheetId="0">[13]調達計画!#REF!</x:definedName>
    <x:definedName name="決算期区分" localSheetId="0">#REF!</x:definedName>
    <x:definedName name="為替" localSheetId="0">#REF!</x:definedName>
    <x:definedName name="為替レートEU" localSheetId="0">#REF!</x:definedName>
    <x:definedName name="為替レートUS" localSheetId="0">#REF!</x:definedName>
    <x:definedName name="補助部門比率" localSheetId="0">#REF!</x:definedName>
    <x:definedName name="補助部門費_設計以外181" localSheetId="0">#REF!</x:definedName>
    <x:definedName name="補助部門費_設計以外182" localSheetId="0">#REF!</x:definedName>
    <x:definedName name="販管費率" localSheetId="0">#REF!</x:definedName>
    <x:definedName name="輸入" localSheetId="0">#REF!</x:definedName>
    <x:definedName name="配布先" localSheetId="0">#REF!</x:definedName>
    <x:definedName name="開発経費合計181" localSheetId="0">#REF!</x:definedName>
    <x:definedName name="開発経費合計182" localSheetId="0">#REF!</x:definedName>
    <x:definedName name="雇用" localSheetId="0">#REF!</x:definedName>
    <x:definedName name="電話代補助" localSheetId="0">#REF!</x:definedName>
    <x:definedName name="_Fill" localSheetId="2" hidden="1">#REF!</x:definedName>
    <x:definedName name="_j102" localSheetId="2">#REF!</x:definedName>
    <x:definedName name="_Sort" localSheetId="2" hidden="1">#REF!</x:definedName>
    <x:definedName name="HTML_Control" localSheetId="2" hidden="1">{"'Stock November   ' 99'!$A$1:$AF$46"}</x:definedName>
    <x:definedName name="kissa" localSheetId="2">#REF!</x:definedName>
    <x:definedName name="PRINT_AREA_MI" localSheetId="2">#REF!</x:definedName>
    <x:definedName name="PRINT_TITLES_MI" localSheetId="2">#REF!</x:definedName>
    <x:definedName name="Tgl" localSheetId="2">#REF!</x:definedName>
    <x:definedName name="uj" localSheetId="2" hidden="1">{"'Stock November   ' 99'!$A$1:$AF$46"}</x:definedName>
    <x:definedName name="uji" localSheetId="2" hidden="1">{"'Stock November   ' 99'!$A$1:$AF$46"}</x:definedName>
    <x:definedName name="ﾃﾞｰﾀ海市" localSheetId="2">#REF!</x:definedName>
    <x:definedName name="ルピア" localSheetId="2">#REF!</x:definedName>
    <x:definedName name="出発" localSheetId="2">[6]支援計画・０４!$G$4:$G$171</x:definedName>
    <x:definedName name="到着" localSheetId="2">[6]支援計画・０４!$F$4:$F$171</x:definedName>
    <x:definedName name="印刷領域" localSheetId="2">#REF!</x:definedName>
    <x:definedName name="品種別実績" localSheetId="2">#REF!</x:definedName>
    <x:definedName name="商品群" localSheetId="2">[8]テーブル!$B$2:$B$7</x:definedName>
    <x:definedName name="実績レート" localSheetId="2">#REF!</x:definedName>
    <x:definedName name="担当者" localSheetId="2">[8]テーブル!$F$2:$F$24</x:definedName>
    <x:definedName name="日付" localSheetId="2">[6]支援計画・０４!$J$4:$CW$4</x:definedName>
    <x:definedName name="日数" localSheetId="2">#REF!</x:definedName>
    <x:definedName name="決算期区分" localSheetId="2">#REF!</x:definedName>
    <x:definedName name="生産拠点" localSheetId="2">[8]テーブル!$C$2:$C$6</x:definedName>
    <x:definedName name="立上年" localSheetId="2">[8]テーブル!$A$2:$A$11</x:definedName>
    <x:definedName name="立上月" localSheetId="2">[8]テーブル!$D$2:$D$13</x:definedName>
    <x:definedName name="補助部門比率" localSheetId="2">#REF!</x:definedName>
    <x:definedName name="__j102" localSheetId="4">#REF!</x:definedName>
    <x:definedName name="_Fill" localSheetId="4" hidden="1">#REF!</x:definedName>
    <x:definedName name="_j102" localSheetId="4">#REF!</x:definedName>
    <x:definedName name="_Key1" localSheetId="4" hidden="1">#REF!</x:definedName>
    <x:definedName name="_Sort" localSheetId="4" hidden="1">#REF!</x:definedName>
    <x:definedName name="aa" localSheetId="4">#REF!</x:definedName>
    <x:definedName name="AB" localSheetId="4">#REF!</x:definedName>
    <x:definedName name="ai" localSheetId="4">#REF!</x:definedName>
    <x:definedName name="as" localSheetId="4">#REF!</x:definedName>
    <x:definedName name="assit" localSheetId="4">#REF!</x:definedName>
    <x:definedName name="b" localSheetId="4">#REF!</x:definedName>
    <x:definedName name="BC" localSheetId="4">#REF!</x:definedName>
    <x:definedName name="BI" localSheetId="4">#REF!</x:definedName>
    <x:definedName name="BO" localSheetId="4">#REF!</x:definedName>
    <x:definedName name="cc" localSheetId="4">#REF!</x:definedName>
    <x:definedName name="ccc" localSheetId="4" hidden="1">#REF!</x:definedName>
    <x:definedName name="CH" localSheetId="4">#REF!</x:definedName>
    <x:definedName name="CI" localSheetId="4">#REF!</x:definedName>
    <x:definedName name="Ck_for" localSheetId="4">#REF!</x:definedName>
    <x:definedName name="Ck_in" localSheetId="4">#REF!</x:definedName>
    <x:definedName name="Ck_out" localSheetId="4">#REF!</x:definedName>
    <x:definedName name="d" localSheetId="4">#REF!</x:definedName>
    <x:definedName name="_xlnm.Database" localSheetId="4">#REF!</x:definedName>
    <x:definedName name="dd" localSheetId="4">#REF!</x:definedName>
    <x:definedName name="ddd" localSheetId="4" hidden="1">#REF!</x:definedName>
    <x:definedName name="DF" localSheetId="4">#REF!</x:definedName>
    <x:definedName name="e" localSheetId="4">#REF!</x:definedName>
    <x:definedName name="ee" localSheetId="4">#REF!</x:definedName>
    <x:definedName name="eXCRATE" localSheetId="4">#REF!</x:definedName>
    <x:definedName name="exrate" localSheetId="4">#REF!</x:definedName>
    <x:definedName name="F" localSheetId="4">#REF!</x:definedName>
    <x:definedName name="fcb" localSheetId="4">#REF!</x:definedName>
    <x:definedName name="FG" localSheetId="4">#REF!</x:definedName>
    <x:definedName name="g" localSheetId="4">#REF!</x:definedName>
    <x:definedName name="gg" localSheetId="4">#REF!</x:definedName>
    <x:definedName name="HF" localSheetId="4">#REF!</x:definedName>
    <x:definedName name="HTML_Control" localSheetId="4" hidden="1">{"'Stock November   ' 99'!$A$1:$AF$46"}</x:definedName>
    <x:definedName name="kissa" localSheetId="4">#REF!</x:definedName>
    <x:definedName name="kissakei" localSheetId="4">#REF!</x:definedName>
    <x:definedName name="kk" localSheetId="4">#REF!</x:definedName>
    <x:definedName name="kkk" localSheetId="4">#REF!</x:definedName>
    <x:definedName name="kkkk" localSheetId="4">#REF!</x:definedName>
    <x:definedName name="l" localSheetId="4">#REF!</x:definedName>
    <x:definedName name="L_01" localSheetId="4">#REF!</x:definedName>
    <x:definedName name="LIA" localSheetId="4">#REF!</x:definedName>
    <x:definedName name="LILI" localSheetId="4">#REF!</x:definedName>
    <x:definedName name="LINA" localSheetId="4">#REF!</x:definedName>
    <x:definedName name="m" localSheetId="4">#REF!</x:definedName>
    <x:definedName name="Manufacturing" localSheetId="4">#REF!</x:definedName>
    <x:definedName name="MR" localSheetId="4">#REF!</x:definedName>
    <x:definedName name="nittk" localSheetId="4">#REF!</x:definedName>
    <x:definedName name="nittk_ok" localSheetId="4">#REF!</x:definedName>
    <x:definedName name="nittoukei" localSheetId="4">#REF!</x:definedName>
    <x:definedName name="PRINT_AREA_MI" localSheetId="4">#REF!</x:definedName>
    <x:definedName name="PRINT_TITLES_MI" localSheetId="4">#REF!</x:definedName>
    <x:definedName name="ry" localSheetId="4">#REF!</x:definedName>
    <x:definedName name="ryohikei" localSheetId="4">#REF!</x:definedName>
    <x:definedName name="S" localSheetId="4">#REF!</x:definedName>
    <x:definedName name="sais" localSheetId="4">#REF!</x:definedName>
    <x:definedName name="saisyuu" localSheetId="4">#REF!</x:definedName>
    <x:definedName name="se" localSheetId="4">#REF!</x:definedName>
    <x:definedName name="sett" localSheetId="4">#REF!</x:definedName>
    <x:definedName name="setta" localSheetId="4">#REF!</x:definedName>
    <x:definedName name="settaihikei" localSheetId="4">#REF!</x:definedName>
    <x:definedName name="settaikousai" localSheetId="4">#REF!</x:definedName>
    <x:definedName name="SEX" localSheetId="4">#REF!</x:definedName>
    <x:definedName name="shu" localSheetId="4">#REF!</x:definedName>
    <x:definedName name="shukuhakukei" localSheetId="4">#REF!</x:definedName>
    <x:definedName name="so" localSheetId="4">#REF!</x:definedName>
    <x:definedName name="son" localSheetId="4">#REF!</x:definedName>
    <x:definedName name="sonot" localSheetId="4">#REF!</x:definedName>
    <x:definedName name="sonotakei" localSheetId="4">#REF!</x:definedName>
    <x:definedName name="ST" localSheetId="4">#REF!</x:definedName>
    <x:definedName name="stt" localSheetId="4">#REF!</x:definedName>
    <x:definedName name="SX" localSheetId="4">#REF!</x:definedName>
    <x:definedName name="sxx" localSheetId="4">#REF!</x:definedName>
    <x:definedName name="Tgl" localSheetId="4">#REF!</x:definedName>
    <x:definedName name="tgll" localSheetId="4">#REF!</x:definedName>
    <x:definedName name="tr" localSheetId="4">#REF!</x:definedName>
    <x:definedName name="train" localSheetId="4">#REF!</x:definedName>
    <x:definedName name="TRIAL" localSheetId="4">#REF!</x:definedName>
    <x:definedName name="tttttttttttt" localSheetId="4">#REF!</x:definedName>
    <x:definedName name="tu" localSheetId="4">#REF!</x:definedName>
    <x:definedName name="tuusinhikei" localSheetId="4">#REF!</x:definedName>
    <x:definedName name="u" localSheetId="4">#REF!</x:definedName>
    <x:definedName name="uj" localSheetId="4" hidden="1">{"'Stock November   ' 99'!$A$1:$AF$46"}</x:definedName>
    <x:definedName name="uji" localSheetId="4" hidden="1">{"'Stock November   ' 99'!$A$1:$AF$46"}</x:definedName>
    <x:definedName name="UT" localSheetId="4">#REF!</x:definedName>
    <x:definedName name="uu" localSheetId="4">#REF!</x:definedName>
    <x:definedName name="ww" localSheetId="4">#REF!</x:definedName>
    <x:definedName name="ﾃﾞｰﾀ海市" localSheetId="4">#REF!</x:definedName>
    <x:definedName name="ルピア" localSheetId="4">#REF!</x:definedName>
    <x:definedName name="予算ﾚｰﾄ" localSheetId="4">#REF!</x:definedName>
    <x:definedName name="今" localSheetId="4">#REF!</x:definedName>
    <x:definedName name="仲介" localSheetId="4">#REF!</x:definedName>
    <x:definedName name="元" localSheetId="4">#REF!</x:definedName>
    <x:definedName name="円" localSheetId="4">#REF!</x:definedName>
    <x:definedName name="円vsドル_レート" localSheetId="4">#REF!</x:definedName>
    <x:definedName name="出発" localSheetId="4">[6]支援計画・０４!$G$4:$G$171</x:definedName>
    <x:definedName name="到着" localSheetId="4">[6]支援計画・０４!$F$4:$F$171</x:definedName>
    <x:definedName name="印刷領域" localSheetId="4">#REF!</x:definedName>
    <x:definedName name="品種別実績" localSheetId="4">#REF!</x:definedName>
    <x:definedName name="商品群" localSheetId="4">[8]テーブル!$B$2:$B$7</x:definedName>
    <x:definedName name="実績レート" localSheetId="4">#REF!</x:definedName>
    <x:definedName name="対象日数" localSheetId="4">#REF!</x:definedName>
    <x:definedName name="技術開発経費181" localSheetId="4">#REF!</x:definedName>
    <x:definedName name="技術開発経費182" localSheetId="4">#REF!</x:definedName>
    <x:definedName name="担当者" localSheetId="4">[8]テーブル!$F$2:$F$24</x:definedName>
    <x:definedName name="日付" localSheetId="4">[6]支援計画・０４!$J$4:$CW$4</x:definedName>
    <x:definedName name="日数" localSheetId="4">#REF!</x:definedName>
    <x:definedName name="期" localSheetId="4">#REF!</x:definedName>
    <x:definedName name="決算期区分" localSheetId="4">#REF!</x:definedName>
    <x:definedName name="為替" localSheetId="4">#REF!</x:definedName>
    <x:definedName name="為替レートEU" localSheetId="4">#REF!</x:definedName>
    <x:definedName name="為替レートUS" localSheetId="4">#REF!</x:definedName>
    <x:definedName name="生産拠点" localSheetId="4">[8]テーブル!$C$2:$C$6</x:definedName>
    <x:definedName name="立上年" localSheetId="4">[8]テーブル!$A$2:$A$11</x:definedName>
    <x:definedName name="立上月" localSheetId="4">[8]テーブル!$D$2:$D$13</x:definedName>
    <x:definedName name="補助部門比率" localSheetId="4">#REF!</x:definedName>
    <x:definedName name="補助部門費_設計以外181" localSheetId="4">#REF!</x:definedName>
    <x:definedName name="補助部門費_設計以外182" localSheetId="4">#REF!</x:definedName>
    <x:definedName name="販管費率" localSheetId="4">#REF!</x:definedName>
    <x:definedName name="輸入" localSheetId="4">#REF!</x:definedName>
    <x:definedName name="配布先" localSheetId="4">#REF!</x:definedName>
    <x:definedName name="開発経費合計181" localSheetId="4">#REF!</x:definedName>
    <x:definedName name="開発経費合計182" localSheetId="4">#REF!</x:definedName>
    <x:definedName name="雇用" localSheetId="4">#REF!</x:definedName>
    <x:definedName name="電話代補助" localSheetId="4">#REF!</x:definedName>
    <x:definedName name="__j102" localSheetId="6">#REF!</x:definedName>
    <x:definedName name="_j102" localSheetId="6">#REF!</x:definedName>
    <x:definedName name="_Sort" localSheetId="6" hidden="1">#REF!</x:definedName>
    <x:definedName name="HTML_Control" localSheetId="6" hidden="1">{"'Stock November   ' 99'!$A$1:$AF$46"}</x:definedName>
    <x:definedName name="kissa" localSheetId="6">#REF!</x:definedName>
    <x:definedName name="PRINT_AREA_MI" localSheetId="6">#REF!</x:definedName>
    <x:definedName name="PRINT_TITLES_MI" localSheetId="6">#REF!</x:definedName>
    <x:definedName name="Tgl" localSheetId="6">#REF!</x:definedName>
    <x:definedName name="uj" localSheetId="6" hidden="1">{"'Stock November   ' 99'!$A$1:$AF$46"}</x:definedName>
    <x:definedName name="uji" localSheetId="6" hidden="1">{"'Stock November   ' 99'!$A$1:$AF$46"}</x:definedName>
    <x:definedName name="ﾃﾞｰﾀ海市" localSheetId="6">#REF!</x:definedName>
    <x:definedName name="ルピア" localSheetId="6">#REF!</x:definedName>
    <x:definedName name="出発" localSheetId="6">[6]支援計画・０４!$G$4:$G$171</x:definedName>
    <x:definedName name="到着" localSheetId="6">[6]支援計画・０４!$F$4:$F$171</x:definedName>
    <x:definedName name="印刷領域" localSheetId="6">#REF!</x:definedName>
    <x:definedName name="品種別実績" localSheetId="6">#REF!</x:definedName>
    <x:definedName name="商品群" localSheetId="6">[8]テーブル!$B$2:$B$7</x:definedName>
    <x:definedName name="実績レート" localSheetId="6">#REF!</x:definedName>
    <x:definedName name="担当者" localSheetId="6">[8]テーブル!$F$2:$F$24</x:definedName>
    <x:definedName name="日付" localSheetId="6">[6]支援計画・０４!$J$4:$CW$4</x:definedName>
    <x:definedName name="日数" localSheetId="6">#REF!</x:definedName>
    <x:definedName name="決算期区分" localSheetId="6">#REF!</x:definedName>
    <x:definedName name="生産拠点" localSheetId="6">[8]テーブル!$C$2:$C$6</x:definedName>
    <x:definedName name="立上年" localSheetId="6">[8]テーブル!$A$2:$A$11</x:definedName>
    <x:definedName name="立上月" localSheetId="6">[8]テーブル!$D$2:$D$13</x:definedName>
    <x:definedName name="補助部門比率" localSheetId="6">#REF!</x:definedName>
    <x:definedName name="__j102">#REF!</x:definedName>
    <x:definedName name="_1">#N/A</x:definedName>
    <x:definedName name="_Fill" hidden="1">#REF!</x:definedName>
    <x:definedName name="_xlnm._FilterDatabase" hidden="1">[2]金具工程見出し!$A$9:$K$9</x:definedName>
    <x:definedName name="_j102">#REF!</x:definedName>
    <x:definedName name="_Key1" hidden="1">#REF!</x:definedName>
    <x:definedName name="_Order1" hidden="1">255</x:definedName>
    <x:definedName name="_Sort" hidden="1">#REF!</x:definedName>
    <x:definedName name="aa">#REF!</x:definedName>
    <x:definedName name="AB">#REF!</x:definedName>
    <x:definedName name="ai">#REF!</x:definedName>
    <x:definedName name="as">#REF!</x:definedName>
    <x:definedName name="assit">#REF!</x:definedName>
    <x:definedName name="b">#REF!</x:definedName>
    <x:definedName name="BC">#REF!</x:definedName>
    <x:definedName name="BI">#REF!</x:definedName>
    <x:definedName name="BO">#REF!</x:definedName>
    <x:definedName name="cc">#REF!</x:definedName>
    <x:definedName name="ccc" hidden="1">#REF!</x:definedName>
    <x:definedName name="CH">#REF!</x:definedName>
    <x:definedName name="CI">#REF!</x:definedName>
    <x:definedName name="Ck_for">#REF!</x:definedName>
    <x:definedName name="Ck_in">#REF!</x:definedName>
    <x:definedName name="Ck_out">#REF!</x:definedName>
    <x:definedName name="d">#REF!</x:definedName>
    <x:definedName name="_xlnm.Database">#REF!</x:definedName>
    <x:definedName name="dd">#REF!</x:definedName>
    <x:definedName name="ddd" hidden="1">#REF!</x:definedName>
    <x:definedName name="DF">#REF!</x:definedName>
    <x:definedName name="e">#REF!</x:definedName>
    <x:definedName name="edy">#REF!</x:definedName>
    <x:definedName name="ee">#REF!</x:definedName>
    <x:definedName name="eXCRATE">#REF!</x:definedName>
    <x:definedName name="exrate">#REF!</x:definedName>
    <x:definedName name="F">#REF!</x:definedName>
    <x:definedName name="fcb">#REF!</x:definedName>
    <x:definedName name="FG">#REF!</x:definedName>
    <x:definedName name="g">#REF!</x:definedName>
    <x:definedName name="gg">#REF!</x:definedName>
    <x:definedName name="HF">#REF!</x:definedName>
    <x:definedName name="HTML_CodePage" hidden="1">1252</x:definedName>
    <x:definedName name="HTML_Control" hidden="1">{"'Stock November   ' 99'!$A$1:$AF$46"}</x:definedName>
    <x:definedName name="HTML_Description" hidden="1">""</x:definedName>
    <x:definedName name="HTML_Email" hidden="1">""</x:definedName>
    <x:definedName name="HTML_Header" hidden="1">"Stock November   ' 99"</x:definedName>
    <x:definedName name="HTML_LastUpdate" hidden="1">"11/18/99"</x:definedName>
    <x:definedName name="HTML_LineAfter" hidden="1">FALSE</x:definedName>
    <x:definedName name="HTML_LineBefore" hidden="1">FALSE</x:definedName>
    <x:definedName name="HTML_Name" hidden="1">"Production Control"</x:definedName>
    <x:definedName name="HTML_OBDlg2" hidden="1">TRUE</x:definedName>
    <x:definedName name="HTML_OBDlg4" hidden="1">TRUE</x:definedName>
    <x:definedName name="HTML_OS" hidden="1">0</x:definedName>
    <x:definedName name="HTML_PathFile" hidden="1">"\\Se 01\data se01\stock_nov99.htm"</x:definedName>
    <x:definedName name="HTML_Title" hidden="1">"Stock_November"</x:definedName>
    <x:definedName name="kissa">#REF!</x:definedName>
    <x:definedName name="kissakei">#REF!</x:definedName>
    <x:definedName name="kk">#REF!</x:definedName>
    <x:definedName name="kkk">#REF!</x:definedName>
    <x:definedName name="kkkk">#REF!</x:definedName>
    <x:definedName name="l">#REF!</x:definedName>
    <x:definedName name="L_01">#REF!</x:definedName>
    <x:definedName name="LIA">#REF!</x:definedName>
    <x:definedName name="LILI">#REF!</x:definedName>
    <x:definedName name="LINA">#REF!</x:definedName>
    <x:definedName name="m">#REF!</x:definedName>
    <x:definedName name="Manufacturing">#REF!</x:definedName>
    <x:definedName name="MR">#REF!</x:definedName>
    <x:definedName name="nittk">#REF!</x:definedName>
    <x:definedName name="nittk_ok">#REF!</x:definedName>
    <x:definedName name="nittoukei">#REF!</x:definedName>
    <x:definedName name="Plan" hidden="1">[2]金具工程見出し!$A$9:$K$9</x:definedName>
    <x:definedName name="Print_Area_MI">#REF!</x:definedName>
    <x:definedName name="PRINT_TITLES_MI">#REF!</x:definedName>
    <x:definedName name="ry">#REF!</x:definedName>
    <x:definedName name="ryohikei">#REF!</x:definedName>
    <x:definedName name="S">#REF!</x:definedName>
    <x:definedName name="sais">#REF!</x:definedName>
    <x:definedName name="saisyuu">#REF!</x:definedName>
    <x:definedName name="se">#REF!</x:definedName>
    <x:definedName name="sett">#REF!</x:definedName>
    <x:definedName name="setta">#REF!</x:definedName>
    <x:definedName name="settaihikei">#REF!</x:definedName>
    <x:definedName name="settaikousai">#REF!</x:definedName>
    <x:definedName name="SEX">#REF!</x:definedName>
    <x:definedName name="shu">#REF!</x:definedName>
    <x:definedName name="shukuhakukei">#REF!</x:definedName>
    <x:definedName name="so">#REF!</x:definedName>
    <x:definedName name="son">#REF!</x:definedName>
    <x:definedName name="sonot">#REF!</x:definedName>
    <x:definedName name="sonotakei">#REF!</x:definedName>
    <x:definedName name="ST">#REF!</x:definedName>
    <x:definedName name="stt">#REF!</x:definedName>
    <x:definedName name="SX">#REF!</x:definedName>
    <x:definedName name="sxx">#REF!</x:definedName>
    <x:definedName name="test">[3]出力②!$G$7:$I$19</x:definedName>
    <x:definedName name="test2">[3]グラフ用!$E$3:$F$14</x:definedName>
    <x:definedName name="test3">[3]グラフ用!$H$5:$J$13</x:definedName>
    <x:definedName name="test4">[3]グラフ用!$I$4:$J$13</x:definedName>
    <x:definedName name="Tgl">#REF!</x:definedName>
    <x:definedName name="tgll">#REF!</x:definedName>
    <x:definedName name="tr">#REF!</x:definedName>
    <x:definedName name="train">#REF!</x:definedName>
    <x:definedName name="TRIAL">#REF!</x:definedName>
    <x:definedName name="tttttttttttt">#REF!</x:definedName>
    <x:definedName name="tu">#REF!</x:definedName>
    <x:definedName name="tuusinhikei">#REF!</x:definedName>
    <x:definedName name="u">#REF!</x:definedName>
    <x:definedName name="uj" hidden="1">{"'Stock November   ' 99'!$A$1:$AF$46"}</x:definedName>
    <x:definedName name="uji" hidden="1">{"'Stock November   ' 99'!$A$1:$AF$46"}</x:definedName>
    <x:definedName name="UT">#REF!</x:definedName>
    <x:definedName name="uu">#REF!</x:definedName>
    <x:definedName name="ww">#REF!</x:definedName>
    <x:definedName name="ﾃﾞｰﾀセ直販">'[4]ｺﾋﾟｰ用（直セ）'!$E$12</x:definedName>
    <x:definedName name="ﾃﾞｰﾀプラント">'[4]ｺﾋﾟｰ用（海プ）'!$E$1:$Y$97</x:definedName>
    <x:definedName name="ﾃﾞｰﾀ海プ">'[4]ｺﾋﾟｰ用（海プ）'!$D$7</x:definedName>
    <x:definedName name="ﾃﾞｰﾀ海市">#REF!</x:definedName>
    <x:definedName name="ﾃﾞｰﾀ直販ｾﾝｻｰ">'[4]ｺﾋﾟｰ用（直セ）'!$E$1:$Y$34</x:definedName>
    <x:definedName name="プラントｺｰﾄﾞ">'[4]ｺﾋﾟｰ用（海プ）'!$F$1:$Z$209</x:definedName>
    <x:definedName name="リスト">[5]リスト!$C$1:$C$150</x:definedName>
    <x:definedName name="ルピア">#REF!</x:definedName>
    <x:definedName name="予算ﾚｰﾄ">#REF!</x:definedName>
    <x:definedName name="今">#REF!</x:definedName>
    <x:definedName name="仲介">#REF!</x:definedName>
    <x:definedName name="元">#REF!</x:definedName>
    <x:definedName name="円">#REF!</x:definedName>
    <x:definedName name="円vsドル_レート">#REF!</x:definedName>
    <x:definedName name="出発">[7]支援計画・０４!$G$4:$G$171</x:definedName>
    <x:definedName name="到着">[7]支援計画・０４!$F$4:$F$171</x:definedName>
    <x:definedName name="印刷領域">#REF!</x:definedName>
    <x:definedName name="品種別ｺｰﾄﾞ">'[4]ｺﾋﾟｰ用（全社）'!$F$1:$Z$245</x:definedName>
    <x:definedName name="品種別出荷ﾃﾞｰﾀ">'[4]ｺﾋﾟｰ用（全社）'!$E$1:$X$65536</x:definedName>
    <x:definedName name="品種別出荷ﾃﾞｰﾀ全社">'[4]ｺﾋﾟｰ用（全社）'!$E$1:$X$65536</x:definedName>
    <x:definedName name="品種別実績">#REF!</x:definedName>
    <x:definedName name="商品群">[9]テーブル!$B$2:$B$7</x:definedName>
    <x:definedName name="実績レート">#REF!</x:definedName>
    <x:definedName name="対象日数">#REF!</x:definedName>
    <x:definedName name="技術開発経費181">#REF!</x:definedName>
    <x:definedName name="技術開発経費182">#REF!</x:definedName>
    <x:definedName name="担当者">[9]テーブル!$F$2:$F$24</x:definedName>
    <x:definedName name="支援まとめ">'[10]予定日別1-6'!$U$4:$GV$4</x:definedName>
    <x:definedName name="日付">[7]支援計画・０４!$J$4:$CW$4</x:definedName>
    <x:definedName name="日数">#REF!</x:definedName>
    <x:definedName name="期">#REF!</x:definedName>
    <x:definedName name="梱包_Ｍ３">'[11]KB,MOLD ESTIMATE.00'!$F$13:$X$13</x:definedName>
    <x:definedName name="機能分類リスト">[12]開発計画品番リスト!#REF!</x:definedName>
    <x:definedName name="比率">[13]調達計画!#REF!</x:definedName>
    <x:definedName name="決算期区分">#REF!</x:definedName>
    <x:definedName name="為替">#REF!</x:definedName>
    <x:definedName name="為替レートEU">#REF!</x:definedName>
    <x:definedName name="為替レートUS">#REF!</x:definedName>
    <x:definedName name="生産拠点">[9]テーブル!$C$2:$C$6</x:definedName>
    <x:definedName name="直販ｺｰﾄﾞ">'[4]ｺﾋﾟｰ用（直セ）'!$F$1:$AN$263</x:definedName>
    <x:definedName name="立上年">[9]テーブル!$A$2:$A$11</x:definedName>
    <x:definedName name="立上月">[9]テーブル!$D$2:$D$13</x:definedName>
    <x:definedName name="補助部門比率">#REF!</x:definedName>
    <x:definedName name="補助部門費_設計以外181">#REF!</x:definedName>
    <x:definedName name="補助部門費_設計以外182">#REF!</x:definedName>
    <x:definedName name="販管費率">#REF!</x:definedName>
    <x:definedName name="輸入">#REF!</x:definedName>
    <x:definedName name="配布先">#REF!</x:definedName>
    <x:definedName name="開発経費合計181">#REF!</x:definedName>
    <x:definedName name="開発経費合計182">#REF!</x:definedName>
    <x:definedName name="雇用">#REF!</x:definedName>
    <x:definedName name="電話代補助">#REF!</x:definedName>
  </x:definedNames>
  <x:calcPr calcId="191029" iterate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8" i="3"/>
  <x:c r="D8" i="3"/>
  <x:c r="F8" i="3"/>
  <x:c r="I8" i="3"/>
  <x:c r="J8" i="3"/>
  <x:c r="L8" i="3"/>
  <x:c r="P8" i="3"/>
  <x:c r="Q8" i="3"/>
  <x:c r="B9" i="3"/>
  <x:c r="D9" i="3"/>
  <x:c r="F9" i="3"/>
  <x:c r="I9" i="3"/>
  <x:c r="J9" i="3"/>
  <x:c r="L9" i="3"/>
  <x:c r="P9" i="3"/>
  <x:c r="Q9" i="3"/>
  <x:c r="B10" i="3"/>
  <x:c r="D10" i="3"/>
  <x:c r="F10" i="3"/>
  <x:c r="I10" i="3"/>
  <x:c r="J10" i="3"/>
  <x:c r="L10" i="3"/>
  <x:c r="P10" i="3"/>
  <x:c r="Q10" i="3"/>
  <x:c r="B11" i="3"/>
  <x:c r="D11" i="3"/>
  <x:c r="F11" i="3"/>
  <x:c r="I11" i="3"/>
  <x:c r="J11" i="3"/>
  <x:c r="L11" i="3"/>
  <x:c r="P11" i="3"/>
  <x:c r="Q11" i="3"/>
  <x:c r="B12" i="3"/>
  <x:c r="D12" i="3"/>
  <x:c r="F12" i="3"/>
  <x:c r="I12" i="3"/>
  <x:c r="J12" i="3"/>
  <x:c r="L12" i="3"/>
  <x:c r="P12" i="3"/>
  <x:c r="Q12" i="3"/>
  <x:c r="B13" i="3"/>
  <x:c r="D13" i="3"/>
  <x:c r="F13" i="3"/>
  <x:c r="I13" i="3"/>
  <x:c r="J13" i="3"/>
  <x:c r="L13" i="3"/>
  <x:c r="P13" i="3"/>
  <x:c r="Q13" i="3"/>
  <x:c r="B14" i="3"/>
  <x:c r="D14" i="3"/>
  <x:c r="F14" i="3"/>
  <x:c r="I14" i="3"/>
  <x:c r="J14" i="3"/>
  <x:c r="L14" i="3"/>
  <x:c r="P14" i="3"/>
  <x:c r="Q14" i="3"/>
  <x:c r="B15" i="3"/>
  <x:c r="D15" i="3"/>
  <x:c r="F15" i="3"/>
  <x:c r="I15" i="3"/>
  <x:c r="J15" i="3"/>
  <x:c r="L15" i="3"/>
  <x:c r="P15" i="3"/>
  <x:c r="Q15" i="3"/>
  <x:c r="B16" i="3"/>
  <x:c r="D16" i="3"/>
  <x:c r="F16" i="3"/>
  <x:c r="I16" i="3"/>
  <x:c r="J16" i="3"/>
  <x:c r="L16" i="3"/>
  <x:c r="P16" i="3"/>
  <x:c r="Q16" i="3"/>
  <x:c r="B17" i="3"/>
  <x:c r="D17" i="3"/>
  <x:c r="F17" i="3"/>
  <x:c r="I17" i="3"/>
  <x:c r="J17" i="3"/>
  <x:c r="L17" i="3"/>
  <x:c r="P17" i="3"/>
  <x:c r="Q17" i="3"/>
  <x:c r="B18" i="3"/>
  <x:c r="D18" i="3"/>
  <x:c r="F18" i="3"/>
  <x:c r="I18" i="3"/>
  <x:c r="J18" i="3"/>
  <x:c r="L18" i="3"/>
  <x:c r="P18" i="3"/>
  <x:c r="Q18" i="3"/>
  <x:c r="B19" i="3"/>
  <x:c r="D19" i="3"/>
  <x:c r="F19" i="3"/>
  <x:c r="I19" i="3"/>
  <x:c r="J19" i="3"/>
  <x:c r="L19" i="3"/>
  <x:c r="P19" i="3"/>
  <x:c r="Q19" i="3"/>
  <x:c r="B20" i="3"/>
  <x:c r="D20" i="3"/>
  <x:c r="F20" i="3"/>
  <x:c r="I20" i="3"/>
  <x:c r="J20" i="3"/>
  <x:c r="L20" i="3"/>
  <x:c r="P20" i="3"/>
  <x:c r="Q20" i="3"/>
  <x:c r="B21" i="3"/>
  <x:c r="D21" i="3"/>
  <x:c r="F21" i="3"/>
  <x:c r="I21" i="3"/>
  <x:c r="J21" i="3"/>
  <x:c r="L21" i="3"/>
  <x:c r="P21" i="3"/>
  <x:c r="Q21" i="3"/>
  <x:c r="B22" i="3"/>
  <x:c r="D22" i="3"/>
  <x:c r="F22" i="3"/>
  <x:c r="I22" i="3"/>
  <x:c r="J22" i="3"/>
  <x:c r="L22" i="3"/>
  <x:c r="P22" i="3"/>
  <x:c r="Q22" i="3"/>
  <x:c r="B23" i="3"/>
  <x:c r="D23" i="3"/>
  <x:c r="F23" i="3"/>
  <x:c r="I23" i="3"/>
  <x:c r="J23" i="3"/>
  <x:c r="L23" i="3"/>
  <x:c r="P23" i="3"/>
  <x:c r="Q23" i="3"/>
  <x:c r="B24" i="3"/>
  <x:c r="D24" i="3"/>
  <x:c r="F24" i="3"/>
  <x:c r="I24" i="3"/>
  <x:c r="J24" i="3"/>
  <x:c r="L24" i="3"/>
  <x:c r="P24" i="3"/>
  <x:c r="Q24" i="3"/>
  <x:c r="B25" i="3"/>
  <x:c r="D25" i="3"/>
  <x:c r="F25" i="3"/>
  <x:c r="I25" i="3"/>
  <x:c r="J25" i="3"/>
  <x:c r="L25" i="3"/>
  <x:c r="P25" i="3"/>
  <x:c r="Q25" i="3"/>
  <x:c r="B26" i="3"/>
  <x:c r="D26" i="3"/>
  <x:c r="F26" i="3"/>
  <x:c r="I26" i="3"/>
  <x:c r="J26" i="3"/>
  <x:c r="L26" i="3"/>
  <x:c r="P26" i="3"/>
  <x:c r="Q26" i="3"/>
  <x:c r="B27" i="3"/>
  <x:c r="D27" i="3"/>
  <x:c r="F27" i="3"/>
  <x:c r="I27" i="3"/>
  <x:c r="J27" i="3"/>
  <x:c r="L27" i="3"/>
  <x:c r="P27" i="3"/>
  <x:c r="Q27" i="3"/>
  <x:c r="B28" i="3"/>
  <x:c r="D28" i="3"/>
  <x:c r="F28" i="3"/>
  <x:c r="I28" i="3"/>
  <x:c r="J28" i="3"/>
  <x:c r="L28" i="3"/>
  <x:c r="P28" i="3"/>
  <x:c r="Q28" i="3"/>
  <x:c r="B29" i="3"/>
  <x:c r="D29" i="3"/>
  <x:c r="F29" i="3"/>
  <x:c r="I29" i="3"/>
  <x:c r="J29" i="3"/>
  <x:c r="L29" i="3"/>
  <x:c r="P29" i="3"/>
  <x:c r="Q29" i="3"/>
  <x:c r="B30" i="3"/>
  <x:c r="D30" i="3"/>
  <x:c r="F30" i="3"/>
  <x:c r="I30" i="3"/>
  <x:c r="J30" i="3"/>
  <x:c r="L30" i="3"/>
  <x:c r="P30" i="3"/>
  <x:c r="Q30" i="3"/>
  <x:c r="B31" i="3"/>
  <x:c r="D31" i="3"/>
  <x:c r="F31" i="3"/>
  <x:c r="I31" i="3"/>
  <x:c r="J31" i="3"/>
  <x:c r="L31" i="3"/>
  <x:c r="P31" i="3"/>
  <x:c r="Q31" i="3"/>
  <x:c r="B32" i="3"/>
  <x:c r="D32" i="3"/>
  <x:c r="F32" i="3"/>
  <x:c r="I32" i="3"/>
  <x:c r="J32" i="3"/>
  <x:c r="L32" i="3"/>
  <x:c r="P32" i="3"/>
  <x:c r="Q32" i="3"/>
  <x:c r="B33" i="3"/>
  <x:c r="D33" i="3"/>
  <x:c r="F33" i="3"/>
  <x:c r="I33" i="3"/>
  <x:c r="J33" i="3"/>
  <x:c r="L33" i="3"/>
  <x:c r="P33" i="3"/>
  <x:c r="Q33" i="3"/>
  <x:c r="B34" i="3"/>
  <x:c r="D34" i="3"/>
  <x:c r="F34" i="3"/>
  <x:c r="I34" i="3"/>
  <x:c r="J34" i="3"/>
  <x:c r="L34" i="3"/>
  <x:c r="P34" i="3"/>
  <x:c r="Q34" i="3"/>
  <x:c r="B35" i="3"/>
  <x:c r="D35" i="3"/>
  <x:c r="F35" i="3"/>
  <x:c r="I35" i="3"/>
  <x:c r="J35" i="3"/>
  <x:c r="L35" i="3"/>
  <x:c r="P35" i="3"/>
  <x:c r="Q35" i="3"/>
  <x:c r="B36" i="3"/>
  <x:c r="D36" i="3"/>
  <x:c r="F36" i="3"/>
  <x:c r="I36" i="3"/>
  <x:c r="J36" i="3"/>
  <x:c r="L36" i="3"/>
  <x:c r="P36" i="3"/>
  <x:c r="Q36" i="3"/>
  <x:c r="B37" i="3"/>
  <x:c r="D37" i="3"/>
  <x:c r="F37" i="3"/>
  <x:c r="I37" i="3"/>
  <x:c r="J37" i="3"/>
  <x:c r="L37" i="3"/>
  <x:c r="P37" i="3"/>
  <x:c r="Q37" i="3"/>
  <x:c r="B38" i="3"/>
  <x:c r="D38" i="3"/>
  <x:c r="F38" i="3"/>
  <x:c r="I38" i="3"/>
  <x:c r="J38" i="3"/>
  <x:c r="L38" i="3"/>
  <x:c r="P38" i="3"/>
  <x:c r="Q38" i="3"/>
  <x:c r="B39" i="3"/>
  <x:c r="D39" i="3"/>
  <x:c r="F39" i="3"/>
  <x:c r="I39" i="3"/>
  <x:c r="J39" i="3"/>
  <x:c r="L39" i="3"/>
  <x:c r="P39" i="3"/>
  <x:c r="Q39" i="3"/>
  <x:c r="B40" i="3"/>
  <x:c r="D40" i="3"/>
  <x:c r="F40" i="3"/>
  <x:c r="I40" i="3"/>
  <x:c r="J40" i="3"/>
  <x:c r="L40" i="3"/>
  <x:c r="P40" i="3"/>
  <x:c r="Q40" i="3"/>
  <x:c r="B41" i="3"/>
  <x:c r="D41" i="3"/>
  <x:c r="F41" i="3"/>
  <x:c r="I41" i="3"/>
  <x:c r="J41" i="3"/>
  <x:c r="L41" i="3"/>
  <x:c r="P41" i="3"/>
  <x:c r="Q41" i="3"/>
  <x:c r="B42" i="3"/>
  <x:c r="D42" i="3"/>
  <x:c r="F42" i="3"/>
  <x:c r="I42" i="3"/>
  <x:c r="J42" i="3"/>
  <x:c r="L42" i="3"/>
  <x:c r="P42" i="3"/>
  <x:c r="Q42" i="3"/>
  <x:c r="B43" i="3"/>
  <x:c r="D43" i="3"/>
  <x:c r="F43" i="3"/>
  <x:c r="I43" i="3"/>
  <x:c r="J43" i="3"/>
  <x:c r="L43" i="3"/>
  <x:c r="P43" i="3"/>
  <x:c r="Q43" i="3"/>
  <x:c r="B44" i="3"/>
  <x:c r="D44" i="3"/>
  <x:c r="F44" i="3"/>
  <x:c r="I44" i="3"/>
  <x:c r="J44" i="3"/>
  <x:c r="L44" i="3"/>
  <x:c r="P44" i="3"/>
  <x:c r="Q44" i="3"/>
  <x:c r="B45" i="3"/>
  <x:c r="D45" i="3"/>
  <x:c r="F45" i="3"/>
  <x:c r="I45" i="3"/>
  <x:c r="J45" i="3"/>
  <x:c r="L45" i="3"/>
  <x:c r="P45" i="3"/>
  <x:c r="Q45" i="3"/>
  <x:c r="B46" i="3"/>
  <x:c r="D46" i="3"/>
  <x:c r="F46" i="3"/>
  <x:c r="I46" i="3"/>
  <x:c r="J46" i="3"/>
  <x:c r="L46" i="3"/>
  <x:c r="P46" i="3"/>
  <x:c r="Q46" i="3"/>
  <x:c r="B47" i="3"/>
  <x:c r="D47" i="3"/>
  <x:c r="F47" i="3"/>
  <x:c r="I47" i="3"/>
  <x:c r="J47" i="3"/>
  <x:c r="L47" i="3"/>
  <x:c r="P47" i="3"/>
  <x:c r="Q47" i="3"/>
  <x:c r="B48" i="3"/>
  <x:c r="D48" i="3"/>
  <x:c r="F48" i="3"/>
  <x:c r="I48" i="3"/>
  <x:c r="J48" i="3"/>
  <x:c r="L48" i="3"/>
  <x:c r="P48" i="3"/>
  <x:c r="Q48" i="3"/>
  <x:c r="B49" i="3"/>
  <x:c r="D49" i="3"/>
  <x:c r="F49" i="3"/>
  <x:c r="I49" i="3"/>
  <x:c r="J49" i="3"/>
  <x:c r="L49" i="3"/>
  <x:c r="P49" i="3"/>
  <x:c r="Q49" i="3"/>
  <x:c r="B50" i="3"/>
  <x:c r="D50" i="3"/>
  <x:c r="F50" i="3"/>
  <x:c r="I50" i="3"/>
  <x:c r="J50" i="3"/>
  <x:c r="L50" i="3"/>
  <x:c r="P50" i="3"/>
  <x:c r="Q50" i="3"/>
  <x:c r="B51" i="3"/>
  <x:c r="D51" i="3"/>
  <x:c r="F51" i="3"/>
  <x:c r="I51" i="3"/>
  <x:c r="J51" i="3"/>
  <x:c r="L51" i="3"/>
  <x:c r="P51" i="3"/>
  <x:c r="Q51" i="3"/>
  <x:c r="B52" i="3"/>
  <x:c r="D52" i="3"/>
  <x:c r="F52" i="3"/>
  <x:c r="I52" i="3"/>
  <x:c r="J52" i="3"/>
  <x:c r="L52" i="3"/>
  <x:c r="P52" i="3"/>
  <x:c r="Q52" i="3"/>
  <x:c r="B53" i="3"/>
  <x:c r="D53" i="3"/>
  <x:c r="F53" i="3"/>
  <x:c r="I53" i="3"/>
  <x:c r="J53" i="3"/>
  <x:c r="L53" i="3"/>
  <x:c r="P53" i="3"/>
  <x:c r="Q53" i="3"/>
  <x:c r="B54" i="3"/>
  <x:c r="D54" i="3"/>
  <x:c r="F54" i="3"/>
  <x:c r="I54" i="3"/>
  <x:c r="J54" i="3"/>
  <x:c r="L54" i="3"/>
  <x:c r="P54" i="3"/>
  <x:c r="Q54" i="3"/>
  <x:c r="B55" i="3"/>
  <x:c r="D55" i="3"/>
  <x:c r="F55" i="3"/>
  <x:c r="I55" i="3"/>
  <x:c r="J55" i="3"/>
  <x:c r="L55" i="3"/>
  <x:c r="P55" i="3"/>
  <x:c r="Q55" i="3"/>
  <x:c r="B56" i="3"/>
  <x:c r="D56" i="3"/>
  <x:c r="F56" i="3"/>
  <x:c r="I56" i="3"/>
  <x:c r="J56" i="3"/>
  <x:c r="L56" i="3"/>
  <x:c r="P56" i="3"/>
  <x:c r="Q56" i="3"/>
  <x:c r="B57" i="3"/>
  <x:c r="D57" i="3"/>
  <x:c r="F57" i="3"/>
  <x:c r="I57" i="3"/>
  <x:c r="J57" i="3"/>
  <x:c r="L57" i="3"/>
  <x:c r="P57" i="3"/>
  <x:c r="Q57" i="3"/>
  <x:c r="B58" i="3"/>
  <x:c r="D58" i="3"/>
  <x:c r="F58" i="3"/>
  <x:c r="I58" i="3"/>
  <x:c r="J58" i="3"/>
  <x:c r="L58" i="3"/>
  <x:c r="P58" i="3"/>
  <x:c r="Q58" i="3"/>
  <x:c r="B59" i="3"/>
  <x:c r="D59" i="3"/>
  <x:c r="F59" i="3"/>
  <x:c r="I59" i="3"/>
  <x:c r="J59" i="3"/>
  <x:c r="L59" i="3"/>
  <x:c r="P59" i="3"/>
  <x:c r="Q59" i="3"/>
  <x:c r="B60" i="3"/>
  <x:c r="D60" i="3"/>
  <x:c r="F60" i="3"/>
  <x:c r="I60" i="3"/>
  <x:c r="J60" i="3"/>
  <x:c r="L60" i="3"/>
  <x:c r="P60" i="3"/>
  <x:c r="Q60" i="3"/>
  <x:c r="B61" i="3"/>
  <x:c r="D61" i="3"/>
  <x:c r="F61" i="3"/>
  <x:c r="I61" i="3"/>
  <x:c r="J61" i="3"/>
  <x:c r="L61" i="3"/>
  <x:c r="P61" i="3"/>
  <x:c r="Q61" i="3"/>
  <x:c r="B62" i="3"/>
  <x:c r="D62" i="3"/>
  <x:c r="F62" i="3"/>
  <x:c r="I62" i="3"/>
  <x:c r="J62" i="3"/>
  <x:c r="L62" i="3"/>
  <x:c r="P62" i="3"/>
  <x:c r="Q62" i="3"/>
  <x:c r="B63" i="3"/>
  <x:c r="D63" i="3"/>
  <x:c r="F63" i="3"/>
  <x:c r="I63" i="3"/>
  <x:c r="J63" i="3"/>
  <x:c r="L63" i="3"/>
  <x:c r="P63" i="3"/>
  <x:c r="Q63" i="3"/>
  <x:c r="B64" i="3"/>
  <x:c r="D64" i="3"/>
  <x:c r="F64" i="3"/>
  <x:c r="I64" i="3"/>
  <x:c r="J64" i="3"/>
  <x:c r="L64" i="3"/>
  <x:c r="P64" i="3"/>
  <x:c r="Q64" i="3"/>
  <x:c r="B65" i="3"/>
  <x:c r="D65" i="3"/>
  <x:c r="F65" i="3"/>
  <x:c r="I65" i="3"/>
  <x:c r="J65" i="3"/>
  <x:c r="L65" i="3"/>
  <x:c r="P65" i="3"/>
  <x:c r="Q65" i="3"/>
  <x:c r="B66" i="3"/>
  <x:c r="D66" i="3"/>
  <x:c r="F66" i="3"/>
  <x:c r="I66" i="3"/>
  <x:c r="J66" i="3"/>
  <x:c r="L66" i="3"/>
  <x:c r="P66" i="3"/>
  <x:c r="Q66" i="3"/>
  <x:c r="B67" i="3"/>
  <x:c r="D67" i="3"/>
  <x:c r="F67" i="3"/>
  <x:c r="I67" i="3"/>
  <x:c r="J67" i="3"/>
  <x:c r="L67" i="3"/>
  <x:c r="P67" i="3"/>
  <x:c r="Q67" i="3"/>
  <x:c r="B68" i="3"/>
  <x:c r="D68" i="3"/>
  <x:c r="F68" i="3"/>
  <x:c r="I68" i="3"/>
  <x:c r="J68" i="3"/>
  <x:c r="L68" i="3"/>
  <x:c r="P68" i="3"/>
  <x:c r="Q68" i="3"/>
  <x:c r="B69" i="3"/>
  <x:c r="D69" i="3"/>
  <x:c r="F69" i="3"/>
  <x:c r="I69" i="3"/>
  <x:c r="J69" i="3"/>
  <x:c r="L69" i="3"/>
  <x:c r="P69" i="3"/>
  <x:c r="Q69" i="3"/>
  <x:c r="B70" i="3"/>
  <x:c r="D70" i="3"/>
  <x:c r="F70" i="3"/>
  <x:c r="I70" i="3"/>
  <x:c r="J70" i="3"/>
  <x:c r="L70" i="3"/>
  <x:c r="P70" i="3"/>
  <x:c r="Q70" i="3"/>
  <x:c r="B71" i="3"/>
  <x:c r="D71" i="3"/>
  <x:c r="F71" i="3"/>
  <x:c r="I71" i="3"/>
  <x:c r="J71" i="3"/>
  <x:c r="L71" i="3"/>
  <x:c r="P71" i="3"/>
  <x:c r="Q71" i="3"/>
  <x:c r="B72" i="3"/>
  <x:c r="D72" i="3"/>
  <x:c r="F72" i="3"/>
  <x:c r="I72" i="3"/>
  <x:c r="J72" i="3"/>
  <x:c r="L72" i="3"/>
  <x:c r="P72" i="3"/>
  <x:c r="Q72" i="3"/>
  <x:c r="B73" i="3"/>
  <x:c r="D73" i="3"/>
  <x:c r="F73" i="3"/>
  <x:c r="I73" i="3"/>
  <x:c r="J73" i="3"/>
  <x:c r="L73" i="3"/>
  <x:c r="P73" i="3"/>
  <x:c r="Q73" i="3"/>
  <x:c r="B74" i="3"/>
  <x:c r="D74" i="3"/>
  <x:c r="F74" i="3"/>
  <x:c r="I74" i="3"/>
  <x:c r="J74" i="3"/>
  <x:c r="L74" i="3"/>
  <x:c r="P74" i="3"/>
  <x:c r="Q74" i="3"/>
  <x:c r="B75" i="3"/>
  <x:c r="D75" i="3"/>
  <x:c r="F75" i="3"/>
  <x:c r="I75" i="3"/>
  <x:c r="J75" i="3"/>
  <x:c r="L75" i="3"/>
  <x:c r="P75" i="3"/>
  <x:c r="Q75" i="3"/>
  <x:c r="B76" i="3"/>
  <x:c r="D76" i="3"/>
  <x:c r="F76" i="3"/>
  <x:c r="I76" i="3"/>
  <x:c r="J76" i="3"/>
  <x:c r="L76" i="3"/>
  <x:c r="P76" i="3"/>
  <x:c r="Q76" i="3"/>
  <x:c r="B77" i="3"/>
  <x:c r="D77" i="3"/>
  <x:c r="F77" i="3"/>
  <x:c r="I77" i="3"/>
  <x:c r="J77" i="3"/>
  <x:c r="L77" i="3"/>
  <x:c r="P77" i="3"/>
  <x:c r="Q77" i="3"/>
  <x:c r="B78" i="3"/>
  <x:c r="D78" i="3"/>
  <x:c r="F78" i="3"/>
  <x:c r="I78" i="3"/>
  <x:c r="J78" i="3"/>
  <x:c r="L78" i="3"/>
  <x:c r="P78" i="3"/>
  <x:c r="Q78" i="3"/>
  <x:c r="B79" i="3"/>
  <x:c r="D79" i="3"/>
  <x:c r="F79" i="3"/>
  <x:c r="I79" i="3"/>
  <x:c r="J79" i="3"/>
  <x:c r="L79" i="3"/>
  <x:c r="P79" i="3"/>
  <x:c r="Q79" i="3"/>
  <x:c r="B80" i="3"/>
  <x:c r="D80" i="3"/>
  <x:c r="F80" i="3"/>
  <x:c r="I80" i="3"/>
  <x:c r="J80" i="3"/>
  <x:c r="L80" i="3"/>
  <x:c r="P80" i="3"/>
  <x:c r="Q80" i="3"/>
  <x:c r="B81" i="3"/>
  <x:c r="D81" i="3"/>
  <x:c r="F81" i="3"/>
  <x:c r="I81" i="3"/>
  <x:c r="J81" i="3"/>
  <x:c r="L81" i="3"/>
  <x:c r="P81" i="3"/>
  <x:c r="Q81" i="3"/>
  <x:c r="B82" i="3"/>
  <x:c r="D82" i="3"/>
  <x:c r="F82" i="3"/>
  <x:c r="I82" i="3"/>
  <x:c r="J82" i="3"/>
  <x:c r="L82" i="3"/>
  <x:c r="P82" i="3"/>
  <x:c r="Q82" i="3"/>
  <x:c r="B83" i="3"/>
  <x:c r="D83" i="3"/>
  <x:c r="F83" i="3"/>
  <x:c r="I83" i="3"/>
  <x:c r="J83" i="3"/>
  <x:c r="L83" i="3"/>
  <x:c r="P83" i="3"/>
  <x:c r="Q83" i="3"/>
  <x:c r="B84" i="3"/>
  <x:c r="D84" i="3"/>
  <x:c r="F84" i="3"/>
  <x:c r="I84" i="3"/>
  <x:c r="J84" i="3"/>
  <x:c r="L84" i="3"/>
  <x:c r="P84" i="3"/>
  <x:c r="Q84" i="3"/>
  <x:c r="B85" i="3"/>
  <x:c r="D85" i="3"/>
  <x:c r="F85" i="3"/>
  <x:c r="I85" i="3"/>
  <x:c r="J85" i="3"/>
  <x:c r="L85" i="3"/>
  <x:c r="P85" i="3"/>
  <x:c r="Q85" i="3"/>
  <x:c r="B86" i="3"/>
  <x:c r="D86" i="3"/>
  <x:c r="F86" i="3"/>
  <x:c r="I86" i="3"/>
  <x:c r="J86" i="3"/>
  <x:c r="L86" i="3"/>
  <x:c r="P86" i="3"/>
  <x:c r="Q86" i="3"/>
  <x:c r="B87" i="3"/>
  <x:c r="D87" i="3"/>
  <x:c r="F87" i="3"/>
  <x:c r="I87" i="3"/>
  <x:c r="J87" i="3"/>
  <x:c r="L87" i="3"/>
  <x:c r="P87" i="3"/>
  <x:c r="Q87" i="3"/>
  <x:c r="B88" i="3"/>
  <x:c r="D88" i="3"/>
  <x:c r="F88" i="3"/>
  <x:c r="I88" i="3"/>
  <x:c r="J88" i="3"/>
  <x:c r="L88" i="3"/>
  <x:c r="P88" i="3"/>
  <x:c r="Q88" i="3"/>
  <x:c r="B89" i="3"/>
  <x:c r="D89" i="3"/>
  <x:c r="F89" i="3"/>
  <x:c r="I89" i="3"/>
  <x:c r="J89" i="3"/>
  <x:c r="L89" i="3"/>
  <x:c r="P89" i="3"/>
  <x:c r="Q89" i="3"/>
  <x:c r="B90" i="3"/>
  <x:c r="D90" i="3"/>
  <x:c r="F90" i="3"/>
  <x:c r="I90" i="3"/>
  <x:c r="J90" i="3"/>
  <x:c r="L90" i="3"/>
  <x:c r="P90" i="3"/>
  <x:c r="Q90" i="3"/>
  <x:c r="B91" i="3"/>
  <x:c r="D91" i="3"/>
  <x:c r="F91" i="3"/>
  <x:c r="I91" i="3"/>
  <x:c r="J91" i="3"/>
  <x:c r="L91" i="3"/>
  <x:c r="P91" i="3"/>
  <x:c r="Q91" i="3"/>
  <x:c r="B92" i="3"/>
  <x:c r="D92" i="3"/>
  <x:c r="F92" i="3"/>
  <x:c r="I92" i="3"/>
  <x:c r="J92" i="3"/>
  <x:c r="L92" i="3"/>
  <x:c r="P92" i="3"/>
  <x:c r="Q92" i="3"/>
  <x:c r="B93" i="3"/>
  <x:c r="D93" i="3"/>
  <x:c r="F93" i="3"/>
  <x:c r="I93" i="3"/>
  <x:c r="J93" i="3"/>
  <x:c r="L93" i="3"/>
  <x:c r="P93" i="3"/>
  <x:c r="Q93" i="3"/>
  <x:c r="B94" i="3"/>
  <x:c r="D94" i="3"/>
  <x:c r="F94" i="3"/>
  <x:c r="I94" i="3"/>
  <x:c r="J94" i="3"/>
  <x:c r="L94" i="3"/>
  <x:c r="P94" i="3"/>
  <x:c r="Q94" i="3"/>
  <x:c r="B95" i="3"/>
  <x:c r="D95" i="3"/>
  <x:c r="F95" i="3"/>
  <x:c r="I95" i="3"/>
  <x:c r="J95" i="3"/>
  <x:c r="L95" i="3"/>
  <x:c r="P95" i="3"/>
  <x:c r="Q95" i="3"/>
  <x:c r="B96" i="3"/>
  <x:c r="D96" i="3"/>
  <x:c r="F96" i="3"/>
  <x:c r="I96" i="3"/>
  <x:c r="J96" i="3"/>
  <x:c r="L96" i="3"/>
  <x:c r="P96" i="3"/>
  <x:c r="Q96" i="3"/>
  <x:c r="B97" i="3"/>
  <x:c r="D97" i="3"/>
  <x:c r="F97" i="3"/>
  <x:c r="I97" i="3"/>
  <x:c r="J97" i="3"/>
  <x:c r="L97" i="3"/>
  <x:c r="P97" i="3"/>
  <x:c r="Q97" i="3"/>
  <x:c r="B98" i="3"/>
  <x:c r="D98" i="3"/>
  <x:c r="F98" i="3"/>
  <x:c r="I98" i="3"/>
  <x:c r="J98" i="3"/>
  <x:c r="L98" i="3"/>
  <x:c r="P98" i="3"/>
  <x:c r="Q98" i="3"/>
  <x:c r="B99" i="3"/>
  <x:c r="D99" i="3"/>
  <x:c r="F99" i="3"/>
  <x:c r="I99" i="3"/>
  <x:c r="J99" i="3"/>
  <x:c r="L99" i="3"/>
  <x:c r="P99" i="3"/>
  <x:c r="Q99" i="3"/>
  <x:c r="B100" i="3"/>
  <x:c r="D100" i="3"/>
  <x:c r="F100" i="3"/>
  <x:c r="I100" i="3"/>
  <x:c r="J100" i="3"/>
  <x:c r="L100" i="3"/>
  <x:c r="P100" i="3"/>
  <x:c r="Q100" i="3"/>
  <x:c r="B101" i="3"/>
  <x:c r="D101" i="3"/>
  <x:c r="F101" i="3"/>
  <x:c r="I101" i="3"/>
  <x:c r="J101" i="3"/>
  <x:c r="L101" i="3"/>
  <x:c r="P101" i="3"/>
  <x:c r="Q101" i="3"/>
  <x:c r="B102" i="3"/>
  <x:c r="D102" i="3"/>
  <x:c r="F102" i="3"/>
  <x:c r="I102" i="3"/>
  <x:c r="J102" i="3"/>
  <x:c r="L102" i="3"/>
  <x:c r="P102" i="3"/>
  <x:c r="Q102" i="3"/>
  <x:c r="B103" i="3"/>
  <x:c r="D103" i="3"/>
  <x:c r="F103" i="3"/>
  <x:c r="I103" i="3"/>
  <x:c r="J103" i="3"/>
  <x:c r="L103" i="3"/>
  <x:c r="P103" i="3"/>
  <x:c r="Q103" i="3"/>
  <x:c r="B104" i="3"/>
  <x:c r="D104" i="3"/>
  <x:c r="F104" i="3"/>
  <x:c r="I104" i="3"/>
  <x:c r="J104" i="3"/>
  <x:c r="L104" i="3"/>
  <x:c r="P104" i="3"/>
  <x:c r="Q104" i="3"/>
  <x:c r="B105" i="3"/>
  <x:c r="D105" i="3"/>
  <x:c r="F105" i="3"/>
  <x:c r="I105" i="3"/>
  <x:c r="J105" i="3"/>
  <x:c r="L105" i="3"/>
  <x:c r="P105" i="3"/>
  <x:c r="Q105" i="3"/>
  <x:c r="B106" i="3"/>
  <x:c r="D106" i="3"/>
  <x:c r="F106" i="3"/>
  <x:c r="I106" i="3"/>
  <x:c r="J106" i="3"/>
  <x:c r="L106" i="3"/>
  <x:c r="P106" i="3"/>
  <x:c r="Q106" i="3"/>
  <x:c r="B107" i="3"/>
  <x:c r="D107" i="3"/>
  <x:c r="F107" i="3"/>
  <x:c r="I107" i="3"/>
  <x:c r="J107" i="3"/>
  <x:c r="L107" i="3"/>
  <x:c r="P107" i="3"/>
  <x:c r="Q107" i="3"/>
  <x:c r="B108" i="3"/>
  <x:c r="D108" i="3"/>
  <x:c r="F108" i="3"/>
  <x:c r="I108" i="3"/>
  <x:c r="J108" i="3"/>
  <x:c r="L108" i="3"/>
  <x:c r="P108" i="3"/>
  <x:c r="Q108" i="3"/>
  <x:c r="B109" i="3"/>
  <x:c r="D109" i="3"/>
  <x:c r="F109" i="3"/>
  <x:c r="I109" i="3"/>
  <x:c r="J109" i="3"/>
  <x:c r="L109" i="3"/>
  <x:c r="P109" i="3"/>
  <x:c r="Q109" i="3"/>
  <x:c r="B110" i="3"/>
  <x:c r="D110" i="3"/>
  <x:c r="F110" i="3"/>
  <x:c r="I110" i="3"/>
  <x:c r="J110" i="3"/>
  <x:c r="L110" i="3"/>
  <x:c r="P110" i="3"/>
  <x:c r="Q110" i="3"/>
  <x:c r="B111" i="3"/>
  <x:c r="D111" i="3"/>
  <x:c r="F111" i="3"/>
  <x:c r="I111" i="3"/>
  <x:c r="J111" i="3"/>
  <x:c r="L111" i="3"/>
  <x:c r="P111" i="3"/>
  <x:c r="Q111" i="3"/>
  <x:c r="B112" i="3"/>
  <x:c r="D112" i="3"/>
  <x:c r="F112" i="3"/>
  <x:c r="I112" i="3"/>
  <x:c r="J112" i="3"/>
  <x:c r="L112" i="3"/>
  <x:c r="P112" i="3"/>
  <x:c r="Q112" i="3"/>
  <x:c r="B113" i="3"/>
  <x:c r="D113" i="3"/>
  <x:c r="F113" i="3"/>
  <x:c r="I113" i="3"/>
  <x:c r="J113" i="3"/>
  <x:c r="L113" i="3"/>
  <x:c r="P113" i="3"/>
  <x:c r="Q113" i="3"/>
  <x:c r="B114" i="3"/>
  <x:c r="D114" i="3"/>
  <x:c r="F114" i="3"/>
  <x:c r="I114" i="3"/>
  <x:c r="J114" i="3"/>
  <x:c r="L114" i="3"/>
  <x:c r="P114" i="3"/>
  <x:c r="Q114" i="3"/>
  <x:c r="B115" i="3"/>
  <x:c r="D115" i="3"/>
  <x:c r="F115" i="3"/>
  <x:c r="I115" i="3"/>
  <x:c r="J115" i="3"/>
  <x:c r="L115" i="3"/>
  <x:c r="P115" i="3"/>
  <x:c r="Q115" i="3"/>
  <x:c r="B116" i="3"/>
  <x:c r="D116" i="3"/>
  <x:c r="F116" i="3"/>
  <x:c r="I116" i="3"/>
  <x:c r="J116" i="3"/>
  <x:c r="L116" i="3"/>
  <x:c r="P116" i="3"/>
  <x:c r="Q116" i="3"/>
  <x:c r="B117" i="3"/>
  <x:c r="D117" i="3"/>
  <x:c r="F117" i="3"/>
  <x:c r="I117" i="3"/>
  <x:c r="J117" i="3"/>
  <x:c r="L117" i="3"/>
  <x:c r="P117" i="3"/>
  <x:c r="Q117" i="3"/>
  <x:c r="B118" i="3"/>
  <x:c r="D118" i="3"/>
  <x:c r="F118" i="3"/>
  <x:c r="I118" i="3"/>
  <x:c r="J118" i="3"/>
  <x:c r="L118" i="3"/>
  <x:c r="P118" i="3"/>
  <x:c r="Q118" i="3"/>
  <x:c r="B119" i="3"/>
  <x:c r="D119" i="3"/>
  <x:c r="F119" i="3"/>
  <x:c r="I119" i="3"/>
  <x:c r="J119" i="3"/>
  <x:c r="L119" i="3"/>
  <x:c r="P119" i="3"/>
  <x:c r="Q119" i="3"/>
  <x:c r="B120" i="3"/>
  <x:c r="D120" i="3"/>
  <x:c r="F120" i="3"/>
  <x:c r="I120" i="3"/>
  <x:c r="J120" i="3"/>
  <x:c r="L120" i="3"/>
  <x:c r="P120" i="3"/>
  <x:c r="Q120" i="3"/>
  <x:c r="B121" i="3"/>
  <x:c r="D121" i="3"/>
  <x:c r="F121" i="3"/>
  <x:c r="I121" i="3"/>
  <x:c r="J121" i="3"/>
  <x:c r="L121" i="3"/>
  <x:c r="P121" i="3"/>
  <x:c r="Q121" i="3"/>
  <x:c r="B122" i="3"/>
  <x:c r="D122" i="3"/>
  <x:c r="F122" i="3"/>
  <x:c r="I122" i="3"/>
  <x:c r="J122" i="3"/>
  <x:c r="L122" i="3"/>
  <x:c r="P122" i="3"/>
  <x:c r="Q122" i="3"/>
  <x:c r="B123" i="3"/>
  <x:c r="D123" i="3"/>
  <x:c r="F123" i="3"/>
  <x:c r="I123" i="3"/>
  <x:c r="J123" i="3"/>
  <x:c r="L123" i="3"/>
  <x:c r="P123" i="3"/>
  <x:c r="Q123" i="3"/>
  <x:c r="B124" i="3"/>
  <x:c r="D124" i="3"/>
  <x:c r="F124" i="3"/>
  <x:c r="I124" i="3"/>
  <x:c r="J124" i="3"/>
  <x:c r="L124" i="3"/>
  <x:c r="P124" i="3"/>
  <x:c r="Q124" i="3"/>
  <x:c r="B125" i="3"/>
  <x:c r="D125" i="3"/>
  <x:c r="F125" i="3"/>
  <x:c r="I125" i="3"/>
  <x:c r="J125" i="3"/>
  <x:c r="L125" i="3"/>
  <x:c r="P125" i="3"/>
  <x:c r="Q125" i="3"/>
  <x:c r="B126" i="3"/>
  <x:c r="D126" i="3"/>
  <x:c r="F126" i="3"/>
  <x:c r="I126" i="3"/>
  <x:c r="J126" i="3"/>
  <x:c r="L126" i="3"/>
  <x:c r="P126" i="3"/>
  <x:c r="Q126" i="3"/>
  <x:c r="B127" i="3"/>
  <x:c r="D127" i="3"/>
  <x:c r="F127" i="3"/>
  <x:c r="I127" i="3"/>
  <x:c r="J127" i="3"/>
  <x:c r="L127" i="3"/>
  <x:c r="P127" i="3"/>
  <x:c r="Q127" i="3"/>
  <x:c r="B128" i="3"/>
  <x:c r="D128" i="3"/>
  <x:c r="F128" i="3"/>
  <x:c r="I128" i="3"/>
  <x:c r="J128" i="3"/>
  <x:c r="L128" i="3"/>
  <x:c r="P128" i="3"/>
  <x:c r="Q128" i="3"/>
  <x:c r="B129" i="3"/>
  <x:c r="D129" i="3"/>
  <x:c r="F129" i="3"/>
  <x:c r="I129" i="3"/>
  <x:c r="J129" i="3"/>
  <x:c r="L129" i="3"/>
  <x:c r="P129" i="3"/>
  <x:c r="Q129" i="3"/>
  <x:c r="B130" i="3"/>
  <x:c r="D130" i="3"/>
  <x:c r="F130" i="3"/>
  <x:c r="I130" i="3"/>
  <x:c r="J130" i="3"/>
  <x:c r="L130" i="3"/>
  <x:c r="P130" i="3"/>
  <x:c r="Q130" i="3"/>
  <x:c r="B131" i="3"/>
  <x:c r="D131" i="3"/>
  <x:c r="F131" i="3"/>
  <x:c r="I131" i="3"/>
  <x:c r="J131" i="3"/>
  <x:c r="L131" i="3"/>
  <x:c r="P131" i="3"/>
  <x:c r="Q131" i="3"/>
  <x:c r="B132" i="3"/>
  <x:c r="D132" i="3"/>
  <x:c r="F132" i="3"/>
  <x:c r="I132" i="3"/>
  <x:c r="J132" i="3"/>
  <x:c r="L132" i="3"/>
  <x:c r="P132" i="3"/>
  <x:c r="Q132" i="3"/>
  <x:c r="B133" i="3"/>
  <x:c r="D133" i="3"/>
  <x:c r="F133" i="3"/>
  <x:c r="I133" i="3"/>
  <x:c r="J133" i="3"/>
  <x:c r="L133" i="3"/>
  <x:c r="P133" i="3"/>
  <x:c r="Q133" i="3"/>
  <x:c r="B134" i="3"/>
  <x:c r="D134" i="3"/>
  <x:c r="F134" i="3"/>
  <x:c r="I134" i="3"/>
  <x:c r="J134" i="3"/>
  <x:c r="L134" i="3"/>
  <x:c r="P134" i="3"/>
  <x:c r="Q134" i="3"/>
  <x:c r="B135" i="3"/>
  <x:c r="D135" i="3"/>
  <x:c r="F135" i="3"/>
  <x:c r="I135" i="3"/>
  <x:c r="J135" i="3"/>
  <x:c r="L135" i="3"/>
  <x:c r="P135" i="3"/>
  <x:c r="Q135" i="3"/>
  <x:c r="B136" i="3"/>
  <x:c r="D136" i="3"/>
  <x:c r="F136" i="3"/>
  <x:c r="I136" i="3"/>
  <x:c r="J136" i="3"/>
  <x:c r="L136" i="3"/>
  <x:c r="P136" i="3"/>
  <x:c r="Q136" i="3"/>
  <x:c r="B137" i="3"/>
  <x:c r="D137" i="3"/>
  <x:c r="F137" i="3"/>
  <x:c r="I137" i="3"/>
  <x:c r="J137" i="3"/>
  <x:c r="L137" i="3"/>
  <x:c r="P137" i="3"/>
  <x:c r="Q137" i="3"/>
  <x:c r="B138" i="3"/>
  <x:c r="D138" i="3"/>
  <x:c r="F138" i="3"/>
  <x:c r="I138" i="3"/>
  <x:c r="J138" i="3"/>
  <x:c r="L138" i="3"/>
  <x:c r="P138" i="3"/>
  <x:c r="Q138" i="3"/>
  <x:c r="B139" i="3"/>
  <x:c r="D139" i="3"/>
  <x:c r="F139" i="3"/>
  <x:c r="I139" i="3"/>
  <x:c r="J139" i="3"/>
  <x:c r="L139" i="3"/>
  <x:c r="P139" i="3"/>
  <x:c r="Q139" i="3"/>
  <x:c r="B140" i="3"/>
  <x:c r="D140" i="3"/>
  <x:c r="F140" i="3"/>
  <x:c r="I140" i="3"/>
  <x:c r="J140" i="3"/>
  <x:c r="L140" i="3"/>
  <x:c r="P140" i="3"/>
  <x:c r="Q140" i="3"/>
  <x:c r="B141" i="3"/>
  <x:c r="D141" i="3"/>
  <x:c r="F141" i="3"/>
  <x:c r="I141" i="3"/>
  <x:c r="J141" i="3"/>
  <x:c r="L141" i="3"/>
  <x:c r="P141" i="3"/>
  <x:c r="Q141" i="3"/>
  <x:c r="B142" i="3"/>
  <x:c r="D142" i="3"/>
  <x:c r="F142" i="3"/>
  <x:c r="I142" i="3"/>
  <x:c r="J142" i="3"/>
  <x:c r="L142" i="3"/>
  <x:c r="P142" i="3"/>
  <x:c r="Q142" i="3"/>
  <x:c r="B143" i="3"/>
  <x:c r="D143" i="3"/>
  <x:c r="F143" i="3"/>
  <x:c r="I143" i="3"/>
  <x:c r="J143" i="3"/>
  <x:c r="L143" i="3"/>
  <x:c r="P143" i="3"/>
  <x:c r="Q143" i="3"/>
  <x:c r="B144" i="3"/>
  <x:c r="D144" i="3"/>
  <x:c r="F144" i="3"/>
  <x:c r="I144" i="3"/>
  <x:c r="J144" i="3"/>
  <x:c r="L144" i="3"/>
  <x:c r="P144" i="3"/>
  <x:c r="Q144" i="3"/>
  <x:c r="B145" i="3"/>
  <x:c r="D145" i="3"/>
  <x:c r="F145" i="3"/>
  <x:c r="I145" i="3"/>
  <x:c r="J145" i="3"/>
  <x:c r="L145" i="3"/>
  <x:c r="P145" i="3"/>
  <x:c r="Q145" i="3"/>
  <x:c r="B146" i="3"/>
  <x:c r="D146" i="3"/>
  <x:c r="F146" i="3"/>
  <x:c r="I146" i="3"/>
  <x:c r="J146" i="3"/>
  <x:c r="L146" i="3"/>
  <x:c r="P146" i="3"/>
  <x:c r="Q146" i="3"/>
  <x:c r="B147" i="3"/>
  <x:c r="D147" i="3"/>
  <x:c r="F147" i="3"/>
  <x:c r="I147" i="3"/>
  <x:c r="J147" i="3"/>
  <x:c r="L147" i="3"/>
  <x:c r="P147" i="3"/>
  <x:c r="Q147" i="3"/>
  <x:c r="B148" i="3"/>
  <x:c r="D148" i="3"/>
  <x:c r="F148" i="3"/>
  <x:c r="I148" i="3"/>
  <x:c r="J148" i="3"/>
  <x:c r="L148" i="3"/>
  <x:c r="P148" i="3"/>
  <x:c r="Q148" i="3"/>
  <x:c r="B149" i="3"/>
  <x:c r="D149" i="3"/>
  <x:c r="F149" i="3"/>
  <x:c r="I149" i="3"/>
  <x:c r="J149" i="3"/>
  <x:c r="L149" i="3"/>
  <x:c r="P149" i="3"/>
  <x:c r="Q149" i="3"/>
  <x:c r="B150" i="3"/>
  <x:c r="D150" i="3"/>
  <x:c r="F150" i="3"/>
  <x:c r="I150" i="3"/>
  <x:c r="J150" i="3"/>
  <x:c r="L150" i="3"/>
  <x:c r="P150" i="3"/>
  <x:c r="Q150" i="3"/>
  <x:c r="B151" i="3"/>
  <x:c r="D151" i="3"/>
  <x:c r="F151" i="3"/>
  <x:c r="I151" i="3"/>
  <x:c r="J151" i="3"/>
  <x:c r="L151" i="3"/>
  <x:c r="P151" i="3"/>
  <x:c r="Q151" i="3"/>
  <x:c r="B152" i="3"/>
  <x:c r="D152" i="3"/>
  <x:c r="F152" i="3"/>
  <x:c r="I152" i="3"/>
  <x:c r="J152" i="3"/>
  <x:c r="L152" i="3"/>
  <x:c r="P152" i="3"/>
  <x:c r="Q152" i="3"/>
  <x:c r="B153" i="3"/>
  <x:c r="D153" i="3"/>
  <x:c r="F153" i="3"/>
  <x:c r="I153" i="3"/>
  <x:c r="J153" i="3"/>
  <x:c r="L153" i="3"/>
  <x:c r="P153" i="3"/>
  <x:c r="Q153" i="3"/>
  <x:c r="B154" i="3"/>
  <x:c r="D154" i="3"/>
  <x:c r="F154" i="3"/>
  <x:c r="I154" i="3"/>
  <x:c r="J154" i="3"/>
  <x:c r="L154" i="3"/>
  <x:c r="P154" i="3"/>
  <x:c r="Q154" i="3"/>
  <x:c r="B155" i="3"/>
  <x:c r="D155" i="3"/>
  <x:c r="F155" i="3"/>
  <x:c r="I155" i="3"/>
  <x:c r="J155" i="3"/>
  <x:c r="L155" i="3"/>
  <x:c r="P155" i="3"/>
  <x:c r="Q155" i="3"/>
  <x:c r="B156" i="3"/>
  <x:c r="D156" i="3"/>
  <x:c r="F156" i="3"/>
  <x:c r="I156" i="3"/>
  <x:c r="J156" i="3"/>
  <x:c r="L156" i="3"/>
  <x:c r="P156" i="3"/>
  <x:c r="Q156" i="3"/>
  <x:c r="B157" i="3"/>
  <x:c r="D157" i="3"/>
  <x:c r="F157" i="3"/>
  <x:c r="I157" i="3"/>
  <x:c r="J157" i="3"/>
  <x:c r="L157" i="3"/>
  <x:c r="P157" i="3"/>
  <x:c r="Q157" i="3"/>
  <x:c r="B158" i="3"/>
  <x:c r="D158" i="3"/>
  <x:c r="F158" i="3"/>
  <x:c r="I158" i="3"/>
  <x:c r="J158" i="3"/>
  <x:c r="L158" i="3"/>
  <x:c r="P158" i="3"/>
  <x:c r="Q158" i="3"/>
  <x:c r="B159" i="3"/>
  <x:c r="D159" i="3"/>
  <x:c r="F159" i="3"/>
  <x:c r="I159" i="3"/>
  <x:c r="J159" i="3"/>
  <x:c r="L159" i="3"/>
  <x:c r="P159" i="3"/>
  <x:c r="Q159" i="3"/>
  <x:c r="B160" i="3"/>
  <x:c r="D160" i="3"/>
  <x:c r="F160" i="3"/>
  <x:c r="I160" i="3"/>
  <x:c r="J160" i="3"/>
  <x:c r="L160" i="3"/>
  <x:c r="P160" i="3"/>
  <x:c r="Q160" i="3"/>
  <x:c r="B161" i="3"/>
  <x:c r="D161" i="3"/>
  <x:c r="F161" i="3"/>
  <x:c r="I161" i="3"/>
  <x:c r="J161" i="3"/>
  <x:c r="L161" i="3"/>
  <x:c r="P161" i="3"/>
  <x:c r="Q161" i="3"/>
  <x:c r="B162" i="3"/>
  <x:c r="D162" i="3"/>
  <x:c r="F162" i="3"/>
  <x:c r="I162" i="3"/>
  <x:c r="J162" i="3"/>
  <x:c r="L162" i="3"/>
  <x:c r="P162" i="3"/>
  <x:c r="Q162" i="3"/>
  <x:c r="B163" i="3"/>
  <x:c r="D163" i="3"/>
  <x:c r="F163" i="3"/>
  <x:c r="I163" i="3"/>
  <x:c r="J163" i="3"/>
  <x:c r="L163" i="3"/>
  <x:c r="P163" i="3"/>
  <x:c r="Q163" i="3"/>
  <x:c r="B164" i="3"/>
  <x:c r="D164" i="3"/>
  <x:c r="F164" i="3"/>
  <x:c r="I164" i="3"/>
  <x:c r="J164" i="3"/>
  <x:c r="L164" i="3"/>
  <x:c r="P164" i="3"/>
  <x:c r="Q164" i="3"/>
  <x:c r="B165" i="3"/>
  <x:c r="D165" i="3"/>
  <x:c r="F165" i="3"/>
  <x:c r="I165" i="3"/>
  <x:c r="J165" i="3"/>
  <x:c r="L165" i="3"/>
  <x:c r="P165" i="3"/>
  <x:c r="Q165" i="3"/>
  <x:c r="B166" i="3"/>
  <x:c r="D166" i="3"/>
  <x:c r="F166" i="3"/>
  <x:c r="I166" i="3"/>
  <x:c r="J166" i="3"/>
  <x:c r="L166" i="3"/>
  <x:c r="P166" i="3"/>
  <x:c r="Q166" i="3"/>
  <x:c r="B167" i="3"/>
  <x:c r="D167" i="3"/>
  <x:c r="F167" i="3"/>
  <x:c r="I167" i="3"/>
  <x:c r="J167" i="3"/>
  <x:c r="L167" i="3"/>
  <x:c r="P167" i="3"/>
  <x:c r="Q167" i="3"/>
  <x:c r="B168" i="3"/>
  <x:c r="D168" i="3"/>
  <x:c r="F168" i="3"/>
  <x:c r="I168" i="3"/>
  <x:c r="J168" i="3"/>
  <x:c r="L168" i="3"/>
  <x:c r="P168" i="3"/>
  <x:c r="Q168" i="3"/>
  <x:c r="B169" i="3"/>
  <x:c r="D169" i="3"/>
  <x:c r="F169" i="3"/>
  <x:c r="I169" i="3"/>
  <x:c r="J169" i="3"/>
  <x:c r="L169" i="3"/>
  <x:c r="P169" i="3"/>
  <x:c r="Q169" i="3"/>
  <x:c r="B170" i="3"/>
  <x:c r="D170" i="3"/>
  <x:c r="F170" i="3"/>
  <x:c r="I170" i="3"/>
  <x:c r="J170" i="3"/>
  <x:c r="L170" i="3"/>
  <x:c r="P170" i="3"/>
  <x:c r="Q170" i="3"/>
  <x:c r="B171" i="3"/>
  <x:c r="D171" i="3"/>
  <x:c r="F171" i="3"/>
  <x:c r="I171" i="3"/>
  <x:c r="J171" i="3"/>
  <x:c r="L171" i="3"/>
  <x:c r="P171" i="3"/>
  <x:c r="Q171" i="3"/>
  <x:c r="B172" i="3"/>
  <x:c r="D172" i="3"/>
  <x:c r="F172" i="3"/>
  <x:c r="I172" i="3"/>
  <x:c r="J172" i="3"/>
  <x:c r="L172" i="3"/>
  <x:c r="P172" i="3"/>
  <x:c r="Q172" i="3"/>
  <x:c r="B173" i="3"/>
  <x:c r="D173" i="3"/>
  <x:c r="F173" i="3"/>
  <x:c r="I173" i="3"/>
  <x:c r="J173" i="3"/>
  <x:c r="L173" i="3"/>
  <x:c r="P173" i="3"/>
  <x:c r="Q173" i="3"/>
  <x:c r="B174" i="3"/>
  <x:c r="D174" i="3"/>
  <x:c r="F174" i="3"/>
  <x:c r="I174" i="3"/>
  <x:c r="J174" i="3"/>
  <x:c r="L174" i="3"/>
  <x:c r="P174" i="3"/>
  <x:c r="Q174" i="3"/>
  <x:c r="B175" i="3"/>
  <x:c r="D175" i="3"/>
  <x:c r="F175" i="3"/>
  <x:c r="I175" i="3"/>
  <x:c r="J175" i="3"/>
  <x:c r="L175" i="3"/>
  <x:c r="P175" i="3"/>
  <x:c r="Q175" i="3"/>
  <x:c r="B176" i="3"/>
  <x:c r="D176" i="3"/>
  <x:c r="F176" i="3"/>
  <x:c r="I176" i="3"/>
  <x:c r="J176" i="3"/>
  <x:c r="L176" i="3"/>
  <x:c r="P176" i="3"/>
  <x:c r="Q176" i="3"/>
  <x:c r="B177" i="3"/>
  <x:c r="D177" i="3"/>
  <x:c r="F177" i="3"/>
  <x:c r="I177" i="3"/>
  <x:c r="J177" i="3"/>
  <x:c r="L177" i="3"/>
  <x:c r="P177" i="3"/>
  <x:c r="Q177" i="3"/>
  <x:c r="B178" i="3"/>
  <x:c r="D178" i="3"/>
  <x:c r="F178" i="3"/>
  <x:c r="I178" i="3"/>
  <x:c r="J178" i="3"/>
  <x:c r="L178" i="3"/>
  <x:c r="P178" i="3"/>
  <x:c r="Q178" i="3"/>
  <x:c r="B179" i="3"/>
  <x:c r="D179" i="3"/>
  <x:c r="F179" i="3"/>
  <x:c r="I179" i="3"/>
  <x:c r="J179" i="3"/>
  <x:c r="L179" i="3"/>
  <x:c r="P179" i="3"/>
  <x:c r="Q179" i="3"/>
  <x:c r="B180" i="3"/>
  <x:c r="D180" i="3"/>
  <x:c r="F180" i="3"/>
  <x:c r="I180" i="3"/>
  <x:c r="J180" i="3"/>
  <x:c r="L180" i="3"/>
  <x:c r="P180" i="3"/>
  <x:c r="Q180" i="3"/>
  <x:c r="B181" i="3"/>
  <x:c r="D181" i="3"/>
  <x:c r="F181" i="3"/>
  <x:c r="I181" i="3"/>
  <x:c r="J181" i="3"/>
  <x:c r="L181" i="3"/>
  <x:c r="P181" i="3"/>
  <x:c r="Q181" i="3"/>
  <x:c r="B182" i="3"/>
  <x:c r="D182" i="3"/>
  <x:c r="F182" i="3"/>
  <x:c r="I182" i="3"/>
  <x:c r="J182" i="3"/>
  <x:c r="L182" i="3"/>
  <x:c r="P182" i="3"/>
  <x:c r="Q182" i="3"/>
  <x:c r="B183" i="3"/>
  <x:c r="D183" i="3"/>
  <x:c r="F183" i="3"/>
  <x:c r="I183" i="3"/>
  <x:c r="J183" i="3"/>
  <x:c r="L183" i="3"/>
  <x:c r="P183" i="3"/>
  <x:c r="Q183" i="3"/>
  <x:c r="B184" i="3"/>
  <x:c r="D184" i="3"/>
  <x:c r="F184" i="3"/>
  <x:c r="I184" i="3"/>
  <x:c r="J184" i="3"/>
  <x:c r="L184" i="3"/>
  <x:c r="P184" i="3"/>
  <x:c r="Q184" i="3"/>
  <x:c r="B185" i="3"/>
  <x:c r="D185" i="3"/>
  <x:c r="F185" i="3"/>
  <x:c r="I185" i="3"/>
  <x:c r="J185" i="3"/>
  <x:c r="L185" i="3"/>
  <x:c r="P185" i="3"/>
  <x:c r="Q185" i="3"/>
  <x:c r="B186" i="3"/>
  <x:c r="D186" i="3"/>
  <x:c r="F186" i="3"/>
  <x:c r="I186" i="3"/>
  <x:c r="J186" i="3"/>
  <x:c r="L186" i="3"/>
  <x:c r="P186" i="3"/>
  <x:c r="Q186" i="3"/>
  <x:c r="B187" i="3"/>
  <x:c r="D187" i="3"/>
  <x:c r="F187" i="3"/>
  <x:c r="I187" i="3"/>
  <x:c r="J187" i="3"/>
  <x:c r="L187" i="3"/>
  <x:c r="P187" i="3"/>
  <x:c r="Q187" i="3"/>
  <x:c r="B188" i="3"/>
  <x:c r="D188" i="3"/>
  <x:c r="F188" i="3"/>
  <x:c r="I188" i="3"/>
  <x:c r="J188" i="3"/>
  <x:c r="L188" i="3"/>
  <x:c r="P188" i="3"/>
  <x:c r="Q188" i="3"/>
  <x:c r="B189" i="3"/>
  <x:c r="D189" i="3"/>
  <x:c r="F189" i="3"/>
  <x:c r="I189" i="3"/>
  <x:c r="J189" i="3"/>
  <x:c r="L189" i="3"/>
  <x:c r="P189" i="3"/>
  <x:c r="Q189" i="3"/>
  <x:c r="B190" i="3"/>
  <x:c r="D190" i="3"/>
  <x:c r="F190" i="3"/>
  <x:c r="I190" i="3"/>
  <x:c r="J190" i="3"/>
  <x:c r="L190" i="3"/>
  <x:c r="P190" i="3"/>
  <x:c r="Q190" i="3"/>
  <x:c r="B191" i="3"/>
  <x:c r="D191" i="3"/>
  <x:c r="F191" i="3"/>
  <x:c r="I191" i="3"/>
  <x:c r="J191" i="3"/>
  <x:c r="L191" i="3"/>
  <x:c r="P191" i="3"/>
  <x:c r="Q191" i="3"/>
  <x:c r="B192" i="3"/>
  <x:c r="D192" i="3"/>
  <x:c r="F192" i="3"/>
  <x:c r="I192" i="3"/>
  <x:c r="J192" i="3"/>
  <x:c r="L192" i="3"/>
  <x:c r="P192" i="3"/>
  <x:c r="Q192" i="3"/>
  <x:c r="B193" i="3"/>
  <x:c r="D193" i="3"/>
  <x:c r="F193" i="3"/>
  <x:c r="I193" i="3"/>
  <x:c r="J193" i="3"/>
  <x:c r="L193" i="3"/>
  <x:c r="P193" i="3"/>
  <x:c r="Q193" i="3"/>
  <x:c r="B194" i="3"/>
  <x:c r="D194" i="3"/>
  <x:c r="F194" i="3"/>
  <x:c r="I194" i="3"/>
  <x:c r="J194" i="3"/>
  <x:c r="L194" i="3"/>
  <x:c r="P194" i="3"/>
  <x:c r="Q194" i="3"/>
  <x:c r="B195" i="3"/>
  <x:c r="D195" i="3"/>
  <x:c r="F195" i="3"/>
  <x:c r="I195" i="3"/>
  <x:c r="J195" i="3"/>
  <x:c r="L195" i="3"/>
  <x:c r="P195" i="3"/>
  <x:c r="Q195" i="3"/>
  <x:c r="B196" i="3"/>
  <x:c r="D196" i="3"/>
  <x:c r="F196" i="3"/>
  <x:c r="I196" i="3"/>
  <x:c r="J196" i="3"/>
  <x:c r="L196" i="3"/>
  <x:c r="P196" i="3"/>
  <x:c r="Q196" i="3"/>
  <x:c r="B197" i="3"/>
  <x:c r="D197" i="3"/>
  <x:c r="F197" i="3"/>
  <x:c r="I197" i="3"/>
  <x:c r="J197" i="3"/>
  <x:c r="L197" i="3"/>
  <x:c r="P197" i="3"/>
  <x:c r="Q197" i="3"/>
  <x:c r="B198" i="3"/>
  <x:c r="D198" i="3"/>
  <x:c r="F198" i="3"/>
  <x:c r="I198" i="3"/>
  <x:c r="J198" i="3"/>
  <x:c r="L198" i="3"/>
  <x:c r="P198" i="3"/>
  <x:c r="Q198" i="3"/>
  <x:c r="B199" i="3"/>
  <x:c r="D199" i="3"/>
  <x:c r="F199" i="3"/>
  <x:c r="I199" i="3"/>
  <x:c r="J199" i="3"/>
  <x:c r="L199" i="3"/>
  <x:c r="P199" i="3"/>
  <x:c r="Q199" i="3"/>
  <x:c r="B200" i="3"/>
  <x:c r="D200" i="3"/>
  <x:c r="F200" i="3"/>
  <x:c r="I200" i="3"/>
  <x:c r="J200" i="3"/>
  <x:c r="L200" i="3"/>
  <x:c r="P200" i="3"/>
  <x:c r="Q200" i="3"/>
  <x:c r="B201" i="3"/>
  <x:c r="D201" i="3"/>
  <x:c r="F201" i="3"/>
  <x:c r="I201" i="3"/>
  <x:c r="J201" i="3"/>
  <x:c r="L201" i="3"/>
  <x:c r="P201" i="3"/>
  <x:c r="Q201" i="3"/>
  <x:c r="B202" i="3"/>
  <x:c r="D202" i="3"/>
  <x:c r="F202" i="3"/>
  <x:c r="I202" i="3"/>
  <x:c r="J202" i="3"/>
  <x:c r="L202" i="3"/>
  <x:c r="P202" i="3"/>
  <x:c r="Q202" i="3"/>
  <x:c r="B203" i="3"/>
  <x:c r="D203" i="3"/>
  <x:c r="F203" i="3"/>
  <x:c r="I203" i="3"/>
  <x:c r="J203" i="3"/>
  <x:c r="L203" i="3"/>
  <x:c r="P203" i="3"/>
  <x:c r="Q203" i="3"/>
  <x:c r="B204" i="3"/>
  <x:c r="D204" i="3"/>
  <x:c r="F204" i="3"/>
  <x:c r="I204" i="3"/>
  <x:c r="J204" i="3"/>
  <x:c r="L204" i="3"/>
  <x:c r="P204" i="3"/>
  <x:c r="Q204" i="3"/>
  <x:c r="B205" i="3"/>
  <x:c r="D205" i="3"/>
  <x:c r="F205" i="3"/>
  <x:c r="I205" i="3"/>
  <x:c r="J205" i="3"/>
  <x:c r="L205" i="3"/>
  <x:c r="P205" i="3"/>
  <x:c r="Q205" i="3"/>
  <x:c r="B206" i="3"/>
  <x:c r="D206" i="3"/>
  <x:c r="F206" i="3"/>
  <x:c r="I206" i="3"/>
  <x:c r="J206" i="3"/>
  <x:c r="L206" i="3"/>
  <x:c r="P206" i="3"/>
  <x:c r="Q206" i="3"/>
  <x:c r="B207" i="3"/>
  <x:c r="D207" i="3"/>
  <x:c r="F207" i="3"/>
  <x:c r="I207" i="3"/>
  <x:c r="J207" i="3"/>
  <x:c r="L207" i="3"/>
  <x:c r="P207" i="3"/>
  <x:c r="Q207" i="3"/>
  <x:c r="B208" i="3"/>
  <x:c r="D208" i="3"/>
  <x:c r="F208" i="3"/>
  <x:c r="I208" i="3"/>
  <x:c r="J208" i="3"/>
  <x:c r="L208" i="3"/>
  <x:c r="P208" i="3"/>
  <x:c r="Q208" i="3"/>
  <x:c r="B209" i="3"/>
  <x:c r="D209" i="3"/>
  <x:c r="F209" i="3"/>
  <x:c r="I209" i="3"/>
  <x:c r="J209" i="3"/>
  <x:c r="L209" i="3"/>
  <x:c r="P209" i="3"/>
  <x:c r="Q209" i="3"/>
  <x:c r="B210" i="3"/>
  <x:c r="D210" i="3"/>
  <x:c r="F210" i="3"/>
  <x:c r="I210" i="3"/>
  <x:c r="J210" i="3"/>
  <x:c r="L210" i="3"/>
  <x:c r="P210" i="3"/>
  <x:c r="Q210" i="3"/>
  <x:c r="B211" i="3"/>
  <x:c r="D211" i="3"/>
  <x:c r="F211" i="3"/>
  <x:c r="I211" i="3"/>
  <x:c r="J211" i="3"/>
  <x:c r="L211" i="3"/>
  <x:c r="P211" i="3"/>
  <x:c r="Q211" i="3"/>
  <x:c r="B212" i="3"/>
  <x:c r="D212" i="3"/>
  <x:c r="F212" i="3"/>
  <x:c r="I212" i="3"/>
  <x:c r="J212" i="3"/>
  <x:c r="L212" i="3"/>
  <x:c r="P212" i="3"/>
  <x:c r="Q212" i="3"/>
  <x:c r="B213" i="3"/>
  <x:c r="D213" i="3"/>
  <x:c r="F213" i="3"/>
  <x:c r="I213" i="3"/>
  <x:c r="J213" i="3"/>
  <x:c r="L213" i="3"/>
  <x:c r="P213" i="3"/>
  <x:c r="Q213" i="3"/>
  <x:c r="B214" i="3"/>
  <x:c r="D214" i="3"/>
  <x:c r="F214" i="3"/>
  <x:c r="I214" i="3"/>
  <x:c r="J214" i="3"/>
  <x:c r="L214" i="3"/>
  <x:c r="P214" i="3"/>
  <x:c r="Q214" i="3"/>
  <x:c r="B215" i="3"/>
  <x:c r="D215" i="3"/>
  <x:c r="F215" i="3"/>
  <x:c r="I215" i="3"/>
  <x:c r="J215" i="3"/>
  <x:c r="L215" i="3"/>
  <x:c r="P215" i="3"/>
  <x:c r="Q215" i="3"/>
  <x:c r="B216" i="3"/>
  <x:c r="D216" i="3"/>
  <x:c r="F216" i="3"/>
  <x:c r="I216" i="3"/>
  <x:c r="J216" i="3"/>
  <x:c r="L216" i="3"/>
  <x:c r="P216" i="3"/>
  <x:c r="Q216" i="3"/>
  <x:c r="B217" i="3"/>
  <x:c r="D217" i="3"/>
  <x:c r="F217" i="3"/>
  <x:c r="I217" i="3"/>
  <x:c r="J217" i="3"/>
  <x:c r="L217" i="3"/>
  <x:c r="P217" i="3"/>
  <x:c r="Q217" i="3"/>
  <x:c r="B218" i="3"/>
  <x:c r="D218" i="3"/>
  <x:c r="F218" i="3"/>
  <x:c r="I218" i="3"/>
  <x:c r="J218" i="3"/>
  <x:c r="L218" i="3"/>
  <x:c r="P218" i="3"/>
  <x:c r="Q218" i="3"/>
  <x:c r="B219" i="3"/>
  <x:c r="D219" i="3"/>
  <x:c r="F219" i="3"/>
  <x:c r="I219" i="3"/>
  <x:c r="J219" i="3"/>
  <x:c r="L219" i="3"/>
  <x:c r="P219" i="3"/>
  <x:c r="Q219" i="3"/>
  <x:c r="B220" i="3"/>
  <x:c r="D220" i="3"/>
  <x:c r="F220" i="3"/>
  <x:c r="I220" i="3"/>
  <x:c r="J220" i="3"/>
  <x:c r="L220" i="3"/>
  <x:c r="P220" i="3"/>
  <x:c r="Q220" i="3"/>
  <x:c r="B221" i="3"/>
  <x:c r="D221" i="3"/>
  <x:c r="F221" i="3"/>
  <x:c r="I221" i="3"/>
  <x:c r="J221" i="3"/>
  <x:c r="L221" i="3"/>
  <x:c r="P221" i="3"/>
  <x:c r="Q221" i="3"/>
  <x:c r="B222" i="3"/>
  <x:c r="D222" i="3"/>
  <x:c r="F222" i="3"/>
  <x:c r="I222" i="3"/>
  <x:c r="J222" i="3"/>
  <x:c r="L222" i="3"/>
  <x:c r="P222" i="3"/>
  <x:c r="Q222" i="3"/>
  <x:c r="B223" i="3"/>
  <x:c r="D223" i="3"/>
  <x:c r="F223" i="3"/>
  <x:c r="I223" i="3"/>
  <x:c r="J223" i="3"/>
  <x:c r="L223" i="3"/>
  <x:c r="P223" i="3"/>
  <x:c r="Q223" i="3"/>
  <x:c r="B224" i="3"/>
  <x:c r="D224" i="3"/>
  <x:c r="F224" i="3"/>
  <x:c r="I224" i="3"/>
  <x:c r="J224" i="3"/>
  <x:c r="L224" i="3"/>
  <x:c r="P224" i="3"/>
  <x:c r="Q224" i="3"/>
  <x:c r="B225" i="3"/>
  <x:c r="D225" i="3"/>
  <x:c r="F225" i="3"/>
  <x:c r="I225" i="3"/>
  <x:c r="J225" i="3"/>
  <x:c r="L225" i="3"/>
  <x:c r="P225" i="3"/>
  <x:c r="Q225" i="3"/>
  <x:c r="B226" i="3"/>
  <x:c r="D226" i="3"/>
  <x:c r="F226" i="3"/>
  <x:c r="I226" i="3"/>
  <x:c r="J226" i="3"/>
  <x:c r="L226" i="3"/>
  <x:c r="P226" i="3"/>
  <x:c r="Q226" i="3"/>
  <x:c r="B227" i="3"/>
  <x:c r="D227" i="3"/>
  <x:c r="F227" i="3"/>
  <x:c r="I227" i="3"/>
  <x:c r="J227" i="3"/>
  <x:c r="L227" i="3"/>
  <x:c r="P227" i="3"/>
  <x:c r="Q227" i="3"/>
  <x:c r="B228" i="3"/>
  <x:c r="D228" i="3"/>
  <x:c r="F228" i="3"/>
  <x:c r="I228" i="3"/>
  <x:c r="J228" i="3"/>
  <x:c r="L228" i="3"/>
  <x:c r="P228" i="3"/>
  <x:c r="Q228" i="3"/>
  <x:c r="B229" i="3"/>
  <x:c r="D229" i="3"/>
  <x:c r="F229" i="3"/>
  <x:c r="I229" i="3"/>
  <x:c r="J229" i="3"/>
  <x:c r="L229" i="3"/>
  <x:c r="P229" i="3"/>
  <x:c r="Q229" i="3"/>
  <x:c r="B230" i="3"/>
  <x:c r="D230" i="3"/>
  <x:c r="F230" i="3"/>
  <x:c r="I230" i="3"/>
  <x:c r="J230" i="3"/>
  <x:c r="L230" i="3"/>
  <x:c r="P230" i="3"/>
  <x:c r="Q230" i="3"/>
  <x:c r="B231" i="3"/>
  <x:c r="D231" i="3"/>
  <x:c r="F231" i="3"/>
  <x:c r="I231" i="3"/>
  <x:c r="J231" i="3"/>
  <x:c r="L231" i="3"/>
  <x:c r="P231" i="3"/>
  <x:c r="Q231" i="3"/>
  <x:c r="B232" i="3"/>
  <x:c r="D232" i="3"/>
  <x:c r="F232" i="3"/>
  <x:c r="I232" i="3"/>
  <x:c r="J232" i="3"/>
  <x:c r="L232" i="3"/>
  <x:c r="P232" i="3"/>
  <x:c r="Q232" i="3"/>
  <x:c r="B233" i="3"/>
  <x:c r="D233" i="3"/>
  <x:c r="F233" i="3"/>
  <x:c r="I233" i="3"/>
  <x:c r="J233" i="3"/>
  <x:c r="L233" i="3"/>
  <x:c r="P233" i="3"/>
  <x:c r="Q233" i="3"/>
  <x:c r="B234" i="3"/>
  <x:c r="D234" i="3"/>
  <x:c r="F234" i="3"/>
  <x:c r="I234" i="3"/>
  <x:c r="J234" i="3"/>
  <x:c r="L234" i="3"/>
  <x:c r="P234" i="3"/>
  <x:c r="Q234" i="3"/>
  <x:c r="B235" i="3"/>
  <x:c r="D235" i="3"/>
  <x:c r="F235" i="3"/>
  <x:c r="I235" i="3"/>
  <x:c r="J235" i="3"/>
  <x:c r="L235" i="3"/>
  <x:c r="P235" i="3"/>
  <x:c r="Q235" i="3"/>
  <x:c r="B236" i="3"/>
  <x:c r="D236" i="3"/>
  <x:c r="F236" i="3"/>
  <x:c r="I236" i="3"/>
  <x:c r="J236" i="3"/>
  <x:c r="L236" i="3"/>
  <x:c r="P236" i="3"/>
  <x:c r="Q236" i="3"/>
  <x:c r="B237" i="3"/>
  <x:c r="D237" i="3"/>
  <x:c r="F237" i="3"/>
  <x:c r="I237" i="3"/>
  <x:c r="J237" i="3"/>
  <x:c r="L237" i="3"/>
  <x:c r="P237" i="3"/>
  <x:c r="Q237" i="3"/>
  <x:c r="B238" i="3"/>
  <x:c r="D238" i="3"/>
  <x:c r="F238" i="3"/>
  <x:c r="I238" i="3"/>
  <x:c r="J238" i="3"/>
  <x:c r="L238" i="3"/>
  <x:c r="P238" i="3"/>
  <x:c r="Q238" i="3"/>
  <x:c r="B239" i="3"/>
  <x:c r="D239" i="3"/>
  <x:c r="F239" i="3"/>
  <x:c r="I239" i="3"/>
  <x:c r="J239" i="3"/>
  <x:c r="L239" i="3"/>
  <x:c r="P239" i="3"/>
  <x:c r="Q239" i="3"/>
  <x:c r="B240" i="3"/>
  <x:c r="D240" i="3"/>
  <x:c r="F240" i="3"/>
  <x:c r="I240" i="3"/>
  <x:c r="J240" i="3"/>
  <x:c r="L240" i="3"/>
  <x:c r="P240" i="3"/>
  <x:c r="Q240" i="3"/>
  <x:c r="B241" i="3"/>
  <x:c r="D241" i="3"/>
  <x:c r="F241" i="3"/>
  <x:c r="I241" i="3"/>
  <x:c r="J241" i="3"/>
  <x:c r="L241" i="3"/>
  <x:c r="P241" i="3"/>
  <x:c r="Q241" i="3"/>
  <x:c r="B242" i="3"/>
  <x:c r="D242" i="3"/>
  <x:c r="F242" i="3"/>
  <x:c r="I242" i="3"/>
  <x:c r="J242" i="3"/>
  <x:c r="L242" i="3"/>
  <x:c r="P242" i="3"/>
  <x:c r="Q242" i="3"/>
  <x:c r="B243" i="3"/>
  <x:c r="D243" i="3"/>
  <x:c r="F243" i="3"/>
  <x:c r="I243" i="3"/>
  <x:c r="J243" i="3"/>
  <x:c r="L243" i="3"/>
  <x:c r="P243" i="3"/>
  <x:c r="Q243" i="3"/>
  <x:c r="B244" i="3"/>
  <x:c r="D244" i="3"/>
  <x:c r="F244" i="3"/>
  <x:c r="I244" i="3"/>
  <x:c r="J244" i="3"/>
  <x:c r="L244" i="3"/>
  <x:c r="P244" i="3"/>
  <x:c r="Q244" i="3"/>
  <x:c r="B245" i="3"/>
  <x:c r="D245" i="3"/>
  <x:c r="F245" i="3"/>
  <x:c r="I245" i="3"/>
  <x:c r="J245" i="3"/>
  <x:c r="L245" i="3"/>
  <x:c r="P245" i="3"/>
  <x:c r="Q245" i="3"/>
  <x:c r="B246" i="3"/>
  <x:c r="D246" i="3"/>
  <x:c r="F246" i="3"/>
  <x:c r="I246" i="3"/>
  <x:c r="J246" i="3"/>
  <x:c r="L246" i="3"/>
  <x:c r="P246" i="3"/>
  <x:c r="Q246" i="3"/>
  <x:c r="B247" i="3"/>
  <x:c r="D247" i="3"/>
  <x:c r="F247" i="3"/>
  <x:c r="I247" i="3"/>
  <x:c r="J247" i="3"/>
  <x:c r="L247" i="3"/>
  <x:c r="P247" i="3"/>
  <x:c r="Q247" i="3"/>
  <x:c r="B248" i="3"/>
  <x:c r="D248" i="3"/>
  <x:c r="F248" i="3"/>
  <x:c r="I248" i="3"/>
  <x:c r="J248" i="3"/>
  <x:c r="L248" i="3"/>
  <x:c r="P248" i="3"/>
  <x:c r="Q248" i="3"/>
  <x:c r="B249" i="3"/>
  <x:c r="D249" i="3"/>
  <x:c r="F249" i="3"/>
  <x:c r="I249" i="3"/>
  <x:c r="J249" i="3"/>
  <x:c r="L249" i="3"/>
  <x:c r="P249" i="3"/>
  <x:c r="Q249" i="3"/>
  <x:c r="B250" i="3"/>
  <x:c r="D250" i="3"/>
  <x:c r="F250" i="3"/>
  <x:c r="I250" i="3"/>
  <x:c r="J250" i="3"/>
  <x:c r="L250" i="3"/>
  <x:c r="P250" i="3"/>
  <x:c r="Q250" i="3"/>
  <x:c r="B251" i="3"/>
  <x:c r="D251" i="3"/>
  <x:c r="F251" i="3"/>
  <x:c r="I251" i="3"/>
  <x:c r="J251" i="3"/>
  <x:c r="L251" i="3"/>
  <x:c r="P251" i="3"/>
  <x:c r="Q251" i="3"/>
  <x:c r="B252" i="3"/>
  <x:c r="D252" i="3"/>
  <x:c r="F252" i="3"/>
  <x:c r="I252" i="3"/>
  <x:c r="J252" i="3"/>
  <x:c r="L252" i="3"/>
  <x:c r="P252" i="3"/>
  <x:c r="Q252" i="3"/>
  <x:c r="B253" i="3"/>
  <x:c r="D253" i="3"/>
  <x:c r="F253" i="3"/>
  <x:c r="I253" i="3"/>
  <x:c r="J253" i="3"/>
  <x:c r="L253" i="3"/>
  <x:c r="P253" i="3"/>
  <x:c r="Q253" i="3"/>
  <x:c r="B254" i="3"/>
  <x:c r="D254" i="3"/>
  <x:c r="F254" i="3"/>
  <x:c r="I254" i="3"/>
  <x:c r="J254" i="3"/>
  <x:c r="L254" i="3"/>
  <x:c r="P254" i="3"/>
  <x:c r="Q254" i="3"/>
  <x:c r="B255" i="3"/>
  <x:c r="D255" i="3"/>
  <x:c r="F255" i="3"/>
  <x:c r="I255" i="3"/>
  <x:c r="J255" i="3"/>
  <x:c r="L255" i="3"/>
  <x:c r="P255" i="3"/>
  <x:c r="Q255" i="3"/>
  <x:c r="B256" i="3"/>
  <x:c r="D256" i="3"/>
  <x:c r="F256" i="3"/>
  <x:c r="I256" i="3"/>
  <x:c r="J256" i="3"/>
  <x:c r="L256" i="3"/>
  <x:c r="P256" i="3"/>
  <x:c r="Q256" i="3"/>
  <x:c r="B257" i="3"/>
  <x:c r="D257" i="3"/>
  <x:c r="F257" i="3"/>
  <x:c r="I257" i="3"/>
  <x:c r="J257" i="3"/>
  <x:c r="L257" i="3"/>
  <x:c r="P257" i="3"/>
  <x:c r="Q257" i="3"/>
  <x:c r="B258" i="3"/>
  <x:c r="D258" i="3"/>
  <x:c r="F258" i="3"/>
  <x:c r="I258" i="3"/>
  <x:c r="J258" i="3"/>
  <x:c r="L258" i="3"/>
  <x:c r="P258" i="3"/>
  <x:c r="Q258" i="3"/>
  <x:c r="B259" i="3"/>
  <x:c r="D259" i="3"/>
  <x:c r="F259" i="3"/>
  <x:c r="I259" i="3"/>
  <x:c r="J259" i="3"/>
  <x:c r="L259" i="3"/>
  <x:c r="P259" i="3"/>
  <x:c r="Q259" i="3"/>
  <x:c r="B260" i="3"/>
  <x:c r="D260" i="3"/>
  <x:c r="F260" i="3"/>
  <x:c r="I260" i="3"/>
  <x:c r="J260" i="3"/>
  <x:c r="L260" i="3"/>
  <x:c r="P260" i="3"/>
  <x:c r="Q260" i="3"/>
  <x:c r="B261" i="3"/>
  <x:c r="D261" i="3"/>
  <x:c r="F261" i="3"/>
  <x:c r="I261" i="3"/>
  <x:c r="J261" i="3"/>
  <x:c r="L261" i="3"/>
  <x:c r="P261" i="3"/>
  <x:c r="Q261" i="3"/>
  <x:c r="B262" i="3"/>
  <x:c r="D262" i="3"/>
  <x:c r="F262" i="3"/>
  <x:c r="I262" i="3"/>
  <x:c r="J262" i="3"/>
  <x:c r="L262" i="3"/>
  <x:c r="P262" i="3"/>
  <x:c r="Q262" i="3"/>
  <x:c r="B263" i="3"/>
  <x:c r="D263" i="3"/>
  <x:c r="F263" i="3"/>
  <x:c r="I263" i="3"/>
  <x:c r="J263" i="3"/>
  <x:c r="L263" i="3"/>
  <x:c r="P263" i="3"/>
  <x:c r="Q263" i="3"/>
  <x:c r="B264" i="3"/>
  <x:c r="D264" i="3"/>
  <x:c r="F264" i="3"/>
  <x:c r="I264" i="3"/>
  <x:c r="J264" i="3"/>
  <x:c r="L264" i="3"/>
  <x:c r="P264" i="3"/>
  <x:c r="Q264" i="3"/>
  <x:c r="B265" i="3"/>
  <x:c r="D265" i="3"/>
  <x:c r="F265" i="3"/>
  <x:c r="I265" i="3"/>
  <x:c r="J265" i="3"/>
  <x:c r="L265" i="3"/>
  <x:c r="P265" i="3"/>
  <x:c r="Q265" i="3"/>
  <x:c r="B266" i="3"/>
  <x:c r="D266" i="3"/>
  <x:c r="F266" i="3"/>
  <x:c r="I266" i="3"/>
  <x:c r="J266" i="3"/>
  <x:c r="L266" i="3"/>
  <x:c r="P266" i="3"/>
  <x:c r="Q266" i="3"/>
  <x:c r="B267" i="3"/>
  <x:c r="D267" i="3"/>
  <x:c r="F267" i="3"/>
  <x:c r="I267" i="3"/>
  <x:c r="J267" i="3"/>
  <x:c r="L267" i="3"/>
  <x:c r="P267" i="3"/>
  <x:c r="Q267" i="3"/>
  <x:c r="B268" i="3"/>
  <x:c r="D268" i="3"/>
  <x:c r="F268" i="3"/>
  <x:c r="I268" i="3"/>
  <x:c r="J268" i="3"/>
  <x:c r="L268" i="3"/>
  <x:c r="P268" i="3"/>
  <x:c r="Q268" i="3"/>
  <x:c r="B269" i="3"/>
  <x:c r="D269" i="3"/>
  <x:c r="F269" i="3"/>
  <x:c r="I269" i="3"/>
  <x:c r="J269" i="3"/>
  <x:c r="L269" i="3"/>
  <x:c r="P269" i="3"/>
  <x:c r="Q269" i="3"/>
  <x:c r="B270" i="3"/>
  <x:c r="D270" i="3"/>
  <x:c r="F270" i="3"/>
  <x:c r="I270" i="3"/>
  <x:c r="J270" i="3"/>
  <x:c r="L270" i="3"/>
  <x:c r="P270" i="3"/>
  <x:c r="Q270" i="3"/>
  <x:c r="B271" i="3"/>
  <x:c r="D271" i="3"/>
  <x:c r="F271" i="3"/>
  <x:c r="I271" i="3"/>
  <x:c r="J271" i="3"/>
  <x:c r="L271" i="3"/>
  <x:c r="P271" i="3"/>
  <x:c r="Q271" i="3"/>
  <x:c r="B272" i="3"/>
  <x:c r="D272" i="3"/>
  <x:c r="F272" i="3"/>
  <x:c r="I272" i="3"/>
  <x:c r="J272" i="3"/>
  <x:c r="L272" i="3"/>
  <x:c r="P272" i="3"/>
  <x:c r="Q272" i="3"/>
  <x:c r="B273" i="3"/>
  <x:c r="D273" i="3"/>
  <x:c r="F273" i="3"/>
  <x:c r="I273" i="3"/>
  <x:c r="J273" i="3"/>
  <x:c r="L273" i="3"/>
  <x:c r="P273" i="3"/>
  <x:c r="Q273" i="3"/>
  <x:c r="B274" i="3"/>
  <x:c r="D274" i="3"/>
  <x:c r="F274" i="3"/>
  <x:c r="I274" i="3"/>
  <x:c r="J274" i="3"/>
  <x:c r="L274" i="3"/>
  <x:c r="P274" i="3"/>
  <x:c r="Q274" i="3"/>
  <x:c r="B275" i="3"/>
  <x:c r="D275" i="3"/>
  <x:c r="F275" i="3"/>
  <x:c r="I275" i="3"/>
  <x:c r="J275" i="3"/>
  <x:c r="L275" i="3"/>
  <x:c r="P275" i="3"/>
  <x:c r="Q275" i="3"/>
  <x:c r="B276" i="3"/>
  <x:c r="D276" i="3"/>
  <x:c r="F276" i="3"/>
  <x:c r="I276" i="3"/>
  <x:c r="J276" i="3"/>
  <x:c r="L276" i="3"/>
  <x:c r="P276" i="3"/>
  <x:c r="Q276" i="3"/>
  <x:c r="B277" i="3"/>
  <x:c r="D277" i="3"/>
  <x:c r="F277" i="3"/>
  <x:c r="I277" i="3"/>
  <x:c r="J277" i="3"/>
  <x:c r="L277" i="3"/>
  <x:c r="P277" i="3"/>
  <x:c r="Q277" i="3"/>
  <x:c r="B278" i="3"/>
  <x:c r="D278" i="3"/>
  <x:c r="F278" i="3"/>
  <x:c r="I278" i="3"/>
  <x:c r="J278" i="3"/>
  <x:c r="L278" i="3"/>
  <x:c r="P278" i="3"/>
  <x:c r="Q278" i="3"/>
  <x:c r="B279" i="3"/>
  <x:c r="D279" i="3"/>
  <x:c r="F279" i="3"/>
  <x:c r="I279" i="3"/>
  <x:c r="J279" i="3"/>
  <x:c r="L279" i="3"/>
  <x:c r="P279" i="3"/>
  <x:c r="Q279" i="3"/>
  <x:c r="B280" i="3"/>
  <x:c r="D280" i="3"/>
  <x:c r="F280" i="3"/>
  <x:c r="I280" i="3"/>
  <x:c r="J280" i="3"/>
  <x:c r="L280" i="3"/>
  <x:c r="P280" i="3"/>
  <x:c r="Q280" i="3"/>
  <x:c r="B281" i="3"/>
  <x:c r="D281" i="3"/>
  <x:c r="F281" i="3"/>
  <x:c r="I281" i="3"/>
  <x:c r="J281" i="3"/>
  <x:c r="L281" i="3"/>
  <x:c r="P281" i="3"/>
  <x:c r="Q281" i="3"/>
  <x:c r="B282" i="3"/>
  <x:c r="D282" i="3"/>
  <x:c r="F282" i="3"/>
  <x:c r="I282" i="3"/>
  <x:c r="J282" i="3"/>
  <x:c r="L282" i="3"/>
  <x:c r="P282" i="3"/>
  <x:c r="Q282" i="3"/>
  <x:c r="B283" i="3"/>
  <x:c r="D283" i="3"/>
  <x:c r="F283" i="3"/>
  <x:c r="I283" i="3"/>
  <x:c r="J283" i="3"/>
  <x:c r="L283" i="3"/>
  <x:c r="P283" i="3"/>
  <x:c r="Q283" i="3"/>
  <x:c r="B284" i="3"/>
  <x:c r="D284" i="3"/>
  <x:c r="F284" i="3"/>
  <x:c r="I284" i="3"/>
  <x:c r="J284" i="3"/>
  <x:c r="L284" i="3"/>
  <x:c r="P284" i="3"/>
  <x:c r="Q284" i="3"/>
  <x:c r="B285" i="3"/>
  <x:c r="D285" i="3"/>
  <x:c r="F285" i="3"/>
  <x:c r="I285" i="3"/>
  <x:c r="J285" i="3"/>
  <x:c r="L285" i="3"/>
  <x:c r="P285" i="3"/>
  <x:c r="Q285" i="3"/>
  <x:c r="B286" i="3"/>
  <x:c r="D286" i="3"/>
  <x:c r="F286" i="3"/>
  <x:c r="I286" i="3"/>
  <x:c r="J286" i="3"/>
  <x:c r="L286" i="3"/>
  <x:c r="P286" i="3"/>
  <x:c r="Q286" i="3"/>
  <x:c r="B287" i="3"/>
  <x:c r="D287" i="3"/>
  <x:c r="F287" i="3"/>
  <x:c r="I287" i="3"/>
  <x:c r="J287" i="3"/>
  <x:c r="L287" i="3"/>
  <x:c r="P287" i="3"/>
  <x:c r="Q287" i="3"/>
  <x:c r="B288" i="3"/>
  <x:c r="D288" i="3"/>
  <x:c r="F288" i="3"/>
  <x:c r="I288" i="3"/>
  <x:c r="J288" i="3"/>
  <x:c r="L288" i="3"/>
  <x:c r="P288" i="3"/>
  <x:c r="Q288" i="3"/>
  <x:c r="B289" i="3"/>
  <x:c r="D289" i="3"/>
  <x:c r="F289" i="3"/>
  <x:c r="I289" i="3"/>
  <x:c r="J289" i="3"/>
  <x:c r="L289" i="3"/>
  <x:c r="P289" i="3"/>
  <x:c r="Q289" i="3"/>
  <x:c r="B290" i="3"/>
  <x:c r="D290" i="3"/>
  <x:c r="F290" i="3"/>
  <x:c r="I290" i="3"/>
  <x:c r="J290" i="3"/>
  <x:c r="L290" i="3"/>
  <x:c r="P290" i="3"/>
  <x:c r="Q290" i="3"/>
  <x:c r="B291" i="3"/>
  <x:c r="D291" i="3"/>
  <x:c r="F291" i="3"/>
  <x:c r="I291" i="3"/>
  <x:c r="J291" i="3"/>
  <x:c r="L291" i="3"/>
  <x:c r="P291" i="3"/>
  <x:c r="Q291" i="3"/>
  <x:c r="B292" i="3"/>
  <x:c r="D292" i="3"/>
  <x:c r="F292" i="3"/>
  <x:c r="I292" i="3"/>
  <x:c r="J292" i="3"/>
  <x:c r="L292" i="3"/>
  <x:c r="P292" i="3"/>
  <x:c r="Q292" i="3"/>
  <x:c r="B293" i="3"/>
  <x:c r="D293" i="3"/>
  <x:c r="F293" i="3"/>
  <x:c r="I293" i="3"/>
  <x:c r="J293" i="3"/>
  <x:c r="L293" i="3"/>
  <x:c r="P293" i="3"/>
  <x:c r="Q293" i="3"/>
  <x:c r="B294" i="3"/>
  <x:c r="D294" i="3"/>
  <x:c r="F294" i="3"/>
  <x:c r="I294" i="3"/>
  <x:c r="J294" i="3"/>
  <x:c r="L294" i="3"/>
  <x:c r="P294" i="3"/>
  <x:c r="Q294" i="3"/>
  <x:c r="B295" i="3"/>
  <x:c r="D295" i="3"/>
  <x:c r="F295" i="3"/>
  <x:c r="I295" i="3"/>
  <x:c r="J295" i="3"/>
  <x:c r="L295" i="3"/>
  <x:c r="P295" i="3"/>
  <x:c r="Q295" i="3"/>
  <x:c r="B296" i="3"/>
  <x:c r="D296" i="3"/>
  <x:c r="F296" i="3"/>
  <x:c r="I296" i="3"/>
  <x:c r="J296" i="3"/>
  <x:c r="L296" i="3"/>
  <x:c r="P296" i="3"/>
  <x:c r="Q296" i="3"/>
  <x:c r="B297" i="3"/>
  <x:c r="D297" i="3"/>
  <x:c r="F297" i="3"/>
  <x:c r="I297" i="3"/>
  <x:c r="J297" i="3"/>
  <x:c r="L297" i="3"/>
  <x:c r="P297" i="3"/>
  <x:c r="Q297" i="3"/>
  <x:c r="B298" i="3"/>
  <x:c r="D298" i="3"/>
  <x:c r="F298" i="3"/>
  <x:c r="I298" i="3"/>
  <x:c r="J298" i="3"/>
  <x:c r="L298" i="3"/>
  <x:c r="P298" i="3"/>
  <x:c r="Q298" i="3"/>
  <x:c r="B299" i="3"/>
  <x:c r="D299" i="3"/>
  <x:c r="F299" i="3"/>
  <x:c r="I299" i="3"/>
  <x:c r="J299" i="3"/>
  <x:c r="L299" i="3"/>
  <x:c r="P299" i="3"/>
  <x:c r="Q299" i="3"/>
  <x:c r="B300" i="3"/>
  <x:c r="D300" i="3"/>
  <x:c r="F300" i="3"/>
  <x:c r="I300" i="3"/>
  <x:c r="J300" i="3"/>
  <x:c r="L300" i="3"/>
  <x:c r="P300" i="3"/>
  <x:c r="Q300" i="3"/>
  <x:c r="B301" i="3"/>
  <x:c r="D301" i="3"/>
  <x:c r="F301" i="3"/>
  <x:c r="I301" i="3"/>
  <x:c r="J301" i="3"/>
  <x:c r="L301" i="3"/>
  <x:c r="P301" i="3"/>
  <x:c r="Q301" i="3"/>
  <x:c r="B302" i="3"/>
  <x:c r="D302" i="3"/>
  <x:c r="F302" i="3"/>
  <x:c r="I302" i="3"/>
  <x:c r="J302" i="3"/>
  <x:c r="L302" i="3"/>
  <x:c r="P302" i="3"/>
  <x:c r="Q302" i="3"/>
  <x:c r="B303" i="3"/>
  <x:c r="D303" i="3"/>
  <x:c r="F303" i="3"/>
  <x:c r="I303" i="3"/>
  <x:c r="J303" i="3"/>
  <x:c r="L303" i="3"/>
  <x:c r="P303" i="3"/>
  <x:c r="Q303" i="3"/>
  <x:c r="B304" i="3"/>
  <x:c r="D304" i="3"/>
  <x:c r="F304" i="3"/>
  <x:c r="I304" i="3"/>
  <x:c r="J304" i="3"/>
  <x:c r="L304" i="3"/>
  <x:c r="P304" i="3"/>
  <x:c r="Q304" i="3"/>
  <x:c r="B305" i="3"/>
  <x:c r="D305" i="3"/>
  <x:c r="F305" i="3"/>
  <x:c r="I305" i="3"/>
  <x:c r="J305" i="3"/>
  <x:c r="L305" i="3"/>
  <x:c r="P305" i="3"/>
  <x:c r="Q305" i="3"/>
  <x:c r="B306" i="3"/>
  <x:c r="D306" i="3"/>
  <x:c r="F306" i="3"/>
  <x:c r="I306" i="3"/>
  <x:c r="J306" i="3"/>
  <x:c r="L306" i="3"/>
  <x:c r="P306" i="3"/>
  <x:c r="Q306" i="3"/>
  <x:c r="B307" i="3"/>
  <x:c r="D307" i="3"/>
  <x:c r="F307" i="3"/>
  <x:c r="I307" i="3"/>
  <x:c r="J307" i="3"/>
  <x:c r="L307" i="3"/>
  <x:c r="P307" i="3"/>
  <x:c r="Q307" i="3"/>
  <x:c r="B308" i="3"/>
  <x:c r="D308" i="3"/>
  <x:c r="F308" i="3"/>
  <x:c r="I308" i="3"/>
  <x:c r="J308" i="3"/>
  <x:c r="L308" i="3"/>
  <x:c r="P308" i="3"/>
  <x:c r="Q308" i="3"/>
  <x:c r="B309" i="3"/>
  <x:c r="D309" i="3"/>
  <x:c r="F309" i="3"/>
  <x:c r="I309" i="3"/>
  <x:c r="J309" i="3"/>
  <x:c r="L309" i="3"/>
  <x:c r="P309" i="3"/>
  <x:c r="Q309" i="3"/>
  <x:c r="B310" i="3"/>
  <x:c r="D310" i="3"/>
  <x:c r="F310" i="3"/>
  <x:c r="I310" i="3"/>
  <x:c r="J310" i="3"/>
  <x:c r="L310" i="3"/>
  <x:c r="P310" i="3"/>
  <x:c r="Q310" i="3"/>
  <x:c r="B311" i="3"/>
  <x:c r="D311" i="3"/>
  <x:c r="F311" i="3"/>
  <x:c r="I311" i="3"/>
  <x:c r="J311" i="3"/>
  <x:c r="L311" i="3"/>
  <x:c r="P311" i="3"/>
  <x:c r="Q311" i="3"/>
  <x:c r="B312" i="3"/>
  <x:c r="D312" i="3"/>
  <x:c r="F312" i="3"/>
  <x:c r="I312" i="3"/>
  <x:c r="J312" i="3"/>
  <x:c r="L312" i="3"/>
  <x:c r="P312" i="3"/>
  <x:c r="Q312" i="3"/>
  <x:c r="B313" i="3"/>
  <x:c r="D313" i="3"/>
  <x:c r="F313" i="3"/>
  <x:c r="I313" i="3"/>
  <x:c r="J313" i="3"/>
  <x:c r="L313" i="3"/>
  <x:c r="P313" i="3"/>
  <x:c r="Q313" i="3"/>
  <x:c r="B314" i="3"/>
  <x:c r="D314" i="3"/>
  <x:c r="F314" i="3"/>
  <x:c r="I314" i="3"/>
  <x:c r="J314" i="3"/>
  <x:c r="L314" i="3"/>
  <x:c r="P314" i="3"/>
  <x:c r="Q314" i="3"/>
  <x:c r="B315" i="3"/>
  <x:c r="D315" i="3"/>
  <x:c r="F315" i="3"/>
  <x:c r="I315" i="3"/>
  <x:c r="J315" i="3"/>
  <x:c r="L315" i="3"/>
  <x:c r="P315" i="3"/>
  <x:c r="Q315" i="3"/>
  <x:c r="B316" i="3"/>
  <x:c r="D316" i="3"/>
  <x:c r="F316" i="3"/>
  <x:c r="I316" i="3"/>
  <x:c r="J316" i="3"/>
  <x:c r="L316" i="3"/>
  <x:c r="P316" i="3"/>
  <x:c r="Q316" i="3"/>
  <x:c r="B317" i="3"/>
  <x:c r="D317" i="3"/>
  <x:c r="F317" i="3"/>
  <x:c r="I317" i="3"/>
  <x:c r="J317" i="3"/>
  <x:c r="L317" i="3"/>
  <x:c r="P317" i="3"/>
  <x:c r="Q317" i="3"/>
  <x:c r="B318" i="3"/>
  <x:c r="D318" i="3"/>
  <x:c r="F318" i="3"/>
  <x:c r="I318" i="3"/>
  <x:c r="J318" i="3"/>
  <x:c r="L318" i="3"/>
  <x:c r="P318" i="3"/>
  <x:c r="Q318" i="3"/>
  <x:c r="B319" i="3"/>
  <x:c r="D319" i="3"/>
  <x:c r="F319" i="3"/>
  <x:c r="I319" i="3"/>
  <x:c r="J319" i="3"/>
  <x:c r="L319" i="3"/>
  <x:c r="P319" i="3"/>
  <x:c r="Q319" i="3"/>
  <x:c r="B320" i="3"/>
  <x:c r="D320" i="3"/>
  <x:c r="F320" i="3"/>
  <x:c r="I320" i="3"/>
  <x:c r="J320" i="3"/>
  <x:c r="L320" i="3"/>
  <x:c r="P320" i="3"/>
  <x:c r="Q320" i="3"/>
  <x:c r="B321" i="3"/>
  <x:c r="D321" i="3"/>
  <x:c r="F321" i="3"/>
  <x:c r="I321" i="3"/>
  <x:c r="J321" i="3"/>
  <x:c r="L321" i="3"/>
  <x:c r="P321" i="3"/>
  <x:c r="Q321" i="3"/>
  <x:c r="B322" i="3"/>
  <x:c r="D322" i="3"/>
  <x:c r="F322" i="3"/>
  <x:c r="I322" i="3"/>
  <x:c r="J322" i="3"/>
  <x:c r="L322" i="3"/>
  <x:c r="P322" i="3"/>
  <x:c r="Q322" i="3"/>
  <x:c r="B323" i="3"/>
  <x:c r="D323" i="3"/>
  <x:c r="F323" i="3"/>
  <x:c r="I323" i="3"/>
  <x:c r="J323" i="3"/>
  <x:c r="L323" i="3"/>
  <x:c r="P323" i="3"/>
  <x:c r="Q323" i="3"/>
  <x:c r="B324" i="3"/>
  <x:c r="D324" i="3"/>
  <x:c r="F324" i="3"/>
  <x:c r="I324" i="3"/>
  <x:c r="J324" i="3"/>
  <x:c r="L324" i="3"/>
  <x:c r="P324" i="3"/>
  <x:c r="Q324" i="3"/>
  <x:c r="B325" i="3"/>
  <x:c r="D325" i="3"/>
  <x:c r="F325" i="3"/>
  <x:c r="I325" i="3"/>
  <x:c r="J325" i="3"/>
  <x:c r="L325" i="3"/>
  <x:c r="P325" i="3"/>
  <x:c r="Q325" i="3"/>
  <x:c r="B326" i="3"/>
  <x:c r="D326" i="3"/>
  <x:c r="F326" i="3"/>
  <x:c r="I326" i="3"/>
  <x:c r="J326" i="3"/>
  <x:c r="L326" i="3"/>
  <x:c r="P326" i="3"/>
  <x:c r="Q326" i="3"/>
  <x:c r="B327" i="3"/>
  <x:c r="D327" i="3"/>
  <x:c r="F327" i="3"/>
  <x:c r="I327" i="3"/>
  <x:c r="J327" i="3"/>
  <x:c r="L327" i="3"/>
  <x:c r="P327" i="3"/>
  <x:c r="Q327" i="3"/>
  <x:c r="B328" i="3"/>
  <x:c r="D328" i="3"/>
  <x:c r="F328" i="3"/>
  <x:c r="I328" i="3"/>
  <x:c r="J328" i="3"/>
  <x:c r="L328" i="3"/>
  <x:c r="P328" i="3"/>
  <x:c r="Q328" i="3"/>
  <x:c r="B329" i="3"/>
  <x:c r="D329" i="3"/>
  <x:c r="F329" i="3"/>
  <x:c r="I329" i="3"/>
  <x:c r="J329" i="3"/>
  <x:c r="L329" i="3"/>
  <x:c r="P329" i="3"/>
  <x:c r="Q329" i="3"/>
  <x:c r="B330" i="3"/>
  <x:c r="D330" i="3"/>
  <x:c r="F330" i="3"/>
  <x:c r="I330" i="3"/>
  <x:c r="J330" i="3"/>
  <x:c r="L330" i="3"/>
  <x:c r="P330" i="3"/>
  <x:c r="Q330" i="3"/>
  <x:c r="B331" i="3"/>
  <x:c r="D331" i="3"/>
  <x:c r="F331" i="3"/>
  <x:c r="I331" i="3"/>
  <x:c r="J331" i="3"/>
  <x:c r="L331" i="3"/>
  <x:c r="P331" i="3"/>
  <x:c r="Q331" i="3"/>
  <x:c r="B332" i="3"/>
  <x:c r="D332" i="3"/>
  <x:c r="F332" i="3"/>
  <x:c r="I332" i="3"/>
  <x:c r="J332" i="3"/>
  <x:c r="L332" i="3"/>
  <x:c r="P332" i="3"/>
  <x:c r="Q332" i="3"/>
  <x:c r="B333" i="3"/>
  <x:c r="D333" i="3"/>
  <x:c r="F333" i="3"/>
  <x:c r="I333" i="3"/>
  <x:c r="J333" i="3"/>
  <x:c r="L333" i="3"/>
  <x:c r="P333" i="3"/>
  <x:c r="Q333" i="3"/>
  <x:c r="B334" i="3"/>
  <x:c r="D334" i="3"/>
  <x:c r="F334" i="3"/>
  <x:c r="I334" i="3"/>
  <x:c r="J334" i="3"/>
  <x:c r="L334" i="3"/>
  <x:c r="P334" i="3"/>
  <x:c r="Q334" i="3"/>
  <x:c r="B335" i="3"/>
  <x:c r="D335" i="3"/>
  <x:c r="F335" i="3"/>
  <x:c r="I335" i="3"/>
  <x:c r="J335" i="3"/>
  <x:c r="L335" i="3"/>
  <x:c r="P335" i="3"/>
  <x:c r="Q335" i="3"/>
  <x:c r="B336" i="3"/>
  <x:c r="D336" i="3"/>
  <x:c r="F336" i="3"/>
  <x:c r="I336" i="3"/>
  <x:c r="J336" i="3"/>
  <x:c r="L336" i="3"/>
  <x:c r="P336" i="3"/>
  <x:c r="Q336" i="3"/>
  <x:c r="B337" i="3"/>
  <x:c r="D337" i="3"/>
  <x:c r="F337" i="3"/>
  <x:c r="I337" i="3"/>
  <x:c r="J337" i="3"/>
  <x:c r="L337" i="3"/>
  <x:c r="P337" i="3"/>
  <x:c r="Q337" i="3"/>
  <x:c r="B338" i="3"/>
  <x:c r="D338" i="3"/>
  <x:c r="F338" i="3"/>
  <x:c r="I338" i="3"/>
  <x:c r="J338" i="3"/>
  <x:c r="L338" i="3"/>
  <x:c r="P338" i="3"/>
  <x:c r="Q338" i="3"/>
  <x:c r="B339" i="3"/>
  <x:c r="D339" i="3"/>
  <x:c r="F339" i="3"/>
  <x:c r="I339" i="3"/>
  <x:c r="J339" i="3"/>
  <x:c r="L339" i="3"/>
  <x:c r="P339" i="3"/>
  <x:c r="Q339" i="3"/>
  <x:c r="B340" i="3"/>
  <x:c r="D340" i="3"/>
  <x:c r="F340" i="3"/>
  <x:c r="I340" i="3"/>
  <x:c r="J340" i="3"/>
  <x:c r="L340" i="3"/>
  <x:c r="P340" i="3"/>
  <x:c r="Q340" i="3"/>
  <x:c r="B341" i="3"/>
  <x:c r="D341" i="3"/>
  <x:c r="F341" i="3"/>
  <x:c r="I341" i="3"/>
  <x:c r="J341" i="3"/>
  <x:c r="L341" i="3"/>
  <x:c r="P341" i="3"/>
  <x:c r="Q341" i="3"/>
  <x:c r="B342" i="3"/>
  <x:c r="D342" i="3"/>
  <x:c r="F342" i="3"/>
  <x:c r="I342" i="3"/>
  <x:c r="J342" i="3"/>
  <x:c r="L342" i="3"/>
  <x:c r="P342" i="3"/>
  <x:c r="Q342" i="3"/>
  <x:c r="B343" i="3"/>
  <x:c r="F343" i="3"/>
  <x:c r="I343" i="3"/>
  <x:c r="J343" i="3"/>
  <x:c r="L343" i="3"/>
  <x:c r="P343" i="3"/>
  <x:c r="Q343" i="3"/>
  <x:c r="B344" i="3"/>
  <x:c r="F344" i="3"/>
  <x:c r="I344" i="3"/>
  <x:c r="J344" i="3"/>
  <x:c r="L344" i="3"/>
  <x:c r="P344" i="3"/>
  <x:c r="Q344" i="3"/>
  <x:c r="B345" i="3"/>
  <x:c r="F345" i="3"/>
  <x:c r="I345" i="3"/>
  <x:c r="J345" i="3"/>
  <x:c r="L345" i="3"/>
  <x:c r="P345" i="3"/>
  <x:c r="Q345" i="3"/>
  <x:c r="B346" i="3"/>
  <x:c r="F346" i="3"/>
  <x:c r="I346" i="3"/>
  <x:c r="J346" i="3"/>
  <x:c r="L346" i="3"/>
  <x:c r="P346" i="3"/>
  <x:c r="Q346" i="3"/>
  <x:c r="B347" i="3"/>
  <x:c r="F347" i="3"/>
  <x:c r="I347" i="3"/>
  <x:c r="J347" i="3"/>
  <x:c r="L347" i="3"/>
  <x:c r="P347" i="3"/>
  <x:c r="Q347" i="3"/>
  <x:c r="B348" i="3"/>
  <x:c r="F348" i="3"/>
  <x:c r="I348" i="3"/>
  <x:c r="J348" i="3"/>
  <x:c r="L348" i="3"/>
  <x:c r="P348" i="3"/>
  <x:c r="Q348" i="3"/>
  <x:c r="B349" i="3"/>
  <x:c r="F349" i="3"/>
  <x:c r="I349" i="3"/>
  <x:c r="J349" i="3"/>
  <x:c r="L349" i="3"/>
  <x:c r="P349" i="3"/>
  <x:c r="Q349" i="3"/>
  <x:c r="B350" i="3"/>
  <x:c r="F350" i="3"/>
  <x:c r="I350" i="3"/>
  <x:c r="J350" i="3"/>
  <x:c r="L350" i="3"/>
  <x:c r="P350" i="3"/>
  <x:c r="Q350" i="3"/>
  <x:c r="B351" i="3"/>
  <x:c r="F351" i="3"/>
  <x:c r="I351" i="3"/>
  <x:c r="J351" i="3"/>
  <x:c r="L351" i="3"/>
  <x:c r="P351" i="3"/>
  <x:c r="Q351" i="3"/>
  <x:c r="B352" i="3"/>
  <x:c r="F352" i="3"/>
  <x:c r="I352" i="3"/>
  <x:c r="J352" i="3"/>
  <x:c r="L352" i="3"/>
  <x:c r="P352" i="3"/>
  <x:c r="Q352" i="3"/>
  <x:c r="B353" i="3"/>
  <x:c r="F353" i="3"/>
  <x:c r="I353" i="3"/>
  <x:c r="J353" i="3"/>
  <x:c r="L353" i="3"/>
  <x:c r="P353" i="3"/>
  <x:c r="Q353" i="3"/>
  <x:c r="B354" i="3"/>
  <x:c r="F354" i="3"/>
  <x:c r="I354" i="3"/>
  <x:c r="J354" i="3"/>
  <x:c r="L354" i="3"/>
  <x:c r="P354" i="3"/>
  <x:c r="Q354" i="3"/>
  <x:c r="B355" i="3"/>
  <x:c r="F355" i="3"/>
  <x:c r="I355" i="3"/>
  <x:c r="J355" i="3"/>
  <x:c r="L355" i="3"/>
  <x:c r="P355" i="3"/>
  <x:c r="Q355" i="3"/>
  <x:c r="B356" i="3"/>
  <x:c r="F356" i="3"/>
  <x:c r="I356" i="3"/>
  <x:c r="J356" i="3"/>
  <x:c r="L356" i="3"/>
  <x:c r="P356" i="3"/>
  <x:c r="Q356" i="3"/>
  <x:c r="B357" i="3"/>
  <x:c r="F357" i="3"/>
  <x:c r="I357" i="3"/>
  <x:c r="J357" i="3"/>
  <x:c r="L357" i="3"/>
  <x:c r="P357" i="3"/>
  <x:c r="Q357" i="3"/>
  <x:c r="B358" i="3"/>
  <x:c r="F358" i="3"/>
  <x:c r="I358" i="3"/>
  <x:c r="J358" i="3"/>
  <x:c r="L358" i="3"/>
  <x:c r="P358" i="3"/>
  <x:c r="Q358" i="3"/>
  <x:c r="B359" i="3"/>
  <x:c r="F359" i="3"/>
  <x:c r="I359" i="3"/>
  <x:c r="J359" i="3"/>
  <x:c r="L359" i="3"/>
  <x:c r="P359" i="3"/>
  <x:c r="Q359" i="3"/>
  <x:c r="B360" i="3"/>
  <x:c r="F360" i="3"/>
  <x:c r="I360" i="3"/>
  <x:c r="J360" i="3"/>
  <x:c r="L360" i="3"/>
  <x:c r="P360" i="3"/>
  <x:c r="Q360" i="3"/>
  <x:c r="B361" i="3"/>
  <x:c r="F361" i="3"/>
  <x:c r="I361" i="3"/>
  <x:c r="J361" i="3"/>
  <x:c r="L361" i="3"/>
  <x:c r="P361" i="3"/>
  <x:c r="Q361" i="3"/>
  <x:c r="B362" i="3"/>
  <x:c r="F362" i="3"/>
  <x:c r="I362" i="3"/>
  <x:c r="J362" i="3"/>
  <x:c r="L362" i="3"/>
  <x:c r="P362" i="3"/>
  <x:c r="Q362" i="3"/>
  <x:c r="B363" i="3"/>
  <x:c r="F363" i="3"/>
  <x:c r="I363" i="3"/>
  <x:c r="J363" i="3"/>
  <x:c r="L363" i="3"/>
  <x:c r="P363" i="3"/>
  <x:c r="Q363" i="3"/>
  <x:c r="B364" i="3"/>
  <x:c r="F364" i="3"/>
  <x:c r="I364" i="3"/>
  <x:c r="J364" i="3"/>
  <x:c r="L364" i="3"/>
  <x:c r="P364" i="3"/>
  <x:c r="Q364" i="3"/>
  <x:c r="B365" i="3"/>
  <x:c r="F365" i="3"/>
  <x:c r="I365" i="3"/>
  <x:c r="J365" i="3"/>
  <x:c r="L365" i="3"/>
  <x:c r="P365" i="3"/>
  <x:c r="Q365" i="3"/>
  <x:c r="B366" i="3"/>
  <x:c r="F366" i="3"/>
  <x:c r="I366" i="3"/>
  <x:c r="J366" i="3"/>
  <x:c r="L366" i="3"/>
  <x:c r="P366" i="3"/>
  <x:c r="Q366" i="3"/>
  <x:c r="B367" i="3"/>
  <x:c r="F367" i="3"/>
  <x:c r="I367" i="3"/>
  <x:c r="J367" i="3"/>
  <x:c r="L367" i="3"/>
  <x:c r="P367" i="3"/>
  <x:c r="Q367" i="3"/>
  <x:c r="B368" i="3"/>
  <x:c r="F368" i="3"/>
  <x:c r="I368" i="3"/>
  <x:c r="J368" i="3"/>
  <x:c r="L368" i="3"/>
  <x:c r="P368" i="3"/>
  <x:c r="Q368" i="3"/>
  <x:c r="B369" i="3"/>
  <x:c r="F369" i="3"/>
  <x:c r="I369" i="3"/>
  <x:c r="J369" i="3"/>
  <x:c r="L369" i="3"/>
  <x:c r="P369" i="3"/>
  <x:c r="Q369" i="3"/>
  <x:c r="B370" i="3"/>
  <x:c r="F370" i="3"/>
  <x:c r="I370" i="3"/>
  <x:c r="J370" i="3"/>
  <x:c r="L370" i="3"/>
  <x:c r="P370" i="3"/>
  <x:c r="Q370" i="3"/>
  <x:c r="B371" i="3"/>
  <x:c r="F371" i="3"/>
  <x:c r="I371" i="3"/>
  <x:c r="J371" i="3"/>
  <x:c r="L371" i="3"/>
  <x:c r="P371" i="3"/>
  <x:c r="Q371" i="3"/>
  <x:c r="B372" i="3"/>
  <x:c r="F372" i="3"/>
  <x:c r="I372" i="3"/>
  <x:c r="J372" i="3"/>
  <x:c r="L372" i="3"/>
  <x:c r="P372" i="3"/>
  <x:c r="Q372" i="3"/>
  <x:c r="B373" i="3"/>
  <x:c r="F373" i="3"/>
  <x:c r="I373" i="3"/>
  <x:c r="J373" i="3"/>
  <x:c r="L373" i="3"/>
  <x:c r="P373" i="3"/>
  <x:c r="Q373" i="3"/>
  <x:c r="B374" i="3"/>
  <x:c r="F374" i="3"/>
  <x:c r="I374" i="3"/>
  <x:c r="J374" i="3"/>
  <x:c r="L374" i="3"/>
  <x:c r="P374" i="3"/>
  <x:c r="Q374" i="3"/>
  <x:c r="B375" i="3"/>
  <x:c r="F375" i="3"/>
  <x:c r="I375" i="3"/>
  <x:c r="J375" i="3"/>
  <x:c r="L375" i="3"/>
  <x:c r="P375" i="3"/>
  <x:c r="Q375" i="3"/>
  <x:c r="B376" i="3"/>
  <x:c r="F376" i="3"/>
  <x:c r="I376" i="3"/>
  <x:c r="J376" i="3"/>
  <x:c r="L376" i="3"/>
  <x:c r="P376" i="3"/>
  <x:c r="Q376" i="3"/>
  <x:c r="B377" i="3"/>
  <x:c r="F377" i="3"/>
  <x:c r="I377" i="3"/>
  <x:c r="J377" i="3"/>
  <x:c r="L377" i="3"/>
  <x:c r="P377" i="3"/>
  <x:c r="Q377" i="3"/>
  <x:c r="B378" i="3"/>
  <x:c r="F378" i="3"/>
  <x:c r="I378" i="3"/>
  <x:c r="J378" i="3"/>
  <x:c r="L378" i="3"/>
  <x:c r="P378" i="3"/>
  <x:c r="Q378" i="3"/>
  <x:c r="B379" i="3"/>
  <x:c r="F379" i="3"/>
  <x:c r="I379" i="3"/>
  <x:c r="J379" i="3"/>
  <x:c r="L379" i="3"/>
  <x:c r="P379" i="3"/>
  <x:c r="Q379" i="3"/>
  <x:c r="B380" i="3"/>
  <x:c r="F380" i="3"/>
  <x:c r="I380" i="3"/>
  <x:c r="J380" i="3"/>
  <x:c r="L380" i="3"/>
  <x:c r="P380" i="3"/>
  <x:c r="Q380" i="3"/>
  <x:c r="B381" i="3"/>
  <x:c r="F381" i="3"/>
  <x:c r="I381" i="3"/>
  <x:c r="J381" i="3"/>
  <x:c r="L381" i="3"/>
  <x:c r="P381" i="3"/>
  <x:c r="Q381" i="3"/>
  <x:c r="B382" i="3"/>
  <x:c r="F382" i="3"/>
  <x:c r="I382" i="3"/>
  <x:c r="J382" i="3"/>
  <x:c r="L382" i="3"/>
  <x:c r="P382" i="3"/>
  <x:c r="Q382" i="3"/>
  <x:c r="F383" i="3"/>
  <x:c r="I383" i="3"/>
  <x:c r="J383" i="3"/>
  <x:c r="L383" i="3"/>
  <x:c r="P383" i="3"/>
  <x:c r="Q383" i="3"/>
  <x:c r="F384" i="3"/>
  <x:c r="I384" i="3"/>
  <x:c r="J384" i="3"/>
  <x:c r="L384" i="3"/>
  <x:c r="P384" i="3"/>
  <x:c r="Q384" i="3"/>
  <x:c r="L385" i="3"/>
  <x:c r="P385" i="3"/>
  <x:c r="Q385" i="3"/>
  <x:c r="L386" i="3"/>
  <x:c r="P386" i="3"/>
  <x:c r="Q386" i="3"/>
  <x:c r="L387" i="3"/>
  <x:c r="Q387" i="3"/>
  <x:c r="L388" i="3"/>
  <x:c r="Q388" i="3"/>
  <x:c r="L389" i="3"/>
  <x:c r="Q389" i="3"/>
  <x:c r="L390" i="3"/>
  <x:c r="Q390" i="3"/>
  <x:c r="L391" i="3"/>
  <x:c r="Q391" i="3"/>
  <x:c r="L392" i="3"/>
  <x:c r="Q392" i="3"/>
  <x:c r="L393" i="3"/>
  <x:c r="Q393" i="3"/>
  <x:c r="L394" i="3"/>
  <x:c r="Q394" i="3"/>
  <x:c r="L395" i="3"/>
  <x:c r="Q395" i="3"/>
  <x:c r="L396" i="3"/>
  <x:c r="Q396" i="3"/>
  <x:c r="L397" i="3"/>
  <x:c r="Q397" i="3"/>
  <x:c r="L398" i="3"/>
  <x:c r="Q398" i="3"/>
  <x:c r="L399" i="3"/>
  <x:c r="Q399" i="3"/>
  <x:c r="L400" i="3"/>
  <x:c r="Q400" i="3"/>
  <x:c r="L401" i="3"/>
  <x:c r="Q401" i="3"/>
  <x:c r="L402" i="3"/>
  <x:c r="Q402" i="3"/>
  <x:c r="L403" i="3"/>
  <x:c r="Q403" i="3"/>
  <x:c r="L404" i="3"/>
  <x:c r="Q404" i="3"/>
  <x:c r="L405" i="3"/>
  <x:c r="Q405" i="3"/>
  <x:c r="L406" i="3"/>
  <x:c r="Q406" i="3"/>
  <x:c r="L407" i="3"/>
  <x:c r="Q407" i="3"/>
  <x:c r="L408" i="3"/>
  <x:c r="Q408" i="3"/>
  <x:c r="L409" i="3"/>
  <x:c r="Q409" i="3"/>
  <x:c r="L410" i="3"/>
  <x:c r="Q410" i="3"/>
  <x:c r="L411" i="3"/>
  <x:c r="Q411" i="3"/>
  <x:c r="L412" i="3"/>
  <x:c r="Q412" i="3"/>
  <x:c r="L413" i="3"/>
  <x:c r="Q413" i="3"/>
  <x:c r="L414" i="3"/>
  <x:c r="Q414" i="3"/>
  <x:c r="L415" i="3"/>
  <x:c r="Q415" i="3"/>
  <x:c r="L416" i="3"/>
  <x:c r="Q416" i="3"/>
  <x:c r="L417" i="3"/>
  <x:c r="Q417" i="3"/>
  <x:c r="L418" i="3"/>
  <x:c r="Q418" i="3"/>
  <x:c r="L419" i="3"/>
  <x:c r="Q419" i="3"/>
  <x:c r="L420" i="3"/>
  <x:c r="Q420" i="3"/>
  <x:c r="L421" i="3"/>
  <x:c r="Q421" i="3"/>
  <x:c r="L422" i="3"/>
  <x:c r="Q422" i="3"/>
  <x:c r="L423" i="3"/>
  <x:c r="Q423" i="3"/>
  <x:c r="L424" i="3"/>
  <x:c r="Q424" i="3"/>
  <x:c r="L425" i="3"/>
  <x:c r="Q425" i="3"/>
  <x:c r="L426" i="3"/>
  <x:c r="Q426" i="3"/>
  <x:c r="L427" i="3"/>
  <x:c r="Q427" i="3"/>
  <x:c r="L428" i="3"/>
  <x:c r="Q428" i="3"/>
  <x:c r="L429" i="3"/>
  <x:c r="Q429" i="3"/>
  <x:c r="L430" i="3"/>
  <x:c r="Q430" i="3"/>
  <x:c r="L431" i="3"/>
  <x:c r="Q431" i="3"/>
  <x:c r="L432" i="3"/>
  <x:c r="Q432" i="3"/>
  <x:c r="L433" i="3"/>
  <x:c r="Q433" i="3"/>
  <x:c r="L434" i="3"/>
  <x:c r="Q434" i="3"/>
  <x:c r="L435" i="3"/>
  <x:c r="Q435" i="3"/>
  <x:c r="L436" i="3"/>
  <x:c r="Q436" i="3"/>
  <x:c r="L437" i="3"/>
  <x:c r="Q437" i="3"/>
  <x:c r="L438" i="3"/>
  <x:c r="Q438" i="3"/>
  <x:c r="L439" i="3"/>
  <x:c r="Q439" i="3"/>
  <x:c r="L440" i="3"/>
  <x:c r="Q440" i="3"/>
  <x:c r="L441" i="3"/>
  <x:c r="Q441" i="3"/>
  <x:c r="L442" i="3"/>
  <x:c r="Q442" i="3"/>
  <x:c r="L443" i="3"/>
  <x:c r="Q443" i="3"/>
  <x:c r="L444" i="3"/>
  <x:c r="Q444" i="3"/>
  <x:c r="L445" i="3"/>
  <x:c r="Q445" i="3"/>
  <x:c r="L446" i="3"/>
  <x:c r="Q446" i="3"/>
  <x:c r="L447" i="3"/>
  <x:c r="Q447" i="3"/>
  <x:c r="L448" i="3"/>
  <x:c r="Q448" i="3"/>
  <x:c r="L449" i="3"/>
  <x:c r="Q449" i="3"/>
  <x:c r="L450" i="3"/>
  <x:c r="Q450" i="3"/>
  <x:c r="L451" i="3"/>
  <x:c r="Q451" i="3"/>
  <x:c r="L452" i="3"/>
  <x:c r="Q452" i="3"/>
  <x:c r="L453" i="3"/>
  <x:c r="Q453" i="3"/>
  <x:c r="L454" i="3"/>
  <x:c r="Q454" i="3"/>
  <x:c r="L455" i="3"/>
  <x:c r="Q455" i="3"/>
  <x:c r="L456" i="3"/>
  <x:c r="Q456" i="3"/>
  <x:c r="L457" i="3"/>
  <x:c r="Q457" i="3"/>
  <x:c r="L458" i="3"/>
  <x:c r="Q458" i="3"/>
  <x:c r="L459" i="3"/>
  <x:c r="Q459" i="3"/>
  <x:c r="E2" i="2"/>
  <x:c r="M2" i="2"/>
  <x:c r="U2" i="2"/>
  <x:c r="E3" i="2"/>
  <x:c r="M3" i="2"/>
  <x:c r="U3" i="2"/>
  <x:c r="E4" i="2"/>
  <x:c r="M4" i="2"/>
  <x:c r="U4" i="2"/>
  <x:c r="E5" i="2"/>
  <x:c r="M5" i="2"/>
  <x:c r="U5" i="2"/>
  <x:c r="E6" i="2"/>
  <x:c r="M6" i="2"/>
  <x:c r="U6" i="2"/>
  <x:c r="E7" i="2"/>
  <x:c r="M7" i="2"/>
  <x:c r="U7" i="2"/>
  <x:c r="E8" i="2"/>
  <x:c r="M8" i="2"/>
  <x:c r="U8" i="2"/>
  <x:c r="E9" i="2"/>
  <x:c r="M9" i="2"/>
  <x:c r="U9" i="2"/>
  <x:c r="E10" i="2"/>
  <x:c r="M10" i="2"/>
  <x:c r="U10" i="2"/>
  <x:c r="E11" i="2"/>
  <x:c r="M11" i="2"/>
  <x:c r="U11" i="2"/>
  <x:c r="E12" i="2"/>
  <x:c r="M12" i="2"/>
  <x:c r="U12" i="2"/>
  <x:c r="E13" i="2"/>
  <x:c r="M13" i="2"/>
  <x:c r="U13" i="2"/>
  <x:c r="E14" i="2"/>
  <x:c r="M14" i="2"/>
  <x:c r="U14" i="2"/>
  <x:c r="E15" i="2"/>
  <x:c r="M15" i="2"/>
  <x:c r="U15" i="2"/>
  <x:c r="E16" i="2"/>
  <x:c r="M16" i="2"/>
  <x:c r="U16" i="2"/>
  <x:c r="E17" i="2"/>
  <x:c r="M17" i="2"/>
  <x:c r="U17" i="2"/>
  <x:c r="E18" i="2"/>
  <x:c r="M18" i="2"/>
  <x:c r="U18" i="2"/>
  <x:c r="E19" i="2"/>
  <x:c r="M19" i="2"/>
  <x:c r="U19" i="2"/>
  <x:c r="E20" i="2"/>
  <x:c r="M20" i="2"/>
  <x:c r="E21" i="2"/>
  <x:c r="M21" i="2"/>
  <x:c r="U21" i="2"/>
  <x:c r="E22" i="2"/>
  <x:c r="M22" i="2"/>
  <x:c r="U22" i="2"/>
  <x:c r="E23" i="2"/>
  <x:c r="M23" i="2"/>
  <x:c r="U23" i="2"/>
  <x:c r="E24" i="2"/>
  <x:c r="M24" i="2"/>
  <x:c r="U24" i="2"/>
  <x:c r="E25" i="2"/>
  <x:c r="M25" i="2"/>
  <x:c r="U25" i="2"/>
  <x:c r="E26" i="2"/>
  <x:c r="M26" i="2"/>
  <x:c r="U26" i="2"/>
  <x:c r="E27" i="2"/>
  <x:c r="M27" i="2"/>
  <x:c r="U27" i="2"/>
  <x:c r="E28" i="2"/>
  <x:c r="M28" i="2"/>
  <x:c r="U28" i="2"/>
  <x:c r="E29" i="2"/>
  <x:c r="M29" i="2"/>
  <x:c r="U29" i="2"/>
  <x:c r="E30" i="2"/>
  <x:c r="M30" i="2"/>
  <x:c r="U30" i="2"/>
  <x:c r="E31" i="2"/>
  <x:c r="M31" i="2"/>
  <x:c r="U31" i="2"/>
  <x:c r="E32" i="2"/>
  <x:c r="M32" i="2"/>
  <x:c r="U32" i="2"/>
  <x:c r="E33" i="2"/>
  <x:c r="M33" i="2"/>
  <x:c r="U33" i="2"/>
  <x:c r="E34" i="2"/>
  <x:c r="M34" i="2"/>
  <x:c r="U34" i="2"/>
  <x:c r="E35" i="2"/>
  <x:c r="M35" i="2"/>
  <x:c r="U35" i="2"/>
  <x:c r="E36" i="2"/>
  <x:c r="M36" i="2"/>
  <x:c r="U36" i="2"/>
  <x:c r="E37" i="2"/>
  <x:c r="M37" i="2"/>
  <x:c r="U37" i="2"/>
  <x:c r="E38" i="2"/>
  <x:c r="M38" i="2"/>
  <x:c r="U38" i="2"/>
  <x:c r="E39" i="2"/>
  <x:c r="M39" i="2"/>
  <x:c r="U39" i="2"/>
  <x:c r="E40" i="2"/>
  <x:c r="M40" i="2"/>
  <x:c r="U40" i="2"/>
  <x:c r="E41" i="2"/>
  <x:c r="M41" i="2"/>
  <x:c r="U41" i="2"/>
  <x:c r="E42" i="2"/>
  <x:c r="M42" i="2"/>
  <x:c r="U42" i="2"/>
  <x:c r="E43" i="2"/>
  <x:c r="M43" i="2"/>
  <x:c r="U43" i="2"/>
  <x:c r="M44" i="2"/>
  <x:c r="M45" i="2"/>
  <x:c r="M46" i="2"/>
  <x:c r="M47" i="2"/>
  <x:c r="M48" i="2"/>
  <x:c r="M49" i="2"/>
  <x:c r="M50" i="2"/>
  <x:c r="M51" i="2"/>
  <x:c r="M52" i="2"/>
  <x:c r="M53" i="2"/>
  <x:c r="M54" i="2"/>
  <x:c r="M55" i="2"/>
  <x:c r="M56" i="2"/>
  <x:c r="M57" i="2"/>
  <x:c r="M58" i="2"/>
  <x:c r="M59" i="2"/>
  <x:c r="M60" i="2"/>
  <x:c r="M61" i="2"/>
  <x:c r="M62" i="2"/>
  <x:c r="M63" i="2"/>
  <x:c r="M64" i="2"/>
  <x:c r="M65" i="2"/>
  <x:c r="M66" i="2"/>
  <x:c r="M67" i="2"/>
  <x:c r="M68" i="2"/>
  <x:c r="M69" i="2"/>
  <x:c r="M70" i="2"/>
  <x:c r="M71" i="2"/>
  <x:c r="M72" i="2"/>
  <x:c r="M73" i="2"/>
  <x:c r="M74" i="2"/>
  <x:c r="M75" i="2"/>
  <x:c r="M76" i="2"/>
  <x:c r="M77" i="2"/>
  <x:c r="M78" i="2"/>
  <x:c r="M79" i="2"/>
  <x:c r="M80" i="2"/>
  <x:c r="M81" i="2"/>
  <x:c r="M82" i="2"/>
  <x:c r="M83" i="2"/>
  <x:c r="M84" i="2"/>
  <x:c r="M85" i="2"/>
  <x:c r="M86" i="2"/>
  <x:c r="M87" i="2"/>
  <x:c r="M88" i="2"/>
  <x:c r="M89" i="2"/>
  <x:c r="M90" i="2"/>
  <x:c r="M91" i="2"/>
  <x:c r="M92" i="2"/>
  <x:c r="M93" i="2"/>
  <x:c r="M94" i="2"/>
  <x:c r="M95" i="2"/>
  <x:c r="M96" i="2"/>
  <x:c r="M97" i="2"/>
  <x:c r="M98" i="2"/>
  <x:c r="M99" i="2"/>
  <x:c r="M100" i="2"/>
  <x:c r="M101" i="2"/>
  <x:c r="M102" i="2"/>
  <x:c r="M103" i="2"/>
  <x:c r="M104" i="2"/>
  <x:c r="M105" i="2"/>
  <x:c r="M106" i="2"/>
  <x:c r="M107" i="2"/>
  <x:c r="M108" i="2"/>
  <x:c r="M109" i="2"/>
  <x:c r="M110" i="2"/>
  <x:c r="M111" i="2"/>
  <x:c r="M112" i="2"/>
  <x:c r="M113" i="2"/>
  <x:c r="M114" i="2"/>
  <x:c r="M115" i="2"/>
  <x:c r="M116" i="2"/>
  <x:c r="M117" i="2"/>
  <x:c r="M118" i="2"/>
  <x:c r="M119" i="2"/>
  <x:c r="M120" i="2"/>
  <x:c r="M121" i="2"/>
  <x:c r="M122" i="2"/>
  <x:c r="M123" i="2"/>
  <x:c r="M124" i="2"/>
  <x:c r="M125" i="2"/>
  <x:c r="M126" i="2"/>
  <x:c r="M127" i="2"/>
  <x:c r="M128" i="2"/>
  <x:c r="M129" i="2"/>
  <x:c r="M130" i="2"/>
  <x:c r="M131" i="2"/>
  <x:c r="M132" i="2"/>
  <x:c r="M133" i="2"/>
  <x:c r="M134" i="2"/>
  <x:c r="M135" i="2"/>
  <x:c r="M136" i="2"/>
  <x:c r="M137" i="2"/>
  <x:c r="M138" i="2"/>
  <x:c r="M139" i="2"/>
  <x:c r="M140" i="2"/>
  <x:c r="M141" i="2"/>
  <x:c r="M142" i="2"/>
  <x:c r="M143" i="2"/>
  <x:c r="M144" i="2"/>
  <x:c r="M145" i="2"/>
  <x:c r="M146" i="2"/>
  <x:c r="M147" i="2"/>
  <x:c r="M148" i="2"/>
  <x:c r="M149" i="2"/>
  <x:c r="M150" i="2"/>
  <x:c r="M151" i="2"/>
  <x:c r="M152" i="2"/>
  <x:c r="M153" i="2"/>
  <x:c r="M154" i="2"/>
  <x:c r="M155" i="2"/>
  <x:c r="M156" i="2"/>
  <x:c r="M157" i="2"/>
  <x:c r="M158" i="2"/>
  <x:c r="M159" i="2"/>
  <x:c r="M160" i="2"/>
  <x:c r="M161" i="2"/>
  <x:c r="M162" i="2"/>
  <x:c r="M163" i="2"/>
  <x:c r="M164" i="2"/>
  <x:c r="M165" i="2"/>
  <x:c r="M166" i="2"/>
  <x:c r="M167" i="2"/>
  <x:c r="M168" i="2"/>
  <x:c r="M169" i="2"/>
  <x:c r="M170" i="2"/>
  <x:c r="M171" i="2"/>
  <x:c r="M172" i="2"/>
  <x:c r="D2" i="6"/>
  <x:c r="L2" i="6"/>
  <x:c r="D3" i="6"/>
  <x:c r="L3" i="6"/>
  <x:c r="D4" i="6"/>
  <x:c r="L4" i="6"/>
  <x:c r="D5" i="6"/>
  <x:c r="L5" i="6"/>
  <x:c r="D6" i="6"/>
  <x:c r="L6" i="6"/>
  <x:c r="D7" i="6"/>
  <x:c r="L7" i="6"/>
  <x:c r="D8" i="6"/>
  <x:c r="L8" i="6"/>
  <x:c r="D9" i="6"/>
  <x:c r="L9" i="6"/>
  <x:c r="D10" i="6"/>
  <x:c r="L10" i="6"/>
  <x:c r="D11" i="6"/>
  <x:c r="L11" i="6"/>
  <x:c r="D12" i="6"/>
  <x:c r="L12" i="6"/>
  <x:c r="D13" i="6"/>
  <x:c r="L13" i="6"/>
  <x:c r="D14" i="6"/>
  <x:c r="L14" i="6"/>
  <x:c r="D15" i="6"/>
  <x:c r="D16" i="6"/>
  <x:c r="L16" i="6"/>
  <x:c r="D17" i="6"/>
  <x:c r="L17" i="6"/>
  <x:c r="D18" i="6"/>
  <x:c r="L18" i="6"/>
  <x:c r="D19" i="6"/>
  <x:c r="L19" i="6"/>
  <x:c r="D20" i="6"/>
  <x:c r="L20" i="6"/>
  <x:c r="D21" i="6"/>
  <x:c r="L21" i="6"/>
  <x:c r="D22" i="6"/>
  <x:c r="L22" i="6"/>
  <x:c r="D23" i="6"/>
  <x:c r="L23" i="6"/>
  <x:c r="D24" i="6"/>
  <x:c r="L24" i="6"/>
  <x:c r="D25" i="6"/>
  <x:c r="L25" i="6"/>
  <x:c r="D26" i="6"/>
  <x:c r="L26" i="6"/>
  <x:c r="D27" i="6"/>
  <x:c r="L27" i="6"/>
  <x:c r="D28" i="6"/>
  <x:c r="L28" i="6"/>
  <x:c r="D29" i="6"/>
  <x:c r="L29" i="6"/>
  <x:c r="D30" i="6"/>
  <x:c r="L30" i="6"/>
  <x:c r="D31" i="6"/>
  <x:c r="L31" i="6"/>
  <x:c r="D32" i="6"/>
  <x:c r="L32" i="6"/>
  <x:c r="D33" i="6"/>
  <x:c r="L33" i="6"/>
  <x:c r="D34" i="6"/>
  <x:c r="L34" i="6"/>
  <x:c r="D35" i="6"/>
  <x:c r="L35" i="6"/>
  <x:c r="D36" i="6"/>
  <x:c r="L36" i="6"/>
  <x:c r="D37" i="6"/>
  <x:c r="L37" i="6"/>
  <x:c r="D38" i="6"/>
  <x:c r="L38" i="6"/>
  <x:c r="D39" i="6"/>
  <x:c r="L39" i="6"/>
  <x:c r="D40" i="6"/>
  <x:c r="L40" i="6"/>
  <x:c r="D41" i="6"/>
  <x:c r="L41" i="6"/>
  <x:c r="D42" i="6"/>
  <x:c r="L42" i="6"/>
  <x:c r="D43" i="6"/>
  <x:c r="L43" i="6"/>
  <x:c r="D44" i="6"/>
  <x:c r="D45" i="6"/>
  <x:c r="D46" i="6"/>
  <x:c r="D47" i="6"/>
  <x:c r="D48" i="6"/>
  <x:c r="D49" i="6"/>
  <x:c r="D50" i="6"/>
  <x:c r="D51" i="6"/>
  <x:c r="D52" i="6"/>
  <x:c r="D53" i="6"/>
  <x:c r="D54" i="6"/>
  <x:c r="D55" i="6"/>
  <x:c r="D56" i="6"/>
  <x:c r="D57" i="6"/>
  <x:c r="D58" i="6"/>
  <x:c r="D59" i="6"/>
  <x:c r="D60" i="6"/>
  <x:c r="D61" i="6"/>
  <x:c r="D62" i="6"/>
  <x:c r="D63" i="6"/>
  <x:c r="D64" i="6"/>
  <x:c r="D65" i="6"/>
  <x:c r="D66" i="6"/>
  <x:c r="D67" i="6"/>
  <x:c r="D68" i="6"/>
  <x:c r="D69" i="6"/>
  <x:c r="D70" i="6"/>
  <x:c r="D71" i="6"/>
  <x:c r="D72" i="6"/>
  <x:c r="D73" i="6"/>
  <x:c r="D74" i="6"/>
  <x:c r="D75" i="6"/>
  <x:c r="D76" i="6"/>
  <x:c r="D77" i="6"/>
  <x:c r="D78" i="6"/>
  <x:c r="D79" i="6"/>
  <x:c r="D80" i="6"/>
  <x:c r="D81" i="6"/>
  <x:c r="D82" i="6"/>
  <x:c r="D83" i="6"/>
  <x:c r="D84" i="6"/>
  <x:c r="D85" i="6"/>
  <x:c r="D86" i="6"/>
  <x:c r="D87" i="6"/>
  <x:c r="D88" i="6"/>
  <x:c r="D89" i="6"/>
  <x:c r="D90" i="6"/>
  <x:c r="D91" i="6"/>
  <x:c r="D92" i="6"/>
  <x:c r="D93" i="6"/>
  <x:c r="D94" i="6"/>
  <x:c r="D95" i="6"/>
  <x:c r="D96" i="6"/>
  <x:c r="D97" i="6"/>
  <x:c r="D98" i="6"/>
  <x:c r="D99" i="6"/>
  <x:c r="D100" i="6"/>
  <x:c r="D101" i="6"/>
  <x:c r="D102" i="6"/>
  <x:c r="D103" i="6"/>
  <x:c r="D104" i="6"/>
  <x:c r="D105" i="6"/>
  <x:c r="D106" i="6"/>
  <x:c r="D107" i="6"/>
  <x:c r="D108" i="6"/>
  <x:c r="D109" i="6"/>
  <x:c r="D110" i="6"/>
  <x:c r="D111" i="6"/>
  <x:c r="D112" i="6"/>
  <x:c r="D113" i="6"/>
  <x:c r="D114" i="6"/>
  <x:c r="D115" i="6"/>
  <x:c r="D116" i="6"/>
  <x:c r="D117" i="6"/>
  <x:c r="D118" i="6"/>
  <x:c r="D119" i="6"/>
  <x:c r="D120" i="6"/>
  <x:c r="D121" i="6"/>
  <x:c r="D122" i="6"/>
  <x:c r="D123" i="6"/>
  <x:c r="D124" i="6"/>
  <x:c r="D125" i="6"/>
  <x:c r="D126" i="6"/>
  <x:c r="D127" i="6"/>
  <x:c r="D128" i="6"/>
  <x:c r="D129" i="6"/>
  <x:c r="D130" i="6"/>
  <x:c r="D131" i="6"/>
  <x:c r="D132" i="6"/>
  <x:c r="D133" i="6"/>
  <x:c r="D134" i="6"/>
  <x:c r="D135" i="6"/>
  <x:c r="D136" i="6"/>
  <x:c r="D137" i="6"/>
  <x:c r="D138" i="6"/>
  <x:c r="D139" i="6"/>
  <x:c r="D140" i="6"/>
  <x:c r="D141" i="6"/>
  <x:c r="D142" i="6"/>
  <x:c r="D143" i="6"/>
  <x:c r="D144" i="6"/>
  <x:c r="D145" i="6"/>
  <x:c r="D146" i="6"/>
  <x:c r="D147" i="6"/>
  <x:c r="D148" i="6"/>
  <x:c r="D149" i="6"/>
  <x:c r="D150" i="6"/>
  <x:c r="D151" i="6"/>
  <x:c r="D152" i="6"/>
  <x:c r="D153" i="6"/>
  <x:c r="D154" i="6"/>
  <x:c r="D155" i="6"/>
  <x:c r="D156" i="6"/>
  <x:c r="D157" i="6"/>
  <x:c r="D158" i="6"/>
  <x:c r="D159" i="6"/>
  <x:c r="D160" i="6"/>
  <x:c r="D161" i="6"/>
  <x:c r="D162" i="6"/>
  <x:c r="D163" i="6"/>
  <x:c r="D164" i="6"/>
  <x:c r="D165" i="6"/>
  <x:c r="D166" i="6"/>
  <x:c r="D167" i="6"/>
  <x:c r="D168" i="6"/>
  <x:c r="D169" i="6"/>
  <x:c r="D170" i="6"/>
  <x:c r="D171" i="6"/>
  <x:c r="D172" i="6"/>
  <x:c r="D2" i="1"/>
  <x:c r="D3" i="1"/>
  <x:c r="D4" i="1"/>
  <x:c r="D5" i="1"/>
  <x:c r="D6" i="1"/>
  <x:c r="D7" i="1"/>
  <x:c r="D8" i="1"/>
  <x:c r="D9" i="1"/>
  <x:c r="D10" i="1"/>
  <x:c r="D11" i="1"/>
  <x:c r="D12" i="1"/>
  <x:c r="D13" i="1"/>
  <x:c r="D14" i="1"/>
  <x:c r="D15" i="1"/>
  <x:c r="D16" i="1"/>
  <x:c r="D17" i="1"/>
  <x:c r="D18" i="1"/>
  <x:c r="D19" i="1"/>
  <x:c r="D20" i="1"/>
  <x:c r="D21" i="1"/>
  <x:c r="D22" i="1"/>
  <x:c r="D23" i="1"/>
  <x:c r="D24" i="1"/>
  <x:c r="D25" i="1"/>
  <x:c r="D26" i="1"/>
  <x:c r="D27" i="1"/>
  <x:c r="D28" i="1"/>
  <x:c r="D29" i="1"/>
  <x:c r="D30" i="1"/>
  <x:c r="D31" i="1"/>
  <x:c r="D32" i="1"/>
  <x:c r="D33" i="1"/>
  <x:c r="D34" i="1"/>
  <x:c r="D35" i="1"/>
  <x:c r="D36" i="1"/>
  <x:c r="D37" i="1"/>
  <x:c r="D38" i="1"/>
  <x:c r="D39" i="1"/>
  <x:c r="D40" i="1"/>
  <x:c r="D41" i="1"/>
  <x:c r="D42" i="1"/>
  <x:c r="D43" i="1"/>
  <x:c r="D44" i="1"/>
  <x:c r="D45" i="1"/>
  <x:c r="D46" i="1"/>
  <x:c r="D47" i="1"/>
  <x:c r="D48" i="1"/>
  <x:c r="D49" i="1"/>
  <x:c r="D50" i="1"/>
  <x:c r="D51" i="1"/>
  <x:c r="D52" i="1"/>
  <x:c r="D53" i="1"/>
  <x:c r="D54" i="1"/>
  <x:c r="D55" i="1"/>
  <x:c r="D56" i="1"/>
  <x:c r="D57" i="1"/>
  <x:c r="D58" i="1"/>
  <x:c r="D59" i="1"/>
  <x:c r="D60" i="1"/>
  <x:c r="D61" i="1"/>
  <x:c r="D62" i="1"/>
  <x:c r="D63" i="1"/>
  <x:c r="D64" i="1"/>
  <x:c r="D65" i="1"/>
  <x:c r="D66" i="1"/>
  <x:c r="D67" i="1"/>
  <x:c r="D68" i="1"/>
  <x:c r="D69" i="1"/>
  <x:c r="D70" i="1"/>
  <x:c r="D71" i="1"/>
  <x:c r="D72" i="1"/>
  <x:c r="D73" i="1"/>
  <x:c r="D74" i="1"/>
  <x:c r="D75" i="1"/>
  <x:c r="D76" i="1"/>
  <x:c r="D77" i="1"/>
  <x:c r="D78" i="1"/>
  <x:c r="D79" i="1"/>
  <x:c r="D80" i="1"/>
  <x:c r="D81" i="1"/>
  <x:c r="D82" i="1"/>
  <x:c r="D83" i="1"/>
  <x:c r="D84" i="1"/>
  <x:c r="D85" i="1"/>
  <x:c r="D86" i="1"/>
  <x:c r="D87" i="1"/>
  <x:c r="D88" i="1"/>
  <x:c r="D89" i="1"/>
  <x:c r="D90" i="1"/>
  <x:c r="D91" i="1"/>
  <x:c r="D92" i="1"/>
  <x:c r="D93" i="1"/>
  <x:c r="D94" i="1"/>
  <x:c r="D95" i="1"/>
  <x:c r="D96" i="1"/>
  <x:c r="D97" i="1"/>
  <x:c r="D98" i="1"/>
  <x:c r="D99" i="1"/>
  <x:c r="D100" i="1"/>
  <x:c r="D101" i="1"/>
  <x:c r="D102" i="1"/>
  <x:c r="D103" i="1"/>
  <x:c r="D104" i="1"/>
  <x:c r="D105" i="1"/>
  <x:c r="D106" i="1"/>
  <x:c r="D107" i="1"/>
  <x:c r="D108" i="1"/>
  <x:c r="D109" i="1"/>
  <x:c r="D110" i="1"/>
  <x:c r="D111" i="1"/>
  <x:c r="D112" i="1"/>
  <x:c r="D113" i="1"/>
  <x:c r="D114" i="1"/>
  <x:c r="D115" i="1"/>
  <x:c r="D116" i="1"/>
  <x:c r="D117" i="1"/>
  <x:c r="D118" i="1"/>
  <x:c r="D119" i="1"/>
  <x:c r="D120" i="1"/>
  <x:c r="D121" i="1"/>
  <x:c r="D122" i="1"/>
  <x:c r="D123" i="1"/>
  <x:c r="D124" i="1"/>
  <x:c r="D125" i="1"/>
  <x:c r="D126" i="1"/>
  <x:c r="D127" i="1"/>
  <x:c r="D128" i="1"/>
  <x:c r="D129" i="1"/>
  <x:c r="D130" i="1"/>
  <x:c r="D131" i="1"/>
  <x:c r="D132" i="1"/>
  <x:c r="D133" i="1"/>
  <x:c r="D134" i="1"/>
  <x:c r="D135" i="1"/>
  <x:c r="D136" i="1"/>
  <x:c r="D137" i="1"/>
  <x:c r="D138" i="1"/>
  <x:c r="D139" i="1"/>
  <x:c r="D140" i="1"/>
  <x:c r="D141" i="1"/>
  <x:c r="D142" i="1"/>
  <x:c r="D143" i="1"/>
  <x:c r="D144" i="1"/>
  <x:c r="D145" i="1"/>
  <x:c r="D146" i="1"/>
  <x:c r="D147" i="1"/>
  <x:c r="D148" i="1"/>
  <x:c r="D149" i="1"/>
  <x:c r="D150" i="1"/>
  <x:c r="D151" i="1"/>
  <x:c r="D152" i="1"/>
  <x:c r="D153" i="1"/>
  <x:c r="D154" i="1"/>
</x:calcChain>
</file>

<file path=xl/comments1.xml><?xml version="1.0" encoding="utf-8"?>
<x:comments xmlns:x="http://schemas.openxmlformats.org/spreadsheetml/2006/main">
  <x:authors>
    <x:author>Wiyani</x:author>
    <x:author>Ian Yustiar Irsyadi</x:author>
  </x:authors>
  <x:commentList>
    <x:comment ref="A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Pilihlah kategori asal asset tersebut.
-  BIP untuk new investment
-  CIP untuk asset yang sudah ada di list CIP (Construction In Progress) yang akan didistribusikan oleh FA department
-  CFA untuk Current Fixed Assets (Existing Assets)</x:t>
        </x:r>
      </x:text>
    </x:comment>
    <x:comment ref="E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 dengan departemen yang akan menggunakan asset</x:t>
        </x:r>
      </x:text>
    </x:comment>
    <x:comment ref="H1" authorId="1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Masukkan daftar asset yang akan di akuisisi pada periode berikut ini:
1. </x:t>
        </x:r>
        <x:r>
          <x:rPr>
            <x:b/>
            <x:vertAlign val="baseline"/>
            <x:sz val="9"/>
            <x:color rgb="00000000"/>
            <x:rFont val="Tahoma"/>
            <x:family val="2"/>
          </x:rPr>
          <x:t>Nov 2024 - Maret 2025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2. FY126 (Apr 2025 - Mar 2026)
3. FY127 (Apr 2026 - Mar 2027)
4. FY128 (Apr 2027 - Mar 2028)</x:t>
        </x:r>
      </x:text>
    </x:comment>
    <x:comment ref="K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Isikan kolom ini dengan nilai asset secara keseluruhan, contoh; nilai mesin + jasa instalasi + biaya trial + dll
Untuk asset yang akan dialokasikan kebeberapa departemen, harap cantumkan nilai total asset (tidak perlu dibagi secara manual)</x:t>
        </x:r>
      </x:text>
    </x:comment>
    <x:comment ref="M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 dengan persentase, pembagian untuk asset yang dialokasikan ke beberapa departemen</x:t>
        </x:r>
      </x:text>
    </x:comment>
    <x:comment ref="N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FA: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Isikan dengan tanggal, kapan asset tersebut akan mulai digunakan</x:t>
        </x:r>
      </x:text>
    </x:comment>
  </x:commentList>
</x:comments>
</file>

<file path=xl/sharedStrings.xml><?xml version="1.0" encoding="utf-8"?>
<x:sst xmlns:x="http://schemas.openxmlformats.org/spreadsheetml/2006/main" count="414" uniqueCount="414">
  <x:si>
    <x:t>Budget Type</x:t>
  </x:si>
  <x:si>
    <x:t>Section From (Code)</x:t>
  </x:si>
  <x:si>
    <x:t>Section From (Name)</x:t>
  </x:si>
  <x:si>
    <x:t>To Section (Code)</x:t>
  </x:si>
  <x:si>
    <x:t>To Section (Name)</x:t>
  </x:si>
  <x:si>
    <x:t>Coa ID</x:t>
  </x:si>
  <x:si>
    <x:t>Coa Name</x:t>
  </x:si>
  <x:si>
    <x:t>Asset Name</x:t>
  </x:si>
  <x:si>
    <x:t>Group Section</x:t>
  </x:si>
  <x:si>
    <x:t>Group Cost</x:t>
  </x:si>
  <x:si>
    <x:t>Acquisition Value</x:t>
  </x:si>
  <x:si>
    <x:t>Useful Life</x:t>
  </x:si>
  <x:si>
    <x:t>Allocation %</x:t>
  </x:si>
  <x:si>
    <x:t>Depre Start</x:t>
  </x:si>
  <x:si>
    <x:t>Priority Code</x:t>
  </x:si>
  <x:si>
    <x:t>Budget_Period</x:t>
  </x:si>
  <x:si>
    <x:t>Budget Allocation</x:t>
  </x:si>
  <x:si>
    <x:t>BIP</x:t>
  </x:si>
  <x:si>
    <x:t>B2400</x:t>
  </x:si>
  <x:si>
    <x:t>Information Technology</x:t>
  </x:si>
  <x:si>
    <x:t>2141000</x:t>
  </x:si>
  <x:si>
    <x:t>Tools, furniture &amp; office equipment</x:t>
  </x:si>
  <x:si>
    <x:t>2 Unit AC Cassette Panasonic / Daikin for Server Room</x:t>
  </x:si>
  <x:si>
    <x:t>SGA</x:t>
  </x:si>
  <x:si>
    <x:t>ADM</x:t>
  </x:si>
  <x:si>
    <x:t>A</x:t>
  </x:si>
  <x:si>
    <x:t>FY125</x:t>
  </x:si>
  <x:si>
    <x:t>BIP26-2400-2400-001</x:t>
  </x:si>
  <x:si>
    <x:t>Additional Storage for NGK Busi Server - 10 TB</x:t>
  </x:si>
  <x:si>
    <x:t>B</x:t>
  </x:si>
  <x:si>
    <x:t>FY126</x:t>
  </x:si>
  <x:si>
    <x:t>BIP26-2400-2400-002</x:t>
  </x:si>
  <x:si>
    <x:t>Fortianalyzer Log Collector (Request by GHQ) Implementation</x:t>
  </x:si>
  <x:si>
    <x:t>BIP26-2400-2400-003</x:t>
  </x:si>
  <x:si>
    <x:t>Managed Switch VLAN 16 Port Switch ( AT-GS950/16)</x:t>
  </x:si>
  <x:si>
    <x:t>BIP26-2400-2400-004</x:t>
  </x:si>
  <x:si>
    <x:t>Notebook Replacement IT</x:t>
  </x:si>
  <x:si>
    <x:t>BIP26-2400-2400-005</x:t>
  </x:si>
  <x:si>
    <x:t>2221101</x:t>
  </x:si>
  <x:si>
    <x:t>Software</x:t>
  </x:si>
  <x:si>
    <x:t>Project of Replacement Firewall Machine - Fortigate 601F</x:t>
  </x:si>
  <x:si>
    <x:t>BIP26-2400-2400-006</x:t>
  </x:si>
  <x:si>
    <x:t>This is used for version checking on portal, do not delete!.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</x:si>
  <x:si>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</x:si>
  <x:si>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t>BNGK</x:t>
  </x:si>
  <x:si>
    <x:t>GROUP COST</x:t>
  </x:si>
  <x:si>
    <x:t>GROUP SECTION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</x:si>
  <x:si>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</x:si>
  <x:si>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</x:si>
  <x:si>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</x:si>
  <x:si>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Name COA AX</x:t>
  </x:si>
  <x:si>
    <x:t>COA AX</x:t>
  </x:si>
  <x:si>
    <x:t>UNIQ</x:t>
  </x:si>
  <x:si>
    <x:t>COA Budget</x:t>
  </x:si>
  <x:si>
    <x:t>Description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</x:si>
  <x:si>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</x:si>
  <x:si>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</x:si>
  <x:si>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</x:si>
  <x:si>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</x:si>
  <x:si>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Priority Name</x:t>
  </x:si>
  <x:si>
    <x:t>COA Assets</x:t>
  </x:si>
  <x:si>
    <x:t>Name of Asset</x:t>
  </x:si>
  <x:si>
    <x:t>COA Depre</x:t>
  </x:si>
  <x:si>
    <x:t>Name of Depre</x:t>
  </x:si>
  <x:si>
    <x:t>Value</x:t>
  </x:si>
  <x:si>
    <x:t>Top Management</x:t>
  </x:si>
  <x:si>
    <x:t>B1000</x:t>
  </x:si>
  <x:si>
    <x:t>NGK BUSI INDONESIA</x:t>
  </x:si>
  <x:si>
    <x:t>Salary for Commissioner</x:t>
  </x:si>
  <x:si>
    <x:t>A502</x:t>
  </x:si>
  <x:si>
    <x:t>Must</x:t>
  </x:si>
  <x:si>
    <x:t>If this is not done, the company or our team cannot continue its business.</x:t>
  </x:si>
  <x:si>
    <x:t>Building</x:t>
  </x:si>
  <x:si>
    <x:t>Depreciation-Building</x:t>
  </x:si>
  <x:si>
    <x:t>a construction such as a factory that has a roof and walls and Structure a construction fixed on land other than a building.</x:t>
  </x:si>
  <x:si>
    <x:t>Commissioner</x:t>
  </x:si>
  <x:si>
    <x:t>B1001</x:t>
  </x:si>
  <x:si>
    <x:t>Salary for Director</x:t>
  </x:si>
  <x:si>
    <x:t>Salary for Director &amp; Expat</x:t>
  </x:si>
  <x:si>
    <x:t>Want to</x:t>
  </x:si>
  <x:si>
    <x:t>We want to do it as a team this term. we need it.</x:t>
  </x:si>
  <x:si>
    <x:t>Machinery &amp; Equipment - New</x:t>
  </x:si>
  <x:si>
    <x:t>Depreciation-Machiney &amp; equipment</x:t>
  </x:si>
  <x:si>
    <x:t>Devices that used for production, such as cold forming equipment, an assembly machine, and All Factory Equiptment (new)</x:t>
  </x:si>
  <x:si>
    <x:t>Admin &amp; HR</x:t>
  </x:si>
  <x:si>
    <x:t>B2200</x:t>
  </x:si>
  <x:si>
    <x:t>Staff Labor - Baslc Salary</x:t>
  </x:si>
  <x:si>
    <x:t>A501</x:t>
  </x:si>
  <x:si>
    <x:t>Basic Salary of permanent employee</x:t>
  </x:si>
  <x:si>
    <x:t>C</x:t>
  </x:si>
  <x:si>
    <x:t>Challenge</x:t>
  </x:si>
  <x:si>
    <x:t>We want to do it for this term or the future. But it doesn't matter if it's not this term.</x:t>
  </x:si>
  <x:si>
    <x:t>Machinery &amp; Equipment - Second</x:t>
  </x:si>
  <x:si>
    <x:t>Devices that used for production, such as cold forming equipment, an assembly machine, and All Factory Equiptment (second)</x:t>
  </x:si>
  <x:si>
    <x:t>General Affair</x:t>
  </x:si>
  <x:si>
    <x:t>B2210</x:t>
  </x:si>
  <x:si>
    <x:t>Staff Labor - Allowance</x:t>
  </x:si>
  <x:si>
    <x:t>Employee allowance</x:t>
  </x:si>
  <x:si>
    <x:t>Vehicles</x:t>
  </x:si>
  <x:si>
    <x:t>Depreciation-Vehicles</x:t>
  </x:si>
  <x:si>
    <x:t>things that used for surface-transporting people or goods, such as cars, trucks and forklifts.</x:t>
  </x:si>
  <x:si>
    <x:t>Human Resource</x:t>
  </x:si>
  <x:si>
    <x:t>B2220</x:t>
  </x:si>
  <x:si>
    <x:t>Staff Labor - Tax allowance (art.21)</x:t>
  </x:si>
  <x:si>
    <x:t>Empployee Tax allowance</x:t>
  </x:si>
  <x:si>
    <x:t>Depreciation-Tools, furniture &amp; office equipment</x:t>
  </x:si>
  <x:si>
    <x:t>&gt; 5.000.000</x:t>
  </x:si>
  <x:si>
    <x:t>furniture that we used in office and factory, and Office equipment, such as fax machine, printer, komputer, note book, etc</x:t>
  </x:si>
  <x:si>
    <x:t>Health, Safety &amp; Environment</x:t>
  </x:si>
  <x:si>
    <x:t>B2230</x:t>
  </x:si>
  <x:si>
    <x:t>CIP</x:t>
  </x:si>
  <x:si>
    <x:t>Staff Labor - BPJS JK &amp; JKK (1.19%)</x:t>
  </x:si>
  <x:si>
    <x:t>BPJS JK &amp; JKK (death warrant, Accident Insurance)</x:t>
  </x:si>
  <x:si>
    <x:t>Depreciation-Software</x:t>
  </x:si>
  <x:si>
    <x:t>Accounting &amp; Finance</x:t>
  </x:si>
  <x:si>
    <x:t>B2300</x:t>
  </x:si>
  <x:si>
    <x:t>CFA</x:t>
  </x:si>
  <x:si>
    <x:t>Staff Labor - BPJS Kesehatan (4%)</x:t>
  </x:si>
  <x:si>
    <x:t>BPJS health insurance</x:t>
  </x:si>
  <x:si>
    <x:t>Staff Overtime</x:t>
  </x:si>
  <x:si>
    <x:t>A503</x:t>
  </x:si>
  <x:si>
    <x:t>Overtime permanent employee</x:t>
  </x:si>
  <x:si>
    <x:t>Sales &amp; MKTG Dept.- Automotive</x:t>
  </x:si>
  <x:si>
    <x:t>B3100</x:t>
  </x:si>
  <x:si>
    <x:t>Staff Welfare - BPJS Dana pensiun (2%)</x:t>
  </x:si>
  <x:si>
    <x:t>A504</x:t>
  </x:si>
  <x:si>
    <x:t>BPJS pension fund</x:t>
  </x:si>
  <x:si>
    <x:t>Marketing</x:t>
  </x:si>
  <x:si>
    <x:t>B3160</x:t>
  </x:si>
  <x:si>
    <x:t>Staff Welfare - BPJS JHT (3.7%)</x:t>
  </x:si>
  <x:si>
    <x:t>BPJS Pension plan</x:t>
  </x:si>
  <x:si>
    <x:t>Sales - OEM</x:t>
  </x:si>
  <x:si>
    <x:t>B3110</x:t>
  </x:si>
  <x:si>
    <x:t>Staff Bonus / TAT</x:t>
  </x:si>
  <x:si>
    <x:t>Year-end allowance &amp; Alpha</x:t>
  </x:si>
  <x:si>
    <x:t>Sales - OES</x:t>
  </x:si>
  <x:si>
    <x:t>B3120</x:t>
  </x:si>
  <x:si>
    <x:t>Staff Ramadhan / THR</x:t>
  </x:si>
  <x:si>
    <x:t>Lebaran bonus</x:t>
  </x:si>
  <x:si>
    <x:t>Sales - IAM</x:t>
  </x:si>
  <x:si>
    <x:t>B3130</x:t>
  </x:si>
  <x:si>
    <x:t>Staff Welfare - Outpatient (Medical)</x:t>
  </x:si>
  <x:si>
    <x:t>outpatient treatment costs</x:t>
  </x:si>
  <x:si>
    <x:t>SP PD- CF</x:t>
  </x:si>
  <x:si>
    <x:t>B4101</x:t>
  </x:si>
  <x:si>
    <x:t>MFG</x:t>
  </x:si>
  <x:si>
    <x:t>DIR</x:t>
  </x:si>
  <x:si>
    <x:t>Staff Welfare - Hospitalization</x:t>
  </x:si>
  <x:si>
    <x:t>hospitalization costs</x:t>
  </x:si>
  <x:si>
    <x:t>SP PD- CM</x:t>
  </x:si>
  <x:si>
    <x:t>B4102</x:t>
  </x:si>
  <x:si>
    <x:t>Staff Welfare - Glasses</x:t>
  </x:si>
  <x:si>
    <x:t>glasses costs</x:t>
  </x:si>
  <x:si>
    <x:t>SP PD- WT</x:t>
  </x:si>
  <x:si>
    <x:t>B4103</x:t>
  </x:si>
  <x:si>
    <x:t>Staff Welfare - Dental</x:t>
  </x:si>
  <x:si>
    <x:t>dental costs</x:t>
  </x:si>
  <x:si>
    <x:t>SP PD- Plating</x:t>
  </x:si>
  <x:si>
    <x:t>B4105</x:t>
  </x:si>
  <x:si>
    <x:t>Staff Welfare - Medical Check Up</x:t>
  </x:si>
  <x:si>
    <x:t>Medical Check Up cost</x:t>
  </x:si>
  <x:si>
    <x:t>SP PD- MS Insp.</x:t>
  </x:si>
  <x:si>
    <x:t>B4109</x:t>
  </x:si>
  <x:si>
    <x:t>Staff Welfare - Uniform</x:t>
  </x:si>
  <x:si>
    <x:t>uniform costs</x:t>
  </x:si>
  <x:si>
    <x:t>SP PD- Insulator Sealing</x:t>
  </x:si>
  <x:si>
    <x:t>B4106</x:t>
  </x:si>
  <x:si>
    <x:t>Staff Welfare - Safety Shoes</x:t>
  </x:si>
  <x:si>
    <x:t>SP PD- Assy</x:t>
  </x:si>
  <x:si>
    <x:t>B4110</x:t>
  </x:si>
  <x:si>
    <x:t>Staff Welfare - Family Gathering / Anniversary</x:t>
  </x:si>
  <x:si>
    <x:t>Family Gathering / Anniversary</x:t>
  </x:si>
  <x:si>
    <x:t>SP-PD-Assy-Auto Assembly</x:t>
  </x:si>
  <x:si>
    <x:t>B4115</x:t>
  </x:si>
  <x:si>
    <x:t>Staff Welfare - Meals of canteen &amp; other meals</x:t>
  </x:si>
  <x:si>
    <x:t>Meals of canteen &amp; other meals cost</x:t>
  </x:si>
  <x:si>
    <x:t>SP PD- Bending</x:t>
  </x:si>
  <x:si>
    <x:t>B4114</x:t>
  </x:si>
  <x:si>
    <x:t>Staff Welfare - Kaizen &amp; QCC reward</x:t>
  </x:si>
  <x:si>
    <x:t>an expense, arising from Kaizen and QCC acitivity</x:t>
  </x:si>
  <x:si>
    <x:t>SP PD- Final Inspection</x:t>
  </x:si>
  <x:si>
    <x:t>B4120</x:t>
  </x:si>
  <x:si>
    <x:t>Staff Welfare - Welfare Others</x:t>
  </x:si>
  <x:si>
    <x:t>an other welfare expense, arising besides the above welfare expense</x:t>
  </x:si>
  <x:si>
    <x:t>SP PD- QC - OEM</x:t>
  </x:si>
  <x:si>
    <x:t>B4121</x:t>
  </x:si>
  <x:si>
    <x:t>Retirement Allowance</x:t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</x:si>
  <x:si>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</x:si>
  <x:si>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t>employee retirement provission costs</x:t>
  </x:si>
  <x:si>
    <x:t>PC PD- Injection</x:t>
  </x:si>
  <x:si>
    <x:t>B4410</x:t>
  </x:si>
  <x:si>
    <x:t>House Rent Allowance</x:t>
  </x:si>
  <x:si>
    <x:t>House Rent Allowance for expat</x:t>
  </x:si>
  <x:si>
    <x:t>PC PD- Assy</x:t>
  </x:si>
  <x:si>
    <x:t>B4430</x:t>
  </x:si>
  <x:si>
    <x:t>Casual Staff Labor - Basic Salary</x:t>
  </x:si>
  <x:si>
    <x:t>All benefit for temporary worker</x:t>
  </x:si>
  <x:si>
    <x:t>PC PD- QC</x:t>
  </x:si>
  <x:si>
    <x:t>B4440</x:t>
  </x:si>
  <x:si>
    <x:t>Casual Staff Labor - Overtime</x:t>
  </x:si>
  <x:si>
    <x:t>Overtime temporary worker</x:t>
  </x:si>
  <x:si>
    <x:t>Plant Operation (Indirect Mfg)</x:t>
  </x:si>
  <x:si>
    <x:t>B5000</x:t>
  </x:si>
  <x:si>
    <x:t>IND</x:t>
  </x:si>
  <x:si>
    <x:t>Personnel expense transferred</x:t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</x:si>
  <x:si>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</x:si>
  <x:si>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t>Transfer Labor cost from one section into another section</x:t>
  </x:si>
  <x:si>
    <x:t>Production Office</x:t>
  </x:si>
  <x:si>
    <x:t>B5100</x:t>
  </x:si>
  <x:si>
    <x:t>A601</x:t>
  </x:si>
  <x:si>
    <x:t>the amount of depreciation of tangible assets for building</x:t>
  </x:si>
  <x:si>
    <x:t>Production Office (SP)</x:t>
  </x:si>
  <x:si>
    <x:t>B5101</x:t>
  </x:si>
  <x:si>
    <x:t>the amount of depreciation of tangible assets for machinery &amp; factory equipment</x:t>
  </x:si>
  <x:si>
    <x:t>Production Office (PC)</x:t>
  </x:si>
  <x:si>
    <x:t>B5104</x:t>
  </x:si>
  <x:si>
    <x:t>Depreciation-Lease Machinery &amp; equipment</x:t>
  </x:si>
  <x:si>
    <x:t>the amount of depreciation of tangible assets for machinery &amp; factory equipment (Leases)</x:t>
  </x:si>
  <x:si>
    <x:t>Quality Assurance</x:t>
  </x:si>
  <x:si>
    <x:t>B5800</x:t>
  </x:si>
  <x:si>
    <x:t>the amount of depreciation of tangible assets for vehicles</x:t>
  </x:si>
  <x:si>
    <x:t>Quality Control</x:t>
  </x:si>
  <x:si>
    <x:t>B5900</x:t>
  </x:si>
  <x:si>
    <x:t>the amount of depreciation of tangible assets for office tools, furniture &amp; office equipment</x:t>
  </x:si>
  <x:si>
    <x:t>Maintenance</x:t>
  </x:si>
  <x:si>
    <x:t>B5500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</x:si>
  <x:si>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</x:si>
  <x:si>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Production Engineering</x:t>
  </x:si>
  <x:si>
    <x:t>B5600</x:t>
  </x:si>
  <x:si>
    <x:t>Depreciation - Right of use Assets</x:t>
  </x:si>
  <x:si>
    <x:t>the amount of depreciation of right of use assets</x:t>
  </x:si>
  <x:si>
    <x:t>Supply Procurement</x:t>
  </x:si>
  <x:si>
    <x:t>B5130</x:t>
  </x:si>
  <x:si>
    <x:t>Rental car</x:t>
  </x:si>
  <x:si>
    <x:t>A801</x:t>
  </x:si>
  <x:si>
    <x:t>The expenses of car rent</x:t>
  </x:si>
  <x:si>
    <x:t>Inventory Control</x:t>
  </x:si>
  <x:si>
    <x:t>B5200</x:t>
  </x:si>
  <x:si>
    <x:t>Other rental fee</x:t>
  </x:si>
  <x:si>
    <x:t>A701</x:t>
  </x:si>
  <x:si>
    <x:t>The expenses of rent beside car rent, such as copy machine, dispenser, etc.</x:t>
  </x:si>
  <x:si>
    <x:t>WH Dept.- KD &amp; RM</x:t>
  </x:si>
  <x:si>
    <x:t>B5710</x:t>
  </x:si>
  <x:si>
    <x:t>Electricity Charge</x:t>
  </x:si>
  <x:si>
    <x:t>A1003</x:t>
  </x:si>
  <x:si>
    <x:t xml:space="preserve">Electricity consumption </x:t>
  </x:si>
  <x:si>
    <x:t>Water Supply Charge</x:t>
  </x:si>
  <x:si>
    <x:t>A1004</x:t>
  </x:si>
  <x:si>
    <x:t xml:space="preserve">Water consumption </x:t>
  </x:si>
  <x:si>
    <x:t>SCM - FG WH</x:t>
  </x:si>
  <x:si>
    <x:t>B3150</x:t>
  </x:si>
  <x:si>
    <x:t>Repair Building</x:t>
  </x:si>
  <x:si>
    <x:t>A1002</x:t>
  </x:si>
  <x:si>
    <x:t>expenses for repair and maintenance asset building</x:t>
  </x:si>
  <x:si>
    <x:t>Repair of Equipment</x:t>
  </x:si>
  <x:si>
    <x:t>expenses for repair and maintenance tangible assets, intangible assets and other assets beside building</x:t>
  </x:si>
  <x:si>
    <x:t>Continuous Improvement</x:t>
  </x:si>
  <x:si>
    <x:t>B5007</x:t>
  </x:si>
  <x:si>
    <x:t>Factory Supply Expense</x:t>
  </x:si>
  <x:si>
    <x:t>A1099</x:t>
  </x:si>
  <x:si>
    <x:t xml:space="preserve">All cost that arrising to support factory acitivity </x:t>
  </x:si>
  <x:si>
    <x:t>All</x:t>
  </x:si>
  <x:si>
    <x:t>B0000</x:t>
  </x:si>
  <x:si>
    <x:t>Calibration Cost</x:t>
  </x:si>
  <x:si>
    <x:t>Cost of calibration for tools and equipment of factory and others</x:t>
  </x:si>
  <x:si>
    <x:t>Transportation Fee for employee</x:t>
  </x:si>
  <x:si>
    <x:t>Gasoline of company cars &amp; expense for Local transportation</x:t>
  </x:si>
  <x:si>
    <x:t>Travel Expense-Domestic</x:t>
  </x:si>
  <x:si>
    <x:t>expenses for business trip, including allowance for business trip to an employee only for domestic travel</x:t>
  </x:si>
  <x:si>
    <x:t>Travel Expense-Oversea</x:t>
  </x:si>
  <x:si>
    <x:t>expenses for business trip, including allowance for business trip to an employee only for overseas travel</x:t>
  </x:si>
  <x:si>
    <x:t>Entertainment</x:t>
  </x:si>
  <x:si>
    <x:t>A1001</x:t>
  </x:si>
  <x:si>
    <x:t>the amount of expenses for the act of entertaining the business partner</x:t>
  </x:si>
  <x:si>
    <x:t>Amortization of Land &amp; Building tax (PBB)</x:t>
  </x:si>
  <x:si>
    <x:t>the amount of depreciation of intangible of Land &amp; Building Tax (PBB)</x:t>
  </x:si>
  <x:si>
    <x:t>License fee</x:t>
  </x:si>
  <x:si>
    <x:t>The expense related with the documentation process, such as : KIR, Car lisence, company lisence, etc.</x:t>
  </x:si>
  <x:si>
    <x:t>Insurance Premium</x:t>
  </x:si>
  <x:si>
    <x:t>expenses for risk management with no premium at the end of the term, such as fire insurance for plants and inventories</x:t>
  </x:si>
  <x:si>
    <x:t>Office supply &amp; Stationary Expense</x:t>
  </x:si>
  <x:si>
    <x:t>the amount of supplies for office, such as stationery. Small office equipment included</x:t>
  </x:si>
  <x:si>
    <x:t>Communication expenses</x:t>
  </x:si>
  <x:si>
    <x:t>expenses for communication with a people in remote place, such as expense for telephone and postage</x:t>
  </x:si>
  <x:si>
    <x:t>IT Expense</x:t>
  </x:si>
  <x:si>
    <x:t>A1005</x:t>
  </x:si>
  <x:si>
    <x:t>the amount of supplies for IT tools</x:t>
  </x:si>
  <x:si>
    <x:t>Stamp/Post Fee</x:t>
  </x:si>
  <x:si>
    <x:t>The expenses related with stamp duty</x:t>
  </x:si>
  <x:si>
    <x:t>Audit Fee</x:t>
  </x:si>
  <x:si>
    <x:t>a fee for external auditor of accounting assessment</x:t>
  </x:si>
  <x:si>
    <x:t>Consultancy/Professional Fee</x:t>
  </x:si>
  <x:si>
    <x:t>A901</x:t>
  </x:si>
  <x:si>
    <x:t>a fee for professional who not only public qualification holders, such as a CPA or an attorney, but also a person or an organization with technical knowledge such as a consultant or a translator.</x:t>
  </x:si>
  <x:si>
    <x:t>NGK group service fee</x:t>
  </x:si>
  <x:si>
    <x:t>A1007</x:t>
  </x:si>
  <x:si>
    <x:t>All fees that paid to NGK group</x:t>
  </x:si>
  <x:si>
    <x:t>Ticket &amp; accomodation of trainer (from NGK Group)</x:t>
  </x:si>
  <x:si>
    <x:t>The expenses related with the person who come from NGK Group that will provide training to NGK Busi</x:t>
  </x:si>
  <x:si>
    <x:t>Miscellaneous Expense</x:t>
  </x:si>
  <x:si>
    <x:t>others operational expense</x:t>
  </x:si>
  <x:si>
    <x:t>Publishing Expense</x:t>
  </x:si>
  <x:si>
    <x:t>News paper, magazine, and other publishing cost</x:t>
  </x:si>
  <x:si>
    <x:t>Cleaning Expense</x:t>
  </x:si>
  <x:si>
    <x:t>The expenses related with the tools or other for cleaning activity</x:t>
  </x:si>
  <x:si>
    <x:t>Security Guard</x:t>
  </x:si>
  <x:si>
    <x:t>Fee for security from outsourcing company</x:t>
  </x:si>
  <x:si>
    <x:t>Service Fee (Canteen Meal &amp; other service for staff)</x:t>
  </x:si>
  <x:si>
    <x:t>Expense for canteen</x:t>
  </x:si>
  <x:si>
    <x:t>Training Expense</x:t>
  </x:si>
  <x:si>
    <x:t>A1006</x:t>
  </x:si>
  <x:si>
    <x:t>Training cost</x:t>
  </x:si>
  <x:si>
    <x:t>Recruitment Fee</x:t>
  </x:si>
  <x:si>
    <x:t>Cost for recruitment process</x:t>
  </x:si>
  <x:si>
    <x:t>Expatriate expenses exclude labor cost</x:t>
  </x:si>
  <x:si>
    <x:t>Incidental costs related to expatriete</x:t>
  </x:si>
  <x:si>
    <x:t>Expatriate fee Tax (BADORA)</x:t>
  </x:si>
  <x:si>
    <x:t>Tax income from expatriete</x:t>
  </x:si>
  <x:si>
    <x:t>Freights and Export expense</x:t>
  </x:si>
  <x:si>
    <x:t>A201</x:t>
  </x:si>
  <x:si>
    <x:t>an expense, arising from export transaction such as; insurance, pallet, freight cost</x:t>
  </x:si>
  <x:si>
    <x:t>Transportation for Goods</x:t>
  </x:si>
  <x:si>
    <x:t>A202</x:t>
  </x:si>
  <x:si>
    <x:t>Transportion expense of local goods sales</x:t>
  </x:si>
  <x:si>
    <x:t>Packing for Sale</x:t>
  </x:si>
  <x:si>
    <x:t>A203</x:t>
  </x:si>
  <x:si>
    <x:t>Packing expense for local good sales</x:t>
  </x:si>
  <x:si>
    <x:t>Advertising expenses</x:t>
  </x:si>
  <x:si>
    <x:t>A401</x:t>
  </x:si>
  <x:si>
    <x:t>an expense for advertise or publication of goods</x:t>
  </x:si>
  <x:si>
    <x:t>Sales Promotion - Coupon</x:t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</x:si>
  <x:si>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</x:si>
  <x:si>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</x:si>
  <x:si>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Sales Promotion - Activity</x:t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</x:si>
  <x:si>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</x:si>
  <x:si>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</x:si>
  <x:si>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Sales Promotion - Supply</x:t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</x:si>
  <x:si>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</x:si>
  <x:si>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</x:si>
  <x:si>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t>Cost of Samples</x:t>
  </x:si>
  <x:si>
    <x:t>A499</x:t>
  </x:si>
  <x:si>
    <x:t>Sample expense</x:t>
  </x:si>
  <x:si>
    <x:t>Sales - Insurance of Delivery or Shipment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</x:si>
  <x:si>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</x:si>
  <x:si>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Insurance of AR (Credit Insurance)</x:t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</x:si>
  <x:si>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</x:si>
  <x:si>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t>Sales - Royalty to NGK Group</x:t>
  </x:si>
  <x:si>
    <x:t>Sales - Royalty to Independence Party</x:t>
  </x:si>
  <x:si>
    <x:t>Import Duty-purchased FG from NGK group</x:t>
  </x:si>
  <x:si>
    <x:t>Import Duty-purchased FG from outside supplier</x:t>
  </x:si>
  <x:si>
    <x:t>Import Duty-purchased KD&amp;RM from NGK Japan</x:t>
  </x:si>
  <x:si>
    <x:t>Import Duty-purchased KD&amp;RM from NGK Group(Not fromJP)</x:t>
  </x:si>
  <x:si>
    <x:t>Import Duty-purchased Comp Parts&amp;RM from outside supplier</x:t>
  </x:si>
  <x:si>
    <x:t>Import Expense-purchased FG from NGK group</x:t>
  </x:si>
  <x:si>
    <x:t>Import Expense-purchased FG from outside supplier</x:t>
  </x:si>
  <x:si>
    <x:t>Import Expense-purchased KD&amp;RM from NGK Japan</x:t>
  </x:si>
  <x:si>
    <x:t>Import Expense-purchased KD&amp;RM from NGK Group(Not fromJP)</x:t>
  </x:si>
  <x:si>
    <x:t>Import Expense-purchased Comp Parts&amp;RM from outside supplier</x:t>
  </x:si>
  <x:si>
    <x:t>Expense-purchased Packaging material from outside supplier</x:t>
  </x:si>
  <x:si>
    <x:t>Subcontracting Cost</x:t>
  </x:si>
  <x:si>
    <x:t>Indirect material costs</x:t>
  </x:si>
  <x:si>
    <x:t>Cost of Factory Supply</x:t>
  </x:si>
  <x:si>
    <x:r>
      <x:rPr>
        <x:vertAlign val="baseline"/>
        <x:sz val="10"/>
        <x:color theme="1"/>
        <x:rFont val="Tahoma"/>
        <x:family val="2"/>
      </x:rPr>
      <x:t>Cost of Chemical</x:t>
    </x:r>
    <x:phoneticPr fontId="0"/>
  </x:si>
  <x:si>
    <x:t>The expenses of Chemicals consumption</x:t>
  </x:si>
  <x:si>
    <x:t>Cost of Packaging</x:t>
  </x:si>
  <x:si>
    <x:t>Cost of Oil</x:t>
  </x:si>
  <x:si>
    <x:t>Cost of Tooling</x:t>
  </x:si>
  <x:si>
    <x:t>The expenses of Tooling consumption</x:t>
  </x:si>
  <x:si>
    <x:t>Cost of Machinery parts</x:t>
  </x:si>
  <x:si>
    <x:t>The expenses of Spare Parts consumption</x:t>
  </x:si>
  <x:si>
    <x:t>Casual Staff Labor</x:t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</x:si>
  <x:si>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</x:si>
  <x:si>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Others - Miscellaneous Waste</x:t>
  </x:si>
  <x:si>
    <x:t>OTH</x:t>
  </x:si>
  <x:si>
    <x:t>Others - Miscellaneous Tax</x:t>
  </x:si>
  <x:si>
    <x:t>Others - Sport Activity</x:t>
  </x:si>
  <x:si>
    <x:t>Others - Retribution / Garbage Cost</x:t>
  </x:si>
  <x:si>
    <x:t>Others - Miscellaneous Non Operational Expense</x:t>
  </x:si>
  <x:si>
    <x:t>Other Income</x:t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</x:si>
  <x:si>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</x:si>
  <x:si>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b/>
        <x:vertAlign val="baseline"/>
        <x:sz val="10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</x:si>
  <x:si>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theme="0"/>
        <x:rFont val="Tahoma"/>
        <x:family val="2"/>
      </x:rPr>
      <x:t>Code</x:t>
    </x:r>
    <x:phoneticPr fontId="0"/>
  </x:si>
  <x:si>
    <x:r>
      <x:rPr>
        <x:vertAlign val="baseline"/>
        <x:sz val="10"/>
        <x:color theme="0"/>
        <x:rFont val="Tahoma"/>
        <x:family val="2"/>
      </x:rPr>
      <x:t>Name</x:t>
    </x:r>
    <x:phoneticPr fontId="0"/>
  </x:si>
  <x:si>
    <x:t>Sales &amp; MKTG Dept.- DID Chain</x:t>
  </x:si>
  <x:si>
    <x:t>B3172</x:t>
  </x:si>
  <x:si>
    <x:t>B4130</x:t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</x:si>
  <x:si>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</x:si>
  <x:si>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</x:si>
  <x:si>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</x:si>
  <x:si>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</x:si>
  <x:si>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</x:si>
  <x:si>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</x:si>
  <x:si>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</x:si>
  <x:si>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</x:si>
  <x:si>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</x:si>
  <x:si>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</x:si>
  <x:si>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</x:si>
  <x:si>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theme="1"/>
        <x:rFont val="Tahoma"/>
        <x:family val="2"/>
      </x:rPr>
      <x:t>Cost of Chemical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</x:si>
  <x:si>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</x:si>
  <x:si>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r>
      <x:rPr>
        <x:b/>
        <x:vertAlign val="baseline"/>
        <x:sz val="12"/>
        <x:color theme="0"/>
        <x:rFont val="Tahoma"/>
        <x:family val="2"/>
      </x:rPr>
      <x:t>Name</x:t>
    </x:r>
    <x:phoneticPr fontId="0"/>
  </x:si>
  <x:si>
    <x:r>
      <x:rPr>
        <x:vertAlign val="baseline"/>
        <x:sz val="10"/>
        <x:color rgb="FF0033CC"/>
        <x:rFont val="Tahoma"/>
        <x:family val="2"/>
      </x:rPr>
      <x:t>A505</x:t>
    </x:r>
    <x:phoneticPr fontId="0"/>
  </x:si>
  <x:si>
    <x:r>
      <x:rPr>
        <x:vertAlign val="baseline"/>
        <x:sz val="10"/>
        <x:color rgb="FF0033CC"/>
        <x:rFont val="Tahoma"/>
        <x:family val="2"/>
      </x:rPr>
      <x:t>A506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</x:si>
  <x:si>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</x:si>
  <x:si>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r>
      <x:rPr>
        <x:vertAlign val="baseline"/>
        <x:sz val="10"/>
        <x:color rgb="FF0033CC"/>
        <x:rFont val="Tahoma"/>
        <x:family val="2"/>
      </x:rPr>
      <x:t>A402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</x:si>
  <x:si>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coupon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</x:si>
  <x:si>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A404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</x:si>
  <x:si>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promotion activity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</x:si>
  <x:si>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A403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</x:si>
  <x:si>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an expense for promotion items in the form of </x:t>
    </x:r>
    <x:r>
      <x:rPr>
        <x:b/>
        <x:vertAlign val="baseline"/>
        <x:sz val="10"/>
        <x:color theme="1"/>
        <x:rFont val="Tahoma"/>
        <x:family val="2"/>
      </x:rPr>
      <x:t>mat-prom</x:t>
    </x:r>
    <x:r>
      <x:rPr>
        <x:vertAlign val="baseline"/>
        <x:sz val="10"/>
        <x:color theme="1"/>
        <x:rFont val="Tahoma"/>
        <x:family val="2"/>
      </x:rPr>
      <x:t xml:space="preserve"> for goods sales also bonus, incentive and other reward to the customer</x:t>
    </x:r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</x:si>
  <x:si>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</x:si>
  <x:si>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rgb="FF0033CC"/>
        <x:rFont val="Tahoma"/>
        <x:family val="2"/>
      </x:rPr>
      <x:t>A299</x:t>
    </x:r>
    <x:phoneticPr fontId="0"/>
  </x:si>
  <x:si>
    <x:r>
      <x:rPr>
        <x:vertAlign val="baseline"/>
        <x:sz val="10"/>
        <x:color theme="1"/>
        <x:rFont val="Tahoma"/>
        <x:family val="2"/>
      </x:rPr>
      <x:t>Cost of Chemical</x:t>
    </x:r>
    <x:phoneticPr fontId="0"/>
  </x:si>
  <x:si>
    <x:r>
      <x:rPr>
        <x:vertAlign val="baseline"/>
        <x:sz val="10"/>
        <x:color theme="1"/>
        <x:rFont val="Tahoma"/>
        <x:family val="2"/>
      </x:rPr>
      <x:t xml:space="preserve">the amount of depreciation of </x:t>
    </x:r>
    <x:r>
      <x:rPr>
        <x:b/>
        <x:vertAlign val="baseline"/>
        <x:sz val="10"/>
        <x:color theme="1"/>
        <x:rFont val="Tahoma"/>
        <x:family val="2"/>
      </x:rPr>
      <x:t>intangible assets</x:t>
    </x:r>
    <x:r>
      <x:rPr>
        <x:vertAlign val="baseline"/>
        <x:sz val="10"/>
        <x:color theme="1"/>
        <x:rFont val="Tahoma"/>
        <x:family val="2"/>
      </x:rPr>
      <x:t xml:space="preserve"> for software, and other intangible assets</x:t>
    </x:r>
  </x:si>
  <x:si>
    <x:t>Password protect sheet = budget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</x:si>
</x:sst>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(* #,##0.00_);_(* \(#,##0.00\);_(* &quot;-&quot;??_);_(@_)"/>
    <x:numFmt numFmtId="164" formatCode="_(* #,##0_);_(* \(#,##0\);_(* &quot;-&quot;??_);_(@_)"/>
    <x:numFmt numFmtId="165" formatCode="[$-409]d\-mmm\-yy;@"/>
  </x:numFmts>
  <x:fonts count="30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128"/>
      <x:scheme val="minor"/>
    </x:font>
    <x:font>
      <x:b/>
      <x:sz val="12"/>
      <x:color theme="0"/>
      <x:name val="Tahoma"/>
      <x:family val="2"/>
    </x:font>
    <x:font>
      <x:b/>
      <x:sz val="12"/>
      <x:color rgb="FF0033CC"/>
      <x:name val="Tahoma"/>
      <x:family val="2"/>
    </x:font>
    <x:font>
      <x:sz val="12"/>
      <x:color theme="1"/>
      <x:name val="Tahoma"/>
      <x:family val="2"/>
    </x:font>
    <x:font>
      <x:sz val="10"/>
      <x:color theme="1"/>
      <x:name val="Tahoma"/>
      <x:family val="2"/>
    </x:font>
    <x:font>
      <x:sz val="10"/>
      <x:color rgb="FF0033CC"/>
      <x:name val="Tahoma"/>
      <x:family val="2"/>
    </x:font>
    <x:font>
      <x:b/>
      <x:sz val="10"/>
      <x:color theme="1"/>
      <x:name val="Tahoma"/>
      <x:family val="2"/>
    </x:font>
    <x:font>
      <x:sz val="10"/>
      <x:color rgb="FFC00000"/>
      <x:name val="Tahoma"/>
      <x:family val="2"/>
    </x:font>
    <x:font>
      <x:sz val="10"/>
      <x:name val="Calibri"/>
      <x:family val="2"/>
      <x:scheme val="minor"/>
    </x:font>
    <x:font>
      <x:b/>
      <x:sz val="10"/>
      <x:color theme="0"/>
      <x:name val="Tahoma"/>
      <x:family val="2"/>
    </x:font>
    <x:font>
      <x:sz val="10"/>
      <x:color theme="0"/>
      <x:name val="Tahoma"/>
      <x:family val="2"/>
    </x:font>
    <x:font>
      <x:sz val="9"/>
      <x:color theme="1"/>
      <x:name val="Calibri"/>
      <x:family val="2"/>
      <x:scheme val="minor"/>
    </x:font>
    <x:font>
      <x:sz val="10"/>
      <x:name val="Tahoma"/>
      <x:family val="2"/>
    </x:font>
    <x:font>
      <x:b/>
      <x:sz val="10"/>
      <x:color rgb="FF0000FF"/>
      <x:name val="Tahoma"/>
      <x:family val="2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b/>
      <x:sz val="10"/>
      <x:name val="Tahoma"/>
      <x:family val="2"/>
    </x:font>
    <x:font>
      <x:b/>
      <x:sz val="10"/>
      <x:color theme="0"/>
      <x:name val="Calibri"/>
      <x:family val="2"/>
      <x:scheme val="minor"/>
    </x:font>
    <x:font>
      <x:sz val="8"/>
      <x:name val="Calibri"/>
      <x:family val="2"/>
      <x:scheme val="minor"/>
    </x:font>
    <x:font>
      <x:sz val="11"/>
      <x:color theme="1"/>
      <x:name val="Calibri"/>
      <x:family val="2"/>
      <x:charset val="1"/>
      <x:scheme val="minor"/>
    </x:font>
    <x:font>
      <x:sz val="6"/>
      <x:name val="Calibri"/>
      <x:family val="3"/>
      <x:charset val="128"/>
      <x:scheme val="minor"/>
    </x:font>
    <x:font>
      <x:b/>
      <x:sz val="11"/>
      <x:color theme="1"/>
      <x:name val="Calibri"/>
      <x:family val="2"/>
      <x:scheme val="minor"/>
    </x:font>
    <x:font>
      <x:sz val="9"/>
      <x:color indexed="81"/>
      <x:name val="Tahoma"/>
      <x:charset val="1"/>
    </x:font>
    <x:font>
      <x:b/>
      <x:sz val="9"/>
      <x:color indexed="81"/>
      <x:name val="Tahoma"/>
      <x:charset val="1"/>
    </x:font>
    <x:font>
      <x:vertAlign val="baseline"/>
      <x:sz val="12"/>
      <x:color theme="0"/>
      <x:name val="Tahoma"/>
      <x:family val="2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3" tint="-0.499984740745262"/>
        <x:bgColor indexed="64"/>
      </x:patternFill>
    </x:fill>
    <x:fill>
      <x:patternFill patternType="solid">
        <x:fgColor indexed="1"/>
        <x:bgColor indexed="64"/>
      </x:patternFill>
    </x:fill>
    <x:fill>
      <x:patternFill patternType="solid">
        <x:fgColor theme="7" tint="-0.49998474074526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 tint="-0.74999237037263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2">
    <x:xf numFmtId="0" fontId="0" fillId="0" borderId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2" fillId="0" borderId="0">
      <x:alignment vertical="center"/>
    </x:xf>
    <x:xf numFmtId="0" fontId="1" fillId="0" borderId="0"/>
    <x:xf numFmtId="0" fontId="13" fillId="7" borderId="0"/>
    <x:xf numFmtId="0" fontId="23" fillId="0" borderId="0"/>
    <x:xf numFmtId="43" fontId="1" fillId="0" borderId="0" applyFont="0" applyFill="0" applyBorder="0" applyAlignment="0" applyProtection="0"/>
    <x:xf numFmtId="0" fontId="2" fillId="0" borderId="0">
      <x:alignment vertical="center"/>
    </x:xf>
    <x:xf numFmtId="0" fontId="1" fillId="0" borderId="0"/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164" fontId="16" fillId="0" borderId="0" applyNumberFormat="1" applyFill="1" applyBorder="0" applyAlignment="1" applyProtection="1">
      <x:protection locked="1" hidden="0"/>
    </x:xf>
    <x:xf numFmtId="164" fontId="16" fillId="0" borderId="0" applyNumberFormat="1" applyFill="1" applyBorder="0" applyAlignment="1" applyProtection="1">
      <x:protection locked="0" hidden="0"/>
    </x:xf>
    <x:xf numFmtId="9" fontId="16" fillId="0" borderId="0" applyNumberFormat="1" applyFill="1" applyBorder="0" applyAlignment="1" applyProtection="1">
      <x:protection locked="0" hidden="0"/>
    </x:xf>
    <x:xf numFmtId="165" fontId="16" fillId="0" borderId="0" applyNumberFormat="1" applyFill="1" applyBorder="0" applyAlignment="1" applyProtection="1">
      <x:protection locked="0" hidden="0"/>
    </x:xf>
    <x:xf numFmtId="0" fontId="17" fillId="0" borderId="0" applyNumberFormat="1" applyFill="1" applyBorder="0" applyAlignment="1" applyProtection="1">
      <x:protection locked="1" hidden="0"/>
    </x:xf>
    <x:xf numFmtId="0" fontId="21" fillId="11" borderId="0" applyNumberFormat="1" applyFill="0" applyBorder="0" applyAlignment="1" applyProtection="1">
      <x:protection locked="0" hidden="0"/>
    </x:xf>
    <x:xf numFmtId="0" fontId="21" fillId="11" borderId="0" applyNumberFormat="1" applyFill="0" applyBorder="0" applyAlignment="1" applyProtection="1">
      <x:protection locked="1" hidden="0"/>
    </x:xf>
    <x:xf numFmtId="164" fontId="21" fillId="11" borderId="0" applyNumberFormat="1" applyFill="0" applyBorder="0" applyAlignment="1" applyProtection="1">
      <x:protection locked="1" hidden="0"/>
    </x:xf>
    <x:xf numFmtId="164" fontId="21" fillId="11" borderId="0" applyNumberFormat="1" applyFill="0" applyBorder="0" applyAlignment="1" applyProtection="1">
      <x:protection locked="0" hidden="0"/>
    </x:xf>
    <x:xf numFmtId="9" fontId="21" fillId="11" borderId="0" applyNumberFormat="1" applyFill="0" applyBorder="0" applyAlignment="1" applyProtection="1">
      <x:protection locked="0" hidden="0"/>
    </x:xf>
    <x:xf numFmtId="165" fontId="21" fillId="11" borderId="0" applyNumberFormat="1" applyFill="0" applyBorder="0" applyAlignment="1" applyProtection="1">
      <x:protection locked="0" hidden="0"/>
    </x:xf>
    <x:xf numFmtId="164" fontId="16" fillId="10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6" fillId="8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6" borderId="1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2" fillId="6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11" fillId="8" borderId="1" applyNumberFormat="1" applyFill="0" applyBorder="1" applyAlignment="1" applyProtection="1">
      <x:protection locked="1" hidden="0"/>
    </x:xf>
    <x:xf numFmtId="0" fontId="11" fillId="2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25" fillId="0" borderId="1" applyNumberFormat="1" applyFill="1" applyBorder="1" applyAlignment="1" applyProtection="1">
      <x:protection locked="1" hidden="0"/>
    </x:xf>
    <x:xf numFmtId="0" fontId="20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5" fillId="9" borderId="1" applyNumberFormat="1" applyFill="0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5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3" borderId="1" applyNumberFormat="1" applyFill="0" applyBorder="1" applyAlignment="1" applyProtection="1">
      <x:protection locked="1" hidden="0"/>
    </x:xf>
  </x:cellStyleXfs>
  <x:cellXfs count="112">
    <x:xf numFmtId="0" fontId="0" fillId="0" borderId="0" xfId="0"/>
    <x:xf numFmtId="0" fontId="3" fillId="2" borderId="0" xfId="3" applyFont="1" applyFill="1" applyAlignment="1">
      <x:alignment horizontal="center" vertical="center" wrapText="1"/>
    </x:xf>
    <x:xf numFmtId="0" fontId="4" fillId="3" borderId="0" xfId="3" applyFont="1" applyFill="1" applyAlignment="1">
      <x:alignment horizontal="center" vertical="center" wrapText="1"/>
    </x:xf>
    <x:xf numFmtId="0" fontId="5" fillId="0" borderId="0" xfId="3" applyFont="1" applyAlignment="1">
      <x:alignment vertical="center" wrapText="1"/>
    </x:xf>
    <x:xf numFmtId="0" fontId="6" fillId="0" borderId="0" xfId="3" applyFont="1">
      <x:alignment vertical="center"/>
    </x:xf>
    <x:xf numFmtId="0" fontId="6" fillId="0" borderId="0" xfId="3" applyFont="1" applyAlignment="1">
      <x:alignment horizontal="center" vertical="center"/>
    </x:xf>
    <x:xf numFmtId="0" fontId="7" fillId="0" borderId="0" xfId="3" applyFont="1" applyAlignment="1">
      <x:alignment horizontal="center" vertical="center"/>
    </x:xf>
    <x:xf numFmtId="0" fontId="7" fillId="0" borderId="0" xfId="3" applyFont="1">
      <x:alignment vertical="center"/>
    </x:xf>
    <x:xf numFmtId="0" fontId="6" fillId="4" borderId="0" xfId="3" applyFont="1" applyFill="1">
      <x:alignment vertical="center"/>
    </x:xf>
    <x:xf numFmtId="0" fontId="7" fillId="5" borderId="0" xfId="3" applyFont="1" applyFill="1" applyAlignment="1">
      <x:alignment horizontal="center" vertical="center"/>
    </x:xf>
    <x:xf numFmtId="0" fontId="9" fillId="0" borderId="0" xfId="3" applyFont="1" applyAlignment="1">
      <x:alignment horizontal="center" vertical="center"/>
    </x:xf>
    <x:xf numFmtId="0" fontId="9" fillId="4" borderId="0" xfId="3" applyFont="1" applyFill="1" applyAlignment="1">
      <x:alignment horizontal="center" vertical="center"/>
    </x:xf>
    <x:xf numFmtId="0" fontId="10" fillId="0" borderId="0" xfId="4" applyFont="1" applyAlignment="1">
      <x:alignment horizontal="center" vertical="center"/>
    </x:xf>
    <x:xf numFmtId="0" fontId="11" fillId="6" borderId="1" xfId="3" applyFont="1" applyFill="1" applyBorder="1" applyAlignment="1">
      <x:alignment horizontal="center" vertical="center"/>
    </x:xf>
    <x:xf numFmtId="0" fontId="11" fillId="2" borderId="0" xfId="3" applyFont="1" applyFill="1">
      <x:alignment vertical="center"/>
    </x:xf>
    <x:xf numFmtId="0" fontId="12" fillId="6" borderId="1" xfId="3" applyFont="1" applyFill="1" applyBorder="1" applyAlignment="1">
      <x:alignment horizontal="center" vertical="center"/>
    </x:xf>
    <x:xf numFmtId="0" fontId="8" fillId="0" borderId="1" xfId="3" applyFont="1" applyBorder="1" applyAlignment="1">
      <x:alignment horizontal="center" vertical="center"/>
    </x:xf>
    <x:xf numFmtId="0" fontId="8" fillId="0" borderId="1" xfId="3" applyFont="1" applyBorder="1">
      <x:alignment vertical="center"/>
    </x:xf>
    <x:xf numFmtId="0" fontId="14" fillId="0" borderId="1" xfId="5" applyFont="1" applyFill="1" applyBorder="1" applyAlignment="1">
      <x:alignment vertical="center"/>
    </x:xf>
    <x:xf numFmtId="0" fontId="14" fillId="0" borderId="1" xfId="5" applyFont="1" applyFill="1" applyBorder="1" applyAlignment="1">
      <x:alignment horizontal="center" vertical="center"/>
    </x:xf>
    <x:xf numFmtId="0" fontId="15" fillId="0" borderId="1" xfId="3" applyFont="1" applyBorder="1">
      <x:alignment vertical="center"/>
    </x:xf>
    <x:xf numFmtId="0" fontId="6" fillId="0" borderId="1" xfId="3" applyFont="1" applyBorder="1">
      <x:alignment vertical="center"/>
    </x:xf>
    <x:xf numFmtId="0" fontId="6" fillId="0" borderId="1" xfId="3" applyFont="1" applyBorder="1" applyAlignment="1">
      <x:alignment horizontal="center" vertical="center"/>
    </x:xf>
    <x:xf numFmtId="0" fontId="14" fillId="0" borderId="1" xfId="3" applyFont="1" applyBorder="1">
      <x:alignment vertical="center"/>
    </x:xf>
    <x:xf numFmtId="0" fontId="16" fillId="0" borderId="0" xfId="0" applyFont="1" applyAlignment="1">
      <x:alignment vertical="center"/>
    </x:xf>
    <x:xf numFmtId="164" fontId="16" fillId="0" borderId="0" xfId="1" applyNumberFormat="1" applyFont="1" applyFill="1" applyBorder="1" applyAlignment="1">
      <x:alignment vertical="center"/>
    </x:xf>
    <x:xf numFmtId="0" fontId="16" fillId="0" borderId="0" xfId="0" applyFont="1" applyAlignment="1">
      <x:alignment horizontal="center" vertical="center"/>
    </x:xf>
    <x:xf numFmtId="0" fontId="6" fillId="0" borderId="1" xfId="1" applyNumberFormat="1" applyFont="1" applyBorder="1" applyAlignment="1">
      <x:alignment horizontal="center" vertical="center"/>
    </x:xf>
    <x:xf numFmtId="0" fontId="6" fillId="0" borderId="1" xfId="1" applyNumberFormat="1" applyFont="1" applyBorder="1" applyAlignment="1">
      <x:alignment vertical="center"/>
    </x:xf>
    <x:xf numFmtId="0" fontId="8" fillId="0" borderId="0" xfId="0" applyFont="1" applyAlignment="1">
      <x:alignment horizontal="center" vertical="top"/>
    </x:xf>
    <x:xf numFmtId="0" fontId="8" fillId="0" borderId="0" xfId="0" applyFont="1" applyAlignment="1">
      <x:alignment horizontal="left" vertical="top"/>
    </x:xf>
    <x:xf numFmtId="0" fontId="6" fillId="0" borderId="0" xfId="0" applyFont="1" applyAlignment="1">
      <x:alignment horizontal="left" vertical="top" wrapText="1"/>
    </x:xf>
    <x:xf numFmtId="0" fontId="20" fillId="0" borderId="1" xfId="0" applyFont="1" applyBorder="1" applyAlignment="1">
      <x:alignment horizontal="center" vertical="top"/>
    </x:xf>
    <x:xf numFmtId="0" fontId="14" fillId="0" borderId="1" xfId="0" applyFont="1" applyBorder="1" applyAlignment="1">
      <x:alignment horizontal="left" vertical="top" wrapText="1"/>
    </x:xf>
    <x:xf numFmtId="0" fontId="14" fillId="0" borderId="1" xfId="0" applyFont="1" applyBorder="1" applyAlignment="1">
      <x:alignment horizontal="center" vertical="top"/>
    </x:xf>
    <x:xf numFmtId="0" fontId="14" fillId="0" borderId="1" xfId="0" applyFont="1" applyBorder="1" applyAlignment="1">
      <x:alignment horizontal="left" vertical="top"/>
    </x:xf>
    <x:xf numFmtId="0" fontId="20" fillId="0" borderId="1" xfId="0" applyFont="1" applyBorder="1" applyAlignment="1">
      <x:alignment horizontal="left" vertical="top" wrapText="1"/>
    </x:xf>
    <x:xf numFmtId="164" fontId="16" fillId="0" borderId="0" xfId="1" applyNumberFormat="1" applyFont="1" applyFill="1" applyAlignment="1">
      <x:alignment vertical="center"/>
    </x:xf>
    <x:xf numFmtId="164" fontId="16" fillId="0" borderId="0" xfId="1" applyNumberFormat="1" applyFont="1" applyAlignment="1">
      <x:alignment vertical="center"/>
    </x:xf>
    <x:xf numFmtId="0" fontId="3" fillId="2" borderId="0" xfId="8" applyFont="1" applyFill="1" applyAlignment="1">
      <x:alignment horizontal="center" vertical="center" wrapText="1"/>
    </x:xf>
    <x:xf numFmtId="0" fontId="4" fillId="3" borderId="0" xfId="8" applyFont="1" applyFill="1" applyAlignment="1">
      <x:alignment horizontal="center" vertical="center" wrapText="1"/>
    </x:xf>
    <x:xf numFmtId="0" fontId="5" fillId="8" borderId="0" xfId="8" applyFont="1" applyFill="1" applyAlignment="1">
      <x:alignment vertical="center" wrapText="1"/>
    </x:xf>
    <x:xf numFmtId="0" fontId="11" fillId="6" borderId="1" xfId="8" applyFont="1" applyFill="1" applyBorder="1" applyAlignment="1">
      <x:alignment horizontal="center" vertical="center"/>
    </x:xf>
    <x:xf numFmtId="0" fontId="11" fillId="2" borderId="0" xfId="8" applyFont="1" applyFill="1">
      <x:alignment vertical="center"/>
    </x:xf>
    <x:xf numFmtId="0" fontId="11" fillId="8" borderId="1" xfId="8" applyFont="1" applyFill="1" applyBorder="1" applyAlignment="1">
      <x:alignment horizontal="center" vertical="center"/>
    </x:xf>
    <x:xf numFmtId="0" fontId="12" fillId="6" borderId="1" xfId="8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 wrapText="1"/>
    </x:xf>
    <x:xf numFmtId="0" fontId="5" fillId="0" borderId="0" xfId="8" applyFont="1" applyAlignment="1">
      <x:alignment vertical="center" wrapText="1"/>
    </x:xf>
    <x:xf numFmtId="0" fontId="6" fillId="0" borderId="0" xfId="8" applyFont="1">
      <x:alignment vertical="center"/>
    </x:xf>
    <x:xf numFmtId="0" fontId="6" fillId="0" borderId="0" xfId="8" applyFont="1" applyAlignment="1">
      <x:alignment horizontal="center" vertical="center"/>
    </x:xf>
    <x:xf numFmtId="0" fontId="7" fillId="0" borderId="0" xfId="8" applyFont="1" applyAlignment="1">
      <x:alignment horizontal="center" vertical="center"/>
    </x:xf>
    <x:xf numFmtId="0" fontId="7" fillId="0" borderId="0" xfId="8" applyFont="1">
      <x:alignment vertical="center"/>
    </x:xf>
    <x:xf numFmtId="0" fontId="6" fillId="8" borderId="0" xfId="8" applyFont="1" applyFill="1">
      <x:alignment vertical="center"/>
    </x:xf>
    <x:xf numFmtId="0" fontId="15" fillId="0" borderId="1" xfId="8" applyFont="1" applyBorder="1">
      <x:alignment vertical="center"/>
    </x:xf>
    <x:xf numFmtId="0" fontId="6" fillId="0" borderId="1" xfId="8" applyFont="1" applyBorder="1">
      <x:alignment vertical="center"/>
    </x:xf>
    <x:xf numFmtId="0" fontId="14" fillId="0" borderId="1" xfId="8" applyFont="1" applyBorder="1">
      <x:alignment vertical="center"/>
    </x:xf>
    <x:xf numFmtId="0" fontId="15" fillId="9" borderId="1" xfId="5" applyFont="1" applyFill="1" applyBorder="1" applyAlignment="1">
      <x:alignment vertical="center"/>
    </x:xf>
    <x:xf numFmtId="0" fontId="15" fillId="9" borderId="1" xfId="5" applyFont="1" applyFill="1" applyBorder="1" applyAlignment="1">
      <x:alignment horizontal="center" vertical="center"/>
    </x:xf>
    <x:xf numFmtId="0" fontId="15" fillId="9" borderId="1" xfId="8" applyFont="1" applyFill="1" applyBorder="1">
      <x:alignment vertical="center"/>
    </x:xf>
    <x:xf numFmtId="0" fontId="6" fillId="4" borderId="0" xfId="8" applyFont="1" applyFill="1">
      <x:alignment vertical="center"/>
    </x:xf>
    <x:xf numFmtId="0" fontId="7" fillId="5" borderId="0" xfId="8" applyFont="1" applyFill="1" applyAlignment="1">
      <x:alignment horizontal="center" vertical="center"/>
    </x:xf>
    <x:xf numFmtId="0" fontId="9" fillId="0" borderId="0" xfId="8" applyFont="1" applyAlignment="1">
      <x:alignment horizontal="center" vertical="center"/>
    </x:xf>
    <x:xf numFmtId="0" fontId="9" fillId="4" borderId="0" xfId="8" applyFont="1" applyFill="1" applyAlignment="1">
      <x:alignment horizontal="center" vertical="center"/>
    </x:xf>
    <x:xf numFmtId="0" fontId="10" fillId="0" borderId="0" xfId="9" applyFont="1" applyAlignment="1">
      <x:alignment horizontal="center" vertical="center"/>
    </x:xf>
    <x:xf numFmtId="0" fontId="16" fillId="0" borderId="0" xfId="1" applyNumberFormat="1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center" vertical="top"/>
    </x:xf>
    <x:xf numFmtId="0" fontId="25" fillId="0" borderId="1" xfId="0" applyFont="1" applyBorder="1" applyAlignment="1">
      <x:alignment vertical="top" wrapText="1"/>
    </x:xf>
    <x:xf numFmtId="0" fontId="0" fillId="0" borderId="1" xfId="0" applyBorder="1" applyAlignment="1">
      <x:alignment vertical="top"/>
    </x:xf>
    <x:xf numFmtId="0" fontId="0" fillId="0" borderId="1" xfId="0" applyBorder="1" applyAlignment="1">
      <x:alignment vertical="top" wrapText="1"/>
    </x:xf>
    <x:xf numFmtId="164" fontId="16" fillId="10" borderId="0" xfId="1" applyNumberFormat="1" applyFont="1" applyFill="1" applyBorder="1" applyAlignment="1">
      <x:alignment vertical="center"/>
    </x:xf>
    <x:xf numFmtId="164" fontId="16" fillId="0" borderId="0" xfId="1" applyNumberFormat="1" applyFont="1" applyFill="1" applyBorder="1" applyAlignment="1" applyProtection="1">
      <x:alignment vertical="center"/>
      <x:protection locked="0"/>
    </x:xf>
    <x:xf numFmtId="0" fontId="16" fillId="0" borderId="0" xfId="0" applyFont="1" applyAlignment="1" applyProtection="1">
      <x:alignment vertical="center"/>
      <x:protection locked="0"/>
    </x:xf>
    <x:xf numFmtId="9" fontId="16" fillId="0" borderId="0" xfId="2" applyFont="1" applyFill="1" applyBorder="1" applyAlignment="1" applyProtection="1">
      <x:alignment vertical="center"/>
      <x:protection locked="0"/>
    </x:xf>
    <x:xf numFmtId="165" fontId="16" fillId="0" borderId="0" xfId="0" applyNumberFormat="1" applyFont="1" applyAlignment="1" applyProtection="1">
      <x:alignment vertical="center"/>
      <x:protection locked="0"/>
    </x:xf>
    <x:xf numFmtId="0" fontId="16" fillId="0" borderId="0" xfId="0" applyFont="1" applyAlignment="1" applyProtection="1">
      <x:alignment horizontal="center" vertical="center"/>
      <x:protection locked="0"/>
    </x:xf>
    <x:xf numFmtId="0" fontId="17" fillId="0" borderId="0" xfId="0" applyFont="1" applyAlignment="1">
      <x:alignment vertical="top" wrapText="1"/>
    </x:xf>
    <x:xf numFmtId="0" fontId="21" fillId="11" borderId="0" xfId="0" applyFont="1" applyFill="1" applyAlignment="1" applyProtection="1">
      <x:alignment horizontal="center" vertical="top" wrapText="1"/>
      <x:protection locked="0"/>
    </x:xf>
    <x:xf numFmtId="0" fontId="21" fillId="11" borderId="0" xfId="0" applyFont="1" applyFill="1" applyAlignment="1">
      <x:alignment horizontal="center" vertical="top" wrapText="1"/>
    </x:xf>
    <x:xf numFmtId="164" fontId="21" fillId="11" borderId="0" xfId="1" applyNumberFormat="1" applyFont="1" applyFill="1" applyBorder="1" applyAlignment="1">
      <x:alignment horizontal="center" vertical="top" wrapText="1"/>
    </x:xf>
    <x:xf numFmtId="164" fontId="21" fillId="11" borderId="0" xfId="1" applyNumberFormat="1" applyFont="1" applyFill="1" applyBorder="1" applyAlignment="1" applyProtection="1">
      <x:alignment horizontal="center" vertical="top" wrapText="1"/>
      <x:protection locked="0"/>
    </x:xf>
    <x:xf numFmtId="9" fontId="21" fillId="11" borderId="0" xfId="2" applyFont="1" applyFill="1" applyBorder="1" applyAlignment="1" applyProtection="1">
      <x:alignment horizontal="center" vertical="top" wrapText="1"/>
      <x:protection locked="0"/>
    </x:xf>
    <x:xf numFmtId="165" fontId="21" fillId="11" borderId="0" xfId="0" applyNumberFormat="1" applyFont="1" applyFill="1" applyAlignment="1" applyProtection="1">
      <x:alignment horizontal="center" vertical="top" wrapText="1"/>
      <x:protection locked="0"/>
    </x:xf>
    <x:xf numFmtId="164" fontId="21" fillId="11" borderId="0" xfId="1" applyNumberFormat="1" applyFont="1" applyFill="1" applyAlignment="1">
      <x:alignment vertical="top" wrapText="1"/>
    </x:xf>
    <x:xf numFmtId="0" fontId="14" fillId="3" borderId="1" xfId="0" applyFont="1" applyFill="1" applyBorder="1" applyAlignment="1">
      <x:alignment horizontal="center" vertical="top"/>
    </x:xf>
    <x:xf numFmtId="164" fontId="1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9" fontId="1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21" fillId="11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0" fontId="21" fillId="11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4" fontId="21" fillId="11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4" fontId="21" fillId="11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9" fontId="21" fillId="11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165" fontId="21" fillId="11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0" hidden="0"/>
    </x:xf>
    <x:xf numFmtId="164" fontId="21" fillId="11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16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0">
    <x:cellStyle name="Comma" xfId="1" builtinId="3"/>
    <x:cellStyle name="Comma 3 2" xfId="7" xr:uid="{BDF3CC1A-D45E-486A-AF90-DA506EE3AB88}"/>
    <x:cellStyle name="Normal" xfId="0" builtinId="0"/>
    <x:cellStyle name="Normal 2" xfId="3" xr:uid="{D0D1230D-BB5C-46B9-A32E-5621CE411B76}"/>
    <x:cellStyle name="Normal 2 2" xfId="8" xr:uid="{ADB9C855-0262-4ACB-BA30-02FEFD8893D8}"/>
    <x:cellStyle name="Normal 20" xfId="6" xr:uid="{125DC8AC-BF0B-497B-AC05-35793C1AF6F9}"/>
    <x:cellStyle name="Normal 3 3" xfId="4" xr:uid="{0F0BDEAB-4BF8-46D3-9F0B-44F6E0812104}"/>
    <x:cellStyle name="Normal 3 3 2 2 4" xfId="9" xr:uid="{D1E986E0-2BDF-4861-AFB0-11E61CFDAFF8}"/>
    <x:cellStyle name="Percent" xfId="2" builtinId="5"/>
    <x:cellStyle name="標準 2 2" xfId="5" xr:uid="{2993C973-C45A-484E-A994-6D971E3D8809}"/>
  </x:cellStyles>
  <x:dxfs count="2">
    <x:dxf>
      <x:fill>
        <x:patternFill patternType="solid">
          <x:fgColor auto="1"/>
          <x:bgColor theme="2" tint="-0.099948118533890809"/>
        </x:patternFill>
      </x:fill>
    </x:dxf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PKWT"/>
      <sheetName val="Master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xm="http://schemas.microsoft.com/office/exce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CEFF172-4F7E-4F8C-81F6-B959C5A7DE76}" mc:Ignorable="x14ac xr xr2 xr3">
  <x:sheetPr>
    <x:tabColor rgb="FFFFFF00"/>
    <x:outlinePr summaryBelow="1" summaryRight="1"/>
  </x:sheetPr>
  <x:dimension ref="A1:Q459"/>
  <x:sheetViews>
    <x:sheetView tabSelected="1" zoomScale="85" zoomScaleNormal="85" workbookViewId="0">
      <x:selection activeCell="E13" sqref="E13"/>
    </x:sheetView>
  </x:sheetViews>
  <x:sheetFormatPr defaultColWidth="8.570312" defaultRowHeight="15" customHeight="1"/>
  <x:cols>
    <x:col min="1" max="1" width="6.855469" style="72" bestFit="1" customWidth="1"/>
    <x:col min="2" max="2" width="11.710938" style="24" bestFit="1" customWidth="1"/>
    <x:col min="3" max="3" width="25.285156" style="72" bestFit="1" customWidth="1"/>
    <x:col min="4" max="4" width="9.855469" style="37" bestFit="1" customWidth="1"/>
    <x:col min="5" max="5" width="25.285156" style="72" bestFit="1" customWidth="1"/>
    <x:col min="6" max="6" width="8.285156" style="26" bestFit="1" customWidth="1"/>
    <x:col min="7" max="7" width="29.570312" style="72" bestFit="1" customWidth="1"/>
    <x:col min="8" max="8" width="72.570312" style="72" bestFit="1" customWidth="1"/>
    <x:col min="9" max="9" width="17" style="24" bestFit="1" customWidth="1"/>
    <x:col min="10" max="10" width="14.710938" style="24" bestFit="1" customWidth="1"/>
    <x:col min="11" max="11" width="19.570312" style="85" bestFit="1" customWidth="1"/>
    <x:col min="12" max="12" width="11.285156" style="37" bestFit="1" customWidth="1"/>
    <x:col min="13" max="13" width="15.425781" style="86" bestFit="1" customWidth="1"/>
    <x:col min="14" max="14" width="14.710938" style="74" bestFit="1" customWidth="1"/>
    <x:col min="15" max="15" width="16.140625" style="75" bestFit="1" customWidth="1"/>
    <x:col min="16" max="16" width="13" style="26" bestFit="1" customWidth="1"/>
    <x:col min="17" max="17" width="15.855469" style="37" bestFit="1" customWidth="1"/>
    <x:col min="18" max="16384" width="8.570312" style="24" customWidth="1"/>
  </x:cols>
  <x:sheetData>
    <x:row r="1" spans="1:18" s="76" customFormat="1" ht="36" customHeight="1">
      <x:c r="A1" s="87" t="s">
        <x:v>0</x:v>
      </x:c>
      <x:c r="B1" s="88" t="s">
        <x:v>1</x:v>
      </x:c>
      <x:c r="C1" s="87" t="s">
        <x:v>2</x:v>
      </x:c>
      <x:c r="D1" s="89" t="s">
        <x:v>3</x:v>
      </x:c>
      <x:c r="E1" s="87" t="s">
        <x:v>4</x:v>
      </x:c>
      <x:c r="F1" s="88" t="s">
        <x:v>5</x:v>
      </x:c>
      <x:c r="G1" s="87" t="s">
        <x:v>6</x:v>
      </x:c>
      <x:c r="H1" s="87" t="s">
        <x:v>7</x:v>
      </x:c>
      <x:c r="I1" s="88" t="s">
        <x:v>8</x:v>
      </x:c>
      <x:c r="J1" s="88" t="s">
        <x:v>9</x:v>
      </x:c>
      <x:c r="K1" s="90" t="s">
        <x:v>10</x:v>
      </x:c>
      <x:c r="L1" s="89" t="s">
        <x:v>11</x:v>
      </x:c>
      <x:c r="M1" s="91" t="s">
        <x:v>12</x:v>
      </x:c>
      <x:c r="N1" s="92" t="s">
        <x:v>13</x:v>
      </x:c>
      <x:c r="O1" s="87" t="s">
        <x:v>14</x:v>
      </x:c>
      <x:c r="P1" s="88" t="s">
        <x:v>15</x:v>
      </x:c>
      <x:c r="Q1" s="93" t="s">
        <x:v>16</x:v>
      </x:c>
    </x:row>
    <x:row r="2" spans="1:18" customFormat="1" ht="15" customHeight="1">
      <x:c r="A2" s="72" t="s">
        <x:v>17</x:v>
      </x:c>
      <x:c r="B2" s="37" t="s">
        <x:v>18</x:v>
      </x:c>
      <x:c r="C2" s="72" t="s">
        <x:v>19</x:v>
      </x:c>
      <x:c r="D2" s="37" t="s">
        <x:v>18</x:v>
      </x:c>
      <x:c r="E2" s="72" t="s">
        <x:v>19</x:v>
      </x:c>
      <x:c r="F2" s="26" t="s">
        <x:v>20</x:v>
      </x:c>
      <x:c r="G2" s="72" t="s">
        <x:v>21</x:v>
      </x:c>
      <x:c r="H2" s="72" t="s">
        <x:v>22</x:v>
      </x:c>
      <x:c r="I2" s="24" t="s">
        <x:v>23</x:v>
      </x:c>
      <x:c r="J2" s="24" t="s">
        <x:v>24</x:v>
      </x:c>
      <x:c r="K2" s="85" t="n">
        <x:v>90000000</x:v>
      </x:c>
      <x:c r="L2" s="94" t="n">
        <x:v>60</x:v>
      </x:c>
      <x:c r="M2" s="86" t="n">
        <x:v>1</x:v>
      </x:c>
      <x:c r="N2" s="74">
        <x:v>45658</x:v>
      </x:c>
      <x:c r="O2" s="75" t="s">
        <x:v>25</x:v>
      </x:c>
      <x:c r="P2" s="26" t="s">
        <x:v>26</x:v>
      </x:c>
      <x:c r="Q2" s="37" t="n">
        <x:v>90000000</x:v>
      </x:c>
      <x:c r="R2" s="24" t="s">
        <x:v>27</x:v>
      </x:c>
    </x:row>
    <x:row r="3" spans="1:18" customFormat="1" ht="15" customHeight="1">
      <x:c r="A3" s="72" t="s">
        <x:v>17</x:v>
      </x:c>
      <x:c r="B3" s="37" t="s">
        <x:v>18</x:v>
      </x:c>
      <x:c r="C3" s="72" t="s">
        <x:v>19</x:v>
      </x:c>
      <x:c r="D3" s="37" t="s">
        <x:v>18</x:v>
      </x:c>
      <x:c r="E3" s="72" t="s">
        <x:v>19</x:v>
      </x:c>
      <x:c r="F3" s="26" t="s">
        <x:v>20</x:v>
      </x:c>
      <x:c r="G3" s="72" t="s">
        <x:v>21</x:v>
      </x:c>
      <x:c r="H3" s="72" t="s">
        <x:v>28</x:v>
      </x:c>
      <x:c r="I3" s="24" t="s">
        <x:v>23</x:v>
      </x:c>
      <x:c r="J3" s="24" t="s">
        <x:v>24</x:v>
      </x:c>
      <x:c r="K3" s="85" t="n">
        <x:v>90000000</x:v>
      </x:c>
      <x:c r="L3" s="94" t="n">
        <x:v>60</x:v>
      </x:c>
      <x:c r="M3" s="86" t="n">
        <x:v>1</x:v>
      </x:c>
      <x:c r="N3" s="74">
        <x:v>45809</x:v>
      </x:c>
      <x:c r="O3" s="75" t="s">
        <x:v>29</x:v>
      </x:c>
      <x:c r="P3" s="26" t="s">
        <x:v>30</x:v>
      </x:c>
      <x:c r="Q3" s="37" t="n">
        <x:v>90000000</x:v>
      </x:c>
      <x:c r="R3" s="24" t="s">
        <x:v>31</x:v>
      </x:c>
    </x:row>
    <x:row r="4" spans="1:18" customFormat="1" ht="15" customHeight="1">
      <x:c r="A4" s="72" t="s">
        <x:v>17</x:v>
      </x:c>
      <x:c r="B4" s="37" t="s">
        <x:v>18</x:v>
      </x:c>
      <x:c r="C4" s="72" t="s">
        <x:v>19</x:v>
      </x:c>
      <x:c r="D4" s="37" t="s">
        <x:v>18</x:v>
      </x:c>
      <x:c r="E4" s="72" t="s">
        <x:v>19</x:v>
      </x:c>
      <x:c r="F4" s="26" t="s">
        <x:v>20</x:v>
      </x:c>
      <x:c r="G4" s="72" t="s">
        <x:v>21</x:v>
      </x:c>
      <x:c r="H4" s="72" t="s">
        <x:v>32</x:v>
      </x:c>
      <x:c r="I4" s="24" t="s">
        <x:v>23</x:v>
      </x:c>
      <x:c r="J4" s="24" t="s">
        <x:v>24</x:v>
      </x:c>
      <x:c r="K4" s="85" t="n">
        <x:v>210000000</x:v>
      </x:c>
      <x:c r="L4" s="94" t="n">
        <x:v>60</x:v>
      </x:c>
      <x:c r="M4" s="86" t="n">
        <x:v>1</x:v>
      </x:c>
      <x:c r="N4" s="74">
        <x:v>45658</x:v>
      </x:c>
      <x:c r="O4" s="75" t="s">
        <x:v>25</x:v>
      </x:c>
      <x:c r="P4" s="26" t="s">
        <x:v>26</x:v>
      </x:c>
      <x:c r="Q4" s="37" t="n">
        <x:v>250000000</x:v>
      </x:c>
      <x:c r="R4" s="24" t="s">
        <x:v>33</x:v>
      </x:c>
    </x:row>
    <x:row r="5" spans="1:18" customFormat="1" ht="15" customHeight="1">
      <x:c r="A5" s="72" t="s">
        <x:v>17</x:v>
      </x:c>
      <x:c r="B5" s="37" t="s">
        <x:v>18</x:v>
      </x:c>
      <x:c r="C5" s="72" t="s">
        <x:v>19</x:v>
      </x:c>
      <x:c r="D5" s="37" t="s">
        <x:v>18</x:v>
      </x:c>
      <x:c r="E5" s="72" t="s">
        <x:v>19</x:v>
      </x:c>
      <x:c r="F5" s="26" t="s">
        <x:v>20</x:v>
      </x:c>
      <x:c r="G5" s="72" t="s">
        <x:v>21</x:v>
      </x:c>
      <x:c r="H5" s="72" t="s">
        <x:v>34</x:v>
      </x:c>
      <x:c r="I5" s="24" t="s">
        <x:v>23</x:v>
      </x:c>
      <x:c r="J5" s="24" t="s">
        <x:v>24</x:v>
      </x:c>
      <x:c r="K5" s="85" t="n">
        <x:v>48000000</x:v>
      </x:c>
      <x:c r="L5" s="94" t="n">
        <x:v>60</x:v>
      </x:c>
      <x:c r="M5" s="86" t="n">
        <x:v>1</x:v>
      </x:c>
      <x:c r="N5" s="74">
        <x:v>45809</x:v>
      </x:c>
      <x:c r="O5" s="75" t="s">
        <x:v>29</x:v>
      </x:c>
      <x:c r="P5" s="26" t="s">
        <x:v>30</x:v>
      </x:c>
      <x:c r="Q5" s="37" t="n">
        <x:v>48000000</x:v>
      </x:c>
      <x:c r="R5" s="24" t="s">
        <x:v>35</x:v>
      </x:c>
    </x:row>
    <x:row r="6" spans="1:18" customFormat="1" ht="15" customHeight="1">
      <x:c r="A6" s="72" t="s">
        <x:v>17</x:v>
      </x:c>
      <x:c r="B6" s="37" t="s">
        <x:v>18</x:v>
      </x:c>
      <x:c r="C6" s="72" t="s">
        <x:v>19</x:v>
      </x:c>
      <x:c r="D6" s="37" t="s">
        <x:v>18</x:v>
      </x:c>
      <x:c r="E6" s="72" t="s">
        <x:v>19</x:v>
      </x:c>
      <x:c r="F6" s="26" t="s">
        <x:v>20</x:v>
      </x:c>
      <x:c r="G6" s="72" t="s">
        <x:v>21</x:v>
      </x:c>
      <x:c r="H6" s="72" t="s">
        <x:v>36</x:v>
      </x:c>
      <x:c r="I6" s="24" t="s">
        <x:v>23</x:v>
      </x:c>
      <x:c r="J6" s="24" t="s">
        <x:v>24</x:v>
      </x:c>
      <x:c r="K6" s="85" t="n">
        <x:v>15000000</x:v>
      </x:c>
      <x:c r="L6" s="94" t="n">
        <x:v>60</x:v>
      </x:c>
      <x:c r="M6" s="86" t="n">
        <x:v>1</x:v>
      </x:c>
      <x:c r="N6" s="74">
        <x:v>45748</x:v>
      </x:c>
      <x:c r="O6" s="75" t="s">
        <x:v>29</x:v>
      </x:c>
      <x:c r="P6" s="26" t="s">
        <x:v>30</x:v>
      </x:c>
      <x:c r="Q6" s="37" t="n">
        <x:v>15000000</x:v>
      </x:c>
      <x:c r="R6" s="24" t="s">
        <x:v>37</x:v>
      </x:c>
    </x:row>
    <x:row r="7" spans="1:18" customFormat="1" ht="15" customHeight="1">
      <x:c r="A7" s="72" t="s">
        <x:v>17</x:v>
      </x:c>
      <x:c r="B7" s="37" t="s">
        <x:v>18</x:v>
      </x:c>
      <x:c r="C7" s="72" t="s">
        <x:v>19</x:v>
      </x:c>
      <x:c r="D7" s="37" t="s">
        <x:v>18</x:v>
      </x:c>
      <x:c r="E7" s="72" t="s">
        <x:v>19</x:v>
      </x:c>
      <x:c r="F7" s="26" t="s">
        <x:v>38</x:v>
      </x:c>
      <x:c r="G7" s="72" t="s">
        <x:v>39</x:v>
      </x:c>
      <x:c r="H7" s="72" t="s">
        <x:v>40</x:v>
      </x:c>
      <x:c r="I7" s="24" t="s">
        <x:v>23</x:v>
      </x:c>
      <x:c r="J7" s="24" t="s">
        <x:v>24</x:v>
      </x:c>
      <x:c r="K7" s="85" t="n">
        <x:v>400000000</x:v>
      </x:c>
      <x:c r="L7" s="94" t="n">
        <x:v>60</x:v>
      </x:c>
      <x:c r="M7" s="86" t="n">
        <x:v>1</x:v>
      </x:c>
      <x:c r="N7" s="74">
        <x:v>45627</x:v>
      </x:c>
      <x:c r="O7" s="75" t="s">
        <x:v>25</x:v>
      </x:c>
      <x:c r="P7" s="26" t="s">
        <x:v>26</x:v>
      </x:c>
      <x:c r="Q7" s="37" t="n">
        <x:v>400000000</x:v>
      </x:c>
      <x:c r="R7" s="24" t="s">
        <x:v>41</x:v>
      </x:c>
    </x:row>
    <x:row r="8" spans="1:18" customFormat="1" ht="15" customHeight="1">
      <x:c r="A8" s="72" t="s"/>
      <x:c r="B8" s="37">
        <x:f>_xlfn.IFNA(VLOOKUP(C8,Master_Section!$H:$I,2,FALSE),"")</x:f>
      </x:c>
      <x:c r="D8" s="37">
        <x:f>_xlfn.IFNA(VLOOKUP(E8,Master_Section!$H:$I,2,FALSE),"")</x:f>
      </x:c>
      <x:c r="E8" s="72" t="s"/>
      <x:c r="F8" s="26">
        <x:f>_xlfn.IFNA(VLOOKUP(G8,Master!AE:AF,2,FALSE),"")</x:f>
      </x:c>
      <x:c r="H8" s="72" t="s"/>
      <x:c r="I8" s="24">
        <x:f>_xlfn.IFNA(VLOOKUP(D8,Master_Section!$I:$K,2,FALSE),"")</x:f>
      </x:c>
      <x:c r="J8" s="24">
        <x:f>_xlfn.IFNA(VLOOKUP(D8,Master_Section!$I:$K,3,FALSE),"")</x:f>
      </x:c>
      <x:c r="K8" s="85" t="s"/>
      <x:c r="L8" s="94">
        <x:f>IF(A8&lt;&gt;"CFA",_xlfn.IFNA(VLOOKUP($G8,Master!$AE:$AI,5,0),""),"")</x:f>
      </x:c>
      <x:c r="N8" s="74" t="s"/>
      <x:c r="P8" s="26">
        <x:f>IF(N8&lt;&gt;"",IF(MONTH(N8)&gt;=4,"FY1"&amp;RIGHT(YEAR(N8)+1,2),"FY1"&amp;RIGHT(YEAR(N8),2)),"")</x:f>
      </x:c>
      <x:c r="Q8" s="37">
        <x:f>IF(K8&gt;0&amp;M8&gt;0,K8*M8,"")</x:f>
      </x:c>
    </x:row>
    <x:row r="9" spans="1:18" customFormat="1" ht="15" customHeight="1">
      <x:c r="A9" s="72" t="s"/>
      <x:c r="B9" s="37">
        <x:f>_xlfn.IFNA(VLOOKUP(C9,Master_Section!$H:$I,2,FALSE),"")</x:f>
      </x:c>
      <x:c r="D9" s="37">
        <x:f>_xlfn.IFNA(VLOOKUP(E9,Master_Section!$H:$I,2,FALSE),"")</x:f>
      </x:c>
      <x:c r="F9" s="26">
        <x:f>_xlfn.IFNA(VLOOKUP(G9,Master!AE:AF,2,FALSE),"")</x:f>
      </x:c>
      <x:c r="I9" s="24">
        <x:f>_xlfn.IFNA(VLOOKUP(D9,Master_Section!$I:$K,2,FALSE),"")</x:f>
      </x:c>
      <x:c r="J9" s="24">
        <x:f>_xlfn.IFNA(VLOOKUP(D9,Master_Section!$I:$K,3,FALSE),"")</x:f>
      </x:c>
      <x:c r="K9" s="85" t="s"/>
      <x:c r="L9" s="94">
        <x:f>IF(A9&lt;&gt;"CFA",_xlfn.IFNA(VLOOKUP($G9,Master!$AE:$AI,5,0),""),"")</x:f>
      </x:c>
      <x:c r="N9" s="74" t="s"/>
      <x:c r="P9" s="26">
        <x:f>IF(N9&lt;&gt;"",IF(MONTH(N9)&gt;=4,"FY1"&amp;RIGHT(YEAR(N9)+1,2),"FY1"&amp;RIGHT(YEAR(N9),2)),"")</x:f>
      </x:c>
      <x:c r="Q9" s="37">
        <x:f>IF(K9&gt;0&amp;M9&gt;0,K9*M9,"")</x:f>
      </x:c>
    </x:row>
    <x:row r="10" spans="1:18" customFormat="1" ht="15" customHeight="1">
      <x:c r="A10" s="72" t="s"/>
      <x:c r="B10" s="37">
        <x:f>_xlfn.IFNA(VLOOKUP(C10,Master_Section!$H:$I,2,FALSE),"")</x:f>
      </x:c>
      <x:c r="D10" s="37">
        <x:f>_xlfn.IFNA(VLOOKUP(E10,Master_Section!$H:$I,2,FALSE),"")</x:f>
      </x:c>
      <x:c r="F10" s="26">
        <x:f>_xlfn.IFNA(VLOOKUP(G10,Master!AE:AF,2,FALSE),"")</x:f>
      </x:c>
      <x:c r="I10" s="24">
        <x:f>_xlfn.IFNA(VLOOKUP(D10,Master_Section!$I:$K,2,FALSE),"")</x:f>
      </x:c>
      <x:c r="J10" s="24">
        <x:f>_xlfn.IFNA(VLOOKUP(D10,Master_Section!$I:$K,3,FALSE),"")</x:f>
      </x:c>
      <x:c r="L10" s="94">
        <x:f>IF(A10&lt;&gt;"CFA",_xlfn.IFNA(VLOOKUP($G10,Master!$AE:$AI,5,0),""),"")</x:f>
      </x:c>
      <x:c r="P10" s="26">
        <x:f>IF(N10&lt;&gt;"",IF(MONTH(N10)&gt;=4,"FY1"&amp;RIGHT(YEAR(N10)+1,2),"FY1"&amp;RIGHT(YEAR(N10),2)),"")</x:f>
      </x:c>
      <x:c r="Q10" s="37">
        <x:f>IF(K10&gt;0&amp;M10&gt;0,K10*M10,"")</x:f>
      </x:c>
    </x:row>
    <x:row r="11" spans="1:18" customFormat="1" ht="15" customHeight="1">
      <x:c r="B11" s="37">
        <x:f>_xlfn.IFNA(VLOOKUP(C11,Master_Section!$H:$I,2,FALSE),"")</x:f>
      </x:c>
      <x:c r="D11" s="37">
        <x:f>_xlfn.IFNA(VLOOKUP(E11,Master_Section!$H:$I,2,FALSE),"")</x:f>
      </x:c>
      <x:c r="F11" s="26">
        <x:f>_xlfn.IFNA(VLOOKUP(G11,Master!AE:AF,2,FALSE),"")</x:f>
      </x:c>
      <x:c r="I11" s="24">
        <x:f>_xlfn.IFNA(VLOOKUP(D11,Master_Section!$I:$K,2,FALSE),"")</x:f>
      </x:c>
      <x:c r="J11" s="24">
        <x:f>_xlfn.IFNA(VLOOKUP(D11,Master_Section!$I:$K,3,FALSE),"")</x:f>
      </x:c>
      <x:c r="L11" s="94">
        <x:f>IF(A11&lt;&gt;"CFA",_xlfn.IFNA(VLOOKUP($G11,Master!$AE:$AI,5,0),""),"")</x:f>
      </x:c>
      <x:c r="P11" s="26">
        <x:f>IF(N11&lt;&gt;"",IF(MONTH(N11)&gt;=4,"FY1"&amp;RIGHT(YEAR(N11)+1,2),"FY1"&amp;RIGHT(YEAR(N11),2)),"")</x:f>
      </x:c>
      <x:c r="Q11" s="37">
        <x:f>IF(K11&gt;0&amp;M11&gt;0,K11*M11,"")</x:f>
      </x:c>
    </x:row>
    <x:row r="12" spans="1:18" customFormat="1" ht="15" customHeight="1">
      <x:c r="B12" s="37">
        <x:f>_xlfn.IFNA(VLOOKUP(C12,Master_Section!$H:$I,2,FALSE),"")</x:f>
      </x:c>
      <x:c r="D12" s="37">
        <x:f>_xlfn.IFNA(VLOOKUP(E12,Master_Section!$H:$I,2,FALSE),"")</x:f>
      </x:c>
      <x:c r="F12" s="26">
        <x:f>_xlfn.IFNA(VLOOKUP(G12,Master!AE:AF,2,FALSE),"")</x:f>
      </x:c>
      <x:c r="I12" s="24">
        <x:f>_xlfn.IFNA(VLOOKUP(D12,Master_Section!$I:$K,2,FALSE),"")</x:f>
      </x:c>
      <x:c r="J12" s="24">
        <x:f>_xlfn.IFNA(VLOOKUP(D12,Master_Section!$I:$K,3,FALSE),"")</x:f>
      </x:c>
      <x:c r="L12" s="94">
        <x:f>IF(A12&lt;&gt;"CFA",_xlfn.IFNA(VLOOKUP($G12,Master!$AE:$AI,5,0),""),"")</x:f>
      </x:c>
      <x:c r="P12" s="26">
        <x:f>IF(N12&lt;&gt;"",IF(MONTH(N12)&gt;=4,"FY1"&amp;RIGHT(YEAR(N12)+1,2),"FY1"&amp;RIGHT(YEAR(N12),2)),"")</x:f>
      </x:c>
      <x:c r="Q12" s="37">
        <x:f>IF(K12&gt;0&amp;M12&gt;0,K12*M12,"")</x:f>
      </x:c>
    </x:row>
    <x:row r="13" spans="1:18" s="0" customFormat="1" ht="15" customHeight="1">
      <x:c r="A13" s="0" t="s"/>
      <x:c r="B13" s="37">
        <x:f>_xlfn.IFNA(VLOOKUP(C13,Master_Section!$H:$I,2,FALSE),"")</x:f>
      </x:c>
      <x:c r="C13" s="0" t="s"/>
      <x:c r="D13" s="37">
        <x:f>_xlfn.IFNA(VLOOKUP(E13,Master_Section!$H:$I,2,FALSE),"")</x:f>
      </x:c>
      <x:c r="E13" s="0" t="s"/>
      <x:c r="F13" s="26">
        <x:f>_xlfn.IFNA(VLOOKUP(G13,Master!AE:AF,2,FALSE),"")</x:f>
      </x:c>
      <x:c r="G13" s="0" t="s"/>
      <x:c r="H13" s="0" t="s"/>
      <x:c r="I13" s="24">
        <x:f>_xlfn.IFNA(VLOOKUP(D13,Master_Section!$I:$K,2,FALSE),"")</x:f>
      </x:c>
      <x:c r="J13" s="24">
        <x:f>_xlfn.IFNA(VLOOKUP(D13,Master_Section!$I:$K,3,FALSE),"")</x:f>
      </x:c>
      <x:c r="K13" s="0" t="s"/>
      <x:c r="L13" s="94">
        <x:f>IF(A13&lt;&gt;"CFA",_xlfn.IFNA(VLOOKUP($G13,Master!$AE:$AI,5,0),""),"")</x:f>
      </x:c>
      <x:c r="M13" s="0" t="s"/>
      <x:c r="N13" s="0" t="s"/>
      <x:c r="O13" s="0" t="s"/>
      <x:c r="P13" s="26">
        <x:f>IF(N13&lt;&gt;"",IF(MONTH(N13)&gt;=4,"FY1"&amp;RIGHT(YEAR(N13)+1,2),"FY1"&amp;RIGHT(YEAR(N13),2)),"")</x:f>
      </x:c>
      <x:c r="Q13" s="37">
        <x:f>IF(K13&gt;0&amp;M13&gt;0,K13*M13,"")</x:f>
      </x:c>
    </x:row>
    <x:row r="14" spans="1:18" customFormat="1" ht="15" customHeight="1">
      <x:c r="B14" s="37">
        <x:f>_xlfn.IFNA(VLOOKUP(C14,Master_Section!$H:$I,2,FALSE),"")</x:f>
      </x:c>
      <x:c r="D14" s="37">
        <x:f>_xlfn.IFNA(VLOOKUP(E14,Master_Section!$H:$I,2,FALSE),"")</x:f>
      </x:c>
      <x:c r="F14" s="26">
        <x:f>_xlfn.IFNA(VLOOKUP(G14,Master!AE:AF,2,FALSE),"")</x:f>
      </x:c>
      <x:c r="I14" s="24">
        <x:f>_xlfn.IFNA(VLOOKUP(D14,Master_Section!$I:$K,2,FALSE),"")</x:f>
      </x:c>
      <x:c r="J14" s="24">
        <x:f>_xlfn.IFNA(VLOOKUP(D14,Master_Section!$I:$K,3,FALSE),"")</x:f>
      </x:c>
      <x:c r="L14" s="94">
        <x:f>IF(A14&lt;&gt;"CFA",_xlfn.IFNA(VLOOKUP($G14,Master!$AE:$AI,5,0),""),"")</x:f>
      </x:c>
      <x:c r="P14" s="26">
        <x:f>IF(N14&lt;&gt;"",IF(MONTH(N14)&gt;=4,"FY1"&amp;RIGHT(YEAR(N14)+1,2),"FY1"&amp;RIGHT(YEAR(N14),2)),"")</x:f>
      </x:c>
      <x:c r="Q14" s="37">
        <x:f>IF(K14&gt;0&amp;M14&gt;0,K14*M14,"")</x:f>
      </x:c>
    </x:row>
    <x:row r="15" spans="1:18" customFormat="1" ht="15" customHeight="1">
      <x:c r="B15" s="37">
        <x:f>_xlfn.IFNA(VLOOKUP(C15,Master_Section!$H:$I,2,FALSE),"")</x:f>
      </x:c>
      <x:c r="D15" s="37">
        <x:f>_xlfn.IFNA(VLOOKUP(E15,Master_Section!$H:$I,2,FALSE),"")</x:f>
      </x:c>
      <x:c r="F15" s="26">
        <x:f>_xlfn.IFNA(VLOOKUP(G15,Master!AE:AF,2,FALSE),"")</x:f>
      </x:c>
      <x:c r="I15" s="24">
        <x:f>_xlfn.IFNA(VLOOKUP(D15,Master_Section!$I:$K,2,FALSE),"")</x:f>
      </x:c>
      <x:c r="J15" s="24">
        <x:f>_xlfn.IFNA(VLOOKUP(D15,Master_Section!$I:$K,3,FALSE),"")</x:f>
      </x:c>
      <x:c r="L15" s="94">
        <x:f>IF(A15&lt;&gt;"CFA",_xlfn.IFNA(VLOOKUP($G15,Master!$AE:$AI,5,0),""),"")</x:f>
      </x:c>
      <x:c r="P15" s="26">
        <x:f>IF(N15&lt;&gt;"",IF(MONTH(N15)&gt;=4,"FY1"&amp;RIGHT(YEAR(N15)+1,2),"FY1"&amp;RIGHT(YEAR(N15),2)),"")</x:f>
      </x:c>
      <x:c r="Q15" s="37">
        <x:f>IF(K15&gt;0&amp;M15&gt;0,K15*M15,"")</x:f>
      </x:c>
    </x:row>
    <x:row r="16" spans="1:18" customFormat="1" ht="15" customHeight="1">
      <x:c r="B16" s="37">
        <x:f>_xlfn.IFNA(VLOOKUP(C16,Master_Section!$H:$I,2,FALSE),"")</x:f>
      </x:c>
      <x:c r="D16" s="37">
        <x:f>_xlfn.IFNA(VLOOKUP(E16,Master_Section!$H:$I,2,FALSE),"")</x:f>
      </x:c>
      <x:c r="F16" s="26">
        <x:f>_xlfn.IFNA(VLOOKUP(G16,Master!AE:AF,2,FALSE),"")</x:f>
      </x:c>
      <x:c r="I16" s="24">
        <x:f>_xlfn.IFNA(VLOOKUP(D16,Master_Section!$I:$K,2,FALSE),"")</x:f>
      </x:c>
      <x:c r="J16" s="24">
        <x:f>_xlfn.IFNA(VLOOKUP(D16,Master_Section!$I:$K,3,FALSE),"")</x:f>
      </x:c>
      <x:c r="L16" s="94">
        <x:f>IF(A16&lt;&gt;"CFA",_xlfn.IFNA(VLOOKUP($G16,Master!$AE:$AI,5,0),""),"")</x:f>
      </x:c>
      <x:c r="P16" s="26">
        <x:f>IF(N16&lt;&gt;"",IF(MONTH(N16)&gt;=4,"FY1"&amp;RIGHT(YEAR(N16)+1,2),"FY1"&amp;RIGHT(YEAR(N16),2)),"")</x:f>
      </x:c>
      <x:c r="Q16" s="37">
        <x:f>IF(K16&gt;0&amp;M16&gt;0,K16*M16,"")</x:f>
      </x:c>
    </x:row>
    <x:row r="17" spans="1:18" customFormat="1" ht="15" customHeight="1">
      <x:c r="B17" s="37">
        <x:f>_xlfn.IFNA(VLOOKUP(C17,Master_Section!$H:$I,2,FALSE),"")</x:f>
      </x:c>
      <x:c r="D17" s="37">
        <x:f>_xlfn.IFNA(VLOOKUP(E17,Master_Section!$H:$I,2,FALSE),"")</x:f>
      </x:c>
      <x:c r="F17" s="26">
        <x:f>_xlfn.IFNA(VLOOKUP(G17,Master!AE:AF,2,FALSE),"")</x:f>
      </x:c>
      <x:c r="I17" s="24">
        <x:f>_xlfn.IFNA(VLOOKUP(D17,Master_Section!$I:$K,2,FALSE),"")</x:f>
      </x:c>
      <x:c r="J17" s="24">
        <x:f>_xlfn.IFNA(VLOOKUP(D17,Master_Section!$I:$K,3,FALSE),"")</x:f>
      </x:c>
      <x:c r="L17" s="94">
        <x:f>IF(A17&lt;&gt;"CFA",_xlfn.IFNA(VLOOKUP($G17,Master!$AE:$AI,5,0),""),"")</x:f>
      </x:c>
      <x:c r="P17" s="26">
        <x:f>IF(N17&lt;&gt;"",IF(MONTH(N17)&gt;=4,"FY1"&amp;RIGHT(YEAR(N17)+1,2),"FY1"&amp;RIGHT(YEAR(N17),2)),"")</x:f>
      </x:c>
      <x:c r="Q17" s="37">
        <x:f>IF(K17&gt;0&amp;M17&gt;0,K17*M17,"")</x:f>
      </x:c>
    </x:row>
    <x:row r="18" spans="1:18" customFormat="1" ht="15" customHeight="1">
      <x:c r="B18" s="37">
        <x:f>_xlfn.IFNA(VLOOKUP(C18,Master_Section!$H:$I,2,FALSE),"")</x:f>
      </x:c>
      <x:c r="D18" s="37">
        <x:f>_xlfn.IFNA(VLOOKUP(E18,Master_Section!$H:$I,2,FALSE),"")</x:f>
      </x:c>
      <x:c r="F18" s="26">
        <x:f>_xlfn.IFNA(VLOOKUP(G18,Master!AE:AF,2,FALSE),"")</x:f>
      </x:c>
      <x:c r="I18" s="24">
        <x:f>_xlfn.IFNA(VLOOKUP(D18,Master_Section!$I:$K,2,FALSE),"")</x:f>
      </x:c>
      <x:c r="J18" s="24">
        <x:f>_xlfn.IFNA(VLOOKUP(D18,Master_Section!$I:$K,3,FALSE),"")</x:f>
      </x:c>
      <x:c r="L18" s="94">
        <x:f>IF(A18&lt;&gt;"CFA",_xlfn.IFNA(VLOOKUP($G18,Master!$AE:$AI,5,0),""),"")</x:f>
      </x:c>
      <x:c r="P18" s="26">
        <x:f>IF(N18&lt;&gt;"",IF(MONTH(N18)&gt;=4,"FY1"&amp;RIGHT(YEAR(N18)+1,2),"FY1"&amp;RIGHT(YEAR(N18),2)),"")</x:f>
      </x:c>
      <x:c r="Q18" s="37">
        <x:f>IF(K18&gt;0&amp;M18&gt;0,K18*M18,"")</x:f>
      </x:c>
    </x:row>
    <x:row r="19" spans="1:18" customFormat="1" ht="15" customHeight="1">
      <x:c r="B19" s="37">
        <x:f>_xlfn.IFNA(VLOOKUP(C19,Master_Section!$H:$I,2,FALSE),"")</x:f>
      </x:c>
      <x:c r="D19" s="37">
        <x:f>_xlfn.IFNA(VLOOKUP(E19,Master_Section!$H:$I,2,FALSE),"")</x:f>
      </x:c>
      <x:c r="F19" s="26">
        <x:f>_xlfn.IFNA(VLOOKUP(G19,Master!AE:AF,2,FALSE),"")</x:f>
      </x:c>
      <x:c r="I19" s="24">
        <x:f>_xlfn.IFNA(VLOOKUP(D19,Master_Section!$I:$K,2,FALSE),"")</x:f>
      </x:c>
      <x:c r="J19" s="24">
        <x:f>_xlfn.IFNA(VLOOKUP(D19,Master_Section!$I:$K,3,FALSE),"")</x:f>
      </x:c>
      <x:c r="L19" s="94">
        <x:f>IF(A19&lt;&gt;"CFA",_xlfn.IFNA(VLOOKUP($G19,Master!$AE:$AI,5,0),""),"")</x:f>
      </x:c>
      <x:c r="P19" s="26">
        <x:f>IF(N19&lt;&gt;"",IF(MONTH(N19)&gt;=4,"FY1"&amp;RIGHT(YEAR(N19)+1,2),"FY1"&amp;RIGHT(YEAR(N19),2)),"")</x:f>
      </x:c>
      <x:c r="Q19" s="37">
        <x:f>IF(K19&gt;0&amp;M19&gt;0,K19*M19,"")</x:f>
      </x:c>
    </x:row>
    <x:row r="20" spans="1:18" customFormat="1" ht="15" customHeight="1">
      <x:c r="B20" s="37">
        <x:f>_xlfn.IFNA(VLOOKUP(C20,Master_Section!$H:$I,2,FALSE),"")</x:f>
      </x:c>
      <x:c r="D20" s="37">
        <x:f>_xlfn.IFNA(VLOOKUP(E20,Master_Section!$H:$I,2,FALSE),"")</x:f>
      </x:c>
      <x:c r="F20" s="26">
        <x:f>_xlfn.IFNA(VLOOKUP(G20,Master!AE:AF,2,FALSE),"")</x:f>
      </x:c>
      <x:c r="I20" s="24">
        <x:f>_xlfn.IFNA(VLOOKUP(D20,Master_Section!$I:$K,2,FALSE),"")</x:f>
      </x:c>
      <x:c r="J20" s="24">
        <x:f>_xlfn.IFNA(VLOOKUP(D20,Master_Section!$I:$K,3,FALSE),"")</x:f>
      </x:c>
      <x:c r="L20" s="94">
        <x:f>IF(A20&lt;&gt;"CFA",_xlfn.IFNA(VLOOKUP($G20,Master!$AE:$AI,5,0),""),"")</x:f>
      </x:c>
      <x:c r="P20" s="26">
        <x:f>IF(N20&lt;&gt;"",IF(MONTH(N20)&gt;=4,"FY1"&amp;RIGHT(YEAR(N20)+1,2),"FY1"&amp;RIGHT(YEAR(N20),2)),"")</x:f>
      </x:c>
      <x:c r="Q20" s="37">
        <x:f>IF(K20&gt;0&amp;M20&gt;0,K20*M20,"")</x:f>
      </x:c>
    </x:row>
    <x:row r="21" spans="1:18" customFormat="1" ht="15" customHeight="1">
      <x:c r="B21" s="37">
        <x:f>_xlfn.IFNA(VLOOKUP(C21,Master_Section!$H:$I,2,FALSE),"")</x:f>
      </x:c>
      <x:c r="D21" s="37">
        <x:f>_xlfn.IFNA(VLOOKUP(E21,Master_Section!$H:$I,2,FALSE),"")</x:f>
      </x:c>
      <x:c r="F21" s="26">
        <x:f>_xlfn.IFNA(VLOOKUP(G21,Master!AE:AF,2,FALSE),"")</x:f>
      </x:c>
      <x:c r="I21" s="24">
        <x:f>_xlfn.IFNA(VLOOKUP(D21,Master_Section!$I:$K,2,FALSE),"")</x:f>
      </x:c>
      <x:c r="J21" s="24">
        <x:f>_xlfn.IFNA(VLOOKUP(D21,Master_Section!$I:$K,3,FALSE),"")</x:f>
      </x:c>
      <x:c r="L21" s="94">
        <x:f>IF(A21&lt;&gt;"CFA",_xlfn.IFNA(VLOOKUP($G21,Master!$AE:$AI,5,0),""),"")</x:f>
      </x:c>
      <x:c r="P21" s="26">
        <x:f>IF(N21&lt;&gt;"",IF(MONTH(N21)&gt;=4,"FY1"&amp;RIGHT(YEAR(N21)+1,2),"FY1"&amp;RIGHT(YEAR(N21),2)),"")</x:f>
      </x:c>
      <x:c r="Q21" s="37">
        <x:f>IF(K21&gt;0&amp;M21&gt;0,K21*M21,"")</x:f>
      </x:c>
    </x:row>
    <x:row r="22" spans="1:18" customFormat="1" ht="15" customHeight="1">
      <x:c r="B22" s="37">
        <x:f>_xlfn.IFNA(VLOOKUP(C22,Master_Section!$H:$I,2,FALSE),"")</x:f>
      </x:c>
      <x:c r="D22" s="37">
        <x:f>_xlfn.IFNA(VLOOKUP(E22,Master_Section!$H:$I,2,FALSE),"")</x:f>
      </x:c>
      <x:c r="F22" s="26">
        <x:f>_xlfn.IFNA(VLOOKUP(G22,Master!AE:AF,2,FALSE),"")</x:f>
      </x:c>
      <x:c r="I22" s="24">
        <x:f>_xlfn.IFNA(VLOOKUP(D22,Master_Section!$I:$K,2,FALSE),"")</x:f>
      </x:c>
      <x:c r="J22" s="24">
        <x:f>_xlfn.IFNA(VLOOKUP(D22,Master_Section!$I:$K,3,FALSE),"")</x:f>
      </x:c>
      <x:c r="L22" s="94">
        <x:f>IF(A22&lt;&gt;"CFA",_xlfn.IFNA(VLOOKUP($G22,Master!$AE:$AI,5,0),""),"")</x:f>
      </x:c>
      <x:c r="P22" s="26">
        <x:f>IF(N22&lt;&gt;"",IF(MONTH(N22)&gt;=4,"FY1"&amp;RIGHT(YEAR(N22)+1,2),"FY1"&amp;RIGHT(YEAR(N22),2)),"")</x:f>
      </x:c>
      <x:c r="Q22" s="37">
        <x:f>IF(K22&gt;0&amp;M22&gt;0,K22*M22,"")</x:f>
      </x:c>
    </x:row>
    <x:row r="23" spans="1:18" customFormat="1" ht="15" customHeight="1">
      <x:c r="B23" s="37">
        <x:f>_xlfn.IFNA(VLOOKUP(C23,Master_Section!$H:$I,2,FALSE),"")</x:f>
      </x:c>
      <x:c r="D23" s="37">
        <x:f>_xlfn.IFNA(VLOOKUP(E23,Master_Section!$H:$I,2,FALSE),"")</x:f>
      </x:c>
      <x:c r="F23" s="26">
        <x:f>_xlfn.IFNA(VLOOKUP(G23,Master!AE:AF,2,FALSE),"")</x:f>
      </x:c>
      <x:c r="I23" s="24">
        <x:f>_xlfn.IFNA(VLOOKUP(D23,Master_Section!$I:$K,2,FALSE),"")</x:f>
      </x:c>
      <x:c r="J23" s="24">
        <x:f>_xlfn.IFNA(VLOOKUP(D23,Master_Section!$I:$K,3,FALSE),"")</x:f>
      </x:c>
      <x:c r="L23" s="94">
        <x:f>IF(A23&lt;&gt;"CFA",_xlfn.IFNA(VLOOKUP($G23,Master!$AE:$AI,5,0),""),"")</x:f>
      </x:c>
      <x:c r="P23" s="26">
        <x:f>IF(N23&lt;&gt;"",IF(MONTH(N23)&gt;=4,"FY1"&amp;RIGHT(YEAR(N23)+1,2),"FY1"&amp;RIGHT(YEAR(N23),2)),"")</x:f>
      </x:c>
      <x:c r="Q23" s="37">
        <x:f>IF(K23&gt;0&amp;M23&gt;0,K23*M23,"")</x:f>
      </x:c>
    </x:row>
    <x:row r="24" spans="1:18" customFormat="1" ht="15" customHeight="1">
      <x:c r="B24" s="37">
        <x:f>_xlfn.IFNA(VLOOKUP(C24,Master_Section!$H:$I,2,FALSE),"")</x:f>
      </x:c>
      <x:c r="D24" s="37">
        <x:f>_xlfn.IFNA(VLOOKUP(E24,Master_Section!$H:$I,2,FALSE),"")</x:f>
      </x:c>
      <x:c r="F24" s="26">
        <x:f>_xlfn.IFNA(VLOOKUP(G24,Master!AE:AF,2,FALSE),"")</x:f>
      </x:c>
      <x:c r="I24" s="24">
        <x:f>_xlfn.IFNA(VLOOKUP(D24,Master_Section!$I:$K,2,FALSE),"")</x:f>
      </x:c>
      <x:c r="J24" s="24">
        <x:f>_xlfn.IFNA(VLOOKUP(D24,Master_Section!$I:$K,3,FALSE),"")</x:f>
      </x:c>
      <x:c r="L24" s="94">
        <x:f>IF(A24&lt;&gt;"CFA",_xlfn.IFNA(VLOOKUP($G24,Master!$AE:$AI,5,0),""),"")</x:f>
      </x:c>
      <x:c r="P24" s="26">
        <x:f>IF(N24&lt;&gt;"",IF(MONTH(N24)&gt;=4,"FY1"&amp;RIGHT(YEAR(N24)+1,2),"FY1"&amp;RIGHT(YEAR(N24),2)),"")</x:f>
      </x:c>
      <x:c r="Q24" s="37">
        <x:f>IF(K24&gt;0&amp;M24&gt;0,K24*M24,"")</x:f>
      </x:c>
    </x:row>
    <x:row r="25" spans="1:18" customFormat="1" ht="15" customHeight="1">
      <x:c r="B25" s="37">
        <x:f>_xlfn.IFNA(VLOOKUP(C25,Master_Section!$H:$I,2,FALSE),"")</x:f>
      </x:c>
      <x:c r="D25" s="37">
        <x:f>_xlfn.IFNA(VLOOKUP(E25,Master_Section!$H:$I,2,FALSE),"")</x:f>
      </x:c>
      <x:c r="F25" s="26">
        <x:f>_xlfn.IFNA(VLOOKUP(G25,Master!AE:AF,2,FALSE),"")</x:f>
      </x:c>
      <x:c r="I25" s="24">
        <x:f>_xlfn.IFNA(VLOOKUP(D25,Master_Section!$I:$K,2,FALSE),"")</x:f>
      </x:c>
      <x:c r="J25" s="24">
        <x:f>_xlfn.IFNA(VLOOKUP(D25,Master_Section!$I:$K,3,FALSE),"")</x:f>
      </x:c>
      <x:c r="L25" s="94">
        <x:f>IF(A25&lt;&gt;"CFA",_xlfn.IFNA(VLOOKUP($G25,Master!$AE:$AI,5,0),""),"")</x:f>
      </x:c>
      <x:c r="P25" s="26">
        <x:f>IF(N25&lt;&gt;"",IF(MONTH(N25)&gt;=4,"FY1"&amp;RIGHT(YEAR(N25)+1,2),"FY1"&amp;RIGHT(YEAR(N25),2)),"")</x:f>
      </x:c>
      <x:c r="Q25" s="37">
        <x:f>IF(K25&gt;0&amp;M25&gt;0,K25*M25,"")</x:f>
      </x:c>
    </x:row>
    <x:row r="26" spans="1:18" customFormat="1" ht="15" customHeight="1">
      <x:c r="B26" s="37">
        <x:f>_xlfn.IFNA(VLOOKUP(C26,Master_Section!$H:$I,2,FALSE),"")</x:f>
      </x:c>
      <x:c r="D26" s="37">
        <x:f>_xlfn.IFNA(VLOOKUP(E26,Master_Section!$H:$I,2,FALSE),"")</x:f>
      </x:c>
      <x:c r="F26" s="26">
        <x:f>_xlfn.IFNA(VLOOKUP(G26,Master!AE:AF,2,FALSE),"")</x:f>
      </x:c>
      <x:c r="I26" s="24">
        <x:f>_xlfn.IFNA(VLOOKUP(D26,Master_Section!$I:$K,2,FALSE),"")</x:f>
      </x:c>
      <x:c r="J26" s="24">
        <x:f>_xlfn.IFNA(VLOOKUP(D26,Master_Section!$I:$K,3,FALSE),"")</x:f>
      </x:c>
      <x:c r="L26" s="94">
        <x:f>IF(A26&lt;&gt;"CFA",_xlfn.IFNA(VLOOKUP($G26,Master!$AE:$AI,5,0),""),"")</x:f>
      </x:c>
      <x:c r="P26" s="26">
        <x:f>IF(N26&lt;&gt;"",IF(MONTH(N26)&gt;=4,"FY1"&amp;RIGHT(YEAR(N26)+1,2),"FY1"&amp;RIGHT(YEAR(N26),2)),"")</x:f>
      </x:c>
      <x:c r="Q26" s="37">
        <x:f>IF(K26&gt;0&amp;M26&gt;0,K26*M26,"")</x:f>
      </x:c>
    </x:row>
    <x:row r="27" spans="1:18" customFormat="1" ht="15" customHeight="1">
      <x:c r="B27" s="37">
        <x:f>_xlfn.IFNA(VLOOKUP(C27,Master_Section!$H:$I,2,FALSE),"")</x:f>
      </x:c>
      <x:c r="D27" s="37">
        <x:f>_xlfn.IFNA(VLOOKUP(E27,Master_Section!$H:$I,2,FALSE),"")</x:f>
      </x:c>
      <x:c r="F27" s="26">
        <x:f>_xlfn.IFNA(VLOOKUP(G27,Master!AE:AF,2,FALSE),"")</x:f>
      </x:c>
      <x:c r="I27" s="24">
        <x:f>_xlfn.IFNA(VLOOKUP(D27,Master_Section!$I:$K,2,FALSE),"")</x:f>
      </x:c>
      <x:c r="J27" s="24">
        <x:f>_xlfn.IFNA(VLOOKUP(D27,Master_Section!$I:$K,3,FALSE),"")</x:f>
      </x:c>
      <x:c r="L27" s="94">
        <x:f>IF(A27&lt;&gt;"CFA",_xlfn.IFNA(VLOOKUP($G27,Master!$AE:$AI,5,0),""),"")</x:f>
      </x:c>
      <x:c r="P27" s="26">
        <x:f>IF(N27&lt;&gt;"",IF(MONTH(N27)&gt;=4,"FY1"&amp;RIGHT(YEAR(N27)+1,2),"FY1"&amp;RIGHT(YEAR(N27),2)),"")</x:f>
      </x:c>
      <x:c r="Q27" s="37">
        <x:f>IF(K27&gt;0&amp;M27&gt;0,K27*M27,"")</x:f>
      </x:c>
    </x:row>
    <x:row r="28" spans="1:18" customFormat="1" ht="15" customHeight="1">
      <x:c r="B28" s="37">
        <x:f>_xlfn.IFNA(VLOOKUP(C28,Master_Section!$H:$I,2,FALSE),"")</x:f>
      </x:c>
      <x:c r="D28" s="37">
        <x:f>_xlfn.IFNA(VLOOKUP(E28,Master_Section!$H:$I,2,FALSE),"")</x:f>
      </x:c>
      <x:c r="F28" s="26">
        <x:f>_xlfn.IFNA(VLOOKUP(G28,Master!AE:AF,2,FALSE),"")</x:f>
      </x:c>
      <x:c r="I28" s="24">
        <x:f>_xlfn.IFNA(VLOOKUP(D28,Master_Section!$I:$K,2,FALSE),"")</x:f>
      </x:c>
      <x:c r="J28" s="24">
        <x:f>_xlfn.IFNA(VLOOKUP(D28,Master_Section!$I:$K,3,FALSE),"")</x:f>
      </x:c>
      <x:c r="L28" s="94">
        <x:f>IF(A28&lt;&gt;"CFA",_xlfn.IFNA(VLOOKUP($G28,Master!$AE:$AI,5,0),""),"")</x:f>
      </x:c>
      <x:c r="P28" s="26">
        <x:f>IF(N28&lt;&gt;"",IF(MONTH(N28)&gt;=4,"FY1"&amp;RIGHT(YEAR(N28)+1,2),"FY1"&amp;RIGHT(YEAR(N28),2)),"")</x:f>
      </x:c>
      <x:c r="Q28" s="37">
        <x:f>IF(K28&gt;0&amp;M28&gt;0,K28*M28,"")</x:f>
      </x:c>
    </x:row>
    <x:row r="29" spans="1:18" customFormat="1" ht="15" customHeight="1">
      <x:c r="B29" s="37">
        <x:f>_xlfn.IFNA(VLOOKUP(C29,Master_Section!$H:$I,2,FALSE),"")</x:f>
      </x:c>
      <x:c r="D29" s="37">
        <x:f>_xlfn.IFNA(VLOOKUP(E29,Master_Section!$H:$I,2,FALSE),"")</x:f>
      </x:c>
      <x:c r="F29" s="26">
        <x:f>_xlfn.IFNA(VLOOKUP(G29,Master!AE:AF,2,FALSE),"")</x:f>
      </x:c>
      <x:c r="I29" s="24">
        <x:f>_xlfn.IFNA(VLOOKUP(D29,Master_Section!$I:$K,2,FALSE),"")</x:f>
      </x:c>
      <x:c r="J29" s="24">
        <x:f>_xlfn.IFNA(VLOOKUP(D29,Master_Section!$I:$K,3,FALSE),"")</x:f>
      </x:c>
      <x:c r="L29" s="94">
        <x:f>IF(A29&lt;&gt;"CFA",_xlfn.IFNA(VLOOKUP($G29,Master!$AE:$AI,5,0),""),"")</x:f>
      </x:c>
      <x:c r="P29" s="26">
        <x:f>IF(N29&lt;&gt;"",IF(MONTH(N29)&gt;=4,"FY1"&amp;RIGHT(YEAR(N29)+1,2),"FY1"&amp;RIGHT(YEAR(N29),2)),"")</x:f>
      </x:c>
      <x:c r="Q29" s="37">
        <x:f>IF(K29&gt;0&amp;M29&gt;0,K29*M29,"")</x:f>
      </x:c>
    </x:row>
    <x:row r="30" spans="1:18" customFormat="1" ht="15" customHeight="1">
      <x:c r="B30" s="37">
        <x:f>_xlfn.IFNA(VLOOKUP(C30,Master_Section!$H:$I,2,FALSE),"")</x:f>
      </x:c>
      <x:c r="D30" s="37">
        <x:f>_xlfn.IFNA(VLOOKUP(E30,Master_Section!$H:$I,2,FALSE),"")</x:f>
      </x:c>
      <x:c r="F30" s="26">
        <x:f>_xlfn.IFNA(VLOOKUP(G30,Master!AE:AF,2,FALSE),"")</x:f>
      </x:c>
      <x:c r="I30" s="24">
        <x:f>_xlfn.IFNA(VLOOKUP(D30,Master_Section!$I:$K,2,FALSE),"")</x:f>
      </x:c>
      <x:c r="J30" s="24">
        <x:f>_xlfn.IFNA(VLOOKUP(D30,Master_Section!$I:$K,3,FALSE),"")</x:f>
      </x:c>
      <x:c r="L30" s="94">
        <x:f>IF(A30&lt;&gt;"CFA",_xlfn.IFNA(VLOOKUP($G30,Master!$AE:$AI,5,0),""),"")</x:f>
      </x:c>
      <x:c r="P30" s="26">
        <x:f>IF(N30&lt;&gt;"",IF(MONTH(N30)&gt;=4,"FY1"&amp;RIGHT(YEAR(N30)+1,2),"FY1"&amp;RIGHT(YEAR(N30),2)),"")</x:f>
      </x:c>
      <x:c r="Q30" s="37">
        <x:f>IF(K30&gt;0&amp;M30&gt;0,K30*M30,"")</x:f>
      </x:c>
    </x:row>
    <x:row r="31" spans="1:18" customFormat="1" ht="15" customHeight="1">
      <x:c r="B31" s="37">
        <x:f>_xlfn.IFNA(VLOOKUP(C31,Master_Section!$H:$I,2,FALSE),"")</x:f>
      </x:c>
      <x:c r="D31" s="37">
        <x:f>_xlfn.IFNA(VLOOKUP(E31,Master_Section!$H:$I,2,FALSE),"")</x:f>
      </x:c>
      <x:c r="F31" s="26">
        <x:f>_xlfn.IFNA(VLOOKUP(G31,Master!AE:AF,2,FALSE),"")</x:f>
      </x:c>
      <x:c r="I31" s="24">
        <x:f>_xlfn.IFNA(VLOOKUP(D31,Master_Section!$I:$K,2,FALSE),"")</x:f>
      </x:c>
      <x:c r="J31" s="24">
        <x:f>_xlfn.IFNA(VLOOKUP(D31,Master_Section!$I:$K,3,FALSE),"")</x:f>
      </x:c>
      <x:c r="L31" s="94">
        <x:f>IF(A31&lt;&gt;"CFA",_xlfn.IFNA(VLOOKUP($G31,Master!$AE:$AI,5,0),""),"")</x:f>
      </x:c>
      <x:c r="P31" s="26">
        <x:f>IF(N31&lt;&gt;"",IF(MONTH(N31)&gt;=4,"FY1"&amp;RIGHT(YEAR(N31)+1,2),"FY1"&amp;RIGHT(YEAR(N31),2)),"")</x:f>
      </x:c>
      <x:c r="Q31" s="37">
        <x:f>IF(K31&gt;0&amp;M31&gt;0,K31*M31,"")</x:f>
      </x:c>
    </x:row>
    <x:row r="32" spans="1:18" customFormat="1" ht="15" customHeight="1">
      <x:c r="B32" s="37">
        <x:f>_xlfn.IFNA(VLOOKUP(C32,Master_Section!$H:$I,2,FALSE),"")</x:f>
      </x:c>
      <x:c r="D32" s="37">
        <x:f>_xlfn.IFNA(VLOOKUP(E32,Master_Section!$H:$I,2,FALSE),"")</x:f>
      </x:c>
      <x:c r="F32" s="26">
        <x:f>_xlfn.IFNA(VLOOKUP(G32,Master!AE:AF,2,FALSE),"")</x:f>
      </x:c>
      <x:c r="I32" s="24">
        <x:f>_xlfn.IFNA(VLOOKUP(D32,Master_Section!$I:$K,2,FALSE),"")</x:f>
      </x:c>
      <x:c r="J32" s="24">
        <x:f>_xlfn.IFNA(VLOOKUP(D32,Master_Section!$I:$K,3,FALSE),"")</x:f>
      </x:c>
      <x:c r="L32" s="94">
        <x:f>IF(A32&lt;&gt;"CFA",_xlfn.IFNA(VLOOKUP($G32,Master!$AE:$AI,5,0),""),"")</x:f>
      </x:c>
      <x:c r="P32" s="26">
        <x:f>IF(N32&lt;&gt;"",IF(MONTH(N32)&gt;=4,"FY1"&amp;RIGHT(YEAR(N32)+1,2),"FY1"&amp;RIGHT(YEAR(N32),2)),"")</x:f>
      </x:c>
      <x:c r="Q32" s="37">
        <x:f>IF(K32&gt;0&amp;M32&gt;0,K32*M32,"")</x:f>
      </x:c>
    </x:row>
    <x:row r="33" spans="1:18" customFormat="1" ht="15" customHeight="1">
      <x:c r="B33" s="37">
        <x:f>_xlfn.IFNA(VLOOKUP(C33,Master_Section!$H:$I,2,FALSE),"")</x:f>
      </x:c>
      <x:c r="D33" s="37">
        <x:f>_xlfn.IFNA(VLOOKUP(E33,Master_Section!$H:$I,2,FALSE),"")</x:f>
      </x:c>
      <x:c r="F33" s="26">
        <x:f>_xlfn.IFNA(VLOOKUP(G33,Master!AE:AF,2,FALSE),"")</x:f>
      </x:c>
      <x:c r="I33" s="24">
        <x:f>_xlfn.IFNA(VLOOKUP(D33,Master_Section!$I:$K,2,FALSE),"")</x:f>
      </x:c>
      <x:c r="J33" s="24">
        <x:f>_xlfn.IFNA(VLOOKUP(D33,Master_Section!$I:$K,3,FALSE),"")</x:f>
      </x:c>
      <x:c r="L33" s="94">
        <x:f>IF(A33&lt;&gt;"CFA",_xlfn.IFNA(VLOOKUP($G33,Master!$AE:$AI,5,0),""),"")</x:f>
      </x:c>
      <x:c r="P33" s="26">
        <x:f>IF(N33&lt;&gt;"",IF(MONTH(N33)&gt;=4,"FY1"&amp;RIGHT(YEAR(N33)+1,2),"FY1"&amp;RIGHT(YEAR(N33),2)),"")</x:f>
      </x:c>
      <x:c r="Q33" s="37">
        <x:f>IF(K33&gt;0&amp;M33&gt;0,K33*M33,"")</x:f>
      </x:c>
    </x:row>
    <x:row r="34" spans="1:18" customFormat="1" ht="15" customHeight="1">
      <x:c r="B34" s="37">
        <x:f>_xlfn.IFNA(VLOOKUP(C34,Master_Section!$H:$I,2,FALSE),"")</x:f>
      </x:c>
      <x:c r="D34" s="37">
        <x:f>_xlfn.IFNA(VLOOKUP(E34,Master_Section!$H:$I,2,FALSE),"")</x:f>
      </x:c>
      <x:c r="F34" s="26">
        <x:f>_xlfn.IFNA(VLOOKUP(G34,Master!AE:AF,2,FALSE),"")</x:f>
      </x:c>
      <x:c r="I34" s="24">
        <x:f>_xlfn.IFNA(VLOOKUP(D34,Master_Section!$I:$K,2,FALSE),"")</x:f>
      </x:c>
      <x:c r="J34" s="24">
        <x:f>_xlfn.IFNA(VLOOKUP(D34,Master_Section!$I:$K,3,FALSE),"")</x:f>
      </x:c>
      <x:c r="L34" s="94">
        <x:f>IF(A34&lt;&gt;"CFA",_xlfn.IFNA(VLOOKUP($G34,Master!$AE:$AI,5,0),""),"")</x:f>
      </x:c>
      <x:c r="P34" s="26">
        <x:f>IF(N34&lt;&gt;"",IF(MONTH(N34)&gt;=4,"FY1"&amp;RIGHT(YEAR(N34)+1,2),"FY1"&amp;RIGHT(YEAR(N34),2)),"")</x:f>
      </x:c>
      <x:c r="Q34" s="37">
        <x:f>IF(K34&gt;0&amp;M34&gt;0,K34*M34,"")</x:f>
      </x:c>
    </x:row>
    <x:row r="35" spans="1:18" customFormat="1" ht="15" customHeight="1">
      <x:c r="B35" s="37">
        <x:f>_xlfn.IFNA(VLOOKUP(C35,Master_Section!$H:$I,2,FALSE),"")</x:f>
      </x:c>
      <x:c r="D35" s="37">
        <x:f>_xlfn.IFNA(VLOOKUP(E35,Master_Section!$H:$I,2,FALSE),"")</x:f>
      </x:c>
      <x:c r="F35" s="26">
        <x:f>_xlfn.IFNA(VLOOKUP(G35,Master!AE:AF,2,FALSE),"")</x:f>
      </x:c>
      <x:c r="I35" s="24">
        <x:f>_xlfn.IFNA(VLOOKUP(D35,Master_Section!$I:$K,2,FALSE),"")</x:f>
      </x:c>
      <x:c r="J35" s="24">
        <x:f>_xlfn.IFNA(VLOOKUP(D35,Master_Section!$I:$K,3,FALSE),"")</x:f>
      </x:c>
      <x:c r="L35" s="94">
        <x:f>IF(A35&lt;&gt;"CFA",_xlfn.IFNA(VLOOKUP($G35,Master!$AE:$AI,5,0),""),"")</x:f>
      </x:c>
      <x:c r="P35" s="26">
        <x:f>IF(N35&lt;&gt;"",IF(MONTH(N35)&gt;=4,"FY1"&amp;RIGHT(YEAR(N35)+1,2),"FY1"&amp;RIGHT(YEAR(N35),2)),"")</x:f>
      </x:c>
      <x:c r="Q35" s="37">
        <x:f>IF(K35&gt;0&amp;M35&gt;0,K35*M35,"")</x:f>
      </x:c>
    </x:row>
    <x:row r="36" spans="1:18" customFormat="1" ht="15" customHeight="1">
      <x:c r="B36" s="37">
        <x:f>_xlfn.IFNA(VLOOKUP(C36,Master_Section!$H:$I,2,FALSE),"")</x:f>
      </x:c>
      <x:c r="D36" s="37">
        <x:f>_xlfn.IFNA(VLOOKUP(E36,Master_Section!$H:$I,2,FALSE),"")</x:f>
      </x:c>
      <x:c r="F36" s="26">
        <x:f>_xlfn.IFNA(VLOOKUP(G36,Master!AE:AF,2,FALSE),"")</x:f>
      </x:c>
      <x:c r="I36" s="24">
        <x:f>_xlfn.IFNA(VLOOKUP(D36,Master_Section!$I:$K,2,FALSE),"")</x:f>
      </x:c>
      <x:c r="J36" s="24">
        <x:f>_xlfn.IFNA(VLOOKUP(D36,Master_Section!$I:$K,3,FALSE),"")</x:f>
      </x:c>
      <x:c r="L36" s="94">
        <x:f>IF(A36&lt;&gt;"CFA",_xlfn.IFNA(VLOOKUP($G36,Master!$AE:$AI,5,0),""),"")</x:f>
      </x:c>
      <x:c r="P36" s="26">
        <x:f>IF(N36&lt;&gt;"",IF(MONTH(N36)&gt;=4,"FY1"&amp;RIGHT(YEAR(N36)+1,2),"FY1"&amp;RIGHT(YEAR(N36),2)),"")</x:f>
      </x:c>
      <x:c r="Q36" s="37">
        <x:f>IF(K36&gt;0&amp;M36&gt;0,K36*M36,"")</x:f>
      </x:c>
    </x:row>
    <x:row r="37" spans="1:18" customFormat="1" ht="15" customHeight="1">
      <x:c r="B37" s="37">
        <x:f>_xlfn.IFNA(VLOOKUP(C37,Master_Section!$H:$I,2,FALSE),"")</x:f>
      </x:c>
      <x:c r="D37" s="37">
        <x:f>_xlfn.IFNA(VLOOKUP(E37,Master_Section!$H:$I,2,FALSE),"")</x:f>
      </x:c>
      <x:c r="F37" s="26">
        <x:f>_xlfn.IFNA(VLOOKUP(G37,Master!AE:AF,2,FALSE),"")</x:f>
      </x:c>
      <x:c r="I37" s="24">
        <x:f>_xlfn.IFNA(VLOOKUP(D37,Master_Section!$I:$K,2,FALSE),"")</x:f>
      </x:c>
      <x:c r="J37" s="24">
        <x:f>_xlfn.IFNA(VLOOKUP(D37,Master_Section!$I:$K,3,FALSE),"")</x:f>
      </x:c>
      <x:c r="L37" s="94">
        <x:f>IF(A37&lt;&gt;"CFA",_xlfn.IFNA(VLOOKUP($G37,Master!$AE:$AI,5,0),""),"")</x:f>
      </x:c>
      <x:c r="P37" s="26">
        <x:f>IF(N37&lt;&gt;"",IF(MONTH(N37)&gt;=4,"FY1"&amp;RIGHT(YEAR(N37)+1,2),"FY1"&amp;RIGHT(YEAR(N37),2)),"")</x:f>
      </x:c>
      <x:c r="Q37" s="37">
        <x:f>IF(K37&gt;0&amp;M37&gt;0,K37*M37,"")</x:f>
      </x:c>
    </x:row>
    <x:row r="38" spans="1:18" customFormat="1" ht="15" customHeight="1">
      <x:c r="B38" s="37">
        <x:f>_xlfn.IFNA(VLOOKUP(C38,Master_Section!$H:$I,2,FALSE),"")</x:f>
      </x:c>
      <x:c r="D38" s="37">
        <x:f>_xlfn.IFNA(VLOOKUP(E38,Master_Section!$H:$I,2,FALSE),"")</x:f>
      </x:c>
      <x:c r="F38" s="26">
        <x:f>_xlfn.IFNA(VLOOKUP(G38,Master!AE:AF,2,FALSE),"")</x:f>
      </x:c>
      <x:c r="I38" s="24">
        <x:f>_xlfn.IFNA(VLOOKUP(D38,Master_Section!$I:$K,2,FALSE),"")</x:f>
      </x:c>
      <x:c r="J38" s="24">
        <x:f>_xlfn.IFNA(VLOOKUP(D38,Master_Section!$I:$K,3,FALSE),"")</x:f>
      </x:c>
      <x:c r="L38" s="94">
        <x:f>IF(A38&lt;&gt;"CFA",_xlfn.IFNA(VLOOKUP($G38,Master!$AE:$AI,5,0),""),"")</x:f>
      </x:c>
      <x:c r="P38" s="26">
        <x:f>IF(N38&lt;&gt;"",IF(MONTH(N38)&gt;=4,"FY1"&amp;RIGHT(YEAR(N38)+1,2),"FY1"&amp;RIGHT(YEAR(N38),2)),"")</x:f>
      </x:c>
      <x:c r="Q38" s="37">
        <x:f>IF(K38&gt;0&amp;M38&gt;0,K38*M38,"")</x:f>
      </x:c>
    </x:row>
    <x:row r="39" spans="1:18" customFormat="1" ht="15" customHeight="1">
      <x:c r="B39" s="37">
        <x:f>_xlfn.IFNA(VLOOKUP(C39,Master_Section!$H:$I,2,FALSE),"")</x:f>
      </x:c>
      <x:c r="D39" s="37">
        <x:f>_xlfn.IFNA(VLOOKUP(E39,Master_Section!$H:$I,2,FALSE),"")</x:f>
      </x:c>
      <x:c r="F39" s="26">
        <x:f>_xlfn.IFNA(VLOOKUP(G39,Master!AE:AF,2,FALSE),"")</x:f>
      </x:c>
      <x:c r="I39" s="24">
        <x:f>_xlfn.IFNA(VLOOKUP(D39,Master_Section!$I:$K,2,FALSE),"")</x:f>
      </x:c>
      <x:c r="J39" s="24">
        <x:f>_xlfn.IFNA(VLOOKUP(D39,Master_Section!$I:$K,3,FALSE),"")</x:f>
      </x:c>
      <x:c r="L39" s="94">
        <x:f>IF(A39&lt;&gt;"CFA",_xlfn.IFNA(VLOOKUP($G39,Master!$AE:$AI,5,0),""),"")</x:f>
      </x:c>
      <x:c r="P39" s="26">
        <x:f>IF(N39&lt;&gt;"",IF(MONTH(N39)&gt;=4,"FY1"&amp;RIGHT(YEAR(N39)+1,2),"FY1"&amp;RIGHT(YEAR(N39),2)),"")</x:f>
      </x:c>
      <x:c r="Q39" s="37">
        <x:f>IF(K39&gt;0&amp;M39&gt;0,K39*M39,"")</x:f>
      </x:c>
    </x:row>
    <x:row r="40" spans="1:18" customFormat="1" ht="15" customHeight="1">
      <x:c r="B40" s="37">
        <x:f>_xlfn.IFNA(VLOOKUP(C40,Master_Section!$H:$I,2,FALSE),"")</x:f>
      </x:c>
      <x:c r="D40" s="37">
        <x:f>_xlfn.IFNA(VLOOKUP(E40,Master_Section!$H:$I,2,FALSE),"")</x:f>
      </x:c>
      <x:c r="F40" s="26">
        <x:f>_xlfn.IFNA(VLOOKUP(G40,Master!AE:AF,2,FALSE),"")</x:f>
      </x:c>
      <x:c r="I40" s="24">
        <x:f>_xlfn.IFNA(VLOOKUP(D40,Master_Section!$I:$K,2,FALSE),"")</x:f>
      </x:c>
      <x:c r="J40" s="24">
        <x:f>_xlfn.IFNA(VLOOKUP(D40,Master_Section!$I:$K,3,FALSE),"")</x:f>
      </x:c>
      <x:c r="L40" s="94">
        <x:f>IF(A40&lt;&gt;"CFA",_xlfn.IFNA(VLOOKUP($G40,Master!$AE:$AI,5,0),""),"")</x:f>
      </x:c>
      <x:c r="P40" s="26">
        <x:f>IF(N40&lt;&gt;"",IF(MONTH(N40)&gt;=4,"FY1"&amp;RIGHT(YEAR(N40)+1,2),"FY1"&amp;RIGHT(YEAR(N40),2)),"")</x:f>
      </x:c>
      <x:c r="Q40" s="37">
        <x:f>IF(K40&gt;0&amp;M40&gt;0,K40*M40,"")</x:f>
      </x:c>
    </x:row>
    <x:row r="41" spans="1:18" customFormat="1" ht="15" customHeight="1">
      <x:c r="B41" s="37">
        <x:f>_xlfn.IFNA(VLOOKUP(C41,Master_Section!$H:$I,2,FALSE),"")</x:f>
      </x:c>
      <x:c r="D41" s="37">
        <x:f>_xlfn.IFNA(VLOOKUP(E41,Master_Section!$H:$I,2,FALSE),"")</x:f>
      </x:c>
      <x:c r="F41" s="26">
        <x:f>_xlfn.IFNA(VLOOKUP(G41,Master!AE:AF,2,FALSE),"")</x:f>
      </x:c>
      <x:c r="I41" s="24">
        <x:f>_xlfn.IFNA(VLOOKUP(D41,Master_Section!$I:$K,2,FALSE),"")</x:f>
      </x:c>
      <x:c r="J41" s="24">
        <x:f>_xlfn.IFNA(VLOOKUP(D41,Master_Section!$I:$K,3,FALSE),"")</x:f>
      </x:c>
      <x:c r="L41" s="94">
        <x:f>IF(A41&lt;&gt;"CFA",_xlfn.IFNA(VLOOKUP($G41,Master!$AE:$AI,5,0),""),"")</x:f>
      </x:c>
      <x:c r="P41" s="26">
        <x:f>IF(N41&lt;&gt;"",IF(MONTH(N41)&gt;=4,"FY1"&amp;RIGHT(YEAR(N41)+1,2),"FY1"&amp;RIGHT(YEAR(N41),2)),"")</x:f>
      </x:c>
      <x:c r="Q41" s="37">
        <x:f>IF(K41&gt;0&amp;M41&gt;0,K41*M41,"")</x:f>
      </x:c>
    </x:row>
    <x:row r="42" spans="1:18" customFormat="1" ht="15" customHeight="1">
      <x:c r="B42" s="37">
        <x:f>_xlfn.IFNA(VLOOKUP(C42,Master_Section!$H:$I,2,FALSE),"")</x:f>
      </x:c>
      <x:c r="D42" s="37">
        <x:f>_xlfn.IFNA(VLOOKUP(E42,Master_Section!$H:$I,2,FALSE),"")</x:f>
      </x:c>
      <x:c r="F42" s="26">
        <x:f>_xlfn.IFNA(VLOOKUP(G42,Master!AE:AF,2,FALSE),"")</x:f>
      </x:c>
      <x:c r="I42" s="24">
        <x:f>_xlfn.IFNA(VLOOKUP(D42,Master_Section!$I:$K,2,FALSE),"")</x:f>
      </x:c>
      <x:c r="J42" s="24">
        <x:f>_xlfn.IFNA(VLOOKUP(D42,Master_Section!$I:$K,3,FALSE),"")</x:f>
      </x:c>
      <x:c r="L42" s="94">
        <x:f>IF(A42&lt;&gt;"CFA",_xlfn.IFNA(VLOOKUP($G42,Master!$AE:$AI,5,0),""),"")</x:f>
      </x:c>
      <x:c r="P42" s="26">
        <x:f>IF(N42&lt;&gt;"",IF(MONTH(N42)&gt;=4,"FY1"&amp;RIGHT(YEAR(N42)+1,2),"FY1"&amp;RIGHT(YEAR(N42),2)),"")</x:f>
      </x:c>
      <x:c r="Q42" s="37">
        <x:f>IF(K42&gt;0&amp;M42&gt;0,K42*M42,"")</x:f>
      </x:c>
    </x:row>
    <x:row r="43" spans="1:18" customFormat="1" ht="15" customHeight="1">
      <x:c r="B43" s="37">
        <x:f>_xlfn.IFNA(VLOOKUP(C43,Master_Section!$H:$I,2,FALSE),"")</x:f>
      </x:c>
      <x:c r="D43" s="37">
        <x:f>_xlfn.IFNA(VLOOKUP(E43,Master_Section!$H:$I,2,FALSE),"")</x:f>
      </x:c>
      <x:c r="F43" s="26">
        <x:f>_xlfn.IFNA(VLOOKUP(G43,Master!AE:AF,2,FALSE),"")</x:f>
      </x:c>
      <x:c r="I43" s="24">
        <x:f>_xlfn.IFNA(VLOOKUP(D43,Master_Section!$I:$K,2,FALSE),"")</x:f>
      </x:c>
      <x:c r="J43" s="24">
        <x:f>_xlfn.IFNA(VLOOKUP(D43,Master_Section!$I:$K,3,FALSE),"")</x:f>
      </x:c>
      <x:c r="L43" s="94">
        <x:f>IF(A43&lt;&gt;"CFA",_xlfn.IFNA(VLOOKUP($G43,Master!$AE:$AI,5,0),""),"")</x:f>
      </x:c>
      <x:c r="P43" s="26">
        <x:f>IF(N43&lt;&gt;"",IF(MONTH(N43)&gt;=4,"FY1"&amp;RIGHT(YEAR(N43)+1,2),"FY1"&amp;RIGHT(YEAR(N43),2)),"")</x:f>
      </x:c>
      <x:c r="Q43" s="37">
        <x:f>IF(K43&gt;0&amp;M43&gt;0,K43*M43,"")</x:f>
      </x:c>
    </x:row>
    <x:row r="44" spans="1:18" customFormat="1" ht="15" customHeight="1">
      <x:c r="B44" s="37">
        <x:f>_xlfn.IFNA(VLOOKUP(C44,Master_Section!$H:$I,2,FALSE),"")</x:f>
      </x:c>
      <x:c r="D44" s="37">
        <x:f>_xlfn.IFNA(VLOOKUP(E44,Master_Section!$H:$I,2,FALSE),"")</x:f>
      </x:c>
      <x:c r="F44" s="26">
        <x:f>_xlfn.IFNA(VLOOKUP(G44,Master!AE:AF,2,FALSE),"")</x:f>
      </x:c>
      <x:c r="I44" s="24">
        <x:f>_xlfn.IFNA(VLOOKUP(D44,Master_Section!$I:$K,2,FALSE),"")</x:f>
      </x:c>
      <x:c r="J44" s="24">
        <x:f>_xlfn.IFNA(VLOOKUP(D44,Master_Section!$I:$K,3,FALSE),"")</x:f>
      </x:c>
      <x:c r="L44" s="94">
        <x:f>IF(A44&lt;&gt;"CFA",_xlfn.IFNA(VLOOKUP($G44,Master!$AE:$AI,5,0),""),"")</x:f>
      </x:c>
      <x:c r="P44" s="26">
        <x:f>IF(N44&lt;&gt;"",IF(MONTH(N44)&gt;=4,"FY1"&amp;RIGHT(YEAR(N44)+1,2),"FY1"&amp;RIGHT(YEAR(N44),2)),"")</x:f>
      </x:c>
      <x:c r="Q44" s="37">
        <x:f>IF(K44&gt;0&amp;M44&gt;0,K44*M44,"")</x:f>
      </x:c>
    </x:row>
    <x:row r="45" spans="1:18" customFormat="1" ht="15" customHeight="1">
      <x:c r="B45" s="37">
        <x:f>_xlfn.IFNA(VLOOKUP(C45,Master_Section!$H:$I,2,FALSE),"")</x:f>
      </x:c>
      <x:c r="D45" s="37">
        <x:f>_xlfn.IFNA(VLOOKUP(E45,Master_Section!$H:$I,2,FALSE),"")</x:f>
      </x:c>
      <x:c r="F45" s="26">
        <x:f>_xlfn.IFNA(VLOOKUP(G45,Master!AE:AF,2,FALSE),"")</x:f>
      </x:c>
      <x:c r="I45" s="24">
        <x:f>_xlfn.IFNA(VLOOKUP(D45,Master_Section!$I:$K,2,FALSE),"")</x:f>
      </x:c>
      <x:c r="J45" s="24">
        <x:f>_xlfn.IFNA(VLOOKUP(D45,Master_Section!$I:$K,3,FALSE),"")</x:f>
      </x:c>
      <x:c r="L45" s="94">
        <x:f>IF(A45&lt;&gt;"CFA",_xlfn.IFNA(VLOOKUP($G45,Master!$AE:$AI,5,0),""),"")</x:f>
      </x:c>
      <x:c r="P45" s="26">
        <x:f>IF(N45&lt;&gt;"",IF(MONTH(N45)&gt;=4,"FY1"&amp;RIGHT(YEAR(N45)+1,2),"FY1"&amp;RIGHT(YEAR(N45),2)),"")</x:f>
      </x:c>
      <x:c r="Q45" s="37">
        <x:f>IF(K45&gt;0&amp;M45&gt;0,K45*M45,"")</x:f>
      </x:c>
    </x:row>
    <x:row r="46" spans="1:18" customFormat="1" ht="15" customHeight="1">
      <x:c r="B46" s="37">
        <x:f>_xlfn.IFNA(VLOOKUP(C46,Master_Section!$H:$I,2,FALSE),"")</x:f>
      </x:c>
      <x:c r="D46" s="37">
        <x:f>_xlfn.IFNA(VLOOKUP(E46,Master_Section!$H:$I,2,FALSE),"")</x:f>
      </x:c>
      <x:c r="F46" s="26">
        <x:f>_xlfn.IFNA(VLOOKUP(G46,Master!AE:AF,2,FALSE),"")</x:f>
      </x:c>
      <x:c r="I46" s="24">
        <x:f>_xlfn.IFNA(VLOOKUP(D46,Master_Section!$I:$K,2,FALSE),"")</x:f>
      </x:c>
      <x:c r="J46" s="24">
        <x:f>_xlfn.IFNA(VLOOKUP(D46,Master_Section!$I:$K,3,FALSE),"")</x:f>
      </x:c>
      <x:c r="L46" s="94">
        <x:f>IF(A46&lt;&gt;"CFA",_xlfn.IFNA(VLOOKUP($G46,Master!$AE:$AI,5,0),""),"")</x:f>
      </x:c>
      <x:c r="P46" s="26">
        <x:f>IF(N46&lt;&gt;"",IF(MONTH(N46)&gt;=4,"FY1"&amp;RIGHT(YEAR(N46)+1,2),"FY1"&amp;RIGHT(YEAR(N46),2)),"")</x:f>
      </x:c>
      <x:c r="Q46" s="37">
        <x:f>IF(K46&gt;0&amp;M46&gt;0,K46*M46,"")</x:f>
      </x:c>
    </x:row>
    <x:row r="47" spans="1:18" customFormat="1" ht="15" customHeight="1">
      <x:c r="B47" s="37">
        <x:f>_xlfn.IFNA(VLOOKUP(C47,Master_Section!$H:$I,2,FALSE),"")</x:f>
      </x:c>
      <x:c r="D47" s="37">
        <x:f>_xlfn.IFNA(VLOOKUP(E47,Master_Section!$H:$I,2,FALSE),"")</x:f>
      </x:c>
      <x:c r="F47" s="26">
        <x:f>_xlfn.IFNA(VLOOKUP(G47,Master!AE:AF,2,FALSE),"")</x:f>
      </x:c>
      <x:c r="I47" s="24">
        <x:f>_xlfn.IFNA(VLOOKUP(D47,Master_Section!$I:$K,2,FALSE),"")</x:f>
      </x:c>
      <x:c r="J47" s="24">
        <x:f>_xlfn.IFNA(VLOOKUP(D47,Master_Section!$I:$K,3,FALSE),"")</x:f>
      </x:c>
      <x:c r="L47" s="94">
        <x:f>IF(A47&lt;&gt;"CFA",_xlfn.IFNA(VLOOKUP($G47,Master!$AE:$AI,5,0),""),"")</x:f>
      </x:c>
      <x:c r="P47" s="26">
        <x:f>IF(N47&lt;&gt;"",IF(MONTH(N47)&gt;=4,"FY1"&amp;RIGHT(YEAR(N47)+1,2),"FY1"&amp;RIGHT(YEAR(N47),2)),"")</x:f>
      </x:c>
      <x:c r="Q47" s="37">
        <x:f>IF(K47&gt;0&amp;M47&gt;0,K47*M47,"")</x:f>
      </x:c>
    </x:row>
    <x:row r="48" spans="1:18" customFormat="1" ht="15" customHeight="1">
      <x:c r="B48" s="37">
        <x:f>_xlfn.IFNA(VLOOKUP(C48,Master_Section!$H:$I,2,FALSE),"")</x:f>
      </x:c>
      <x:c r="D48" s="37">
        <x:f>_xlfn.IFNA(VLOOKUP(E48,Master_Section!$H:$I,2,FALSE),"")</x:f>
      </x:c>
      <x:c r="F48" s="26">
        <x:f>_xlfn.IFNA(VLOOKUP(G48,Master!AE:AF,2,FALSE),"")</x:f>
      </x:c>
      <x:c r="I48" s="24">
        <x:f>_xlfn.IFNA(VLOOKUP(D48,Master_Section!$I:$K,2,FALSE),"")</x:f>
      </x:c>
      <x:c r="J48" s="24">
        <x:f>_xlfn.IFNA(VLOOKUP(D48,Master_Section!$I:$K,3,FALSE),"")</x:f>
      </x:c>
      <x:c r="L48" s="94">
        <x:f>IF(A48&lt;&gt;"CFA",_xlfn.IFNA(VLOOKUP($G48,Master!$AE:$AI,5,0),""),"")</x:f>
      </x:c>
      <x:c r="P48" s="26">
        <x:f>IF(N48&lt;&gt;"",IF(MONTH(N48)&gt;=4,"FY1"&amp;RIGHT(YEAR(N48)+1,2),"FY1"&amp;RIGHT(YEAR(N48),2)),"")</x:f>
      </x:c>
      <x:c r="Q48" s="37">
        <x:f>IF(K48&gt;0&amp;M48&gt;0,K48*M48,"")</x:f>
      </x:c>
    </x:row>
    <x:row r="49" spans="1:18" customFormat="1" ht="15" customHeight="1">
      <x:c r="B49" s="37">
        <x:f>_xlfn.IFNA(VLOOKUP(C49,Master_Section!$H:$I,2,FALSE),"")</x:f>
      </x:c>
      <x:c r="D49" s="37">
        <x:f>_xlfn.IFNA(VLOOKUP(E49,Master_Section!$H:$I,2,FALSE),"")</x:f>
      </x:c>
      <x:c r="F49" s="26">
        <x:f>_xlfn.IFNA(VLOOKUP(G49,Master!AE:AF,2,FALSE),"")</x:f>
      </x:c>
      <x:c r="I49" s="24">
        <x:f>_xlfn.IFNA(VLOOKUP(D49,Master_Section!$I:$K,2,FALSE),"")</x:f>
      </x:c>
      <x:c r="J49" s="24">
        <x:f>_xlfn.IFNA(VLOOKUP(D49,Master_Section!$I:$K,3,FALSE),"")</x:f>
      </x:c>
      <x:c r="L49" s="94">
        <x:f>IF(A49&lt;&gt;"CFA",_xlfn.IFNA(VLOOKUP($G49,Master!$AE:$AI,5,0),""),"")</x:f>
      </x:c>
      <x:c r="P49" s="26">
        <x:f>IF(N49&lt;&gt;"",IF(MONTH(N49)&gt;=4,"FY1"&amp;RIGHT(YEAR(N49)+1,2),"FY1"&amp;RIGHT(YEAR(N49),2)),"")</x:f>
      </x:c>
      <x:c r="Q49" s="37">
        <x:f>IF(K49&gt;0&amp;M49&gt;0,K49*M49,"")</x:f>
      </x:c>
    </x:row>
    <x:row r="50" spans="1:18" customFormat="1" ht="15" customHeight="1">
      <x:c r="B50" s="37">
        <x:f>_xlfn.IFNA(VLOOKUP(C50,Master_Section!$H:$I,2,FALSE),"")</x:f>
      </x:c>
      <x:c r="D50" s="37">
        <x:f>_xlfn.IFNA(VLOOKUP(E50,Master_Section!$H:$I,2,FALSE),"")</x:f>
      </x:c>
      <x:c r="F50" s="26">
        <x:f>_xlfn.IFNA(VLOOKUP(G50,Master!AE:AF,2,FALSE),"")</x:f>
      </x:c>
      <x:c r="I50" s="24">
        <x:f>_xlfn.IFNA(VLOOKUP(D50,Master_Section!$I:$K,2,FALSE),"")</x:f>
      </x:c>
      <x:c r="J50" s="24">
        <x:f>_xlfn.IFNA(VLOOKUP(D50,Master_Section!$I:$K,3,FALSE),"")</x:f>
      </x:c>
      <x:c r="L50" s="94">
        <x:f>IF(A50&lt;&gt;"CFA",_xlfn.IFNA(VLOOKUP($G50,Master!$AE:$AI,5,0),""),"")</x:f>
      </x:c>
      <x:c r="P50" s="26">
        <x:f>IF(N50&lt;&gt;"",IF(MONTH(N50)&gt;=4,"FY1"&amp;RIGHT(YEAR(N50)+1,2),"FY1"&amp;RIGHT(YEAR(N50),2)),"")</x:f>
      </x:c>
      <x:c r="Q50" s="37">
        <x:f>IF(K50&gt;0&amp;M50&gt;0,K50*M50,"")</x:f>
      </x:c>
    </x:row>
    <x:row r="51" spans="1:18" customFormat="1" ht="15" customHeight="1">
      <x:c r="B51" s="37">
        <x:f>_xlfn.IFNA(VLOOKUP(C51,Master_Section!$H:$I,2,FALSE),"")</x:f>
      </x:c>
      <x:c r="D51" s="37">
        <x:f>_xlfn.IFNA(VLOOKUP(E51,Master_Section!$H:$I,2,FALSE),"")</x:f>
      </x:c>
      <x:c r="F51" s="26">
        <x:f>_xlfn.IFNA(VLOOKUP(G51,Master!AE:AF,2,FALSE),"")</x:f>
      </x:c>
      <x:c r="I51" s="24">
        <x:f>_xlfn.IFNA(VLOOKUP(D51,Master_Section!$I:$K,2,FALSE),"")</x:f>
      </x:c>
      <x:c r="J51" s="24">
        <x:f>_xlfn.IFNA(VLOOKUP(D51,Master_Section!$I:$K,3,FALSE),"")</x:f>
      </x:c>
      <x:c r="L51" s="94">
        <x:f>IF(A51&lt;&gt;"CFA",_xlfn.IFNA(VLOOKUP($G51,Master!$AE:$AI,5,0),""),"")</x:f>
      </x:c>
      <x:c r="P51" s="26">
        <x:f>IF(N51&lt;&gt;"",IF(MONTH(N51)&gt;=4,"FY1"&amp;RIGHT(YEAR(N51)+1,2),"FY1"&amp;RIGHT(YEAR(N51),2)),"")</x:f>
      </x:c>
      <x:c r="Q51" s="37">
        <x:f>IF(K51&gt;0&amp;M51&gt;0,K51*M51,"")</x:f>
      </x:c>
    </x:row>
    <x:row r="52" spans="1:18" customFormat="1" ht="15" customHeight="1">
      <x:c r="B52" s="37">
        <x:f>_xlfn.IFNA(VLOOKUP(C52,Master_Section!$H:$I,2,FALSE),"")</x:f>
      </x:c>
      <x:c r="D52" s="37">
        <x:f>_xlfn.IFNA(VLOOKUP(E52,Master_Section!$H:$I,2,FALSE),"")</x:f>
      </x:c>
      <x:c r="F52" s="26">
        <x:f>_xlfn.IFNA(VLOOKUP(G52,Master!AE:AF,2,FALSE),"")</x:f>
      </x:c>
      <x:c r="I52" s="24">
        <x:f>_xlfn.IFNA(VLOOKUP(D52,Master_Section!$I:$K,2,FALSE),"")</x:f>
      </x:c>
      <x:c r="J52" s="24">
        <x:f>_xlfn.IFNA(VLOOKUP(D52,Master_Section!$I:$K,3,FALSE),"")</x:f>
      </x:c>
      <x:c r="L52" s="94">
        <x:f>IF(A52&lt;&gt;"CFA",_xlfn.IFNA(VLOOKUP($G52,Master!$AE:$AI,5,0),""),"")</x:f>
      </x:c>
      <x:c r="P52" s="26">
        <x:f>IF(N52&lt;&gt;"",IF(MONTH(N52)&gt;=4,"FY1"&amp;RIGHT(YEAR(N52)+1,2),"FY1"&amp;RIGHT(YEAR(N52),2)),"")</x:f>
      </x:c>
      <x:c r="Q52" s="37">
        <x:f>IF(K52&gt;0&amp;M52&gt;0,K52*M52,"")</x:f>
      </x:c>
    </x:row>
    <x:row r="53" spans="1:18" customFormat="1" ht="15" customHeight="1">
      <x:c r="B53" s="37">
        <x:f>_xlfn.IFNA(VLOOKUP(C53,Master_Section!$H:$I,2,FALSE),"")</x:f>
      </x:c>
      <x:c r="D53" s="37">
        <x:f>_xlfn.IFNA(VLOOKUP(E53,Master_Section!$H:$I,2,FALSE),"")</x:f>
      </x:c>
      <x:c r="F53" s="26">
        <x:f>_xlfn.IFNA(VLOOKUP(G53,Master!AE:AF,2,FALSE),"")</x:f>
      </x:c>
      <x:c r="I53" s="24">
        <x:f>_xlfn.IFNA(VLOOKUP(D53,Master_Section!$I:$K,2,FALSE),"")</x:f>
      </x:c>
      <x:c r="J53" s="24">
        <x:f>_xlfn.IFNA(VLOOKUP(D53,Master_Section!$I:$K,3,FALSE),"")</x:f>
      </x:c>
      <x:c r="L53" s="94">
        <x:f>IF(A53&lt;&gt;"CFA",_xlfn.IFNA(VLOOKUP($G53,Master!$AE:$AI,5,0),""),"")</x:f>
      </x:c>
      <x:c r="P53" s="26">
        <x:f>IF(N53&lt;&gt;"",IF(MONTH(N53)&gt;=4,"FY1"&amp;RIGHT(YEAR(N53)+1,2),"FY1"&amp;RIGHT(YEAR(N53),2)),"")</x:f>
      </x:c>
      <x:c r="Q53" s="37">
        <x:f>IF(K53&gt;0&amp;M53&gt;0,K53*M53,"")</x:f>
      </x:c>
    </x:row>
    <x:row r="54" spans="1:18" customFormat="1" ht="15" customHeight="1">
      <x:c r="B54" s="37">
        <x:f>_xlfn.IFNA(VLOOKUP(C54,Master_Section!$H:$I,2,FALSE),"")</x:f>
      </x:c>
      <x:c r="D54" s="37">
        <x:f>_xlfn.IFNA(VLOOKUP(E54,Master_Section!$H:$I,2,FALSE),"")</x:f>
      </x:c>
      <x:c r="F54" s="26">
        <x:f>_xlfn.IFNA(VLOOKUP(G54,Master!AE:AF,2,FALSE),"")</x:f>
      </x:c>
      <x:c r="I54" s="24">
        <x:f>_xlfn.IFNA(VLOOKUP(D54,Master_Section!$I:$K,2,FALSE),"")</x:f>
      </x:c>
      <x:c r="J54" s="24">
        <x:f>_xlfn.IFNA(VLOOKUP(D54,Master_Section!$I:$K,3,FALSE),"")</x:f>
      </x:c>
      <x:c r="L54" s="94">
        <x:f>IF(A54&lt;&gt;"CFA",_xlfn.IFNA(VLOOKUP($G54,Master!$AE:$AI,5,0),""),"")</x:f>
      </x:c>
      <x:c r="P54" s="26">
        <x:f>IF(N54&lt;&gt;"",IF(MONTH(N54)&gt;=4,"FY1"&amp;RIGHT(YEAR(N54)+1,2),"FY1"&amp;RIGHT(YEAR(N54),2)),"")</x:f>
      </x:c>
      <x:c r="Q54" s="37">
        <x:f>IF(K54&gt;0&amp;M54&gt;0,K54*M54,"")</x:f>
      </x:c>
    </x:row>
    <x:row r="55" spans="1:18" customFormat="1" ht="15" customHeight="1">
      <x:c r="B55" s="37">
        <x:f>_xlfn.IFNA(VLOOKUP(C55,Master_Section!$H:$I,2,FALSE),"")</x:f>
      </x:c>
      <x:c r="D55" s="37">
        <x:f>_xlfn.IFNA(VLOOKUP(E55,Master_Section!$H:$I,2,FALSE),"")</x:f>
      </x:c>
      <x:c r="F55" s="26">
        <x:f>_xlfn.IFNA(VLOOKUP(G55,Master!AE:AF,2,FALSE),"")</x:f>
      </x:c>
      <x:c r="I55" s="24">
        <x:f>_xlfn.IFNA(VLOOKUP(D55,Master_Section!$I:$K,2,FALSE),"")</x:f>
      </x:c>
      <x:c r="J55" s="24">
        <x:f>_xlfn.IFNA(VLOOKUP(D55,Master_Section!$I:$K,3,FALSE),"")</x:f>
      </x:c>
      <x:c r="L55" s="94">
        <x:f>IF(A55&lt;&gt;"CFA",_xlfn.IFNA(VLOOKUP($G55,Master!$AE:$AI,5,0),""),"")</x:f>
      </x:c>
      <x:c r="P55" s="26">
        <x:f>IF(N55&lt;&gt;"",IF(MONTH(N55)&gt;=4,"FY1"&amp;RIGHT(YEAR(N55)+1,2),"FY1"&amp;RIGHT(YEAR(N55),2)),"")</x:f>
      </x:c>
      <x:c r="Q55" s="37">
        <x:f>IF(K55&gt;0&amp;M55&gt;0,K55*M55,"")</x:f>
      </x:c>
    </x:row>
    <x:row r="56" spans="1:18" customFormat="1" ht="15" customHeight="1">
      <x:c r="B56" s="37">
        <x:f>_xlfn.IFNA(VLOOKUP(C56,Master_Section!$H:$I,2,FALSE),"")</x:f>
      </x:c>
      <x:c r="D56" s="37">
        <x:f>_xlfn.IFNA(VLOOKUP(E56,Master_Section!$H:$I,2,FALSE),"")</x:f>
      </x:c>
      <x:c r="F56" s="26">
        <x:f>_xlfn.IFNA(VLOOKUP(G56,Master!AE:AF,2,FALSE),"")</x:f>
      </x:c>
      <x:c r="I56" s="24">
        <x:f>_xlfn.IFNA(VLOOKUP(D56,Master_Section!$I:$K,2,FALSE),"")</x:f>
      </x:c>
      <x:c r="J56" s="24">
        <x:f>_xlfn.IFNA(VLOOKUP(D56,Master_Section!$I:$K,3,FALSE),"")</x:f>
      </x:c>
      <x:c r="L56" s="94">
        <x:f>IF(A56&lt;&gt;"CFA",_xlfn.IFNA(VLOOKUP($G56,Master!$AE:$AI,5,0),""),"")</x:f>
      </x:c>
      <x:c r="P56" s="26">
        <x:f>IF(N56&lt;&gt;"",IF(MONTH(N56)&gt;=4,"FY1"&amp;RIGHT(YEAR(N56)+1,2),"FY1"&amp;RIGHT(YEAR(N56),2)),"")</x:f>
      </x:c>
      <x:c r="Q56" s="37">
        <x:f>IF(K56&gt;0&amp;M56&gt;0,K56*M56,"")</x:f>
      </x:c>
    </x:row>
    <x:row r="57" spans="1:18" customFormat="1" ht="15" customHeight="1">
      <x:c r="B57" s="37">
        <x:f>_xlfn.IFNA(VLOOKUP(C57,Master_Section!$H:$I,2,FALSE),"")</x:f>
      </x:c>
      <x:c r="D57" s="37">
        <x:f>_xlfn.IFNA(VLOOKUP(E57,Master_Section!$H:$I,2,FALSE),"")</x:f>
      </x:c>
      <x:c r="F57" s="26">
        <x:f>_xlfn.IFNA(VLOOKUP(G57,Master!AE:AF,2,FALSE),"")</x:f>
      </x:c>
      <x:c r="I57" s="24">
        <x:f>_xlfn.IFNA(VLOOKUP(D57,Master_Section!$I:$K,2,FALSE),"")</x:f>
      </x:c>
      <x:c r="J57" s="24">
        <x:f>_xlfn.IFNA(VLOOKUP(D57,Master_Section!$I:$K,3,FALSE),"")</x:f>
      </x:c>
      <x:c r="L57" s="94">
        <x:f>IF(A57&lt;&gt;"CFA",_xlfn.IFNA(VLOOKUP($G57,Master!$AE:$AI,5,0),""),"")</x:f>
      </x:c>
      <x:c r="P57" s="26">
        <x:f>IF(N57&lt;&gt;"",IF(MONTH(N57)&gt;=4,"FY1"&amp;RIGHT(YEAR(N57)+1,2),"FY1"&amp;RIGHT(YEAR(N57),2)),"")</x:f>
      </x:c>
      <x:c r="Q57" s="37">
        <x:f>IF(K57&gt;0&amp;M57&gt;0,K57*M57,"")</x:f>
      </x:c>
    </x:row>
    <x:row r="58" spans="1:18" customFormat="1" ht="15" customHeight="1">
      <x:c r="B58" s="37">
        <x:f>_xlfn.IFNA(VLOOKUP(C58,Master_Section!$H:$I,2,FALSE),"")</x:f>
      </x:c>
      <x:c r="D58" s="37">
        <x:f>_xlfn.IFNA(VLOOKUP(E58,Master_Section!$H:$I,2,FALSE),"")</x:f>
      </x:c>
      <x:c r="F58" s="26">
        <x:f>_xlfn.IFNA(VLOOKUP(G58,Master!AE:AF,2,FALSE),"")</x:f>
      </x:c>
      <x:c r="I58" s="24">
        <x:f>_xlfn.IFNA(VLOOKUP(D58,Master_Section!$I:$K,2,FALSE),"")</x:f>
      </x:c>
      <x:c r="J58" s="24">
        <x:f>_xlfn.IFNA(VLOOKUP(D58,Master_Section!$I:$K,3,FALSE),"")</x:f>
      </x:c>
      <x:c r="L58" s="94">
        <x:f>IF(A58&lt;&gt;"CFA",_xlfn.IFNA(VLOOKUP($G58,Master!$AE:$AI,5,0),""),"")</x:f>
      </x:c>
      <x:c r="P58" s="26">
        <x:f>IF(N58&lt;&gt;"",IF(MONTH(N58)&gt;=4,"FY1"&amp;RIGHT(YEAR(N58)+1,2),"FY1"&amp;RIGHT(YEAR(N58),2)),"")</x:f>
      </x:c>
      <x:c r="Q58" s="37">
        <x:f>IF(K58&gt;0&amp;M58&gt;0,K58*M58,"")</x:f>
      </x:c>
    </x:row>
    <x:row r="59" spans="1:18" customFormat="1" ht="15" customHeight="1">
      <x:c r="B59" s="37">
        <x:f>_xlfn.IFNA(VLOOKUP(C59,Master_Section!$H:$I,2,FALSE),"")</x:f>
      </x:c>
      <x:c r="D59" s="37">
        <x:f>_xlfn.IFNA(VLOOKUP(E59,Master_Section!$H:$I,2,FALSE),"")</x:f>
      </x:c>
      <x:c r="F59" s="26">
        <x:f>_xlfn.IFNA(VLOOKUP(G59,Master!AE:AF,2,FALSE),"")</x:f>
      </x:c>
      <x:c r="I59" s="24">
        <x:f>_xlfn.IFNA(VLOOKUP(D59,Master_Section!$I:$K,2,FALSE),"")</x:f>
      </x:c>
      <x:c r="J59" s="24">
        <x:f>_xlfn.IFNA(VLOOKUP(D59,Master_Section!$I:$K,3,FALSE),"")</x:f>
      </x:c>
      <x:c r="L59" s="94">
        <x:f>IF(A59&lt;&gt;"CFA",_xlfn.IFNA(VLOOKUP($G59,Master!$AE:$AI,5,0),""),"")</x:f>
      </x:c>
      <x:c r="P59" s="26">
        <x:f>IF(N59&lt;&gt;"",IF(MONTH(N59)&gt;=4,"FY1"&amp;RIGHT(YEAR(N59)+1,2),"FY1"&amp;RIGHT(YEAR(N59),2)),"")</x:f>
      </x:c>
      <x:c r="Q59" s="37">
        <x:f>IF(K59&gt;0&amp;M59&gt;0,K59*M59,"")</x:f>
      </x:c>
    </x:row>
    <x:row r="60" spans="1:18" customFormat="1" ht="15" customHeight="1">
      <x:c r="B60" s="37">
        <x:f>_xlfn.IFNA(VLOOKUP(C60,Master_Section!$H:$I,2,FALSE),"")</x:f>
      </x:c>
      <x:c r="D60" s="37">
        <x:f>_xlfn.IFNA(VLOOKUP(E60,Master_Section!$H:$I,2,FALSE),"")</x:f>
      </x:c>
      <x:c r="F60" s="26">
        <x:f>_xlfn.IFNA(VLOOKUP(G60,Master!AE:AF,2,FALSE),"")</x:f>
      </x:c>
      <x:c r="I60" s="24">
        <x:f>_xlfn.IFNA(VLOOKUP(D60,Master_Section!$I:$K,2,FALSE),"")</x:f>
      </x:c>
      <x:c r="J60" s="24">
        <x:f>_xlfn.IFNA(VLOOKUP(D60,Master_Section!$I:$K,3,FALSE),"")</x:f>
      </x:c>
      <x:c r="L60" s="94">
        <x:f>IF(A60&lt;&gt;"CFA",_xlfn.IFNA(VLOOKUP($G60,Master!$AE:$AI,5,0),""),"")</x:f>
      </x:c>
      <x:c r="P60" s="26">
        <x:f>IF(N60&lt;&gt;"",IF(MONTH(N60)&gt;=4,"FY1"&amp;RIGHT(YEAR(N60)+1,2),"FY1"&amp;RIGHT(YEAR(N60),2)),"")</x:f>
      </x:c>
      <x:c r="Q60" s="37">
        <x:f>IF(K60&gt;0&amp;M60&gt;0,K60*M60,"")</x:f>
      </x:c>
    </x:row>
    <x:row r="61" spans="1:18" customFormat="1" ht="15" customHeight="1">
      <x:c r="B61" s="37">
        <x:f>_xlfn.IFNA(VLOOKUP(C61,Master_Section!$H:$I,2,FALSE),"")</x:f>
      </x:c>
      <x:c r="D61" s="37">
        <x:f>_xlfn.IFNA(VLOOKUP(E61,Master_Section!$H:$I,2,FALSE),"")</x:f>
      </x:c>
      <x:c r="F61" s="26">
        <x:f>_xlfn.IFNA(VLOOKUP(G61,Master!AE:AF,2,FALSE),"")</x:f>
      </x:c>
      <x:c r="I61" s="24">
        <x:f>_xlfn.IFNA(VLOOKUP(D61,Master_Section!$I:$K,2,FALSE),"")</x:f>
      </x:c>
      <x:c r="J61" s="24">
        <x:f>_xlfn.IFNA(VLOOKUP(D61,Master_Section!$I:$K,3,FALSE),"")</x:f>
      </x:c>
      <x:c r="L61" s="94">
        <x:f>IF(A61&lt;&gt;"CFA",_xlfn.IFNA(VLOOKUP($G61,Master!$AE:$AI,5,0),""),"")</x:f>
      </x:c>
      <x:c r="P61" s="26">
        <x:f>IF(N61&lt;&gt;"",IF(MONTH(N61)&gt;=4,"FY1"&amp;RIGHT(YEAR(N61)+1,2),"FY1"&amp;RIGHT(YEAR(N61),2)),"")</x:f>
      </x:c>
      <x:c r="Q61" s="37">
        <x:f>IF(K61&gt;0&amp;M61&gt;0,K61*M61,"")</x:f>
      </x:c>
    </x:row>
    <x:row r="62" spans="1:18" customFormat="1" ht="15" customHeight="1">
      <x:c r="B62" s="37">
        <x:f>_xlfn.IFNA(VLOOKUP(C62,Master_Section!$H:$I,2,FALSE),"")</x:f>
      </x:c>
      <x:c r="D62" s="37">
        <x:f>_xlfn.IFNA(VLOOKUP(E62,Master_Section!$H:$I,2,FALSE),"")</x:f>
      </x:c>
      <x:c r="F62" s="26">
        <x:f>_xlfn.IFNA(VLOOKUP(G62,Master!AE:AF,2,FALSE),"")</x:f>
      </x:c>
      <x:c r="I62" s="24">
        <x:f>_xlfn.IFNA(VLOOKUP(D62,Master_Section!$I:$K,2,FALSE),"")</x:f>
      </x:c>
      <x:c r="J62" s="24">
        <x:f>_xlfn.IFNA(VLOOKUP(D62,Master_Section!$I:$K,3,FALSE),"")</x:f>
      </x:c>
      <x:c r="L62" s="94">
        <x:f>IF(A62&lt;&gt;"CFA",_xlfn.IFNA(VLOOKUP($G62,Master!$AE:$AI,5,0),""),"")</x:f>
      </x:c>
      <x:c r="P62" s="26">
        <x:f>IF(N62&lt;&gt;"",IF(MONTH(N62)&gt;=4,"FY1"&amp;RIGHT(YEAR(N62)+1,2),"FY1"&amp;RIGHT(YEAR(N62),2)),"")</x:f>
      </x:c>
      <x:c r="Q62" s="37">
        <x:f>IF(K62&gt;0&amp;M62&gt;0,K62*M62,"")</x:f>
      </x:c>
    </x:row>
    <x:row r="63" spans="1:18" customFormat="1" ht="15" customHeight="1">
      <x:c r="B63" s="37">
        <x:f>_xlfn.IFNA(VLOOKUP(C63,Master_Section!$H:$I,2,FALSE),"")</x:f>
      </x:c>
      <x:c r="D63" s="37">
        <x:f>_xlfn.IFNA(VLOOKUP(E63,Master_Section!$H:$I,2,FALSE),"")</x:f>
      </x:c>
      <x:c r="F63" s="26">
        <x:f>_xlfn.IFNA(VLOOKUP(G63,Master!AE:AF,2,FALSE),"")</x:f>
      </x:c>
      <x:c r="I63" s="24">
        <x:f>_xlfn.IFNA(VLOOKUP(D63,Master_Section!$I:$K,2,FALSE),"")</x:f>
      </x:c>
      <x:c r="J63" s="24">
        <x:f>_xlfn.IFNA(VLOOKUP(D63,Master_Section!$I:$K,3,FALSE),"")</x:f>
      </x:c>
      <x:c r="L63" s="94">
        <x:f>IF(A63&lt;&gt;"CFA",_xlfn.IFNA(VLOOKUP($G63,Master!$AE:$AI,5,0),""),"")</x:f>
      </x:c>
      <x:c r="P63" s="26">
        <x:f>IF(N63&lt;&gt;"",IF(MONTH(N63)&gt;=4,"FY1"&amp;RIGHT(YEAR(N63)+1,2),"FY1"&amp;RIGHT(YEAR(N63),2)),"")</x:f>
      </x:c>
      <x:c r="Q63" s="37">
        <x:f>IF(K63&gt;0&amp;M63&gt;0,K63*M63,"")</x:f>
      </x:c>
    </x:row>
    <x:row r="64" spans="1:18" customFormat="1" ht="15" customHeight="1">
      <x:c r="B64" s="37">
        <x:f>_xlfn.IFNA(VLOOKUP(C64,Master_Section!$H:$I,2,FALSE),"")</x:f>
      </x:c>
      <x:c r="D64" s="37">
        <x:f>_xlfn.IFNA(VLOOKUP(E64,Master_Section!$H:$I,2,FALSE),"")</x:f>
      </x:c>
      <x:c r="F64" s="26">
        <x:f>_xlfn.IFNA(VLOOKUP(G64,Master!AE:AF,2,FALSE),"")</x:f>
      </x:c>
      <x:c r="I64" s="24">
        <x:f>_xlfn.IFNA(VLOOKUP(D64,Master_Section!$I:$K,2,FALSE),"")</x:f>
      </x:c>
      <x:c r="J64" s="24">
        <x:f>_xlfn.IFNA(VLOOKUP(D64,Master_Section!$I:$K,3,FALSE),"")</x:f>
      </x:c>
      <x:c r="L64" s="94">
        <x:f>IF(A64&lt;&gt;"CFA",_xlfn.IFNA(VLOOKUP($G64,Master!$AE:$AI,5,0),""),"")</x:f>
      </x:c>
      <x:c r="P64" s="26">
        <x:f>IF(N64&lt;&gt;"",IF(MONTH(N64)&gt;=4,"FY1"&amp;RIGHT(YEAR(N64)+1,2),"FY1"&amp;RIGHT(YEAR(N64),2)),"")</x:f>
      </x:c>
      <x:c r="Q64" s="37">
        <x:f>IF(K64&gt;0&amp;M64&gt;0,K64*M64,"")</x:f>
      </x:c>
    </x:row>
    <x:row r="65" spans="1:18" customFormat="1" ht="15" customHeight="1">
      <x:c r="B65" s="37">
        <x:f>_xlfn.IFNA(VLOOKUP(C65,Master_Section!$H:$I,2,FALSE),"")</x:f>
      </x:c>
      <x:c r="D65" s="37">
        <x:f>_xlfn.IFNA(VLOOKUP(E65,Master_Section!$H:$I,2,FALSE),"")</x:f>
      </x:c>
      <x:c r="F65" s="26">
        <x:f>_xlfn.IFNA(VLOOKUP(G65,Master!AE:AF,2,FALSE),"")</x:f>
      </x:c>
      <x:c r="I65" s="24">
        <x:f>_xlfn.IFNA(VLOOKUP(D65,Master_Section!$I:$K,2,FALSE),"")</x:f>
      </x:c>
      <x:c r="J65" s="24">
        <x:f>_xlfn.IFNA(VLOOKUP(D65,Master_Section!$I:$K,3,FALSE),"")</x:f>
      </x:c>
      <x:c r="L65" s="94">
        <x:f>IF(A65&lt;&gt;"CFA",_xlfn.IFNA(VLOOKUP($G65,Master!$AE:$AI,5,0),""),"")</x:f>
      </x:c>
      <x:c r="P65" s="26">
        <x:f>IF(N65&lt;&gt;"",IF(MONTH(N65)&gt;=4,"FY1"&amp;RIGHT(YEAR(N65)+1,2),"FY1"&amp;RIGHT(YEAR(N65),2)),"")</x:f>
      </x:c>
      <x:c r="Q65" s="37">
        <x:f>IF(K65&gt;0&amp;M65&gt;0,K65*M65,"")</x:f>
      </x:c>
    </x:row>
    <x:row r="66" spans="1:18" customFormat="1" ht="15" customHeight="1">
      <x:c r="B66" s="37">
        <x:f>_xlfn.IFNA(VLOOKUP(C66,Master_Section!$H:$I,2,FALSE),"")</x:f>
      </x:c>
      <x:c r="D66" s="37">
        <x:f>_xlfn.IFNA(VLOOKUP(E66,Master_Section!$H:$I,2,FALSE),"")</x:f>
      </x:c>
      <x:c r="F66" s="26">
        <x:f>_xlfn.IFNA(VLOOKUP(G66,Master!AE:AF,2,FALSE),"")</x:f>
      </x:c>
      <x:c r="I66" s="24">
        <x:f>_xlfn.IFNA(VLOOKUP(D66,Master_Section!$I:$K,2,FALSE),"")</x:f>
      </x:c>
      <x:c r="J66" s="24">
        <x:f>_xlfn.IFNA(VLOOKUP(D66,Master_Section!$I:$K,3,FALSE),"")</x:f>
      </x:c>
      <x:c r="L66" s="94">
        <x:f>IF(A66&lt;&gt;"CFA",_xlfn.IFNA(VLOOKUP($G66,Master!$AE:$AI,5,0),""),"")</x:f>
      </x:c>
      <x:c r="P66" s="26">
        <x:f>IF(N66&lt;&gt;"",IF(MONTH(N66)&gt;=4,"FY1"&amp;RIGHT(YEAR(N66)+1,2),"FY1"&amp;RIGHT(YEAR(N66),2)),"")</x:f>
      </x:c>
      <x:c r="Q66" s="37">
        <x:f>IF(K66&gt;0&amp;M66&gt;0,K66*M66,"")</x:f>
      </x:c>
    </x:row>
    <x:row r="67" spans="1:18" customFormat="1" ht="15" customHeight="1">
      <x:c r="B67" s="37">
        <x:f>_xlfn.IFNA(VLOOKUP(C67,Master_Section!$H:$I,2,FALSE),"")</x:f>
      </x:c>
      <x:c r="D67" s="37">
        <x:f>_xlfn.IFNA(VLOOKUP(E67,Master_Section!$H:$I,2,FALSE),"")</x:f>
      </x:c>
      <x:c r="F67" s="26">
        <x:f>_xlfn.IFNA(VLOOKUP(G67,Master!AE:AF,2,FALSE),"")</x:f>
      </x:c>
      <x:c r="I67" s="24">
        <x:f>_xlfn.IFNA(VLOOKUP(D67,Master_Section!$I:$K,2,FALSE),"")</x:f>
      </x:c>
      <x:c r="J67" s="24">
        <x:f>_xlfn.IFNA(VLOOKUP(D67,Master_Section!$I:$K,3,FALSE),"")</x:f>
      </x:c>
      <x:c r="L67" s="94">
        <x:f>IF(A67&lt;&gt;"CFA",_xlfn.IFNA(VLOOKUP($G67,Master!$AE:$AI,5,0),""),"")</x:f>
      </x:c>
      <x:c r="P67" s="26">
        <x:f>IF(N67&lt;&gt;"",IF(MONTH(N67)&gt;=4,"FY1"&amp;RIGHT(YEAR(N67)+1,2),"FY1"&amp;RIGHT(YEAR(N67),2)),"")</x:f>
      </x:c>
      <x:c r="Q67" s="37">
        <x:f>IF(K67&gt;0&amp;M67&gt;0,K67*M67,"")</x:f>
      </x:c>
    </x:row>
    <x:row r="68" spans="1:18" customFormat="1" ht="15" customHeight="1">
      <x:c r="B68" s="37">
        <x:f>_xlfn.IFNA(VLOOKUP(C68,Master_Section!$H:$I,2,FALSE),"")</x:f>
      </x:c>
      <x:c r="D68" s="37">
        <x:f>_xlfn.IFNA(VLOOKUP(E68,Master_Section!$H:$I,2,FALSE),"")</x:f>
      </x:c>
      <x:c r="F68" s="26">
        <x:f>_xlfn.IFNA(VLOOKUP(G68,Master!AE:AF,2,FALSE),"")</x:f>
      </x:c>
      <x:c r="I68" s="24">
        <x:f>_xlfn.IFNA(VLOOKUP(D68,Master_Section!$I:$K,2,FALSE),"")</x:f>
      </x:c>
      <x:c r="J68" s="24">
        <x:f>_xlfn.IFNA(VLOOKUP(D68,Master_Section!$I:$K,3,FALSE),"")</x:f>
      </x:c>
      <x:c r="L68" s="94">
        <x:f>IF(A68&lt;&gt;"CFA",_xlfn.IFNA(VLOOKUP($G68,Master!$AE:$AI,5,0),""),"")</x:f>
      </x:c>
      <x:c r="P68" s="26">
        <x:f>IF(N68&lt;&gt;"",IF(MONTH(N68)&gt;=4,"FY1"&amp;RIGHT(YEAR(N68)+1,2),"FY1"&amp;RIGHT(YEAR(N68),2)),"")</x:f>
      </x:c>
      <x:c r="Q68" s="37">
        <x:f>IF(K68&gt;0&amp;M68&gt;0,K68*M68,"")</x:f>
      </x:c>
    </x:row>
    <x:row r="69" spans="1:18" customFormat="1" ht="15" customHeight="1">
      <x:c r="B69" s="37">
        <x:f>_xlfn.IFNA(VLOOKUP(C69,Master_Section!$H:$I,2,FALSE),"")</x:f>
      </x:c>
      <x:c r="D69" s="37">
        <x:f>_xlfn.IFNA(VLOOKUP(E69,Master_Section!$H:$I,2,FALSE),"")</x:f>
      </x:c>
      <x:c r="F69" s="26">
        <x:f>_xlfn.IFNA(VLOOKUP(G69,Master!AE:AF,2,FALSE),"")</x:f>
      </x:c>
      <x:c r="I69" s="24">
        <x:f>_xlfn.IFNA(VLOOKUP(D69,Master_Section!$I:$K,2,FALSE),"")</x:f>
      </x:c>
      <x:c r="J69" s="24">
        <x:f>_xlfn.IFNA(VLOOKUP(D69,Master_Section!$I:$K,3,FALSE),"")</x:f>
      </x:c>
      <x:c r="L69" s="94">
        <x:f>IF(A69&lt;&gt;"CFA",_xlfn.IFNA(VLOOKUP($G69,Master!$AE:$AI,5,0),""),"")</x:f>
      </x:c>
      <x:c r="P69" s="26">
        <x:f>IF(N69&lt;&gt;"",IF(MONTH(N69)&gt;=4,"FY1"&amp;RIGHT(YEAR(N69)+1,2),"FY1"&amp;RIGHT(YEAR(N69),2)),"")</x:f>
      </x:c>
      <x:c r="Q69" s="37">
        <x:f>IF(K69&gt;0&amp;M69&gt;0,K69*M69,"")</x:f>
      </x:c>
    </x:row>
    <x:row r="70" spans="1:18" customFormat="1" ht="15" customHeight="1">
      <x:c r="B70" s="37">
        <x:f>_xlfn.IFNA(VLOOKUP(C70,Master_Section!$H:$I,2,FALSE),"")</x:f>
      </x:c>
      <x:c r="D70" s="37">
        <x:f>_xlfn.IFNA(VLOOKUP(E70,Master_Section!$H:$I,2,FALSE),"")</x:f>
      </x:c>
      <x:c r="F70" s="26">
        <x:f>_xlfn.IFNA(VLOOKUP(G70,Master!AE:AF,2,FALSE),"")</x:f>
      </x:c>
      <x:c r="I70" s="24">
        <x:f>_xlfn.IFNA(VLOOKUP(D70,Master_Section!$I:$K,2,FALSE),"")</x:f>
      </x:c>
      <x:c r="J70" s="24">
        <x:f>_xlfn.IFNA(VLOOKUP(D70,Master_Section!$I:$K,3,FALSE),"")</x:f>
      </x:c>
      <x:c r="L70" s="94">
        <x:f>IF(A70&lt;&gt;"CFA",_xlfn.IFNA(VLOOKUP($G70,Master!$AE:$AI,5,0),""),"")</x:f>
      </x:c>
      <x:c r="P70" s="26">
        <x:f>IF(N70&lt;&gt;"",IF(MONTH(N70)&gt;=4,"FY1"&amp;RIGHT(YEAR(N70)+1,2),"FY1"&amp;RIGHT(YEAR(N70),2)),"")</x:f>
      </x:c>
      <x:c r="Q70" s="37">
        <x:f>IF(K70&gt;0&amp;M70&gt;0,K70*M70,"")</x:f>
      </x:c>
    </x:row>
    <x:row r="71" spans="1:18" customFormat="1" ht="15" customHeight="1">
      <x:c r="B71" s="37">
        <x:f>_xlfn.IFNA(VLOOKUP(C71,Master_Section!$H:$I,2,FALSE),"")</x:f>
      </x:c>
      <x:c r="D71" s="37">
        <x:f>_xlfn.IFNA(VLOOKUP(E71,Master_Section!$H:$I,2,FALSE),"")</x:f>
      </x:c>
      <x:c r="F71" s="26">
        <x:f>_xlfn.IFNA(VLOOKUP(G71,Master!AE:AF,2,FALSE),"")</x:f>
      </x:c>
      <x:c r="I71" s="24">
        <x:f>_xlfn.IFNA(VLOOKUP(D71,Master_Section!$I:$K,2,FALSE),"")</x:f>
      </x:c>
      <x:c r="J71" s="24">
        <x:f>_xlfn.IFNA(VLOOKUP(D71,Master_Section!$I:$K,3,FALSE),"")</x:f>
      </x:c>
      <x:c r="L71" s="94">
        <x:f>IF(A71&lt;&gt;"CFA",_xlfn.IFNA(VLOOKUP($G71,Master!$AE:$AI,5,0),""),"")</x:f>
      </x:c>
      <x:c r="P71" s="26">
        <x:f>IF(N71&lt;&gt;"",IF(MONTH(N71)&gt;=4,"FY1"&amp;RIGHT(YEAR(N71)+1,2),"FY1"&amp;RIGHT(YEAR(N71),2)),"")</x:f>
      </x:c>
      <x:c r="Q71" s="37">
        <x:f>IF(K71&gt;0&amp;M71&gt;0,K71*M71,"")</x:f>
      </x:c>
    </x:row>
    <x:row r="72" spans="1:18" customFormat="1" ht="15" customHeight="1">
      <x:c r="B72" s="37">
        <x:f>_xlfn.IFNA(VLOOKUP(C72,Master_Section!$H:$I,2,FALSE),"")</x:f>
      </x:c>
      <x:c r="D72" s="37">
        <x:f>_xlfn.IFNA(VLOOKUP(E72,Master_Section!$H:$I,2,FALSE),"")</x:f>
      </x:c>
      <x:c r="F72" s="26">
        <x:f>_xlfn.IFNA(VLOOKUP(G72,Master!AE:AF,2,FALSE),"")</x:f>
      </x:c>
      <x:c r="I72" s="24">
        <x:f>_xlfn.IFNA(VLOOKUP(D72,Master_Section!$I:$K,2,FALSE),"")</x:f>
      </x:c>
      <x:c r="J72" s="24">
        <x:f>_xlfn.IFNA(VLOOKUP(D72,Master_Section!$I:$K,3,FALSE),"")</x:f>
      </x:c>
      <x:c r="L72" s="94">
        <x:f>IF(A72&lt;&gt;"CFA",_xlfn.IFNA(VLOOKUP($G72,Master!$AE:$AI,5,0),""),"")</x:f>
      </x:c>
      <x:c r="P72" s="26">
        <x:f>IF(N72&lt;&gt;"",IF(MONTH(N72)&gt;=4,"FY1"&amp;RIGHT(YEAR(N72)+1,2),"FY1"&amp;RIGHT(YEAR(N72),2)),"")</x:f>
      </x:c>
      <x:c r="Q72" s="37">
        <x:f>IF(K72&gt;0&amp;M72&gt;0,K72*M72,"")</x:f>
      </x:c>
    </x:row>
    <x:row r="73" spans="1:18" customFormat="1" ht="15" customHeight="1">
      <x:c r="B73" s="37">
        <x:f>_xlfn.IFNA(VLOOKUP(C73,Master_Section!$H:$I,2,FALSE),"")</x:f>
      </x:c>
      <x:c r="D73" s="37">
        <x:f>_xlfn.IFNA(VLOOKUP(E73,Master_Section!$H:$I,2,FALSE),"")</x:f>
      </x:c>
      <x:c r="F73" s="26">
        <x:f>_xlfn.IFNA(VLOOKUP(G73,Master!AE:AF,2,FALSE),"")</x:f>
      </x:c>
      <x:c r="I73" s="24">
        <x:f>_xlfn.IFNA(VLOOKUP(D73,Master_Section!$I:$K,2,FALSE),"")</x:f>
      </x:c>
      <x:c r="J73" s="24">
        <x:f>_xlfn.IFNA(VLOOKUP(D73,Master_Section!$I:$K,3,FALSE),"")</x:f>
      </x:c>
      <x:c r="L73" s="94">
        <x:f>IF(A73&lt;&gt;"CFA",_xlfn.IFNA(VLOOKUP($G73,Master!$AE:$AI,5,0),""),"")</x:f>
      </x:c>
      <x:c r="P73" s="26">
        <x:f>IF(N73&lt;&gt;"",IF(MONTH(N73)&gt;=4,"FY1"&amp;RIGHT(YEAR(N73)+1,2),"FY1"&amp;RIGHT(YEAR(N73),2)),"")</x:f>
      </x:c>
      <x:c r="Q73" s="37">
        <x:f>IF(K73&gt;0&amp;M73&gt;0,K73*M73,"")</x:f>
      </x:c>
    </x:row>
    <x:row r="74" spans="1:18" customFormat="1" ht="15" customHeight="1">
      <x:c r="B74" s="37">
        <x:f>_xlfn.IFNA(VLOOKUP(C74,Master_Section!$H:$I,2,FALSE),"")</x:f>
      </x:c>
      <x:c r="D74" s="37">
        <x:f>_xlfn.IFNA(VLOOKUP(E74,Master_Section!$H:$I,2,FALSE),"")</x:f>
      </x:c>
      <x:c r="F74" s="26">
        <x:f>_xlfn.IFNA(VLOOKUP(G74,Master!AE:AF,2,FALSE),"")</x:f>
      </x:c>
      <x:c r="I74" s="24">
        <x:f>_xlfn.IFNA(VLOOKUP(D74,Master_Section!$I:$K,2,FALSE),"")</x:f>
      </x:c>
      <x:c r="J74" s="24">
        <x:f>_xlfn.IFNA(VLOOKUP(D74,Master_Section!$I:$K,3,FALSE),"")</x:f>
      </x:c>
      <x:c r="L74" s="94">
        <x:f>IF(A74&lt;&gt;"CFA",_xlfn.IFNA(VLOOKUP($G74,Master!$AE:$AI,5,0),""),"")</x:f>
      </x:c>
      <x:c r="P74" s="26">
        <x:f>IF(N74&lt;&gt;"",IF(MONTH(N74)&gt;=4,"FY1"&amp;RIGHT(YEAR(N74)+1,2),"FY1"&amp;RIGHT(YEAR(N74),2)),"")</x:f>
      </x:c>
      <x:c r="Q74" s="37">
        <x:f>IF(K74&gt;0&amp;M74&gt;0,K74*M74,"")</x:f>
      </x:c>
    </x:row>
    <x:row r="75" spans="1:18" customFormat="1" ht="15" customHeight="1">
      <x:c r="B75" s="37">
        <x:f>_xlfn.IFNA(VLOOKUP(C75,Master_Section!$H:$I,2,FALSE),"")</x:f>
      </x:c>
      <x:c r="D75" s="37">
        <x:f>_xlfn.IFNA(VLOOKUP(E75,Master_Section!$H:$I,2,FALSE),"")</x:f>
      </x:c>
      <x:c r="F75" s="26">
        <x:f>_xlfn.IFNA(VLOOKUP(G75,Master!AE:AF,2,FALSE),"")</x:f>
      </x:c>
      <x:c r="I75" s="24">
        <x:f>_xlfn.IFNA(VLOOKUP(D75,Master_Section!$I:$K,2,FALSE),"")</x:f>
      </x:c>
      <x:c r="J75" s="24">
        <x:f>_xlfn.IFNA(VLOOKUP(D75,Master_Section!$I:$K,3,FALSE),"")</x:f>
      </x:c>
      <x:c r="L75" s="94">
        <x:f>IF(A75&lt;&gt;"CFA",_xlfn.IFNA(VLOOKUP($G75,Master!$AE:$AI,5,0),""),"")</x:f>
      </x:c>
      <x:c r="P75" s="26">
        <x:f>IF(N75&lt;&gt;"",IF(MONTH(N75)&gt;=4,"FY1"&amp;RIGHT(YEAR(N75)+1,2),"FY1"&amp;RIGHT(YEAR(N75),2)),"")</x:f>
      </x:c>
      <x:c r="Q75" s="37">
        <x:f>IF(K75&gt;0&amp;M75&gt;0,K75*M75,"")</x:f>
      </x:c>
    </x:row>
    <x:row r="76" spans="1:18" customFormat="1" ht="15" customHeight="1">
      <x:c r="B76" s="37">
        <x:f>_xlfn.IFNA(VLOOKUP(C76,Master_Section!$H:$I,2,FALSE),"")</x:f>
      </x:c>
      <x:c r="D76" s="37">
        <x:f>_xlfn.IFNA(VLOOKUP(E76,Master_Section!$H:$I,2,FALSE),"")</x:f>
      </x:c>
      <x:c r="F76" s="26">
        <x:f>_xlfn.IFNA(VLOOKUP(G76,Master!AE:AF,2,FALSE),"")</x:f>
      </x:c>
      <x:c r="I76" s="24">
        <x:f>_xlfn.IFNA(VLOOKUP(D76,Master_Section!$I:$K,2,FALSE),"")</x:f>
      </x:c>
      <x:c r="J76" s="24">
        <x:f>_xlfn.IFNA(VLOOKUP(D76,Master_Section!$I:$K,3,FALSE),"")</x:f>
      </x:c>
      <x:c r="L76" s="94">
        <x:f>IF(A76&lt;&gt;"CFA",_xlfn.IFNA(VLOOKUP($G76,Master!$AE:$AI,5,0),""),"")</x:f>
      </x:c>
      <x:c r="P76" s="26">
        <x:f>IF(N76&lt;&gt;"",IF(MONTH(N76)&gt;=4,"FY1"&amp;RIGHT(YEAR(N76)+1,2),"FY1"&amp;RIGHT(YEAR(N76),2)),"")</x:f>
      </x:c>
      <x:c r="Q76" s="37">
        <x:f>IF(K76&gt;0&amp;M76&gt;0,K76*M76,"")</x:f>
      </x:c>
    </x:row>
    <x:row r="77" spans="1:18" customFormat="1" ht="15" customHeight="1">
      <x:c r="B77" s="37">
        <x:f>_xlfn.IFNA(VLOOKUP(C77,Master_Section!$H:$I,2,FALSE),"")</x:f>
      </x:c>
      <x:c r="D77" s="37">
        <x:f>_xlfn.IFNA(VLOOKUP(E77,Master_Section!$H:$I,2,FALSE),"")</x:f>
      </x:c>
      <x:c r="F77" s="26">
        <x:f>_xlfn.IFNA(VLOOKUP(G77,Master!AE:AF,2,FALSE),"")</x:f>
      </x:c>
      <x:c r="I77" s="24">
        <x:f>_xlfn.IFNA(VLOOKUP(D77,Master_Section!$I:$K,2,FALSE),"")</x:f>
      </x:c>
      <x:c r="J77" s="24">
        <x:f>_xlfn.IFNA(VLOOKUP(D77,Master_Section!$I:$K,3,FALSE),"")</x:f>
      </x:c>
      <x:c r="L77" s="94">
        <x:f>IF(A77&lt;&gt;"CFA",_xlfn.IFNA(VLOOKUP($G77,Master!$AE:$AI,5,0),""),"")</x:f>
      </x:c>
      <x:c r="P77" s="26">
        <x:f>IF(N77&lt;&gt;"",IF(MONTH(N77)&gt;=4,"FY1"&amp;RIGHT(YEAR(N77)+1,2),"FY1"&amp;RIGHT(YEAR(N77),2)),"")</x:f>
      </x:c>
      <x:c r="Q77" s="37">
        <x:f>IF(K77&gt;0&amp;M77&gt;0,K77*M77,"")</x:f>
      </x:c>
    </x:row>
    <x:row r="78" spans="1:18" customFormat="1" ht="15" customHeight="1">
      <x:c r="B78" s="37">
        <x:f>_xlfn.IFNA(VLOOKUP(C78,Master_Section!$H:$I,2,FALSE),"")</x:f>
      </x:c>
      <x:c r="D78" s="37">
        <x:f>_xlfn.IFNA(VLOOKUP(E78,Master_Section!$H:$I,2,FALSE),"")</x:f>
      </x:c>
      <x:c r="F78" s="26">
        <x:f>_xlfn.IFNA(VLOOKUP(G78,Master!AE:AF,2,FALSE),"")</x:f>
      </x:c>
      <x:c r="I78" s="24">
        <x:f>_xlfn.IFNA(VLOOKUP(D78,Master_Section!$I:$K,2,FALSE),"")</x:f>
      </x:c>
      <x:c r="J78" s="24">
        <x:f>_xlfn.IFNA(VLOOKUP(D78,Master_Section!$I:$K,3,FALSE),"")</x:f>
      </x:c>
      <x:c r="L78" s="94">
        <x:f>IF(A78&lt;&gt;"CFA",_xlfn.IFNA(VLOOKUP($G78,Master!$AE:$AI,5,0),""),"")</x:f>
      </x:c>
      <x:c r="P78" s="26">
        <x:f>IF(N78&lt;&gt;"",IF(MONTH(N78)&gt;=4,"FY1"&amp;RIGHT(YEAR(N78)+1,2),"FY1"&amp;RIGHT(YEAR(N78),2)),"")</x:f>
      </x:c>
      <x:c r="Q78" s="37">
        <x:f>IF(K78&gt;0&amp;M78&gt;0,K78*M78,"")</x:f>
      </x:c>
    </x:row>
    <x:row r="79" spans="1:18" customFormat="1" ht="15" customHeight="1">
      <x:c r="B79" s="37">
        <x:f>_xlfn.IFNA(VLOOKUP(C79,Master_Section!$H:$I,2,FALSE),"")</x:f>
      </x:c>
      <x:c r="D79" s="37">
        <x:f>_xlfn.IFNA(VLOOKUP(E79,Master_Section!$H:$I,2,FALSE),"")</x:f>
      </x:c>
      <x:c r="F79" s="26">
        <x:f>_xlfn.IFNA(VLOOKUP(G79,Master!AE:AF,2,FALSE),"")</x:f>
      </x:c>
      <x:c r="I79" s="24">
        <x:f>_xlfn.IFNA(VLOOKUP(D79,Master_Section!$I:$K,2,FALSE),"")</x:f>
      </x:c>
      <x:c r="J79" s="24">
        <x:f>_xlfn.IFNA(VLOOKUP(D79,Master_Section!$I:$K,3,FALSE),"")</x:f>
      </x:c>
      <x:c r="L79" s="94">
        <x:f>IF(A79&lt;&gt;"CFA",_xlfn.IFNA(VLOOKUP($G79,Master!$AE:$AI,5,0),""),"")</x:f>
      </x:c>
      <x:c r="P79" s="26">
        <x:f>IF(N79&lt;&gt;"",IF(MONTH(N79)&gt;=4,"FY1"&amp;RIGHT(YEAR(N79)+1,2),"FY1"&amp;RIGHT(YEAR(N79),2)),"")</x:f>
      </x:c>
      <x:c r="Q79" s="37">
        <x:f>IF(K79&gt;0&amp;M79&gt;0,K79*M79,"")</x:f>
      </x:c>
    </x:row>
    <x:row r="80" spans="1:18" customFormat="1" ht="15" customHeight="1">
      <x:c r="B80" s="37">
        <x:f>_xlfn.IFNA(VLOOKUP(C80,Master_Section!$H:$I,2,FALSE),"")</x:f>
      </x:c>
      <x:c r="D80" s="37">
        <x:f>_xlfn.IFNA(VLOOKUP(E80,Master_Section!$H:$I,2,FALSE),"")</x:f>
      </x:c>
      <x:c r="F80" s="26">
        <x:f>_xlfn.IFNA(VLOOKUP(G80,Master!AE:AF,2,FALSE),"")</x:f>
      </x:c>
      <x:c r="I80" s="24">
        <x:f>_xlfn.IFNA(VLOOKUP(D80,Master_Section!$I:$K,2,FALSE),"")</x:f>
      </x:c>
      <x:c r="J80" s="24">
        <x:f>_xlfn.IFNA(VLOOKUP(D80,Master_Section!$I:$K,3,FALSE),"")</x:f>
      </x:c>
      <x:c r="L80" s="94">
        <x:f>IF(A80&lt;&gt;"CFA",_xlfn.IFNA(VLOOKUP($G80,Master!$AE:$AI,5,0),""),"")</x:f>
      </x:c>
      <x:c r="P80" s="26">
        <x:f>IF(N80&lt;&gt;"",IF(MONTH(N80)&gt;=4,"FY1"&amp;RIGHT(YEAR(N80)+1,2),"FY1"&amp;RIGHT(YEAR(N80),2)),"")</x:f>
      </x:c>
      <x:c r="Q80" s="37">
        <x:f>IF(K80&gt;0&amp;M80&gt;0,K80*M80,"")</x:f>
      </x:c>
    </x:row>
    <x:row r="81" spans="1:18" customFormat="1" ht="15" customHeight="1">
      <x:c r="B81" s="37">
        <x:f>_xlfn.IFNA(VLOOKUP(C81,Master_Section!$H:$I,2,FALSE),"")</x:f>
      </x:c>
      <x:c r="D81" s="37">
        <x:f>_xlfn.IFNA(VLOOKUP(E81,Master_Section!$H:$I,2,FALSE),"")</x:f>
      </x:c>
      <x:c r="F81" s="26">
        <x:f>_xlfn.IFNA(VLOOKUP(G81,Master!AE:AF,2,FALSE),"")</x:f>
      </x:c>
      <x:c r="I81" s="24">
        <x:f>_xlfn.IFNA(VLOOKUP(D81,Master_Section!$I:$K,2,FALSE),"")</x:f>
      </x:c>
      <x:c r="J81" s="24">
        <x:f>_xlfn.IFNA(VLOOKUP(D81,Master_Section!$I:$K,3,FALSE),"")</x:f>
      </x:c>
      <x:c r="L81" s="94">
        <x:f>IF(A81&lt;&gt;"CFA",_xlfn.IFNA(VLOOKUP($G81,Master!$AE:$AI,5,0),""),"")</x:f>
      </x:c>
      <x:c r="P81" s="26">
        <x:f>IF(N81&lt;&gt;"",IF(MONTH(N81)&gt;=4,"FY1"&amp;RIGHT(YEAR(N81)+1,2),"FY1"&amp;RIGHT(YEAR(N81),2)),"")</x:f>
      </x:c>
      <x:c r="Q81" s="37">
        <x:f>IF(K81&gt;0&amp;M81&gt;0,K81*M81,"")</x:f>
      </x:c>
    </x:row>
    <x:row r="82" spans="1:18" customFormat="1" ht="15" customHeight="1">
      <x:c r="B82" s="37">
        <x:f>_xlfn.IFNA(VLOOKUP(C82,Master_Section!$H:$I,2,FALSE),"")</x:f>
      </x:c>
      <x:c r="D82" s="37">
        <x:f>_xlfn.IFNA(VLOOKUP(E82,Master_Section!$H:$I,2,FALSE),"")</x:f>
      </x:c>
      <x:c r="F82" s="26">
        <x:f>_xlfn.IFNA(VLOOKUP(G82,Master!AE:AF,2,FALSE),"")</x:f>
      </x:c>
      <x:c r="I82" s="24">
        <x:f>_xlfn.IFNA(VLOOKUP(D82,Master_Section!$I:$K,2,FALSE),"")</x:f>
      </x:c>
      <x:c r="J82" s="24">
        <x:f>_xlfn.IFNA(VLOOKUP(D82,Master_Section!$I:$K,3,FALSE),"")</x:f>
      </x:c>
      <x:c r="L82" s="94">
        <x:f>IF(A82&lt;&gt;"CFA",_xlfn.IFNA(VLOOKUP($G82,Master!$AE:$AI,5,0),""),"")</x:f>
      </x:c>
      <x:c r="P82" s="26">
        <x:f>IF(N82&lt;&gt;"",IF(MONTH(N82)&gt;=4,"FY1"&amp;RIGHT(YEAR(N82)+1,2),"FY1"&amp;RIGHT(YEAR(N82),2)),"")</x:f>
      </x:c>
      <x:c r="Q82" s="37">
        <x:f>IF(K82&gt;0&amp;M82&gt;0,K82*M82,"")</x:f>
      </x:c>
    </x:row>
    <x:row r="83" spans="1:18" customFormat="1" ht="15" customHeight="1">
      <x:c r="B83" s="37">
        <x:f>_xlfn.IFNA(VLOOKUP(C83,Master_Section!$H:$I,2,FALSE),"")</x:f>
      </x:c>
      <x:c r="D83" s="37">
        <x:f>_xlfn.IFNA(VLOOKUP(E83,Master_Section!$H:$I,2,FALSE),"")</x:f>
      </x:c>
      <x:c r="F83" s="26">
        <x:f>_xlfn.IFNA(VLOOKUP(G83,Master!AE:AF,2,FALSE),"")</x:f>
      </x:c>
      <x:c r="I83" s="24">
        <x:f>_xlfn.IFNA(VLOOKUP(D83,Master_Section!$I:$K,2,FALSE),"")</x:f>
      </x:c>
      <x:c r="J83" s="24">
        <x:f>_xlfn.IFNA(VLOOKUP(D83,Master_Section!$I:$K,3,FALSE),"")</x:f>
      </x:c>
      <x:c r="L83" s="94">
        <x:f>IF(A83&lt;&gt;"CFA",_xlfn.IFNA(VLOOKUP($G83,Master!$AE:$AI,5,0),""),"")</x:f>
      </x:c>
      <x:c r="P83" s="26">
        <x:f>IF(N83&lt;&gt;"",IF(MONTH(N83)&gt;=4,"FY1"&amp;RIGHT(YEAR(N83)+1,2),"FY1"&amp;RIGHT(YEAR(N83),2)),"")</x:f>
      </x:c>
      <x:c r="Q83" s="37">
        <x:f>IF(K83&gt;0&amp;M83&gt;0,K83*M83,"")</x:f>
      </x:c>
    </x:row>
    <x:row r="84" spans="1:18" customFormat="1" ht="15" customHeight="1">
      <x:c r="B84" s="37">
        <x:f>_xlfn.IFNA(VLOOKUP(C84,Master_Section!$H:$I,2,FALSE),"")</x:f>
      </x:c>
      <x:c r="D84" s="37">
        <x:f>_xlfn.IFNA(VLOOKUP(E84,Master_Section!$H:$I,2,FALSE),"")</x:f>
      </x:c>
      <x:c r="F84" s="26">
        <x:f>_xlfn.IFNA(VLOOKUP(G84,Master!AE:AF,2,FALSE),"")</x:f>
      </x:c>
      <x:c r="I84" s="24">
        <x:f>_xlfn.IFNA(VLOOKUP(D84,Master_Section!$I:$K,2,FALSE),"")</x:f>
      </x:c>
      <x:c r="J84" s="24">
        <x:f>_xlfn.IFNA(VLOOKUP(D84,Master_Section!$I:$K,3,FALSE),"")</x:f>
      </x:c>
      <x:c r="L84" s="94">
        <x:f>IF(A84&lt;&gt;"CFA",_xlfn.IFNA(VLOOKUP($G84,Master!$AE:$AI,5,0),""),"")</x:f>
      </x:c>
      <x:c r="P84" s="26">
        <x:f>IF(N84&lt;&gt;"",IF(MONTH(N84)&gt;=4,"FY1"&amp;RIGHT(YEAR(N84)+1,2),"FY1"&amp;RIGHT(YEAR(N84),2)),"")</x:f>
      </x:c>
      <x:c r="Q84" s="37">
        <x:f>IF(K84&gt;0&amp;M84&gt;0,K84*M84,"")</x:f>
      </x:c>
    </x:row>
    <x:row r="85" spans="1:18" customFormat="1" ht="15" customHeight="1">
      <x:c r="B85" s="37">
        <x:f>_xlfn.IFNA(VLOOKUP(C85,Master_Section!$H:$I,2,FALSE),"")</x:f>
      </x:c>
      <x:c r="D85" s="37">
        <x:f>_xlfn.IFNA(VLOOKUP(E85,Master_Section!$H:$I,2,FALSE),"")</x:f>
      </x:c>
      <x:c r="F85" s="26">
        <x:f>_xlfn.IFNA(VLOOKUP(G85,Master!AE:AF,2,FALSE),"")</x:f>
      </x:c>
      <x:c r="I85" s="24">
        <x:f>_xlfn.IFNA(VLOOKUP(D85,Master_Section!$I:$K,2,FALSE),"")</x:f>
      </x:c>
      <x:c r="J85" s="24">
        <x:f>_xlfn.IFNA(VLOOKUP(D85,Master_Section!$I:$K,3,FALSE),"")</x:f>
      </x:c>
      <x:c r="L85" s="94">
        <x:f>IF(A85&lt;&gt;"CFA",_xlfn.IFNA(VLOOKUP($G85,Master!$AE:$AI,5,0),""),"")</x:f>
      </x:c>
      <x:c r="P85" s="26">
        <x:f>IF(N85&lt;&gt;"",IF(MONTH(N85)&gt;=4,"FY1"&amp;RIGHT(YEAR(N85)+1,2),"FY1"&amp;RIGHT(YEAR(N85),2)),"")</x:f>
      </x:c>
      <x:c r="Q85" s="37">
        <x:f>IF(K85&gt;0&amp;M85&gt;0,K85*M85,"")</x:f>
      </x:c>
    </x:row>
    <x:row r="86" spans="1:18" customFormat="1" ht="15" customHeight="1">
      <x:c r="B86" s="37">
        <x:f>_xlfn.IFNA(VLOOKUP(C86,Master_Section!$H:$I,2,FALSE),"")</x:f>
      </x:c>
      <x:c r="D86" s="37">
        <x:f>_xlfn.IFNA(VLOOKUP(E86,Master_Section!$H:$I,2,FALSE),"")</x:f>
      </x:c>
      <x:c r="F86" s="26">
        <x:f>_xlfn.IFNA(VLOOKUP(G86,Master!AE:AF,2,FALSE),"")</x:f>
      </x:c>
      <x:c r="I86" s="24">
        <x:f>_xlfn.IFNA(VLOOKUP(D86,Master_Section!$I:$K,2,FALSE),"")</x:f>
      </x:c>
      <x:c r="J86" s="24">
        <x:f>_xlfn.IFNA(VLOOKUP(D86,Master_Section!$I:$K,3,FALSE),"")</x:f>
      </x:c>
      <x:c r="L86" s="94">
        <x:f>IF(A86&lt;&gt;"CFA",_xlfn.IFNA(VLOOKUP($G86,Master!$AE:$AI,5,0),""),"")</x:f>
      </x:c>
      <x:c r="P86" s="26">
        <x:f>IF(N86&lt;&gt;"",IF(MONTH(N86)&gt;=4,"FY1"&amp;RIGHT(YEAR(N86)+1,2),"FY1"&amp;RIGHT(YEAR(N86),2)),"")</x:f>
      </x:c>
      <x:c r="Q86" s="37">
        <x:f>IF(K86&gt;0&amp;M86&gt;0,K86*M86,"")</x:f>
      </x:c>
    </x:row>
    <x:row r="87" spans="1:18" customFormat="1" ht="15" customHeight="1">
      <x:c r="B87" s="37">
        <x:f>_xlfn.IFNA(VLOOKUP(C87,Master_Section!$H:$I,2,FALSE),"")</x:f>
      </x:c>
      <x:c r="D87" s="37">
        <x:f>_xlfn.IFNA(VLOOKUP(E87,Master_Section!$H:$I,2,FALSE),"")</x:f>
      </x:c>
      <x:c r="F87" s="26">
        <x:f>_xlfn.IFNA(VLOOKUP(G87,Master!AE:AF,2,FALSE),"")</x:f>
      </x:c>
      <x:c r="I87" s="24">
        <x:f>_xlfn.IFNA(VLOOKUP(D87,Master_Section!$I:$K,2,FALSE),"")</x:f>
      </x:c>
      <x:c r="J87" s="24">
        <x:f>_xlfn.IFNA(VLOOKUP(D87,Master_Section!$I:$K,3,FALSE),"")</x:f>
      </x:c>
      <x:c r="L87" s="94">
        <x:f>IF(A87&lt;&gt;"CFA",_xlfn.IFNA(VLOOKUP($G87,Master!$AE:$AI,5,0),""),"")</x:f>
      </x:c>
      <x:c r="P87" s="26">
        <x:f>IF(N87&lt;&gt;"",IF(MONTH(N87)&gt;=4,"FY1"&amp;RIGHT(YEAR(N87)+1,2),"FY1"&amp;RIGHT(YEAR(N87),2)),"")</x:f>
      </x:c>
      <x:c r="Q87" s="37">
        <x:f>IF(K87&gt;0&amp;M87&gt;0,K87*M87,"")</x:f>
      </x:c>
    </x:row>
    <x:row r="88" spans="1:18" customFormat="1" ht="15" customHeight="1">
      <x:c r="B88" s="37">
        <x:f>_xlfn.IFNA(VLOOKUP(C88,Master_Section!$H:$I,2,FALSE),"")</x:f>
      </x:c>
      <x:c r="D88" s="37">
        <x:f>_xlfn.IFNA(VLOOKUP(E88,Master_Section!$H:$I,2,FALSE),"")</x:f>
      </x:c>
      <x:c r="F88" s="26">
        <x:f>_xlfn.IFNA(VLOOKUP(G88,Master!AE:AF,2,FALSE),"")</x:f>
      </x:c>
      <x:c r="I88" s="24">
        <x:f>_xlfn.IFNA(VLOOKUP(D88,Master_Section!$I:$K,2,FALSE),"")</x:f>
      </x:c>
      <x:c r="J88" s="24">
        <x:f>_xlfn.IFNA(VLOOKUP(D88,Master_Section!$I:$K,3,FALSE),"")</x:f>
      </x:c>
      <x:c r="L88" s="94">
        <x:f>IF(A88&lt;&gt;"CFA",_xlfn.IFNA(VLOOKUP($G88,Master!$AE:$AI,5,0),""),"")</x:f>
      </x:c>
      <x:c r="P88" s="26">
        <x:f>IF(N88&lt;&gt;"",IF(MONTH(N88)&gt;=4,"FY1"&amp;RIGHT(YEAR(N88)+1,2),"FY1"&amp;RIGHT(YEAR(N88),2)),"")</x:f>
      </x:c>
      <x:c r="Q88" s="37">
        <x:f>IF(K88&gt;0&amp;M88&gt;0,K88*M88,"")</x:f>
      </x:c>
    </x:row>
    <x:row r="89" spans="1:18" customFormat="1" ht="15" customHeight="1">
      <x:c r="B89" s="37">
        <x:f>_xlfn.IFNA(VLOOKUP(C89,Master_Section!$H:$I,2,FALSE),"")</x:f>
      </x:c>
      <x:c r="D89" s="37">
        <x:f>_xlfn.IFNA(VLOOKUP(E89,Master_Section!$H:$I,2,FALSE),"")</x:f>
      </x:c>
      <x:c r="F89" s="26">
        <x:f>_xlfn.IFNA(VLOOKUP(G89,Master!AE:AF,2,FALSE),"")</x:f>
      </x:c>
      <x:c r="I89" s="24">
        <x:f>_xlfn.IFNA(VLOOKUP(D89,Master_Section!$I:$K,2,FALSE),"")</x:f>
      </x:c>
      <x:c r="J89" s="24">
        <x:f>_xlfn.IFNA(VLOOKUP(D89,Master_Section!$I:$K,3,FALSE),"")</x:f>
      </x:c>
      <x:c r="L89" s="94">
        <x:f>IF(A89&lt;&gt;"CFA",_xlfn.IFNA(VLOOKUP($G89,Master!$AE:$AI,5,0),""),"")</x:f>
      </x:c>
      <x:c r="P89" s="26">
        <x:f>IF(N89&lt;&gt;"",IF(MONTH(N89)&gt;=4,"FY1"&amp;RIGHT(YEAR(N89)+1,2),"FY1"&amp;RIGHT(YEAR(N89),2)),"")</x:f>
      </x:c>
      <x:c r="Q89" s="37">
        <x:f>IF(K89&gt;0&amp;M89&gt;0,K89*M89,"")</x:f>
      </x:c>
    </x:row>
    <x:row r="90" spans="1:18" customFormat="1" ht="15" customHeight="1">
      <x:c r="B90" s="37">
        <x:f>_xlfn.IFNA(VLOOKUP(C90,Master_Section!$H:$I,2,FALSE),"")</x:f>
      </x:c>
      <x:c r="D90" s="37">
        <x:f>_xlfn.IFNA(VLOOKUP(E90,Master_Section!$H:$I,2,FALSE),"")</x:f>
      </x:c>
      <x:c r="F90" s="26">
        <x:f>_xlfn.IFNA(VLOOKUP(G90,Master!AE:AF,2,FALSE),"")</x:f>
      </x:c>
      <x:c r="I90" s="24">
        <x:f>_xlfn.IFNA(VLOOKUP(D90,Master_Section!$I:$K,2,FALSE),"")</x:f>
      </x:c>
      <x:c r="J90" s="24">
        <x:f>_xlfn.IFNA(VLOOKUP(D90,Master_Section!$I:$K,3,FALSE),"")</x:f>
      </x:c>
      <x:c r="L90" s="94">
        <x:f>IF(A90&lt;&gt;"CFA",_xlfn.IFNA(VLOOKUP($G90,Master!$AE:$AI,5,0),""),"")</x:f>
      </x:c>
      <x:c r="P90" s="26">
        <x:f>IF(N90&lt;&gt;"",IF(MONTH(N90)&gt;=4,"FY1"&amp;RIGHT(YEAR(N90)+1,2),"FY1"&amp;RIGHT(YEAR(N90),2)),"")</x:f>
      </x:c>
      <x:c r="Q90" s="37">
        <x:f>IF(K90&gt;0&amp;M90&gt;0,K90*M90,"")</x:f>
      </x:c>
    </x:row>
    <x:row r="91" spans="1:18" customFormat="1" ht="15" customHeight="1">
      <x:c r="B91" s="37">
        <x:f>_xlfn.IFNA(VLOOKUP(C91,Master_Section!$H:$I,2,FALSE),"")</x:f>
      </x:c>
      <x:c r="D91" s="37">
        <x:f>_xlfn.IFNA(VLOOKUP(E91,Master_Section!$H:$I,2,FALSE),"")</x:f>
      </x:c>
      <x:c r="F91" s="26">
        <x:f>_xlfn.IFNA(VLOOKUP(G91,Master!AE:AF,2,FALSE),"")</x:f>
      </x:c>
      <x:c r="I91" s="24">
        <x:f>_xlfn.IFNA(VLOOKUP(D91,Master_Section!$I:$K,2,FALSE),"")</x:f>
      </x:c>
      <x:c r="J91" s="24">
        <x:f>_xlfn.IFNA(VLOOKUP(D91,Master_Section!$I:$K,3,FALSE),"")</x:f>
      </x:c>
      <x:c r="L91" s="94">
        <x:f>IF(A91&lt;&gt;"CFA",_xlfn.IFNA(VLOOKUP($G91,Master!$AE:$AI,5,0),""),"")</x:f>
      </x:c>
      <x:c r="P91" s="26">
        <x:f>IF(N91&lt;&gt;"",IF(MONTH(N91)&gt;=4,"FY1"&amp;RIGHT(YEAR(N91)+1,2),"FY1"&amp;RIGHT(YEAR(N91),2)),"")</x:f>
      </x:c>
      <x:c r="Q91" s="37">
        <x:f>IF(K91&gt;0&amp;M91&gt;0,K91*M91,"")</x:f>
      </x:c>
    </x:row>
    <x:row r="92" spans="1:18" customFormat="1" ht="15" customHeight="1">
      <x:c r="B92" s="37">
        <x:f>_xlfn.IFNA(VLOOKUP(C92,Master_Section!$H:$I,2,FALSE),"")</x:f>
      </x:c>
      <x:c r="D92" s="37">
        <x:f>_xlfn.IFNA(VLOOKUP(E92,Master_Section!$H:$I,2,FALSE),"")</x:f>
      </x:c>
      <x:c r="F92" s="26">
        <x:f>_xlfn.IFNA(VLOOKUP(G92,Master!AE:AF,2,FALSE),"")</x:f>
      </x:c>
      <x:c r="I92" s="24">
        <x:f>_xlfn.IFNA(VLOOKUP(D92,Master_Section!$I:$K,2,FALSE),"")</x:f>
      </x:c>
      <x:c r="J92" s="24">
        <x:f>_xlfn.IFNA(VLOOKUP(D92,Master_Section!$I:$K,3,FALSE),"")</x:f>
      </x:c>
      <x:c r="L92" s="94">
        <x:f>IF(A92&lt;&gt;"CFA",_xlfn.IFNA(VLOOKUP($G92,Master!$AE:$AI,5,0),""),"")</x:f>
      </x:c>
      <x:c r="P92" s="26">
        <x:f>IF(N92&lt;&gt;"",IF(MONTH(N92)&gt;=4,"FY1"&amp;RIGHT(YEAR(N92)+1,2),"FY1"&amp;RIGHT(YEAR(N92),2)),"")</x:f>
      </x:c>
      <x:c r="Q92" s="37">
        <x:f>IF(K92&gt;0&amp;M92&gt;0,K92*M92,"")</x:f>
      </x:c>
    </x:row>
    <x:row r="93" spans="1:18" customFormat="1" ht="15" customHeight="1">
      <x:c r="B93" s="37">
        <x:f>_xlfn.IFNA(VLOOKUP(C93,Master_Section!$H:$I,2,FALSE),"")</x:f>
      </x:c>
      <x:c r="D93" s="37">
        <x:f>_xlfn.IFNA(VLOOKUP(E93,Master_Section!$H:$I,2,FALSE),"")</x:f>
      </x:c>
      <x:c r="F93" s="26">
        <x:f>_xlfn.IFNA(VLOOKUP(G93,Master!AE:AF,2,FALSE),"")</x:f>
      </x:c>
      <x:c r="I93" s="24">
        <x:f>_xlfn.IFNA(VLOOKUP(D93,Master_Section!$I:$K,2,FALSE),"")</x:f>
      </x:c>
      <x:c r="J93" s="24">
        <x:f>_xlfn.IFNA(VLOOKUP(D93,Master_Section!$I:$K,3,FALSE),"")</x:f>
      </x:c>
      <x:c r="L93" s="94">
        <x:f>IF(A93&lt;&gt;"CFA",_xlfn.IFNA(VLOOKUP($G93,Master!$AE:$AI,5,0),""),"")</x:f>
      </x:c>
      <x:c r="P93" s="26">
        <x:f>IF(N93&lt;&gt;"",IF(MONTH(N93)&gt;=4,"FY1"&amp;RIGHT(YEAR(N93)+1,2),"FY1"&amp;RIGHT(YEAR(N93),2)),"")</x:f>
      </x:c>
      <x:c r="Q93" s="37">
        <x:f>IF(K93&gt;0&amp;M93&gt;0,K93*M93,"")</x:f>
      </x:c>
    </x:row>
    <x:row r="94" spans="1:18" customFormat="1" ht="15" customHeight="1">
      <x:c r="B94" s="37">
        <x:f>_xlfn.IFNA(VLOOKUP(C94,Master_Section!$H:$I,2,FALSE),"")</x:f>
      </x:c>
      <x:c r="D94" s="37">
        <x:f>_xlfn.IFNA(VLOOKUP(E94,Master_Section!$H:$I,2,FALSE),"")</x:f>
      </x:c>
      <x:c r="F94" s="26">
        <x:f>_xlfn.IFNA(VLOOKUP(G94,Master!AE:AF,2,FALSE),"")</x:f>
      </x:c>
      <x:c r="I94" s="24">
        <x:f>_xlfn.IFNA(VLOOKUP(D94,Master_Section!$I:$K,2,FALSE),"")</x:f>
      </x:c>
      <x:c r="J94" s="24">
        <x:f>_xlfn.IFNA(VLOOKUP(D94,Master_Section!$I:$K,3,FALSE),"")</x:f>
      </x:c>
      <x:c r="L94" s="94">
        <x:f>IF(A94&lt;&gt;"CFA",_xlfn.IFNA(VLOOKUP($G94,Master!$AE:$AI,5,0),""),"")</x:f>
      </x:c>
      <x:c r="P94" s="26">
        <x:f>IF(N94&lt;&gt;"",IF(MONTH(N94)&gt;=4,"FY1"&amp;RIGHT(YEAR(N94)+1,2),"FY1"&amp;RIGHT(YEAR(N94),2)),"")</x:f>
      </x:c>
      <x:c r="Q94" s="37">
        <x:f>IF(K94&gt;0&amp;M94&gt;0,K94*M94,"")</x:f>
      </x:c>
    </x:row>
    <x:row r="95" spans="1:18" customFormat="1" ht="15" customHeight="1">
      <x:c r="B95" s="37">
        <x:f>_xlfn.IFNA(VLOOKUP(C95,Master_Section!$H:$I,2,FALSE),"")</x:f>
      </x:c>
      <x:c r="D95" s="37">
        <x:f>_xlfn.IFNA(VLOOKUP(E95,Master_Section!$H:$I,2,FALSE),"")</x:f>
      </x:c>
      <x:c r="F95" s="26">
        <x:f>_xlfn.IFNA(VLOOKUP(G95,Master!AE:AF,2,FALSE),"")</x:f>
      </x:c>
      <x:c r="I95" s="24">
        <x:f>_xlfn.IFNA(VLOOKUP(D95,Master_Section!$I:$K,2,FALSE),"")</x:f>
      </x:c>
      <x:c r="J95" s="24">
        <x:f>_xlfn.IFNA(VLOOKUP(D95,Master_Section!$I:$K,3,FALSE),"")</x:f>
      </x:c>
      <x:c r="L95" s="94">
        <x:f>IF(A95&lt;&gt;"CFA",_xlfn.IFNA(VLOOKUP($G95,Master!$AE:$AI,5,0),""),"")</x:f>
      </x:c>
      <x:c r="P95" s="26">
        <x:f>IF(N95&lt;&gt;"",IF(MONTH(N95)&gt;=4,"FY1"&amp;RIGHT(YEAR(N95)+1,2),"FY1"&amp;RIGHT(YEAR(N95),2)),"")</x:f>
      </x:c>
      <x:c r="Q95" s="37">
        <x:f>IF(K95&gt;0&amp;M95&gt;0,K95*M95,"")</x:f>
      </x:c>
    </x:row>
    <x:row r="96" spans="1:18" customFormat="1" ht="15" customHeight="1">
      <x:c r="B96" s="37">
        <x:f>_xlfn.IFNA(VLOOKUP(C96,Master_Section!$H:$I,2,FALSE),"")</x:f>
      </x:c>
      <x:c r="D96" s="37">
        <x:f>_xlfn.IFNA(VLOOKUP(E96,Master_Section!$H:$I,2,FALSE),"")</x:f>
      </x:c>
      <x:c r="F96" s="26">
        <x:f>_xlfn.IFNA(VLOOKUP(G96,Master!AE:AF,2,FALSE),"")</x:f>
      </x:c>
      <x:c r="I96" s="24">
        <x:f>_xlfn.IFNA(VLOOKUP(D96,Master_Section!$I:$K,2,FALSE),"")</x:f>
      </x:c>
      <x:c r="J96" s="24">
        <x:f>_xlfn.IFNA(VLOOKUP(D96,Master_Section!$I:$K,3,FALSE),"")</x:f>
      </x:c>
      <x:c r="L96" s="94">
        <x:f>IF(A96&lt;&gt;"CFA",_xlfn.IFNA(VLOOKUP($G96,Master!$AE:$AI,5,0),""),"")</x:f>
      </x:c>
      <x:c r="P96" s="26">
        <x:f>IF(N96&lt;&gt;"",IF(MONTH(N96)&gt;=4,"FY1"&amp;RIGHT(YEAR(N96)+1,2),"FY1"&amp;RIGHT(YEAR(N96),2)),"")</x:f>
      </x:c>
      <x:c r="Q96" s="37">
        <x:f>IF(K96&gt;0&amp;M96&gt;0,K96*M96,"")</x:f>
      </x:c>
    </x:row>
    <x:row r="97" spans="1:18" customFormat="1" ht="15" customHeight="1">
      <x:c r="B97" s="37">
        <x:f>_xlfn.IFNA(VLOOKUP(C97,Master_Section!$H:$I,2,FALSE),"")</x:f>
      </x:c>
      <x:c r="D97" s="37">
        <x:f>_xlfn.IFNA(VLOOKUP(E97,Master_Section!$H:$I,2,FALSE),"")</x:f>
      </x:c>
      <x:c r="F97" s="26">
        <x:f>_xlfn.IFNA(VLOOKUP(G97,Master!AE:AF,2,FALSE),"")</x:f>
      </x:c>
      <x:c r="I97" s="24">
        <x:f>_xlfn.IFNA(VLOOKUP(D97,Master_Section!$I:$K,2,FALSE),"")</x:f>
      </x:c>
      <x:c r="J97" s="24">
        <x:f>_xlfn.IFNA(VLOOKUP(D97,Master_Section!$I:$K,3,FALSE),"")</x:f>
      </x:c>
      <x:c r="L97" s="94">
        <x:f>IF(A97&lt;&gt;"CFA",_xlfn.IFNA(VLOOKUP($G97,Master!$AE:$AI,5,0),""),"")</x:f>
      </x:c>
      <x:c r="P97" s="26">
        <x:f>IF(N97&lt;&gt;"",IF(MONTH(N97)&gt;=4,"FY1"&amp;RIGHT(YEAR(N97)+1,2),"FY1"&amp;RIGHT(YEAR(N97),2)),"")</x:f>
      </x:c>
      <x:c r="Q97" s="37">
        <x:f>IF(K97&gt;0&amp;M97&gt;0,K97*M97,"")</x:f>
      </x:c>
    </x:row>
    <x:row r="98" spans="1:18" customFormat="1" ht="15" customHeight="1">
      <x:c r="B98" s="37">
        <x:f>_xlfn.IFNA(VLOOKUP(C98,Master_Section!$H:$I,2,FALSE),"")</x:f>
      </x:c>
      <x:c r="D98" s="37">
        <x:f>_xlfn.IFNA(VLOOKUP(E98,Master_Section!$H:$I,2,FALSE),"")</x:f>
      </x:c>
      <x:c r="F98" s="26">
        <x:f>_xlfn.IFNA(VLOOKUP(G98,Master!AE:AF,2,FALSE),"")</x:f>
      </x:c>
      <x:c r="I98" s="24">
        <x:f>_xlfn.IFNA(VLOOKUP(D98,Master_Section!$I:$K,2,FALSE),"")</x:f>
      </x:c>
      <x:c r="J98" s="24">
        <x:f>_xlfn.IFNA(VLOOKUP(D98,Master_Section!$I:$K,3,FALSE),"")</x:f>
      </x:c>
      <x:c r="L98" s="94">
        <x:f>IF(A98&lt;&gt;"CFA",_xlfn.IFNA(VLOOKUP($G98,Master!$AE:$AI,5,0),""),"")</x:f>
      </x:c>
      <x:c r="P98" s="26">
        <x:f>IF(N98&lt;&gt;"",IF(MONTH(N98)&gt;=4,"FY1"&amp;RIGHT(YEAR(N98)+1,2),"FY1"&amp;RIGHT(YEAR(N98),2)),"")</x:f>
      </x:c>
      <x:c r="Q98" s="37">
        <x:f>IF(K98&gt;0&amp;M98&gt;0,K98*M98,"")</x:f>
      </x:c>
    </x:row>
    <x:row r="99" spans="1:18" customFormat="1" ht="15" customHeight="1">
      <x:c r="B99" s="37">
        <x:f>_xlfn.IFNA(VLOOKUP(C99,Master_Section!$H:$I,2,FALSE),"")</x:f>
      </x:c>
      <x:c r="D99" s="37">
        <x:f>_xlfn.IFNA(VLOOKUP(E99,Master_Section!$H:$I,2,FALSE),"")</x:f>
      </x:c>
      <x:c r="F99" s="26">
        <x:f>_xlfn.IFNA(VLOOKUP(G99,Master!AE:AF,2,FALSE),"")</x:f>
      </x:c>
      <x:c r="I99" s="24">
        <x:f>_xlfn.IFNA(VLOOKUP(D99,Master_Section!$I:$K,2,FALSE),"")</x:f>
      </x:c>
      <x:c r="J99" s="24">
        <x:f>_xlfn.IFNA(VLOOKUP(D99,Master_Section!$I:$K,3,FALSE),"")</x:f>
      </x:c>
      <x:c r="L99" s="94">
        <x:f>IF(A99&lt;&gt;"CFA",_xlfn.IFNA(VLOOKUP($G99,Master!$AE:$AI,5,0),""),"")</x:f>
      </x:c>
      <x:c r="P99" s="26">
        <x:f>IF(N99&lt;&gt;"",IF(MONTH(N99)&gt;=4,"FY1"&amp;RIGHT(YEAR(N99)+1,2),"FY1"&amp;RIGHT(YEAR(N99),2)),"")</x:f>
      </x:c>
      <x:c r="Q99" s="37">
        <x:f>IF(K99&gt;0&amp;M99&gt;0,K99*M99,"")</x:f>
      </x:c>
    </x:row>
    <x:row r="100" spans="1:18" customFormat="1" ht="15" customHeight="1">
      <x:c r="B100" s="37">
        <x:f>_xlfn.IFNA(VLOOKUP(C100,Master_Section!$H:$I,2,FALSE),"")</x:f>
      </x:c>
      <x:c r="D100" s="37">
        <x:f>_xlfn.IFNA(VLOOKUP(E100,Master_Section!$H:$I,2,FALSE),"")</x:f>
      </x:c>
      <x:c r="F100" s="26">
        <x:f>_xlfn.IFNA(VLOOKUP(G100,Master!AE:AF,2,FALSE),"")</x:f>
      </x:c>
      <x:c r="I100" s="24">
        <x:f>_xlfn.IFNA(VLOOKUP(D100,Master_Section!$I:$K,2,FALSE),"")</x:f>
      </x:c>
      <x:c r="J100" s="24">
        <x:f>_xlfn.IFNA(VLOOKUP(D100,Master_Section!$I:$K,3,FALSE),"")</x:f>
      </x:c>
      <x:c r="L100" s="94">
        <x:f>IF(A100&lt;&gt;"CFA",_xlfn.IFNA(VLOOKUP($G100,Master!$AE:$AI,5,0),""),"")</x:f>
      </x:c>
      <x:c r="P100" s="26">
        <x:f>IF(N100&lt;&gt;"",IF(MONTH(N100)&gt;=4,"FY1"&amp;RIGHT(YEAR(N100)+1,2),"FY1"&amp;RIGHT(YEAR(N100),2)),"")</x:f>
      </x:c>
      <x:c r="Q100" s="37">
        <x:f>IF(K100&gt;0&amp;M100&gt;0,K100*M100,"")</x:f>
      </x:c>
    </x:row>
    <x:row r="101" spans="1:18" customFormat="1" ht="15" customHeight="1">
      <x:c r="B101" s="37">
        <x:f>_xlfn.IFNA(VLOOKUP(C101,Master_Section!$H:$I,2,FALSE),"")</x:f>
      </x:c>
      <x:c r="D101" s="37">
        <x:f>_xlfn.IFNA(VLOOKUP(E101,Master_Section!$H:$I,2,FALSE),"")</x:f>
      </x:c>
      <x:c r="F101" s="26">
        <x:f>_xlfn.IFNA(VLOOKUP(G101,Master!AE:AF,2,FALSE),"")</x:f>
      </x:c>
      <x:c r="I101" s="24">
        <x:f>_xlfn.IFNA(VLOOKUP(D101,Master_Section!$I:$K,2,FALSE),"")</x:f>
      </x:c>
      <x:c r="J101" s="24">
        <x:f>_xlfn.IFNA(VLOOKUP(D101,Master_Section!$I:$K,3,FALSE),"")</x:f>
      </x:c>
      <x:c r="L101" s="94">
        <x:f>IF(A101&lt;&gt;"CFA",_xlfn.IFNA(VLOOKUP($G101,Master!$AE:$AI,5,0),""),"")</x:f>
      </x:c>
      <x:c r="P101" s="26">
        <x:f>IF(N101&lt;&gt;"",IF(MONTH(N101)&gt;=4,"FY1"&amp;RIGHT(YEAR(N101)+1,2),"FY1"&amp;RIGHT(YEAR(N101),2)),"")</x:f>
      </x:c>
      <x:c r="Q101" s="37">
        <x:f>IF(K101&gt;0&amp;M101&gt;0,K101*M101,"")</x:f>
      </x:c>
    </x:row>
    <x:row r="102" spans="1:18" customFormat="1" ht="15" customHeight="1">
      <x:c r="B102" s="37">
        <x:f>_xlfn.IFNA(VLOOKUP(C102,Master_Section!$H:$I,2,FALSE),"")</x:f>
      </x:c>
      <x:c r="D102" s="37">
        <x:f>_xlfn.IFNA(VLOOKUP(E102,Master_Section!$H:$I,2,FALSE),"")</x:f>
      </x:c>
      <x:c r="F102" s="26">
        <x:f>_xlfn.IFNA(VLOOKUP(G102,Master!AE:AF,2,FALSE),"")</x:f>
      </x:c>
      <x:c r="I102" s="24">
        <x:f>_xlfn.IFNA(VLOOKUP(D102,Master_Section!$I:$K,2,FALSE),"")</x:f>
      </x:c>
      <x:c r="J102" s="24">
        <x:f>_xlfn.IFNA(VLOOKUP(D102,Master_Section!$I:$K,3,FALSE),"")</x:f>
      </x:c>
      <x:c r="L102" s="94">
        <x:f>IF(A102&lt;&gt;"CFA",_xlfn.IFNA(VLOOKUP($G102,Master!$AE:$AI,5,0),""),"")</x:f>
      </x:c>
      <x:c r="P102" s="26">
        <x:f>IF(N102&lt;&gt;"",IF(MONTH(N102)&gt;=4,"FY1"&amp;RIGHT(YEAR(N102)+1,2),"FY1"&amp;RIGHT(YEAR(N102),2)),"")</x:f>
      </x:c>
      <x:c r="Q102" s="37">
        <x:f>IF(K102&gt;0&amp;M102&gt;0,K102*M102,"")</x:f>
      </x:c>
    </x:row>
    <x:row r="103" spans="1:18" customFormat="1" ht="15" customHeight="1">
      <x:c r="B103" s="37">
        <x:f>_xlfn.IFNA(VLOOKUP(C103,Master_Section!$H:$I,2,FALSE),"")</x:f>
      </x:c>
      <x:c r="D103" s="37">
        <x:f>_xlfn.IFNA(VLOOKUP(E103,Master_Section!$H:$I,2,FALSE),"")</x:f>
      </x:c>
      <x:c r="F103" s="26">
        <x:f>_xlfn.IFNA(VLOOKUP(G103,Master!AE:AF,2,FALSE),"")</x:f>
      </x:c>
      <x:c r="I103" s="24">
        <x:f>_xlfn.IFNA(VLOOKUP(D103,Master_Section!$I:$K,2,FALSE),"")</x:f>
      </x:c>
      <x:c r="J103" s="24">
        <x:f>_xlfn.IFNA(VLOOKUP(D103,Master_Section!$I:$K,3,FALSE),"")</x:f>
      </x:c>
      <x:c r="L103" s="94">
        <x:f>IF(A103&lt;&gt;"CFA",_xlfn.IFNA(VLOOKUP($G103,Master!$AE:$AI,5,0),""),"")</x:f>
      </x:c>
      <x:c r="P103" s="26">
        <x:f>IF(N103&lt;&gt;"",IF(MONTH(N103)&gt;=4,"FY1"&amp;RIGHT(YEAR(N103)+1,2),"FY1"&amp;RIGHT(YEAR(N103),2)),"")</x:f>
      </x:c>
      <x:c r="Q103" s="37">
        <x:f>IF(K103&gt;0&amp;M103&gt;0,K103*M103,"")</x:f>
      </x:c>
    </x:row>
    <x:row r="104" spans="1:18" customFormat="1" ht="15" customHeight="1">
      <x:c r="B104" s="37">
        <x:f>_xlfn.IFNA(VLOOKUP(C104,Master_Section!$H:$I,2,FALSE),"")</x:f>
      </x:c>
      <x:c r="D104" s="37">
        <x:f>_xlfn.IFNA(VLOOKUP(E104,Master_Section!$H:$I,2,FALSE),"")</x:f>
      </x:c>
      <x:c r="F104" s="26">
        <x:f>_xlfn.IFNA(VLOOKUP(G104,Master!AE:AF,2,FALSE),"")</x:f>
      </x:c>
      <x:c r="I104" s="24">
        <x:f>_xlfn.IFNA(VLOOKUP(D104,Master_Section!$I:$K,2,FALSE),"")</x:f>
      </x:c>
      <x:c r="J104" s="24">
        <x:f>_xlfn.IFNA(VLOOKUP(D104,Master_Section!$I:$K,3,FALSE),"")</x:f>
      </x:c>
      <x:c r="L104" s="94">
        <x:f>IF(A104&lt;&gt;"CFA",_xlfn.IFNA(VLOOKUP($G104,Master!$AE:$AI,5,0),""),"")</x:f>
      </x:c>
      <x:c r="P104" s="26">
        <x:f>IF(N104&lt;&gt;"",IF(MONTH(N104)&gt;=4,"FY1"&amp;RIGHT(YEAR(N104)+1,2),"FY1"&amp;RIGHT(YEAR(N104),2)),"")</x:f>
      </x:c>
      <x:c r="Q104" s="37">
        <x:f>IF(K104&gt;0&amp;M104&gt;0,K104*M104,"")</x:f>
      </x:c>
    </x:row>
    <x:row r="105" spans="1:18" customFormat="1" ht="15" customHeight="1">
      <x:c r="B105" s="37">
        <x:f>_xlfn.IFNA(VLOOKUP(C105,Master_Section!$H:$I,2,FALSE),"")</x:f>
      </x:c>
      <x:c r="D105" s="37">
        <x:f>_xlfn.IFNA(VLOOKUP(E105,Master_Section!$H:$I,2,FALSE),"")</x:f>
      </x:c>
      <x:c r="F105" s="26">
        <x:f>_xlfn.IFNA(VLOOKUP(G105,Master!AE:AF,2,FALSE),"")</x:f>
      </x:c>
      <x:c r="I105" s="24">
        <x:f>_xlfn.IFNA(VLOOKUP(D105,Master_Section!$I:$K,2,FALSE),"")</x:f>
      </x:c>
      <x:c r="J105" s="24">
        <x:f>_xlfn.IFNA(VLOOKUP(D105,Master_Section!$I:$K,3,FALSE),"")</x:f>
      </x:c>
      <x:c r="L105" s="94">
        <x:f>IF(A105&lt;&gt;"CFA",_xlfn.IFNA(VLOOKUP($G105,Master!$AE:$AI,5,0),""),"")</x:f>
      </x:c>
      <x:c r="P105" s="26">
        <x:f>IF(N105&lt;&gt;"",IF(MONTH(N105)&gt;=4,"FY1"&amp;RIGHT(YEAR(N105)+1,2),"FY1"&amp;RIGHT(YEAR(N105),2)),"")</x:f>
      </x:c>
      <x:c r="Q105" s="37">
        <x:f>IF(K105&gt;0&amp;M105&gt;0,K105*M105,"")</x:f>
      </x:c>
    </x:row>
    <x:row r="106" spans="1:18" customFormat="1" ht="15" customHeight="1">
      <x:c r="B106" s="37">
        <x:f>_xlfn.IFNA(VLOOKUP(C106,Master_Section!$H:$I,2,FALSE),"")</x:f>
      </x:c>
      <x:c r="D106" s="37">
        <x:f>_xlfn.IFNA(VLOOKUP(E106,Master_Section!$H:$I,2,FALSE),"")</x:f>
      </x:c>
      <x:c r="F106" s="26">
        <x:f>_xlfn.IFNA(VLOOKUP(G106,Master!AE:AF,2,FALSE),"")</x:f>
      </x:c>
      <x:c r="I106" s="24">
        <x:f>_xlfn.IFNA(VLOOKUP(D106,Master_Section!$I:$K,2,FALSE),"")</x:f>
      </x:c>
      <x:c r="J106" s="24">
        <x:f>_xlfn.IFNA(VLOOKUP(D106,Master_Section!$I:$K,3,FALSE),"")</x:f>
      </x:c>
      <x:c r="L106" s="94">
        <x:f>IF(A106&lt;&gt;"CFA",_xlfn.IFNA(VLOOKUP($G106,Master!$AE:$AI,5,0),""),"")</x:f>
      </x:c>
      <x:c r="P106" s="26">
        <x:f>IF(N106&lt;&gt;"",IF(MONTH(N106)&gt;=4,"FY1"&amp;RIGHT(YEAR(N106)+1,2),"FY1"&amp;RIGHT(YEAR(N106),2)),"")</x:f>
      </x:c>
      <x:c r="Q106" s="37">
        <x:f>IF(K106&gt;0&amp;M106&gt;0,K106*M106,"")</x:f>
      </x:c>
    </x:row>
    <x:row r="107" spans="1:18" customFormat="1" ht="15" customHeight="1">
      <x:c r="B107" s="37">
        <x:f>_xlfn.IFNA(VLOOKUP(C107,Master_Section!$H:$I,2,FALSE),"")</x:f>
      </x:c>
      <x:c r="D107" s="37">
        <x:f>_xlfn.IFNA(VLOOKUP(E107,Master_Section!$H:$I,2,FALSE),"")</x:f>
      </x:c>
      <x:c r="F107" s="26">
        <x:f>_xlfn.IFNA(VLOOKUP(G107,Master!AE:AF,2,FALSE),"")</x:f>
      </x:c>
      <x:c r="I107" s="24">
        <x:f>_xlfn.IFNA(VLOOKUP(D107,Master_Section!$I:$K,2,FALSE),"")</x:f>
      </x:c>
      <x:c r="J107" s="24">
        <x:f>_xlfn.IFNA(VLOOKUP(D107,Master_Section!$I:$K,3,FALSE),"")</x:f>
      </x:c>
      <x:c r="L107" s="94">
        <x:f>IF(A107&lt;&gt;"CFA",_xlfn.IFNA(VLOOKUP($G107,Master!$AE:$AI,5,0),""),"")</x:f>
      </x:c>
      <x:c r="P107" s="26">
        <x:f>IF(N107&lt;&gt;"",IF(MONTH(N107)&gt;=4,"FY1"&amp;RIGHT(YEAR(N107)+1,2),"FY1"&amp;RIGHT(YEAR(N107),2)),"")</x:f>
      </x:c>
      <x:c r="Q107" s="37">
        <x:f>IF(K107&gt;0&amp;M107&gt;0,K107*M107,"")</x:f>
      </x:c>
    </x:row>
    <x:row r="108" spans="1:18" customFormat="1" ht="15" customHeight="1">
      <x:c r="B108" s="37">
        <x:f>_xlfn.IFNA(VLOOKUP(C108,Master_Section!$H:$I,2,FALSE),"")</x:f>
      </x:c>
      <x:c r="D108" s="37">
        <x:f>_xlfn.IFNA(VLOOKUP(E108,Master_Section!$H:$I,2,FALSE),"")</x:f>
      </x:c>
      <x:c r="F108" s="26">
        <x:f>_xlfn.IFNA(VLOOKUP(G108,Master!AE:AF,2,FALSE),"")</x:f>
      </x:c>
      <x:c r="I108" s="24">
        <x:f>_xlfn.IFNA(VLOOKUP(D108,Master_Section!$I:$K,2,FALSE),"")</x:f>
      </x:c>
      <x:c r="J108" s="24">
        <x:f>_xlfn.IFNA(VLOOKUP(D108,Master_Section!$I:$K,3,FALSE),"")</x:f>
      </x:c>
      <x:c r="L108" s="94">
        <x:f>IF(A108&lt;&gt;"CFA",_xlfn.IFNA(VLOOKUP($G108,Master!$AE:$AI,5,0),""),"")</x:f>
      </x:c>
      <x:c r="P108" s="26">
        <x:f>IF(N108&lt;&gt;"",IF(MONTH(N108)&gt;=4,"FY1"&amp;RIGHT(YEAR(N108)+1,2),"FY1"&amp;RIGHT(YEAR(N108),2)),"")</x:f>
      </x:c>
      <x:c r="Q108" s="37">
        <x:f>IF(K108&gt;0&amp;M108&gt;0,K108*M108,"")</x:f>
      </x:c>
    </x:row>
    <x:row r="109" spans="1:18" customFormat="1" ht="15" customHeight="1">
      <x:c r="B109" s="37">
        <x:f>_xlfn.IFNA(VLOOKUP(C109,Master_Section!$H:$I,2,FALSE),"")</x:f>
      </x:c>
      <x:c r="D109" s="37">
        <x:f>_xlfn.IFNA(VLOOKUP(E109,Master_Section!$H:$I,2,FALSE),"")</x:f>
      </x:c>
      <x:c r="F109" s="26">
        <x:f>_xlfn.IFNA(VLOOKUP(G109,Master!AE:AF,2,FALSE),"")</x:f>
      </x:c>
      <x:c r="I109" s="24">
        <x:f>_xlfn.IFNA(VLOOKUP(D109,Master_Section!$I:$K,2,FALSE),"")</x:f>
      </x:c>
      <x:c r="J109" s="24">
        <x:f>_xlfn.IFNA(VLOOKUP(D109,Master_Section!$I:$K,3,FALSE),"")</x:f>
      </x:c>
      <x:c r="L109" s="94">
        <x:f>IF(A109&lt;&gt;"CFA",_xlfn.IFNA(VLOOKUP($G109,Master!$AE:$AI,5,0),""),"")</x:f>
      </x:c>
      <x:c r="P109" s="26">
        <x:f>IF(N109&lt;&gt;"",IF(MONTH(N109)&gt;=4,"FY1"&amp;RIGHT(YEAR(N109)+1,2),"FY1"&amp;RIGHT(YEAR(N109),2)),"")</x:f>
      </x:c>
      <x:c r="Q109" s="37">
        <x:f>IF(K109&gt;0&amp;M109&gt;0,K109*M109,"")</x:f>
      </x:c>
    </x:row>
    <x:row r="110" spans="1:18" customFormat="1" ht="15" customHeight="1">
      <x:c r="B110" s="37">
        <x:f>_xlfn.IFNA(VLOOKUP(C110,Master_Section!$H:$I,2,FALSE),"")</x:f>
      </x:c>
      <x:c r="D110" s="37">
        <x:f>_xlfn.IFNA(VLOOKUP(E110,Master_Section!$H:$I,2,FALSE),"")</x:f>
      </x:c>
      <x:c r="F110" s="26">
        <x:f>_xlfn.IFNA(VLOOKUP(G110,Master!AE:AF,2,FALSE),"")</x:f>
      </x:c>
      <x:c r="I110" s="24">
        <x:f>_xlfn.IFNA(VLOOKUP(D110,Master_Section!$I:$K,2,FALSE),"")</x:f>
      </x:c>
      <x:c r="J110" s="24">
        <x:f>_xlfn.IFNA(VLOOKUP(D110,Master_Section!$I:$K,3,FALSE),"")</x:f>
      </x:c>
      <x:c r="L110" s="94">
        <x:f>IF(A110&lt;&gt;"CFA",_xlfn.IFNA(VLOOKUP($G110,Master!$AE:$AI,5,0),""),"")</x:f>
      </x:c>
      <x:c r="P110" s="26">
        <x:f>IF(N110&lt;&gt;"",IF(MONTH(N110)&gt;=4,"FY1"&amp;RIGHT(YEAR(N110)+1,2),"FY1"&amp;RIGHT(YEAR(N110),2)),"")</x:f>
      </x:c>
      <x:c r="Q110" s="37">
        <x:f>IF(K110&gt;0&amp;M110&gt;0,K110*M110,"")</x:f>
      </x:c>
    </x:row>
    <x:row r="111" spans="1:18" customFormat="1" ht="15" customHeight="1">
      <x:c r="B111" s="37">
        <x:f>_xlfn.IFNA(VLOOKUP(C111,Master_Section!$H:$I,2,FALSE),"")</x:f>
      </x:c>
      <x:c r="D111" s="37">
        <x:f>_xlfn.IFNA(VLOOKUP(E111,Master_Section!$H:$I,2,FALSE),"")</x:f>
      </x:c>
      <x:c r="F111" s="26">
        <x:f>_xlfn.IFNA(VLOOKUP(G111,Master!AE:AF,2,FALSE),"")</x:f>
      </x:c>
      <x:c r="I111" s="24">
        <x:f>_xlfn.IFNA(VLOOKUP(D111,Master_Section!$I:$K,2,FALSE),"")</x:f>
      </x:c>
      <x:c r="J111" s="24">
        <x:f>_xlfn.IFNA(VLOOKUP(D111,Master_Section!$I:$K,3,FALSE),"")</x:f>
      </x:c>
      <x:c r="L111" s="94">
        <x:f>IF(A111&lt;&gt;"CFA",_xlfn.IFNA(VLOOKUP($G111,Master!$AE:$AI,5,0),""),"")</x:f>
      </x:c>
      <x:c r="P111" s="26">
        <x:f>IF(N111&lt;&gt;"",IF(MONTH(N111)&gt;=4,"FY1"&amp;RIGHT(YEAR(N111)+1,2),"FY1"&amp;RIGHT(YEAR(N111),2)),"")</x:f>
      </x:c>
      <x:c r="Q111" s="37">
        <x:f>IF(K111&gt;0&amp;M111&gt;0,K111*M111,"")</x:f>
      </x:c>
    </x:row>
    <x:row r="112" spans="1:18" customFormat="1" ht="15" customHeight="1">
      <x:c r="B112" s="37">
        <x:f>_xlfn.IFNA(VLOOKUP(C112,Master_Section!$H:$I,2,FALSE),"")</x:f>
      </x:c>
      <x:c r="D112" s="37">
        <x:f>_xlfn.IFNA(VLOOKUP(E112,Master_Section!$H:$I,2,FALSE),"")</x:f>
      </x:c>
      <x:c r="F112" s="26">
        <x:f>_xlfn.IFNA(VLOOKUP(G112,Master!AE:AF,2,FALSE),"")</x:f>
      </x:c>
      <x:c r="I112" s="24">
        <x:f>_xlfn.IFNA(VLOOKUP(D112,Master_Section!$I:$K,2,FALSE),"")</x:f>
      </x:c>
      <x:c r="J112" s="24">
        <x:f>_xlfn.IFNA(VLOOKUP(D112,Master_Section!$I:$K,3,FALSE),"")</x:f>
      </x:c>
      <x:c r="L112" s="94">
        <x:f>IF(A112&lt;&gt;"CFA",_xlfn.IFNA(VLOOKUP($G112,Master!$AE:$AI,5,0),""),"")</x:f>
      </x:c>
      <x:c r="P112" s="26">
        <x:f>IF(N112&lt;&gt;"",IF(MONTH(N112)&gt;=4,"FY1"&amp;RIGHT(YEAR(N112)+1,2),"FY1"&amp;RIGHT(YEAR(N112),2)),"")</x:f>
      </x:c>
      <x:c r="Q112" s="37">
        <x:f>IF(K112&gt;0&amp;M112&gt;0,K112*M112,"")</x:f>
      </x:c>
    </x:row>
    <x:row r="113" spans="1:18" customFormat="1" ht="15" customHeight="1">
      <x:c r="B113" s="37">
        <x:f>_xlfn.IFNA(VLOOKUP(C113,Master_Section!$H:$I,2,FALSE),"")</x:f>
      </x:c>
      <x:c r="D113" s="37">
        <x:f>_xlfn.IFNA(VLOOKUP(E113,Master_Section!$H:$I,2,FALSE),"")</x:f>
      </x:c>
      <x:c r="F113" s="26">
        <x:f>_xlfn.IFNA(VLOOKUP(G113,Master!AE:AF,2,FALSE),"")</x:f>
      </x:c>
      <x:c r="I113" s="24">
        <x:f>_xlfn.IFNA(VLOOKUP(D113,Master_Section!$I:$K,2,FALSE),"")</x:f>
      </x:c>
      <x:c r="J113" s="24">
        <x:f>_xlfn.IFNA(VLOOKUP(D113,Master_Section!$I:$K,3,FALSE),"")</x:f>
      </x:c>
      <x:c r="L113" s="94">
        <x:f>IF(A113&lt;&gt;"CFA",_xlfn.IFNA(VLOOKUP($G113,Master!$AE:$AI,5,0),""),"")</x:f>
      </x:c>
      <x:c r="P113" s="26">
        <x:f>IF(N113&lt;&gt;"",IF(MONTH(N113)&gt;=4,"FY1"&amp;RIGHT(YEAR(N113)+1,2),"FY1"&amp;RIGHT(YEAR(N113),2)),"")</x:f>
      </x:c>
      <x:c r="Q113" s="37">
        <x:f>IF(K113&gt;0&amp;M113&gt;0,K113*M113,"")</x:f>
      </x:c>
    </x:row>
    <x:row r="114" spans="1:18" customFormat="1" ht="15" customHeight="1">
      <x:c r="B114" s="37">
        <x:f>_xlfn.IFNA(VLOOKUP(C114,Master_Section!$H:$I,2,FALSE),"")</x:f>
      </x:c>
      <x:c r="D114" s="37">
        <x:f>_xlfn.IFNA(VLOOKUP(E114,Master_Section!$H:$I,2,FALSE),"")</x:f>
      </x:c>
      <x:c r="F114" s="26">
        <x:f>_xlfn.IFNA(VLOOKUP(G114,Master!AE:AF,2,FALSE),"")</x:f>
      </x:c>
      <x:c r="I114" s="24">
        <x:f>_xlfn.IFNA(VLOOKUP(D114,Master_Section!$I:$K,2,FALSE),"")</x:f>
      </x:c>
      <x:c r="J114" s="24">
        <x:f>_xlfn.IFNA(VLOOKUP(D114,Master_Section!$I:$K,3,FALSE),"")</x:f>
      </x:c>
      <x:c r="L114" s="94">
        <x:f>IF(A114&lt;&gt;"CFA",_xlfn.IFNA(VLOOKUP($G114,Master!$AE:$AI,5,0),""),"")</x:f>
      </x:c>
      <x:c r="P114" s="26">
        <x:f>IF(N114&lt;&gt;"",IF(MONTH(N114)&gt;=4,"FY1"&amp;RIGHT(YEAR(N114)+1,2),"FY1"&amp;RIGHT(YEAR(N114),2)),"")</x:f>
      </x:c>
      <x:c r="Q114" s="37">
        <x:f>IF(K114&gt;0&amp;M114&gt;0,K114*M114,"")</x:f>
      </x:c>
    </x:row>
    <x:row r="115" spans="1:18" customFormat="1" ht="15" customHeight="1">
      <x:c r="B115" s="37">
        <x:f>_xlfn.IFNA(VLOOKUP(C115,Master_Section!$H:$I,2,FALSE),"")</x:f>
      </x:c>
      <x:c r="D115" s="37">
        <x:f>_xlfn.IFNA(VLOOKUP(E115,Master_Section!$H:$I,2,FALSE),"")</x:f>
      </x:c>
      <x:c r="F115" s="26">
        <x:f>_xlfn.IFNA(VLOOKUP(G115,Master!AE:AF,2,FALSE),"")</x:f>
      </x:c>
      <x:c r="I115" s="24">
        <x:f>_xlfn.IFNA(VLOOKUP(D115,Master_Section!$I:$K,2,FALSE),"")</x:f>
      </x:c>
      <x:c r="J115" s="24">
        <x:f>_xlfn.IFNA(VLOOKUP(D115,Master_Section!$I:$K,3,FALSE),"")</x:f>
      </x:c>
      <x:c r="L115" s="94">
        <x:f>IF(A115&lt;&gt;"CFA",_xlfn.IFNA(VLOOKUP($G115,Master!$AE:$AI,5,0),""),"")</x:f>
      </x:c>
      <x:c r="P115" s="26">
        <x:f>IF(N115&lt;&gt;"",IF(MONTH(N115)&gt;=4,"FY1"&amp;RIGHT(YEAR(N115)+1,2),"FY1"&amp;RIGHT(YEAR(N115),2)),"")</x:f>
      </x:c>
      <x:c r="Q115" s="37">
        <x:f>IF(K115&gt;0&amp;M115&gt;0,K115*M115,"")</x:f>
      </x:c>
    </x:row>
    <x:row r="116" spans="1:18" customFormat="1" ht="15" customHeight="1">
      <x:c r="B116" s="37">
        <x:f>_xlfn.IFNA(VLOOKUP(C116,Master_Section!$H:$I,2,FALSE),"")</x:f>
      </x:c>
      <x:c r="D116" s="37">
        <x:f>_xlfn.IFNA(VLOOKUP(E116,Master_Section!$H:$I,2,FALSE),"")</x:f>
      </x:c>
      <x:c r="F116" s="26">
        <x:f>_xlfn.IFNA(VLOOKUP(G116,Master!AE:AF,2,FALSE),"")</x:f>
      </x:c>
      <x:c r="I116" s="24">
        <x:f>_xlfn.IFNA(VLOOKUP(D116,Master_Section!$I:$K,2,FALSE),"")</x:f>
      </x:c>
      <x:c r="J116" s="24">
        <x:f>_xlfn.IFNA(VLOOKUP(D116,Master_Section!$I:$K,3,FALSE),"")</x:f>
      </x:c>
      <x:c r="L116" s="94">
        <x:f>IF(A116&lt;&gt;"CFA",_xlfn.IFNA(VLOOKUP($G116,Master!$AE:$AI,5,0),""),"")</x:f>
      </x:c>
      <x:c r="P116" s="26">
        <x:f>IF(N116&lt;&gt;"",IF(MONTH(N116)&gt;=4,"FY1"&amp;RIGHT(YEAR(N116)+1,2),"FY1"&amp;RIGHT(YEAR(N116),2)),"")</x:f>
      </x:c>
      <x:c r="Q116" s="37">
        <x:f>IF(K116&gt;0&amp;M116&gt;0,K116*M116,"")</x:f>
      </x:c>
    </x:row>
    <x:row r="117" spans="1:18" customFormat="1" ht="15" customHeight="1">
      <x:c r="B117" s="37">
        <x:f>_xlfn.IFNA(VLOOKUP(C117,Master_Section!$H:$I,2,FALSE),"")</x:f>
      </x:c>
      <x:c r="D117" s="37">
        <x:f>_xlfn.IFNA(VLOOKUP(E117,Master_Section!$H:$I,2,FALSE),"")</x:f>
      </x:c>
      <x:c r="F117" s="26">
        <x:f>_xlfn.IFNA(VLOOKUP(G117,Master!AE:AF,2,FALSE),"")</x:f>
      </x:c>
      <x:c r="I117" s="24">
        <x:f>_xlfn.IFNA(VLOOKUP(D117,Master_Section!$I:$K,2,FALSE),"")</x:f>
      </x:c>
      <x:c r="J117" s="24">
        <x:f>_xlfn.IFNA(VLOOKUP(D117,Master_Section!$I:$K,3,FALSE),"")</x:f>
      </x:c>
      <x:c r="L117" s="94">
        <x:f>IF(A117&lt;&gt;"CFA",_xlfn.IFNA(VLOOKUP($G117,Master!$AE:$AI,5,0),""),"")</x:f>
      </x:c>
      <x:c r="P117" s="26">
        <x:f>IF(N117&lt;&gt;"",IF(MONTH(N117)&gt;=4,"FY1"&amp;RIGHT(YEAR(N117)+1,2),"FY1"&amp;RIGHT(YEAR(N117),2)),"")</x:f>
      </x:c>
      <x:c r="Q117" s="37">
        <x:f>IF(K117&gt;0&amp;M117&gt;0,K117*M117,"")</x:f>
      </x:c>
    </x:row>
    <x:row r="118" spans="1:18" customFormat="1" ht="15" customHeight="1">
      <x:c r="B118" s="37">
        <x:f>_xlfn.IFNA(VLOOKUP(C118,Master_Section!$H:$I,2,FALSE),"")</x:f>
      </x:c>
      <x:c r="D118" s="37">
        <x:f>_xlfn.IFNA(VLOOKUP(E118,Master_Section!$H:$I,2,FALSE),"")</x:f>
      </x:c>
      <x:c r="F118" s="26">
        <x:f>_xlfn.IFNA(VLOOKUP(G118,Master!AE:AF,2,FALSE),"")</x:f>
      </x:c>
      <x:c r="I118" s="24">
        <x:f>_xlfn.IFNA(VLOOKUP(D118,Master_Section!$I:$K,2,FALSE),"")</x:f>
      </x:c>
      <x:c r="J118" s="24">
        <x:f>_xlfn.IFNA(VLOOKUP(D118,Master_Section!$I:$K,3,FALSE),"")</x:f>
      </x:c>
      <x:c r="L118" s="94">
        <x:f>IF(A118&lt;&gt;"CFA",_xlfn.IFNA(VLOOKUP($G118,Master!$AE:$AI,5,0),""),"")</x:f>
      </x:c>
      <x:c r="P118" s="26">
        <x:f>IF(N118&lt;&gt;"",IF(MONTH(N118)&gt;=4,"FY1"&amp;RIGHT(YEAR(N118)+1,2),"FY1"&amp;RIGHT(YEAR(N118),2)),"")</x:f>
      </x:c>
      <x:c r="Q118" s="37">
        <x:f>IF(K118&gt;0&amp;M118&gt;0,K118*M118,"")</x:f>
      </x:c>
    </x:row>
    <x:row r="119" spans="1:18" customFormat="1" ht="15" customHeight="1">
      <x:c r="B119" s="37">
        <x:f>_xlfn.IFNA(VLOOKUP(C119,Master_Section!$H:$I,2,FALSE),"")</x:f>
      </x:c>
      <x:c r="D119" s="37">
        <x:f>_xlfn.IFNA(VLOOKUP(E119,Master_Section!$H:$I,2,FALSE),"")</x:f>
      </x:c>
      <x:c r="F119" s="26">
        <x:f>_xlfn.IFNA(VLOOKUP(G119,Master!AE:AF,2,FALSE),"")</x:f>
      </x:c>
      <x:c r="I119" s="24">
        <x:f>_xlfn.IFNA(VLOOKUP(D119,Master_Section!$I:$K,2,FALSE),"")</x:f>
      </x:c>
      <x:c r="J119" s="24">
        <x:f>_xlfn.IFNA(VLOOKUP(D119,Master_Section!$I:$K,3,FALSE),"")</x:f>
      </x:c>
      <x:c r="L119" s="94">
        <x:f>IF(A119&lt;&gt;"CFA",_xlfn.IFNA(VLOOKUP($G119,Master!$AE:$AI,5,0),""),"")</x:f>
      </x:c>
      <x:c r="P119" s="26">
        <x:f>IF(N119&lt;&gt;"",IF(MONTH(N119)&gt;=4,"FY1"&amp;RIGHT(YEAR(N119)+1,2),"FY1"&amp;RIGHT(YEAR(N119),2)),"")</x:f>
      </x:c>
      <x:c r="Q119" s="37">
        <x:f>IF(K119&gt;0&amp;M119&gt;0,K119*M119,"")</x:f>
      </x:c>
    </x:row>
    <x:row r="120" spans="1:18" customFormat="1" ht="15" customHeight="1">
      <x:c r="B120" s="37">
        <x:f>_xlfn.IFNA(VLOOKUP(C120,Master_Section!$H:$I,2,FALSE),"")</x:f>
      </x:c>
      <x:c r="D120" s="37">
        <x:f>_xlfn.IFNA(VLOOKUP(E120,Master_Section!$H:$I,2,FALSE),"")</x:f>
      </x:c>
      <x:c r="F120" s="26">
        <x:f>_xlfn.IFNA(VLOOKUP(G120,Master!AE:AF,2,FALSE),"")</x:f>
      </x:c>
      <x:c r="I120" s="24">
        <x:f>_xlfn.IFNA(VLOOKUP(D120,Master_Section!$I:$K,2,FALSE),"")</x:f>
      </x:c>
      <x:c r="J120" s="24">
        <x:f>_xlfn.IFNA(VLOOKUP(D120,Master_Section!$I:$K,3,FALSE),"")</x:f>
      </x:c>
      <x:c r="L120" s="94">
        <x:f>IF(A120&lt;&gt;"CFA",_xlfn.IFNA(VLOOKUP($G120,Master!$AE:$AI,5,0),""),"")</x:f>
      </x:c>
      <x:c r="P120" s="26">
        <x:f>IF(N120&lt;&gt;"",IF(MONTH(N120)&gt;=4,"FY1"&amp;RIGHT(YEAR(N120)+1,2),"FY1"&amp;RIGHT(YEAR(N120),2)),"")</x:f>
      </x:c>
      <x:c r="Q120" s="37">
        <x:f>IF(K120&gt;0&amp;M120&gt;0,K120*M120,"")</x:f>
      </x:c>
    </x:row>
    <x:row r="121" spans="1:18" customFormat="1" ht="15" customHeight="1">
      <x:c r="B121" s="37">
        <x:f>_xlfn.IFNA(VLOOKUP(C121,Master_Section!$H:$I,2,FALSE),"")</x:f>
      </x:c>
      <x:c r="D121" s="37">
        <x:f>_xlfn.IFNA(VLOOKUP(E121,Master_Section!$H:$I,2,FALSE),"")</x:f>
      </x:c>
      <x:c r="F121" s="26">
        <x:f>_xlfn.IFNA(VLOOKUP(G121,Master!AE:AF,2,FALSE),"")</x:f>
      </x:c>
      <x:c r="I121" s="24">
        <x:f>_xlfn.IFNA(VLOOKUP(D121,Master_Section!$I:$K,2,FALSE),"")</x:f>
      </x:c>
      <x:c r="J121" s="24">
        <x:f>_xlfn.IFNA(VLOOKUP(D121,Master_Section!$I:$K,3,FALSE),"")</x:f>
      </x:c>
      <x:c r="L121" s="94">
        <x:f>IF(A121&lt;&gt;"CFA",_xlfn.IFNA(VLOOKUP($G121,Master!$AE:$AI,5,0),""),"")</x:f>
      </x:c>
      <x:c r="P121" s="26">
        <x:f>IF(N121&lt;&gt;"",IF(MONTH(N121)&gt;=4,"FY1"&amp;RIGHT(YEAR(N121)+1,2),"FY1"&amp;RIGHT(YEAR(N121),2)),"")</x:f>
      </x:c>
      <x:c r="Q121" s="37">
        <x:f>IF(K121&gt;0&amp;M121&gt;0,K121*M121,"")</x:f>
      </x:c>
    </x:row>
    <x:row r="122" spans="1:18" customFormat="1" ht="15" customHeight="1">
      <x:c r="B122" s="37">
        <x:f>_xlfn.IFNA(VLOOKUP(C122,Master_Section!$H:$I,2,FALSE),"")</x:f>
      </x:c>
      <x:c r="D122" s="37">
        <x:f>_xlfn.IFNA(VLOOKUP(E122,Master_Section!$H:$I,2,FALSE),"")</x:f>
      </x:c>
      <x:c r="F122" s="26">
        <x:f>_xlfn.IFNA(VLOOKUP(G122,Master!AE:AF,2,FALSE),"")</x:f>
      </x:c>
      <x:c r="I122" s="24">
        <x:f>_xlfn.IFNA(VLOOKUP(D122,Master_Section!$I:$K,2,FALSE),"")</x:f>
      </x:c>
      <x:c r="J122" s="24">
        <x:f>_xlfn.IFNA(VLOOKUP(D122,Master_Section!$I:$K,3,FALSE),"")</x:f>
      </x:c>
      <x:c r="L122" s="94">
        <x:f>IF(A122&lt;&gt;"CFA",_xlfn.IFNA(VLOOKUP($G122,Master!$AE:$AI,5,0),""),"")</x:f>
      </x:c>
      <x:c r="P122" s="26">
        <x:f>IF(N122&lt;&gt;"",IF(MONTH(N122)&gt;=4,"FY1"&amp;RIGHT(YEAR(N122)+1,2),"FY1"&amp;RIGHT(YEAR(N122),2)),"")</x:f>
      </x:c>
      <x:c r="Q122" s="37">
        <x:f>IF(K122&gt;0&amp;M122&gt;0,K122*M122,"")</x:f>
      </x:c>
    </x:row>
    <x:row r="123" spans="1:18" customFormat="1" ht="15" customHeight="1">
      <x:c r="B123" s="37">
        <x:f>_xlfn.IFNA(VLOOKUP(C123,Master_Section!$H:$I,2,FALSE),"")</x:f>
      </x:c>
      <x:c r="D123" s="37">
        <x:f>_xlfn.IFNA(VLOOKUP(E123,Master_Section!$H:$I,2,FALSE),"")</x:f>
      </x:c>
      <x:c r="F123" s="26">
        <x:f>_xlfn.IFNA(VLOOKUP(G123,Master!AE:AF,2,FALSE),"")</x:f>
      </x:c>
      <x:c r="I123" s="24">
        <x:f>_xlfn.IFNA(VLOOKUP(D123,Master_Section!$I:$K,2,FALSE),"")</x:f>
      </x:c>
      <x:c r="J123" s="24">
        <x:f>_xlfn.IFNA(VLOOKUP(D123,Master_Section!$I:$K,3,FALSE),"")</x:f>
      </x:c>
      <x:c r="L123" s="94">
        <x:f>IF(A123&lt;&gt;"CFA",_xlfn.IFNA(VLOOKUP($G123,Master!$AE:$AI,5,0),""),"")</x:f>
      </x:c>
      <x:c r="P123" s="26">
        <x:f>IF(N123&lt;&gt;"",IF(MONTH(N123)&gt;=4,"FY1"&amp;RIGHT(YEAR(N123)+1,2),"FY1"&amp;RIGHT(YEAR(N123),2)),"")</x:f>
      </x:c>
      <x:c r="Q123" s="37">
        <x:f>IF(K123&gt;0&amp;M123&gt;0,K123*M123,"")</x:f>
      </x:c>
    </x:row>
    <x:row r="124" spans="1:18" customFormat="1" ht="15" customHeight="1">
      <x:c r="B124" s="37">
        <x:f>_xlfn.IFNA(VLOOKUP(C124,Master_Section!$H:$I,2,FALSE),"")</x:f>
      </x:c>
      <x:c r="D124" s="37">
        <x:f>_xlfn.IFNA(VLOOKUP(E124,Master_Section!$H:$I,2,FALSE),"")</x:f>
      </x:c>
      <x:c r="F124" s="26">
        <x:f>_xlfn.IFNA(VLOOKUP(G124,Master!AE:AF,2,FALSE),"")</x:f>
      </x:c>
      <x:c r="I124" s="24">
        <x:f>_xlfn.IFNA(VLOOKUP(D124,Master_Section!$I:$K,2,FALSE),"")</x:f>
      </x:c>
      <x:c r="J124" s="24">
        <x:f>_xlfn.IFNA(VLOOKUP(D124,Master_Section!$I:$K,3,FALSE),"")</x:f>
      </x:c>
      <x:c r="L124" s="94">
        <x:f>IF(A124&lt;&gt;"CFA",_xlfn.IFNA(VLOOKUP($G124,Master!$AE:$AI,5,0),""),"")</x:f>
      </x:c>
      <x:c r="P124" s="26">
        <x:f>IF(N124&lt;&gt;"",IF(MONTH(N124)&gt;=4,"FY1"&amp;RIGHT(YEAR(N124)+1,2),"FY1"&amp;RIGHT(YEAR(N124),2)),"")</x:f>
      </x:c>
      <x:c r="Q124" s="37">
        <x:f>IF(K124&gt;0&amp;M124&gt;0,K124*M124,"")</x:f>
      </x:c>
    </x:row>
    <x:row r="125" spans="1:18" customFormat="1" ht="15" customHeight="1">
      <x:c r="B125" s="37">
        <x:f>_xlfn.IFNA(VLOOKUP(C125,Master_Section!$H:$I,2,FALSE),"")</x:f>
      </x:c>
      <x:c r="D125" s="37">
        <x:f>_xlfn.IFNA(VLOOKUP(E125,Master_Section!$H:$I,2,FALSE),"")</x:f>
      </x:c>
      <x:c r="F125" s="26">
        <x:f>_xlfn.IFNA(VLOOKUP(G125,Master!AE:AF,2,FALSE),"")</x:f>
      </x:c>
      <x:c r="I125" s="24">
        <x:f>_xlfn.IFNA(VLOOKUP(D125,Master_Section!$I:$K,2,FALSE),"")</x:f>
      </x:c>
      <x:c r="J125" s="24">
        <x:f>_xlfn.IFNA(VLOOKUP(D125,Master_Section!$I:$K,3,FALSE),"")</x:f>
      </x:c>
      <x:c r="L125" s="94">
        <x:f>IF(A125&lt;&gt;"CFA",_xlfn.IFNA(VLOOKUP($G125,Master!$AE:$AI,5,0),""),"")</x:f>
      </x:c>
      <x:c r="P125" s="26">
        <x:f>IF(N125&lt;&gt;"",IF(MONTH(N125)&gt;=4,"FY1"&amp;RIGHT(YEAR(N125)+1,2),"FY1"&amp;RIGHT(YEAR(N125),2)),"")</x:f>
      </x:c>
      <x:c r="Q125" s="37">
        <x:f>IF(K125&gt;0&amp;M125&gt;0,K125*M125,"")</x:f>
      </x:c>
    </x:row>
    <x:row r="126" spans="1:18" customFormat="1" ht="15" customHeight="1">
      <x:c r="B126" s="37">
        <x:f>_xlfn.IFNA(VLOOKUP(C126,Master_Section!$H:$I,2,FALSE),"")</x:f>
      </x:c>
      <x:c r="D126" s="37">
        <x:f>_xlfn.IFNA(VLOOKUP(E126,Master_Section!$H:$I,2,FALSE),"")</x:f>
      </x:c>
      <x:c r="F126" s="26">
        <x:f>_xlfn.IFNA(VLOOKUP(G126,Master!AE:AF,2,FALSE),"")</x:f>
      </x:c>
      <x:c r="I126" s="24">
        <x:f>_xlfn.IFNA(VLOOKUP(D126,Master_Section!$I:$K,2,FALSE),"")</x:f>
      </x:c>
      <x:c r="J126" s="24">
        <x:f>_xlfn.IFNA(VLOOKUP(D126,Master_Section!$I:$K,3,FALSE),"")</x:f>
      </x:c>
      <x:c r="L126" s="94">
        <x:f>IF(A126&lt;&gt;"CFA",_xlfn.IFNA(VLOOKUP($G126,Master!$AE:$AI,5,0),""),"")</x:f>
      </x:c>
      <x:c r="P126" s="26">
        <x:f>IF(N126&lt;&gt;"",IF(MONTH(N126)&gt;=4,"FY1"&amp;RIGHT(YEAR(N126)+1,2),"FY1"&amp;RIGHT(YEAR(N126),2)),"")</x:f>
      </x:c>
      <x:c r="Q126" s="37">
        <x:f>IF(K126&gt;0&amp;M126&gt;0,K126*M126,"")</x:f>
      </x:c>
    </x:row>
    <x:row r="127" spans="1:18" customFormat="1" ht="15" customHeight="1">
      <x:c r="B127" s="37">
        <x:f>_xlfn.IFNA(VLOOKUP(C127,Master_Section!$H:$I,2,FALSE),"")</x:f>
      </x:c>
      <x:c r="D127" s="37">
        <x:f>_xlfn.IFNA(VLOOKUP(E127,Master_Section!$H:$I,2,FALSE),"")</x:f>
      </x:c>
      <x:c r="F127" s="26">
        <x:f>_xlfn.IFNA(VLOOKUP(G127,Master!AE:AF,2,FALSE),"")</x:f>
      </x:c>
      <x:c r="I127" s="24">
        <x:f>_xlfn.IFNA(VLOOKUP(D127,Master_Section!$I:$K,2,FALSE),"")</x:f>
      </x:c>
      <x:c r="J127" s="24">
        <x:f>_xlfn.IFNA(VLOOKUP(D127,Master_Section!$I:$K,3,FALSE),"")</x:f>
      </x:c>
      <x:c r="L127" s="94">
        <x:f>IF(A127&lt;&gt;"CFA",_xlfn.IFNA(VLOOKUP($G127,Master!$AE:$AI,5,0),""),"")</x:f>
      </x:c>
      <x:c r="P127" s="26">
        <x:f>IF(N127&lt;&gt;"",IF(MONTH(N127)&gt;=4,"FY1"&amp;RIGHT(YEAR(N127)+1,2),"FY1"&amp;RIGHT(YEAR(N127),2)),"")</x:f>
      </x:c>
      <x:c r="Q127" s="37">
        <x:f>IF(K127&gt;0&amp;M127&gt;0,K127*M127,"")</x:f>
      </x:c>
    </x:row>
    <x:row r="128" spans="1:18" customFormat="1" ht="15" customHeight="1">
      <x:c r="B128" s="37">
        <x:f>_xlfn.IFNA(VLOOKUP(C128,Master_Section!$H:$I,2,FALSE),"")</x:f>
      </x:c>
      <x:c r="D128" s="37">
        <x:f>_xlfn.IFNA(VLOOKUP(E128,Master_Section!$H:$I,2,FALSE),"")</x:f>
      </x:c>
      <x:c r="F128" s="26">
        <x:f>_xlfn.IFNA(VLOOKUP(G128,Master!AE:AF,2,FALSE),"")</x:f>
      </x:c>
      <x:c r="I128" s="24">
        <x:f>_xlfn.IFNA(VLOOKUP(D128,Master_Section!$I:$K,2,FALSE),"")</x:f>
      </x:c>
      <x:c r="J128" s="24">
        <x:f>_xlfn.IFNA(VLOOKUP(D128,Master_Section!$I:$K,3,FALSE),"")</x:f>
      </x:c>
      <x:c r="L128" s="94">
        <x:f>IF(A128&lt;&gt;"CFA",_xlfn.IFNA(VLOOKUP($G128,Master!$AE:$AI,5,0),""),"")</x:f>
      </x:c>
      <x:c r="P128" s="26">
        <x:f>IF(N128&lt;&gt;"",IF(MONTH(N128)&gt;=4,"FY1"&amp;RIGHT(YEAR(N128)+1,2),"FY1"&amp;RIGHT(YEAR(N128),2)),"")</x:f>
      </x:c>
      <x:c r="Q128" s="37">
        <x:f>IF(K128&gt;0&amp;M128&gt;0,K128*M128,"")</x:f>
      </x:c>
    </x:row>
    <x:row r="129" spans="1:18" customFormat="1" ht="15" customHeight="1">
      <x:c r="B129" s="37">
        <x:f>_xlfn.IFNA(VLOOKUP(C129,Master_Section!$H:$I,2,FALSE),"")</x:f>
      </x:c>
      <x:c r="D129" s="37">
        <x:f>_xlfn.IFNA(VLOOKUP(E129,Master_Section!$H:$I,2,FALSE),"")</x:f>
      </x:c>
      <x:c r="F129" s="26">
        <x:f>_xlfn.IFNA(VLOOKUP(G129,Master!AE:AF,2,FALSE),"")</x:f>
      </x:c>
      <x:c r="I129" s="24">
        <x:f>_xlfn.IFNA(VLOOKUP(D129,Master_Section!$I:$K,2,FALSE),"")</x:f>
      </x:c>
      <x:c r="J129" s="24">
        <x:f>_xlfn.IFNA(VLOOKUP(D129,Master_Section!$I:$K,3,FALSE),"")</x:f>
      </x:c>
      <x:c r="L129" s="94">
        <x:f>IF(A129&lt;&gt;"CFA",_xlfn.IFNA(VLOOKUP($G129,Master!$AE:$AI,5,0),""),"")</x:f>
      </x:c>
      <x:c r="P129" s="26">
        <x:f>IF(N129&lt;&gt;"",IF(MONTH(N129)&gt;=4,"FY1"&amp;RIGHT(YEAR(N129)+1,2),"FY1"&amp;RIGHT(YEAR(N129),2)),"")</x:f>
      </x:c>
      <x:c r="Q129" s="37">
        <x:f>IF(K129&gt;0&amp;M129&gt;0,K129*M129,"")</x:f>
      </x:c>
    </x:row>
    <x:row r="130" spans="1:18" customFormat="1" ht="15" customHeight="1">
      <x:c r="B130" s="37">
        <x:f>_xlfn.IFNA(VLOOKUP(C130,Master_Section!$H:$I,2,FALSE),"")</x:f>
      </x:c>
      <x:c r="D130" s="37">
        <x:f>_xlfn.IFNA(VLOOKUP(E130,Master_Section!$H:$I,2,FALSE),"")</x:f>
      </x:c>
      <x:c r="F130" s="26">
        <x:f>_xlfn.IFNA(VLOOKUP(G130,Master!AE:AF,2,FALSE),"")</x:f>
      </x:c>
      <x:c r="I130" s="24">
        <x:f>_xlfn.IFNA(VLOOKUP(D130,Master_Section!$I:$K,2,FALSE),"")</x:f>
      </x:c>
      <x:c r="J130" s="24">
        <x:f>_xlfn.IFNA(VLOOKUP(D130,Master_Section!$I:$K,3,FALSE),"")</x:f>
      </x:c>
      <x:c r="L130" s="94">
        <x:f>IF(A130&lt;&gt;"CFA",_xlfn.IFNA(VLOOKUP($G130,Master!$AE:$AI,5,0),""),"")</x:f>
      </x:c>
      <x:c r="P130" s="26">
        <x:f>IF(N130&lt;&gt;"",IF(MONTH(N130)&gt;=4,"FY1"&amp;RIGHT(YEAR(N130)+1,2),"FY1"&amp;RIGHT(YEAR(N130),2)),"")</x:f>
      </x:c>
      <x:c r="Q130" s="37">
        <x:f>IF(K130&gt;0&amp;M130&gt;0,K130*M130,"")</x:f>
      </x:c>
    </x:row>
    <x:row r="131" spans="1:18" customFormat="1" ht="15" customHeight="1">
      <x:c r="B131" s="37">
        <x:f>_xlfn.IFNA(VLOOKUP(C131,Master_Section!$H:$I,2,FALSE),"")</x:f>
      </x:c>
      <x:c r="D131" s="37">
        <x:f>_xlfn.IFNA(VLOOKUP(E131,Master_Section!$H:$I,2,FALSE),"")</x:f>
      </x:c>
      <x:c r="F131" s="26">
        <x:f>_xlfn.IFNA(VLOOKUP(G131,Master!AE:AF,2,FALSE),"")</x:f>
      </x:c>
      <x:c r="I131" s="24">
        <x:f>_xlfn.IFNA(VLOOKUP(D131,Master_Section!$I:$K,2,FALSE),"")</x:f>
      </x:c>
      <x:c r="J131" s="24">
        <x:f>_xlfn.IFNA(VLOOKUP(D131,Master_Section!$I:$K,3,FALSE),"")</x:f>
      </x:c>
      <x:c r="L131" s="94">
        <x:f>IF(A131&lt;&gt;"CFA",_xlfn.IFNA(VLOOKUP($G131,Master!$AE:$AI,5,0),""),"")</x:f>
      </x:c>
      <x:c r="P131" s="26">
        <x:f>IF(N131&lt;&gt;"",IF(MONTH(N131)&gt;=4,"FY1"&amp;RIGHT(YEAR(N131)+1,2),"FY1"&amp;RIGHT(YEAR(N131),2)),"")</x:f>
      </x:c>
      <x:c r="Q131" s="37">
        <x:f>IF(K131&gt;0&amp;M131&gt;0,K131*M131,"")</x:f>
      </x:c>
    </x:row>
    <x:row r="132" spans="1:18" customFormat="1" ht="15" customHeight="1">
      <x:c r="B132" s="37">
        <x:f>_xlfn.IFNA(VLOOKUP(C132,Master_Section!$H:$I,2,FALSE),"")</x:f>
      </x:c>
      <x:c r="D132" s="37">
        <x:f>_xlfn.IFNA(VLOOKUP(E132,Master_Section!$H:$I,2,FALSE),"")</x:f>
      </x:c>
      <x:c r="F132" s="26">
        <x:f>_xlfn.IFNA(VLOOKUP(G132,Master!AE:AF,2,FALSE),"")</x:f>
      </x:c>
      <x:c r="I132" s="24">
        <x:f>_xlfn.IFNA(VLOOKUP(D132,Master_Section!$I:$K,2,FALSE),"")</x:f>
      </x:c>
      <x:c r="J132" s="24">
        <x:f>_xlfn.IFNA(VLOOKUP(D132,Master_Section!$I:$K,3,FALSE),"")</x:f>
      </x:c>
      <x:c r="L132" s="94">
        <x:f>IF(A132&lt;&gt;"CFA",_xlfn.IFNA(VLOOKUP($G132,Master!$AE:$AI,5,0),""),"")</x:f>
      </x:c>
      <x:c r="P132" s="26">
        <x:f>IF(N132&lt;&gt;"",IF(MONTH(N132)&gt;=4,"FY1"&amp;RIGHT(YEAR(N132)+1,2),"FY1"&amp;RIGHT(YEAR(N132),2)),"")</x:f>
      </x:c>
      <x:c r="Q132" s="37">
        <x:f>IF(K132&gt;0&amp;M132&gt;0,K132*M132,"")</x:f>
      </x:c>
    </x:row>
    <x:row r="133" spans="1:18" customFormat="1" ht="15" customHeight="1">
      <x:c r="B133" s="37">
        <x:f>_xlfn.IFNA(VLOOKUP(C133,Master_Section!$H:$I,2,FALSE),"")</x:f>
      </x:c>
      <x:c r="D133" s="37">
        <x:f>_xlfn.IFNA(VLOOKUP(E133,Master_Section!$H:$I,2,FALSE),"")</x:f>
      </x:c>
      <x:c r="F133" s="26">
        <x:f>_xlfn.IFNA(VLOOKUP(G133,Master!AE:AF,2,FALSE),"")</x:f>
      </x:c>
      <x:c r="I133" s="24">
        <x:f>_xlfn.IFNA(VLOOKUP(D133,Master_Section!$I:$K,2,FALSE),"")</x:f>
      </x:c>
      <x:c r="J133" s="24">
        <x:f>_xlfn.IFNA(VLOOKUP(D133,Master_Section!$I:$K,3,FALSE),"")</x:f>
      </x:c>
      <x:c r="L133" s="94">
        <x:f>IF(A133&lt;&gt;"CFA",_xlfn.IFNA(VLOOKUP($G133,Master!$AE:$AI,5,0),""),"")</x:f>
      </x:c>
      <x:c r="P133" s="26">
        <x:f>IF(N133&lt;&gt;"",IF(MONTH(N133)&gt;=4,"FY1"&amp;RIGHT(YEAR(N133)+1,2),"FY1"&amp;RIGHT(YEAR(N133),2)),"")</x:f>
      </x:c>
      <x:c r="Q133" s="37">
        <x:f>IF(K133&gt;0&amp;M133&gt;0,K133*M133,"")</x:f>
      </x:c>
    </x:row>
    <x:row r="134" spans="1:18" customFormat="1" ht="15" customHeight="1">
      <x:c r="B134" s="37">
        <x:f>_xlfn.IFNA(VLOOKUP(C134,Master_Section!$H:$I,2,FALSE),"")</x:f>
      </x:c>
      <x:c r="D134" s="37">
        <x:f>_xlfn.IFNA(VLOOKUP(E134,Master_Section!$H:$I,2,FALSE),"")</x:f>
      </x:c>
      <x:c r="F134" s="26">
        <x:f>_xlfn.IFNA(VLOOKUP(G134,Master!AE:AF,2,FALSE),"")</x:f>
      </x:c>
      <x:c r="I134" s="24">
        <x:f>_xlfn.IFNA(VLOOKUP(D134,Master_Section!$I:$K,2,FALSE),"")</x:f>
      </x:c>
      <x:c r="J134" s="24">
        <x:f>_xlfn.IFNA(VLOOKUP(D134,Master_Section!$I:$K,3,FALSE),"")</x:f>
      </x:c>
      <x:c r="L134" s="94">
        <x:f>IF(A134&lt;&gt;"CFA",_xlfn.IFNA(VLOOKUP($G134,Master!$AE:$AI,5,0),""),"")</x:f>
      </x:c>
      <x:c r="P134" s="26">
        <x:f>IF(N134&lt;&gt;"",IF(MONTH(N134)&gt;=4,"FY1"&amp;RIGHT(YEAR(N134)+1,2),"FY1"&amp;RIGHT(YEAR(N134),2)),"")</x:f>
      </x:c>
      <x:c r="Q134" s="37">
        <x:f>IF(K134&gt;0&amp;M134&gt;0,K134*M134,"")</x:f>
      </x:c>
    </x:row>
    <x:row r="135" spans="1:18" customFormat="1" ht="15" customHeight="1">
      <x:c r="B135" s="37">
        <x:f>_xlfn.IFNA(VLOOKUP(C135,Master_Section!$H:$I,2,FALSE),"")</x:f>
      </x:c>
      <x:c r="D135" s="37">
        <x:f>_xlfn.IFNA(VLOOKUP(E135,Master_Section!$H:$I,2,FALSE),"")</x:f>
      </x:c>
      <x:c r="F135" s="26">
        <x:f>_xlfn.IFNA(VLOOKUP(G135,Master!AE:AF,2,FALSE),"")</x:f>
      </x:c>
      <x:c r="I135" s="24">
        <x:f>_xlfn.IFNA(VLOOKUP(D135,Master_Section!$I:$K,2,FALSE),"")</x:f>
      </x:c>
      <x:c r="J135" s="24">
        <x:f>_xlfn.IFNA(VLOOKUP(D135,Master_Section!$I:$K,3,FALSE),"")</x:f>
      </x:c>
      <x:c r="L135" s="94">
        <x:f>IF(A135&lt;&gt;"CFA",_xlfn.IFNA(VLOOKUP($G135,Master!$AE:$AI,5,0),""),"")</x:f>
      </x:c>
      <x:c r="P135" s="26">
        <x:f>IF(N135&lt;&gt;"",IF(MONTH(N135)&gt;=4,"FY1"&amp;RIGHT(YEAR(N135)+1,2),"FY1"&amp;RIGHT(YEAR(N135),2)),"")</x:f>
      </x:c>
      <x:c r="Q135" s="37">
        <x:f>IF(K135&gt;0&amp;M135&gt;0,K135*M135,"")</x:f>
      </x:c>
    </x:row>
    <x:row r="136" spans="1:18" customFormat="1" ht="15" customHeight="1">
      <x:c r="B136" s="37">
        <x:f>_xlfn.IFNA(VLOOKUP(C136,Master_Section!$H:$I,2,FALSE),"")</x:f>
      </x:c>
      <x:c r="D136" s="37">
        <x:f>_xlfn.IFNA(VLOOKUP(E136,Master_Section!$H:$I,2,FALSE),"")</x:f>
      </x:c>
      <x:c r="F136" s="26">
        <x:f>_xlfn.IFNA(VLOOKUP(G136,Master!AE:AF,2,FALSE),"")</x:f>
      </x:c>
      <x:c r="I136" s="24">
        <x:f>_xlfn.IFNA(VLOOKUP(D136,Master_Section!$I:$K,2,FALSE),"")</x:f>
      </x:c>
      <x:c r="J136" s="24">
        <x:f>_xlfn.IFNA(VLOOKUP(D136,Master_Section!$I:$K,3,FALSE),"")</x:f>
      </x:c>
      <x:c r="L136" s="94">
        <x:f>IF(A136&lt;&gt;"CFA",_xlfn.IFNA(VLOOKUP($G136,Master!$AE:$AI,5,0),""),"")</x:f>
      </x:c>
      <x:c r="P136" s="26">
        <x:f>IF(N136&lt;&gt;"",IF(MONTH(N136)&gt;=4,"FY1"&amp;RIGHT(YEAR(N136)+1,2),"FY1"&amp;RIGHT(YEAR(N136),2)),"")</x:f>
      </x:c>
      <x:c r="Q136" s="37">
        <x:f>IF(K136&gt;0&amp;M136&gt;0,K136*M136,"")</x:f>
      </x:c>
    </x:row>
    <x:row r="137" spans="1:18" customFormat="1" ht="15" customHeight="1">
      <x:c r="B137" s="37">
        <x:f>_xlfn.IFNA(VLOOKUP(C137,Master_Section!$H:$I,2,FALSE),"")</x:f>
      </x:c>
      <x:c r="D137" s="37">
        <x:f>_xlfn.IFNA(VLOOKUP(E137,Master_Section!$H:$I,2,FALSE),"")</x:f>
      </x:c>
      <x:c r="F137" s="26">
        <x:f>_xlfn.IFNA(VLOOKUP(G137,Master!AE:AF,2,FALSE),"")</x:f>
      </x:c>
      <x:c r="I137" s="24">
        <x:f>_xlfn.IFNA(VLOOKUP(D137,Master_Section!$I:$K,2,FALSE),"")</x:f>
      </x:c>
      <x:c r="J137" s="24">
        <x:f>_xlfn.IFNA(VLOOKUP(D137,Master_Section!$I:$K,3,FALSE),"")</x:f>
      </x:c>
      <x:c r="L137" s="94">
        <x:f>IF(A137&lt;&gt;"CFA",_xlfn.IFNA(VLOOKUP($G137,Master!$AE:$AI,5,0),""),"")</x:f>
      </x:c>
      <x:c r="P137" s="26">
        <x:f>IF(N137&lt;&gt;"",IF(MONTH(N137)&gt;=4,"FY1"&amp;RIGHT(YEAR(N137)+1,2),"FY1"&amp;RIGHT(YEAR(N137),2)),"")</x:f>
      </x:c>
      <x:c r="Q137" s="37">
        <x:f>IF(K137&gt;0&amp;M137&gt;0,K137*M137,"")</x:f>
      </x:c>
    </x:row>
    <x:row r="138" spans="1:18" customFormat="1" ht="15" customHeight="1">
      <x:c r="B138" s="37">
        <x:f>_xlfn.IFNA(VLOOKUP(C138,Master_Section!$H:$I,2,FALSE),"")</x:f>
      </x:c>
      <x:c r="D138" s="37">
        <x:f>_xlfn.IFNA(VLOOKUP(E138,Master_Section!$H:$I,2,FALSE),"")</x:f>
      </x:c>
      <x:c r="F138" s="26">
        <x:f>_xlfn.IFNA(VLOOKUP(G138,Master!AE:AF,2,FALSE),"")</x:f>
      </x:c>
      <x:c r="I138" s="24">
        <x:f>_xlfn.IFNA(VLOOKUP(D138,Master_Section!$I:$K,2,FALSE),"")</x:f>
      </x:c>
      <x:c r="J138" s="24">
        <x:f>_xlfn.IFNA(VLOOKUP(D138,Master_Section!$I:$K,3,FALSE),"")</x:f>
      </x:c>
      <x:c r="L138" s="94">
        <x:f>IF(A138&lt;&gt;"CFA",_xlfn.IFNA(VLOOKUP($G138,Master!$AE:$AI,5,0),""),"")</x:f>
      </x:c>
      <x:c r="P138" s="26">
        <x:f>IF(N138&lt;&gt;"",IF(MONTH(N138)&gt;=4,"FY1"&amp;RIGHT(YEAR(N138)+1,2),"FY1"&amp;RIGHT(YEAR(N138),2)),"")</x:f>
      </x:c>
      <x:c r="Q138" s="37">
        <x:f>IF(K138&gt;0&amp;M138&gt;0,K138*M138,"")</x:f>
      </x:c>
    </x:row>
    <x:row r="139" spans="1:18" customFormat="1" ht="15" customHeight="1">
      <x:c r="B139" s="37">
        <x:f>_xlfn.IFNA(VLOOKUP(C139,Master_Section!$H:$I,2,FALSE),"")</x:f>
      </x:c>
      <x:c r="D139" s="37">
        <x:f>_xlfn.IFNA(VLOOKUP(E139,Master_Section!$H:$I,2,FALSE),"")</x:f>
      </x:c>
      <x:c r="F139" s="26">
        <x:f>_xlfn.IFNA(VLOOKUP(G139,Master!AE:AF,2,FALSE),"")</x:f>
      </x:c>
      <x:c r="I139" s="24">
        <x:f>_xlfn.IFNA(VLOOKUP(D139,Master_Section!$I:$K,2,FALSE),"")</x:f>
      </x:c>
      <x:c r="J139" s="24">
        <x:f>_xlfn.IFNA(VLOOKUP(D139,Master_Section!$I:$K,3,FALSE),"")</x:f>
      </x:c>
      <x:c r="L139" s="94">
        <x:f>IF(A139&lt;&gt;"CFA",_xlfn.IFNA(VLOOKUP($G139,Master!$AE:$AI,5,0),""),"")</x:f>
      </x:c>
      <x:c r="P139" s="26">
        <x:f>IF(N139&lt;&gt;"",IF(MONTH(N139)&gt;=4,"FY1"&amp;RIGHT(YEAR(N139)+1,2),"FY1"&amp;RIGHT(YEAR(N139),2)),"")</x:f>
      </x:c>
      <x:c r="Q139" s="37">
        <x:f>IF(K139&gt;0&amp;M139&gt;0,K139*M139,"")</x:f>
      </x:c>
    </x:row>
    <x:row r="140" spans="1:18" customFormat="1" ht="15" customHeight="1">
      <x:c r="B140" s="37">
        <x:f>_xlfn.IFNA(VLOOKUP(C140,Master_Section!$H:$I,2,FALSE),"")</x:f>
      </x:c>
      <x:c r="D140" s="37">
        <x:f>_xlfn.IFNA(VLOOKUP(E140,Master_Section!$H:$I,2,FALSE),"")</x:f>
      </x:c>
      <x:c r="F140" s="26">
        <x:f>_xlfn.IFNA(VLOOKUP(G140,Master!AE:AF,2,FALSE),"")</x:f>
      </x:c>
      <x:c r="I140" s="24">
        <x:f>_xlfn.IFNA(VLOOKUP(D140,Master_Section!$I:$K,2,FALSE),"")</x:f>
      </x:c>
      <x:c r="J140" s="24">
        <x:f>_xlfn.IFNA(VLOOKUP(D140,Master_Section!$I:$K,3,FALSE),"")</x:f>
      </x:c>
      <x:c r="L140" s="94">
        <x:f>IF(A140&lt;&gt;"CFA",_xlfn.IFNA(VLOOKUP($G140,Master!$AE:$AI,5,0),""),"")</x:f>
      </x:c>
      <x:c r="P140" s="26">
        <x:f>IF(N140&lt;&gt;"",IF(MONTH(N140)&gt;=4,"FY1"&amp;RIGHT(YEAR(N140)+1,2),"FY1"&amp;RIGHT(YEAR(N140),2)),"")</x:f>
      </x:c>
      <x:c r="Q140" s="37">
        <x:f>IF(K140&gt;0&amp;M140&gt;0,K140*M140,"")</x:f>
      </x:c>
    </x:row>
    <x:row r="141" spans="1:18" customFormat="1" ht="15" customHeight="1">
      <x:c r="B141" s="37">
        <x:f>_xlfn.IFNA(VLOOKUP(C141,Master_Section!$H:$I,2,FALSE),"")</x:f>
      </x:c>
      <x:c r="D141" s="37">
        <x:f>_xlfn.IFNA(VLOOKUP(E141,Master_Section!$H:$I,2,FALSE),"")</x:f>
      </x:c>
      <x:c r="F141" s="26">
        <x:f>_xlfn.IFNA(VLOOKUP(G141,Master!AE:AF,2,FALSE),"")</x:f>
      </x:c>
      <x:c r="I141" s="24">
        <x:f>_xlfn.IFNA(VLOOKUP(D141,Master_Section!$I:$K,2,FALSE),"")</x:f>
      </x:c>
      <x:c r="J141" s="24">
        <x:f>_xlfn.IFNA(VLOOKUP(D141,Master_Section!$I:$K,3,FALSE),"")</x:f>
      </x:c>
      <x:c r="L141" s="94">
        <x:f>IF(A141&lt;&gt;"CFA",_xlfn.IFNA(VLOOKUP($G141,Master!$AE:$AI,5,0),""),"")</x:f>
      </x:c>
      <x:c r="P141" s="26">
        <x:f>IF(N141&lt;&gt;"",IF(MONTH(N141)&gt;=4,"FY1"&amp;RIGHT(YEAR(N141)+1,2),"FY1"&amp;RIGHT(YEAR(N141),2)),"")</x:f>
      </x:c>
      <x:c r="Q141" s="37">
        <x:f>IF(K141&gt;0&amp;M141&gt;0,K141*M141,"")</x:f>
      </x:c>
    </x:row>
    <x:row r="142" spans="1:18" customFormat="1" ht="15" customHeight="1">
      <x:c r="B142" s="37">
        <x:f>_xlfn.IFNA(VLOOKUP(C142,Master_Section!$H:$I,2,FALSE),"")</x:f>
      </x:c>
      <x:c r="D142" s="37">
        <x:f>_xlfn.IFNA(VLOOKUP(E142,Master_Section!$H:$I,2,FALSE),"")</x:f>
      </x:c>
      <x:c r="F142" s="26">
        <x:f>_xlfn.IFNA(VLOOKUP(G142,Master!AE:AF,2,FALSE),"")</x:f>
      </x:c>
      <x:c r="I142" s="24">
        <x:f>_xlfn.IFNA(VLOOKUP(D142,Master_Section!$I:$K,2,FALSE),"")</x:f>
      </x:c>
      <x:c r="J142" s="24">
        <x:f>_xlfn.IFNA(VLOOKUP(D142,Master_Section!$I:$K,3,FALSE),"")</x:f>
      </x:c>
      <x:c r="L142" s="94">
        <x:f>IF(A142&lt;&gt;"CFA",_xlfn.IFNA(VLOOKUP($G142,Master!$AE:$AI,5,0),""),"")</x:f>
      </x:c>
      <x:c r="P142" s="26">
        <x:f>IF(N142&lt;&gt;"",IF(MONTH(N142)&gt;=4,"FY1"&amp;RIGHT(YEAR(N142)+1,2),"FY1"&amp;RIGHT(YEAR(N142),2)),"")</x:f>
      </x:c>
      <x:c r="Q142" s="37">
        <x:f>IF(K142&gt;0&amp;M142&gt;0,K142*M142,"")</x:f>
      </x:c>
    </x:row>
    <x:row r="143" spans="1:18" customFormat="1" ht="15" customHeight="1">
      <x:c r="B143" s="37">
        <x:f>_xlfn.IFNA(VLOOKUP(C143,Master_Section!$H:$I,2,FALSE),"")</x:f>
      </x:c>
      <x:c r="D143" s="37">
        <x:f>_xlfn.IFNA(VLOOKUP(E143,Master_Section!$H:$I,2,FALSE),"")</x:f>
      </x:c>
      <x:c r="F143" s="26">
        <x:f>_xlfn.IFNA(VLOOKUP(G143,Master!AE:AF,2,FALSE),"")</x:f>
      </x:c>
      <x:c r="I143" s="24">
        <x:f>_xlfn.IFNA(VLOOKUP(D143,Master_Section!$I:$K,2,FALSE),"")</x:f>
      </x:c>
      <x:c r="J143" s="24">
        <x:f>_xlfn.IFNA(VLOOKUP(D143,Master_Section!$I:$K,3,FALSE),"")</x:f>
      </x:c>
      <x:c r="L143" s="94">
        <x:f>IF(A143&lt;&gt;"CFA",_xlfn.IFNA(VLOOKUP($G143,Master!$AE:$AI,5,0),""),"")</x:f>
      </x:c>
      <x:c r="P143" s="26">
        <x:f>IF(N143&lt;&gt;"",IF(MONTH(N143)&gt;=4,"FY1"&amp;RIGHT(YEAR(N143)+1,2),"FY1"&amp;RIGHT(YEAR(N143),2)),"")</x:f>
      </x:c>
      <x:c r="Q143" s="37">
        <x:f>IF(K143&gt;0&amp;M143&gt;0,K143*M143,"")</x:f>
      </x:c>
    </x:row>
    <x:row r="144" spans="1:18" customFormat="1" ht="15" customHeight="1">
      <x:c r="B144" s="37">
        <x:f>_xlfn.IFNA(VLOOKUP(C144,Master_Section!$H:$I,2,FALSE),"")</x:f>
      </x:c>
      <x:c r="D144" s="37">
        <x:f>_xlfn.IFNA(VLOOKUP(E144,Master_Section!$H:$I,2,FALSE),"")</x:f>
      </x:c>
      <x:c r="F144" s="26">
        <x:f>_xlfn.IFNA(VLOOKUP(G144,Master!AE:AF,2,FALSE),"")</x:f>
      </x:c>
      <x:c r="I144" s="24">
        <x:f>_xlfn.IFNA(VLOOKUP(D144,Master_Section!$I:$K,2,FALSE),"")</x:f>
      </x:c>
      <x:c r="J144" s="24">
        <x:f>_xlfn.IFNA(VLOOKUP(D144,Master_Section!$I:$K,3,FALSE),"")</x:f>
      </x:c>
      <x:c r="L144" s="94">
        <x:f>IF(A144&lt;&gt;"CFA",_xlfn.IFNA(VLOOKUP($G144,Master!$AE:$AI,5,0),""),"")</x:f>
      </x:c>
      <x:c r="P144" s="26">
        <x:f>IF(N144&lt;&gt;"",IF(MONTH(N144)&gt;=4,"FY1"&amp;RIGHT(YEAR(N144)+1,2),"FY1"&amp;RIGHT(YEAR(N144),2)),"")</x:f>
      </x:c>
      <x:c r="Q144" s="37">
        <x:f>IF(K144&gt;0&amp;M144&gt;0,K144*M144,"")</x:f>
      </x:c>
    </x:row>
    <x:row r="145" spans="1:18" customFormat="1" ht="15" customHeight="1">
      <x:c r="B145" s="37">
        <x:f>_xlfn.IFNA(VLOOKUP(C145,Master_Section!$H:$I,2,FALSE),"")</x:f>
      </x:c>
      <x:c r="D145" s="37">
        <x:f>_xlfn.IFNA(VLOOKUP(E145,Master_Section!$H:$I,2,FALSE),"")</x:f>
      </x:c>
      <x:c r="F145" s="26">
        <x:f>_xlfn.IFNA(VLOOKUP(G145,Master!AE:AF,2,FALSE),"")</x:f>
      </x:c>
      <x:c r="I145" s="24">
        <x:f>_xlfn.IFNA(VLOOKUP(D145,Master_Section!$I:$K,2,FALSE),"")</x:f>
      </x:c>
      <x:c r="J145" s="24">
        <x:f>_xlfn.IFNA(VLOOKUP(D145,Master_Section!$I:$K,3,FALSE),"")</x:f>
      </x:c>
      <x:c r="L145" s="94">
        <x:f>IF(A145&lt;&gt;"CFA",_xlfn.IFNA(VLOOKUP($G145,Master!$AE:$AI,5,0),""),"")</x:f>
      </x:c>
      <x:c r="P145" s="26">
        <x:f>IF(N145&lt;&gt;"",IF(MONTH(N145)&gt;=4,"FY1"&amp;RIGHT(YEAR(N145)+1,2),"FY1"&amp;RIGHT(YEAR(N145),2)),"")</x:f>
      </x:c>
      <x:c r="Q145" s="37">
        <x:f>IF(K145&gt;0&amp;M145&gt;0,K145*M145,"")</x:f>
      </x:c>
    </x:row>
    <x:row r="146" spans="1:18" customFormat="1" ht="15" customHeight="1">
      <x:c r="B146" s="37">
        <x:f>_xlfn.IFNA(VLOOKUP(C146,Master_Section!$H:$I,2,FALSE),"")</x:f>
      </x:c>
      <x:c r="D146" s="37">
        <x:f>_xlfn.IFNA(VLOOKUP(E146,Master_Section!$H:$I,2,FALSE),"")</x:f>
      </x:c>
      <x:c r="F146" s="26">
        <x:f>_xlfn.IFNA(VLOOKUP(G146,Master!AE:AF,2,FALSE),"")</x:f>
      </x:c>
      <x:c r="I146" s="24">
        <x:f>_xlfn.IFNA(VLOOKUP(D146,Master_Section!$I:$K,2,FALSE),"")</x:f>
      </x:c>
      <x:c r="J146" s="24">
        <x:f>_xlfn.IFNA(VLOOKUP(D146,Master_Section!$I:$K,3,FALSE),"")</x:f>
      </x:c>
      <x:c r="L146" s="94">
        <x:f>IF(A146&lt;&gt;"CFA",_xlfn.IFNA(VLOOKUP($G146,Master!$AE:$AI,5,0),""),"")</x:f>
      </x:c>
      <x:c r="P146" s="26">
        <x:f>IF(N146&lt;&gt;"",IF(MONTH(N146)&gt;=4,"FY1"&amp;RIGHT(YEAR(N146)+1,2),"FY1"&amp;RIGHT(YEAR(N146),2)),"")</x:f>
      </x:c>
      <x:c r="Q146" s="37">
        <x:f>IF(K146&gt;0&amp;M146&gt;0,K146*M146,"")</x:f>
      </x:c>
    </x:row>
    <x:row r="147" spans="1:18" customFormat="1" ht="15" customHeight="1">
      <x:c r="B147" s="37">
        <x:f>_xlfn.IFNA(VLOOKUP(C147,Master_Section!$H:$I,2,FALSE),"")</x:f>
      </x:c>
      <x:c r="D147" s="37">
        <x:f>_xlfn.IFNA(VLOOKUP(E147,Master_Section!$H:$I,2,FALSE),"")</x:f>
      </x:c>
      <x:c r="F147" s="26">
        <x:f>_xlfn.IFNA(VLOOKUP(G147,Master!AE:AF,2,FALSE),"")</x:f>
      </x:c>
      <x:c r="I147" s="24">
        <x:f>_xlfn.IFNA(VLOOKUP(D147,Master_Section!$I:$K,2,FALSE),"")</x:f>
      </x:c>
      <x:c r="J147" s="24">
        <x:f>_xlfn.IFNA(VLOOKUP(D147,Master_Section!$I:$K,3,FALSE),"")</x:f>
      </x:c>
      <x:c r="L147" s="94">
        <x:f>IF(A147&lt;&gt;"CFA",_xlfn.IFNA(VLOOKUP($G147,Master!$AE:$AI,5,0),""),"")</x:f>
      </x:c>
      <x:c r="P147" s="26">
        <x:f>IF(N147&lt;&gt;"",IF(MONTH(N147)&gt;=4,"FY1"&amp;RIGHT(YEAR(N147)+1,2),"FY1"&amp;RIGHT(YEAR(N147),2)),"")</x:f>
      </x:c>
      <x:c r="Q147" s="37">
        <x:f>IF(K147&gt;0&amp;M147&gt;0,K147*M147,"")</x:f>
      </x:c>
    </x:row>
    <x:row r="148" spans="1:18" customFormat="1" ht="15" customHeight="1">
      <x:c r="B148" s="37">
        <x:f>_xlfn.IFNA(VLOOKUP(C148,Master_Section!$H:$I,2,FALSE),"")</x:f>
      </x:c>
      <x:c r="D148" s="37">
        <x:f>_xlfn.IFNA(VLOOKUP(E148,Master_Section!$H:$I,2,FALSE),"")</x:f>
      </x:c>
      <x:c r="F148" s="26">
        <x:f>_xlfn.IFNA(VLOOKUP(G148,Master!AE:AF,2,FALSE),"")</x:f>
      </x:c>
      <x:c r="I148" s="24">
        <x:f>_xlfn.IFNA(VLOOKUP(D148,Master_Section!$I:$K,2,FALSE),"")</x:f>
      </x:c>
      <x:c r="J148" s="24">
        <x:f>_xlfn.IFNA(VLOOKUP(D148,Master_Section!$I:$K,3,FALSE),"")</x:f>
      </x:c>
      <x:c r="L148" s="94">
        <x:f>IF(A148&lt;&gt;"CFA",_xlfn.IFNA(VLOOKUP($G148,Master!$AE:$AI,5,0),""),"")</x:f>
      </x:c>
      <x:c r="P148" s="26">
        <x:f>IF(N148&lt;&gt;"",IF(MONTH(N148)&gt;=4,"FY1"&amp;RIGHT(YEAR(N148)+1,2),"FY1"&amp;RIGHT(YEAR(N148),2)),"")</x:f>
      </x:c>
      <x:c r="Q148" s="37">
        <x:f>IF(K148&gt;0&amp;M148&gt;0,K148*M148,"")</x:f>
      </x:c>
    </x:row>
    <x:row r="149" spans="1:18" customFormat="1" ht="15" customHeight="1">
      <x:c r="B149" s="37">
        <x:f>_xlfn.IFNA(VLOOKUP(C149,Master_Section!$H:$I,2,FALSE),"")</x:f>
      </x:c>
      <x:c r="D149" s="37">
        <x:f>_xlfn.IFNA(VLOOKUP(E149,Master_Section!$H:$I,2,FALSE),"")</x:f>
      </x:c>
      <x:c r="F149" s="26">
        <x:f>_xlfn.IFNA(VLOOKUP(G149,Master!AE:AF,2,FALSE),"")</x:f>
      </x:c>
      <x:c r="I149" s="24">
        <x:f>_xlfn.IFNA(VLOOKUP(D149,Master_Section!$I:$K,2,FALSE),"")</x:f>
      </x:c>
      <x:c r="J149" s="24">
        <x:f>_xlfn.IFNA(VLOOKUP(D149,Master_Section!$I:$K,3,FALSE),"")</x:f>
      </x:c>
      <x:c r="L149" s="94">
        <x:f>IF(A149&lt;&gt;"CFA",_xlfn.IFNA(VLOOKUP($G149,Master!$AE:$AI,5,0),""),"")</x:f>
      </x:c>
      <x:c r="P149" s="26">
        <x:f>IF(N149&lt;&gt;"",IF(MONTH(N149)&gt;=4,"FY1"&amp;RIGHT(YEAR(N149)+1,2),"FY1"&amp;RIGHT(YEAR(N149),2)),"")</x:f>
      </x:c>
      <x:c r="Q149" s="37">
        <x:f>IF(K149&gt;0&amp;M149&gt;0,K149*M149,"")</x:f>
      </x:c>
    </x:row>
    <x:row r="150" spans="1:18" customFormat="1" ht="15" customHeight="1">
      <x:c r="B150" s="37">
        <x:f>_xlfn.IFNA(VLOOKUP(C150,Master_Section!$H:$I,2,FALSE),"")</x:f>
      </x:c>
      <x:c r="D150" s="37">
        <x:f>_xlfn.IFNA(VLOOKUP(E150,Master_Section!$H:$I,2,FALSE),"")</x:f>
      </x:c>
      <x:c r="F150" s="26">
        <x:f>_xlfn.IFNA(VLOOKUP(G150,Master!AE:AF,2,FALSE),"")</x:f>
      </x:c>
      <x:c r="I150" s="24">
        <x:f>_xlfn.IFNA(VLOOKUP(D150,Master_Section!$I:$K,2,FALSE),"")</x:f>
      </x:c>
      <x:c r="J150" s="24">
        <x:f>_xlfn.IFNA(VLOOKUP(D150,Master_Section!$I:$K,3,FALSE),"")</x:f>
      </x:c>
      <x:c r="L150" s="94">
        <x:f>IF(A150&lt;&gt;"CFA",_xlfn.IFNA(VLOOKUP($G150,Master!$AE:$AI,5,0),""),"")</x:f>
      </x:c>
      <x:c r="P150" s="26">
        <x:f>IF(N150&lt;&gt;"",IF(MONTH(N150)&gt;=4,"FY1"&amp;RIGHT(YEAR(N150)+1,2),"FY1"&amp;RIGHT(YEAR(N150),2)),"")</x:f>
      </x:c>
      <x:c r="Q150" s="37">
        <x:f>IF(K150&gt;0&amp;M150&gt;0,K150*M150,"")</x:f>
      </x:c>
    </x:row>
    <x:row r="151" spans="1:18" customFormat="1" ht="15" customHeight="1">
      <x:c r="B151" s="37">
        <x:f>_xlfn.IFNA(VLOOKUP(C151,Master_Section!$H:$I,2,FALSE),"")</x:f>
      </x:c>
      <x:c r="D151" s="37">
        <x:f>_xlfn.IFNA(VLOOKUP(E151,Master_Section!$H:$I,2,FALSE),"")</x:f>
      </x:c>
      <x:c r="F151" s="26">
        <x:f>_xlfn.IFNA(VLOOKUP(G151,Master!AE:AF,2,FALSE),"")</x:f>
      </x:c>
      <x:c r="I151" s="24">
        <x:f>_xlfn.IFNA(VLOOKUP(D151,Master_Section!$I:$K,2,FALSE),"")</x:f>
      </x:c>
      <x:c r="J151" s="24">
        <x:f>_xlfn.IFNA(VLOOKUP(D151,Master_Section!$I:$K,3,FALSE),"")</x:f>
      </x:c>
      <x:c r="L151" s="94">
        <x:f>IF(A151&lt;&gt;"CFA",_xlfn.IFNA(VLOOKUP($G151,Master!$AE:$AI,5,0),""),"")</x:f>
      </x:c>
      <x:c r="P151" s="26">
        <x:f>IF(N151&lt;&gt;"",IF(MONTH(N151)&gt;=4,"FY1"&amp;RIGHT(YEAR(N151)+1,2),"FY1"&amp;RIGHT(YEAR(N151),2)),"")</x:f>
      </x:c>
      <x:c r="Q151" s="37">
        <x:f>IF(K151&gt;0&amp;M151&gt;0,K151*M151,"")</x:f>
      </x:c>
    </x:row>
    <x:row r="152" spans="1:18" customFormat="1" ht="15" customHeight="1">
      <x:c r="B152" s="37">
        <x:f>_xlfn.IFNA(VLOOKUP(C152,Master_Section!$H:$I,2,FALSE),"")</x:f>
      </x:c>
      <x:c r="D152" s="37">
        <x:f>_xlfn.IFNA(VLOOKUP(E152,Master_Section!$H:$I,2,FALSE),"")</x:f>
      </x:c>
      <x:c r="F152" s="26">
        <x:f>_xlfn.IFNA(VLOOKUP(G152,Master!AE:AF,2,FALSE),"")</x:f>
      </x:c>
      <x:c r="I152" s="24">
        <x:f>_xlfn.IFNA(VLOOKUP(D152,Master_Section!$I:$K,2,FALSE),"")</x:f>
      </x:c>
      <x:c r="J152" s="24">
        <x:f>_xlfn.IFNA(VLOOKUP(D152,Master_Section!$I:$K,3,FALSE),"")</x:f>
      </x:c>
      <x:c r="L152" s="94">
        <x:f>IF(A152&lt;&gt;"CFA",_xlfn.IFNA(VLOOKUP($G152,Master!$AE:$AI,5,0),""),"")</x:f>
      </x:c>
      <x:c r="P152" s="26">
        <x:f>IF(N152&lt;&gt;"",IF(MONTH(N152)&gt;=4,"FY1"&amp;RIGHT(YEAR(N152)+1,2),"FY1"&amp;RIGHT(YEAR(N152),2)),"")</x:f>
      </x:c>
      <x:c r="Q152" s="37">
        <x:f>IF(K152&gt;0&amp;M152&gt;0,K152*M152,"")</x:f>
      </x:c>
    </x:row>
    <x:row r="153" spans="1:18" customFormat="1" ht="15" customHeight="1">
      <x:c r="B153" s="37">
        <x:f>_xlfn.IFNA(VLOOKUP(C153,Master_Section!$H:$I,2,FALSE),"")</x:f>
      </x:c>
      <x:c r="D153" s="37">
        <x:f>_xlfn.IFNA(VLOOKUP(E153,Master_Section!$H:$I,2,FALSE),"")</x:f>
      </x:c>
      <x:c r="F153" s="26">
        <x:f>_xlfn.IFNA(VLOOKUP(G153,Master!AE:AF,2,FALSE),"")</x:f>
      </x:c>
      <x:c r="I153" s="24">
        <x:f>_xlfn.IFNA(VLOOKUP(D153,Master_Section!$I:$K,2,FALSE),"")</x:f>
      </x:c>
      <x:c r="J153" s="24">
        <x:f>_xlfn.IFNA(VLOOKUP(D153,Master_Section!$I:$K,3,FALSE),"")</x:f>
      </x:c>
      <x:c r="L153" s="94">
        <x:f>IF(A153&lt;&gt;"CFA",_xlfn.IFNA(VLOOKUP($G153,Master!$AE:$AI,5,0),""),"")</x:f>
      </x:c>
      <x:c r="P153" s="26">
        <x:f>IF(N153&lt;&gt;"",IF(MONTH(N153)&gt;=4,"FY1"&amp;RIGHT(YEAR(N153)+1,2),"FY1"&amp;RIGHT(YEAR(N153),2)),"")</x:f>
      </x:c>
      <x:c r="Q153" s="37">
        <x:f>IF(K153&gt;0&amp;M153&gt;0,K153*M153,"")</x:f>
      </x:c>
    </x:row>
    <x:row r="154" spans="1:18" customFormat="1" ht="15" customHeight="1">
      <x:c r="B154" s="37">
        <x:f>_xlfn.IFNA(VLOOKUP(C154,Master_Section!$H:$I,2,FALSE),"")</x:f>
      </x:c>
      <x:c r="D154" s="37">
        <x:f>_xlfn.IFNA(VLOOKUP(E154,Master_Section!$H:$I,2,FALSE),"")</x:f>
      </x:c>
      <x:c r="F154" s="26">
        <x:f>_xlfn.IFNA(VLOOKUP(G154,Master!AE:AF,2,FALSE),"")</x:f>
      </x:c>
      <x:c r="I154" s="24">
        <x:f>_xlfn.IFNA(VLOOKUP(D154,Master_Section!$I:$K,2,FALSE),"")</x:f>
      </x:c>
      <x:c r="J154" s="24">
        <x:f>_xlfn.IFNA(VLOOKUP(D154,Master_Section!$I:$K,3,FALSE),"")</x:f>
      </x:c>
      <x:c r="L154" s="94">
        <x:f>IF(A154&lt;&gt;"CFA",_xlfn.IFNA(VLOOKUP($G154,Master!$AE:$AI,5,0),""),"")</x:f>
      </x:c>
      <x:c r="P154" s="26">
        <x:f>IF(N154&lt;&gt;"",IF(MONTH(N154)&gt;=4,"FY1"&amp;RIGHT(YEAR(N154)+1,2),"FY1"&amp;RIGHT(YEAR(N154),2)),"")</x:f>
      </x:c>
      <x:c r="Q154" s="37">
        <x:f>IF(K154&gt;0&amp;M154&gt;0,K154*M154,"")</x:f>
      </x:c>
    </x:row>
    <x:row r="155" spans="1:18" customFormat="1" ht="15" customHeight="1">
      <x:c r="B155" s="37">
        <x:f>_xlfn.IFNA(VLOOKUP(C155,Master_Section!$H:$I,2,FALSE),"")</x:f>
      </x:c>
      <x:c r="D155" s="37">
        <x:f>_xlfn.IFNA(VLOOKUP(E155,Master_Section!$H:$I,2,FALSE),"")</x:f>
      </x:c>
      <x:c r="F155" s="26">
        <x:f>_xlfn.IFNA(VLOOKUP(G155,Master!AE:AF,2,FALSE),"")</x:f>
      </x:c>
      <x:c r="I155" s="24">
        <x:f>_xlfn.IFNA(VLOOKUP(D155,Master_Section!$I:$K,2,FALSE),"")</x:f>
      </x:c>
      <x:c r="J155" s="24">
        <x:f>_xlfn.IFNA(VLOOKUP(D155,Master_Section!$I:$K,3,FALSE),"")</x:f>
      </x:c>
      <x:c r="L155" s="94">
        <x:f>IF(A155&lt;&gt;"CFA",_xlfn.IFNA(VLOOKUP($G155,Master!$AE:$AI,5,0),""),"")</x:f>
      </x:c>
      <x:c r="P155" s="26">
        <x:f>IF(N155&lt;&gt;"",IF(MONTH(N155)&gt;=4,"FY1"&amp;RIGHT(YEAR(N155)+1,2),"FY1"&amp;RIGHT(YEAR(N155),2)),"")</x:f>
      </x:c>
      <x:c r="Q155" s="37">
        <x:f>IF(K155&gt;0&amp;M155&gt;0,K155*M155,"")</x:f>
      </x:c>
    </x:row>
    <x:row r="156" spans="1:18" customFormat="1" ht="15" customHeight="1">
      <x:c r="B156" s="37">
        <x:f>_xlfn.IFNA(VLOOKUP(C156,Master_Section!$H:$I,2,FALSE),"")</x:f>
      </x:c>
      <x:c r="D156" s="37">
        <x:f>_xlfn.IFNA(VLOOKUP(E156,Master_Section!$H:$I,2,FALSE),"")</x:f>
      </x:c>
      <x:c r="F156" s="26">
        <x:f>_xlfn.IFNA(VLOOKUP(G156,Master!AE:AF,2,FALSE),"")</x:f>
      </x:c>
      <x:c r="I156" s="24">
        <x:f>_xlfn.IFNA(VLOOKUP(D156,Master_Section!$I:$K,2,FALSE),"")</x:f>
      </x:c>
      <x:c r="J156" s="24">
        <x:f>_xlfn.IFNA(VLOOKUP(D156,Master_Section!$I:$K,3,FALSE),"")</x:f>
      </x:c>
      <x:c r="L156" s="94">
        <x:f>IF(A156&lt;&gt;"CFA",_xlfn.IFNA(VLOOKUP($G156,Master!$AE:$AI,5,0),""),"")</x:f>
      </x:c>
      <x:c r="P156" s="26">
        <x:f>IF(N156&lt;&gt;"",IF(MONTH(N156)&gt;=4,"FY1"&amp;RIGHT(YEAR(N156)+1,2),"FY1"&amp;RIGHT(YEAR(N156),2)),"")</x:f>
      </x:c>
      <x:c r="Q156" s="37">
        <x:f>IF(K156&gt;0&amp;M156&gt;0,K156*M156,"")</x:f>
      </x:c>
    </x:row>
    <x:row r="157" spans="1:18" customFormat="1" ht="15" customHeight="1">
      <x:c r="B157" s="37">
        <x:f>_xlfn.IFNA(VLOOKUP(C157,Master_Section!$H:$I,2,FALSE),"")</x:f>
      </x:c>
      <x:c r="D157" s="37">
        <x:f>_xlfn.IFNA(VLOOKUP(E157,Master_Section!$H:$I,2,FALSE),"")</x:f>
      </x:c>
      <x:c r="F157" s="26">
        <x:f>_xlfn.IFNA(VLOOKUP(G157,Master!AE:AF,2,FALSE),"")</x:f>
      </x:c>
      <x:c r="I157" s="24">
        <x:f>_xlfn.IFNA(VLOOKUP(D157,Master_Section!$I:$K,2,FALSE),"")</x:f>
      </x:c>
      <x:c r="J157" s="24">
        <x:f>_xlfn.IFNA(VLOOKUP(D157,Master_Section!$I:$K,3,FALSE),"")</x:f>
      </x:c>
      <x:c r="L157" s="94">
        <x:f>IF(A157&lt;&gt;"CFA",_xlfn.IFNA(VLOOKUP($G157,Master!$AE:$AI,5,0),""),"")</x:f>
      </x:c>
      <x:c r="P157" s="26">
        <x:f>IF(N157&lt;&gt;"",IF(MONTH(N157)&gt;=4,"FY1"&amp;RIGHT(YEAR(N157)+1,2),"FY1"&amp;RIGHT(YEAR(N157),2)),"")</x:f>
      </x:c>
      <x:c r="Q157" s="37">
        <x:f>IF(K157&gt;0&amp;M157&gt;0,K157*M157,"")</x:f>
      </x:c>
    </x:row>
    <x:row r="158" spans="1:18" customFormat="1" ht="15" customHeight="1">
      <x:c r="B158" s="37">
        <x:f>_xlfn.IFNA(VLOOKUP(C158,Master_Section!$H:$I,2,FALSE),"")</x:f>
      </x:c>
      <x:c r="D158" s="37">
        <x:f>_xlfn.IFNA(VLOOKUP(E158,Master_Section!$H:$I,2,FALSE),"")</x:f>
      </x:c>
      <x:c r="F158" s="26">
        <x:f>_xlfn.IFNA(VLOOKUP(G158,Master!AE:AF,2,FALSE),"")</x:f>
      </x:c>
      <x:c r="I158" s="24">
        <x:f>_xlfn.IFNA(VLOOKUP(D158,Master_Section!$I:$K,2,FALSE),"")</x:f>
      </x:c>
      <x:c r="J158" s="24">
        <x:f>_xlfn.IFNA(VLOOKUP(D158,Master_Section!$I:$K,3,FALSE),"")</x:f>
      </x:c>
      <x:c r="L158" s="94">
        <x:f>IF(A158&lt;&gt;"CFA",_xlfn.IFNA(VLOOKUP($G158,Master!$AE:$AI,5,0),""),"")</x:f>
      </x:c>
      <x:c r="P158" s="26">
        <x:f>IF(N158&lt;&gt;"",IF(MONTH(N158)&gt;=4,"FY1"&amp;RIGHT(YEAR(N158)+1,2),"FY1"&amp;RIGHT(YEAR(N158),2)),"")</x:f>
      </x:c>
      <x:c r="Q158" s="37">
        <x:f>IF(K158&gt;0&amp;M158&gt;0,K158*M158,"")</x:f>
      </x:c>
    </x:row>
    <x:row r="159" spans="1:18" customFormat="1" ht="15" customHeight="1">
      <x:c r="B159" s="37">
        <x:f>_xlfn.IFNA(VLOOKUP(C159,Master_Section!$H:$I,2,FALSE),"")</x:f>
      </x:c>
      <x:c r="D159" s="37">
        <x:f>_xlfn.IFNA(VLOOKUP(E159,Master_Section!$H:$I,2,FALSE),"")</x:f>
      </x:c>
      <x:c r="F159" s="26">
        <x:f>_xlfn.IFNA(VLOOKUP(G159,Master!AE:AF,2,FALSE),"")</x:f>
      </x:c>
      <x:c r="I159" s="24">
        <x:f>_xlfn.IFNA(VLOOKUP(D159,Master_Section!$I:$K,2,FALSE),"")</x:f>
      </x:c>
      <x:c r="J159" s="24">
        <x:f>_xlfn.IFNA(VLOOKUP(D159,Master_Section!$I:$K,3,FALSE),"")</x:f>
      </x:c>
      <x:c r="L159" s="94">
        <x:f>IF(A159&lt;&gt;"CFA",_xlfn.IFNA(VLOOKUP($G159,Master!$AE:$AI,5,0),""),"")</x:f>
      </x:c>
      <x:c r="P159" s="26">
        <x:f>IF(N159&lt;&gt;"",IF(MONTH(N159)&gt;=4,"FY1"&amp;RIGHT(YEAR(N159)+1,2),"FY1"&amp;RIGHT(YEAR(N159),2)),"")</x:f>
      </x:c>
      <x:c r="Q159" s="37">
        <x:f>IF(K159&gt;0&amp;M159&gt;0,K159*M159,"")</x:f>
      </x:c>
    </x:row>
    <x:row r="160" spans="1:18" customFormat="1" ht="15" customHeight="1">
      <x:c r="B160" s="37">
        <x:f>_xlfn.IFNA(VLOOKUP(C160,Master_Section!$H:$I,2,FALSE),"")</x:f>
      </x:c>
      <x:c r="D160" s="37">
        <x:f>_xlfn.IFNA(VLOOKUP(E160,Master_Section!$H:$I,2,FALSE),"")</x:f>
      </x:c>
      <x:c r="F160" s="26">
        <x:f>_xlfn.IFNA(VLOOKUP(G160,Master!AE:AF,2,FALSE),"")</x:f>
      </x:c>
      <x:c r="I160" s="24">
        <x:f>_xlfn.IFNA(VLOOKUP(D160,Master_Section!$I:$K,2,FALSE),"")</x:f>
      </x:c>
      <x:c r="J160" s="24">
        <x:f>_xlfn.IFNA(VLOOKUP(D160,Master_Section!$I:$K,3,FALSE),"")</x:f>
      </x:c>
      <x:c r="L160" s="94">
        <x:f>IF(A160&lt;&gt;"CFA",_xlfn.IFNA(VLOOKUP($G160,Master!$AE:$AI,5,0),""),"")</x:f>
      </x:c>
      <x:c r="P160" s="26">
        <x:f>IF(N160&lt;&gt;"",IF(MONTH(N160)&gt;=4,"FY1"&amp;RIGHT(YEAR(N160)+1,2),"FY1"&amp;RIGHT(YEAR(N160),2)),"")</x:f>
      </x:c>
      <x:c r="Q160" s="37">
        <x:f>IF(K160&gt;0&amp;M160&gt;0,K160*M160,"")</x:f>
      </x:c>
    </x:row>
    <x:row r="161" spans="1:18" customFormat="1" ht="15" customHeight="1">
      <x:c r="B161" s="37">
        <x:f>_xlfn.IFNA(VLOOKUP(C161,Master_Section!$H:$I,2,FALSE),"")</x:f>
      </x:c>
      <x:c r="D161" s="37">
        <x:f>_xlfn.IFNA(VLOOKUP(E161,Master_Section!$H:$I,2,FALSE),"")</x:f>
      </x:c>
      <x:c r="F161" s="26">
        <x:f>_xlfn.IFNA(VLOOKUP(G161,Master!AE:AF,2,FALSE),"")</x:f>
      </x:c>
      <x:c r="I161" s="24">
        <x:f>_xlfn.IFNA(VLOOKUP(D161,Master_Section!$I:$K,2,FALSE),"")</x:f>
      </x:c>
      <x:c r="J161" s="24">
        <x:f>_xlfn.IFNA(VLOOKUP(D161,Master_Section!$I:$K,3,FALSE),"")</x:f>
      </x:c>
      <x:c r="L161" s="94">
        <x:f>IF(A161&lt;&gt;"CFA",_xlfn.IFNA(VLOOKUP($G161,Master!$AE:$AI,5,0),""),"")</x:f>
      </x:c>
      <x:c r="P161" s="26">
        <x:f>IF(N161&lt;&gt;"",IF(MONTH(N161)&gt;=4,"FY1"&amp;RIGHT(YEAR(N161)+1,2),"FY1"&amp;RIGHT(YEAR(N161),2)),"")</x:f>
      </x:c>
      <x:c r="Q161" s="37">
        <x:f>IF(K161&gt;0&amp;M161&gt;0,K161*M161,"")</x:f>
      </x:c>
    </x:row>
    <x:row r="162" spans="1:18" customFormat="1" ht="15" customHeight="1">
      <x:c r="B162" s="37">
        <x:f>_xlfn.IFNA(VLOOKUP(C162,Master_Section!$H:$I,2,FALSE),"")</x:f>
      </x:c>
      <x:c r="D162" s="37">
        <x:f>_xlfn.IFNA(VLOOKUP(E162,Master_Section!$H:$I,2,FALSE),"")</x:f>
      </x:c>
      <x:c r="F162" s="26">
        <x:f>_xlfn.IFNA(VLOOKUP(G162,Master!AE:AF,2,FALSE),"")</x:f>
      </x:c>
      <x:c r="I162" s="24">
        <x:f>_xlfn.IFNA(VLOOKUP(D162,Master_Section!$I:$K,2,FALSE),"")</x:f>
      </x:c>
      <x:c r="J162" s="24">
        <x:f>_xlfn.IFNA(VLOOKUP(D162,Master_Section!$I:$K,3,FALSE),"")</x:f>
      </x:c>
      <x:c r="L162" s="94">
        <x:f>IF(A162&lt;&gt;"CFA",_xlfn.IFNA(VLOOKUP($G162,Master!$AE:$AI,5,0),""),"")</x:f>
      </x:c>
      <x:c r="P162" s="26">
        <x:f>IF(N162&lt;&gt;"",IF(MONTH(N162)&gt;=4,"FY1"&amp;RIGHT(YEAR(N162)+1,2),"FY1"&amp;RIGHT(YEAR(N162),2)),"")</x:f>
      </x:c>
      <x:c r="Q162" s="37">
        <x:f>IF(K162&gt;0&amp;M162&gt;0,K162*M162,"")</x:f>
      </x:c>
    </x:row>
    <x:row r="163" spans="1:18" customFormat="1" ht="15" customHeight="1">
      <x:c r="B163" s="37">
        <x:f>_xlfn.IFNA(VLOOKUP(C163,Master_Section!$H:$I,2,FALSE),"")</x:f>
      </x:c>
      <x:c r="D163" s="37">
        <x:f>_xlfn.IFNA(VLOOKUP(E163,Master_Section!$H:$I,2,FALSE),"")</x:f>
      </x:c>
      <x:c r="F163" s="26">
        <x:f>_xlfn.IFNA(VLOOKUP(G163,Master!AE:AF,2,FALSE),"")</x:f>
      </x:c>
      <x:c r="I163" s="24">
        <x:f>_xlfn.IFNA(VLOOKUP(D163,Master_Section!$I:$K,2,FALSE),"")</x:f>
      </x:c>
      <x:c r="J163" s="24">
        <x:f>_xlfn.IFNA(VLOOKUP(D163,Master_Section!$I:$K,3,FALSE),"")</x:f>
      </x:c>
      <x:c r="L163" s="94">
        <x:f>IF(A163&lt;&gt;"CFA",_xlfn.IFNA(VLOOKUP($G163,Master!$AE:$AI,5,0),""),"")</x:f>
      </x:c>
      <x:c r="P163" s="26">
        <x:f>IF(N163&lt;&gt;"",IF(MONTH(N163)&gt;=4,"FY1"&amp;RIGHT(YEAR(N163)+1,2),"FY1"&amp;RIGHT(YEAR(N163),2)),"")</x:f>
      </x:c>
      <x:c r="Q163" s="37">
        <x:f>IF(K163&gt;0&amp;M163&gt;0,K163*M163,"")</x:f>
      </x:c>
    </x:row>
    <x:row r="164" spans="1:18" customFormat="1" ht="15" customHeight="1">
      <x:c r="B164" s="37">
        <x:f>_xlfn.IFNA(VLOOKUP(C164,Master_Section!$H:$I,2,FALSE),"")</x:f>
      </x:c>
      <x:c r="D164" s="37">
        <x:f>_xlfn.IFNA(VLOOKUP(E164,Master_Section!$H:$I,2,FALSE),"")</x:f>
      </x:c>
      <x:c r="F164" s="26">
        <x:f>_xlfn.IFNA(VLOOKUP(G164,Master!AE:AF,2,FALSE),"")</x:f>
      </x:c>
      <x:c r="I164" s="24">
        <x:f>_xlfn.IFNA(VLOOKUP(D164,Master_Section!$I:$K,2,FALSE),"")</x:f>
      </x:c>
      <x:c r="J164" s="24">
        <x:f>_xlfn.IFNA(VLOOKUP(D164,Master_Section!$I:$K,3,FALSE),"")</x:f>
      </x:c>
      <x:c r="L164" s="94">
        <x:f>IF(A164&lt;&gt;"CFA",_xlfn.IFNA(VLOOKUP($G164,Master!$AE:$AI,5,0),""),"")</x:f>
      </x:c>
      <x:c r="P164" s="26">
        <x:f>IF(N164&lt;&gt;"",IF(MONTH(N164)&gt;=4,"FY1"&amp;RIGHT(YEAR(N164)+1,2),"FY1"&amp;RIGHT(YEAR(N164),2)),"")</x:f>
      </x:c>
      <x:c r="Q164" s="37">
        <x:f>IF(K164&gt;0&amp;M164&gt;0,K164*M164,"")</x:f>
      </x:c>
    </x:row>
    <x:row r="165" spans="1:18" customFormat="1" ht="15" customHeight="1">
      <x:c r="B165" s="37">
        <x:f>_xlfn.IFNA(VLOOKUP(C165,Master_Section!$H:$I,2,FALSE),"")</x:f>
      </x:c>
      <x:c r="D165" s="37">
        <x:f>_xlfn.IFNA(VLOOKUP(E165,Master_Section!$H:$I,2,FALSE),"")</x:f>
      </x:c>
      <x:c r="F165" s="26">
        <x:f>_xlfn.IFNA(VLOOKUP(G165,Master!AE:AF,2,FALSE),"")</x:f>
      </x:c>
      <x:c r="I165" s="24">
        <x:f>_xlfn.IFNA(VLOOKUP(D165,Master_Section!$I:$K,2,FALSE),"")</x:f>
      </x:c>
      <x:c r="J165" s="24">
        <x:f>_xlfn.IFNA(VLOOKUP(D165,Master_Section!$I:$K,3,FALSE),"")</x:f>
      </x:c>
      <x:c r="L165" s="94">
        <x:f>IF(A165&lt;&gt;"CFA",_xlfn.IFNA(VLOOKUP($G165,Master!$AE:$AI,5,0),""),"")</x:f>
      </x:c>
      <x:c r="P165" s="26">
        <x:f>IF(N165&lt;&gt;"",IF(MONTH(N165)&gt;=4,"FY1"&amp;RIGHT(YEAR(N165)+1,2),"FY1"&amp;RIGHT(YEAR(N165),2)),"")</x:f>
      </x:c>
      <x:c r="Q165" s="37">
        <x:f>IF(K165&gt;0&amp;M165&gt;0,K165*M165,"")</x:f>
      </x:c>
    </x:row>
    <x:row r="166" spans="1:18" customFormat="1" ht="15" customHeight="1">
      <x:c r="B166" s="37">
        <x:f>_xlfn.IFNA(VLOOKUP(C166,Master_Section!$H:$I,2,FALSE),"")</x:f>
      </x:c>
      <x:c r="D166" s="37">
        <x:f>_xlfn.IFNA(VLOOKUP(E166,Master_Section!$H:$I,2,FALSE),"")</x:f>
      </x:c>
      <x:c r="F166" s="26">
        <x:f>_xlfn.IFNA(VLOOKUP(G166,Master!AE:AF,2,FALSE),"")</x:f>
      </x:c>
      <x:c r="I166" s="24">
        <x:f>_xlfn.IFNA(VLOOKUP(D166,Master_Section!$I:$K,2,FALSE),"")</x:f>
      </x:c>
      <x:c r="J166" s="24">
        <x:f>_xlfn.IFNA(VLOOKUP(D166,Master_Section!$I:$K,3,FALSE),"")</x:f>
      </x:c>
      <x:c r="L166" s="94">
        <x:f>IF(A166&lt;&gt;"CFA",_xlfn.IFNA(VLOOKUP($G166,Master!$AE:$AI,5,0),""),"")</x:f>
      </x:c>
      <x:c r="P166" s="26">
        <x:f>IF(N166&lt;&gt;"",IF(MONTH(N166)&gt;=4,"FY1"&amp;RIGHT(YEAR(N166)+1,2),"FY1"&amp;RIGHT(YEAR(N166),2)),"")</x:f>
      </x:c>
      <x:c r="Q166" s="37">
        <x:f>IF(K166&gt;0&amp;M166&gt;0,K166*M166,"")</x:f>
      </x:c>
    </x:row>
    <x:row r="167" spans="1:18" customFormat="1" ht="15" customHeight="1">
      <x:c r="B167" s="37">
        <x:f>_xlfn.IFNA(VLOOKUP(C167,Master_Section!$H:$I,2,FALSE),"")</x:f>
      </x:c>
      <x:c r="D167" s="37">
        <x:f>_xlfn.IFNA(VLOOKUP(E167,Master_Section!$H:$I,2,FALSE),"")</x:f>
      </x:c>
      <x:c r="F167" s="26">
        <x:f>_xlfn.IFNA(VLOOKUP(G167,Master!AE:AF,2,FALSE),"")</x:f>
      </x:c>
      <x:c r="I167" s="24">
        <x:f>_xlfn.IFNA(VLOOKUP(D167,Master_Section!$I:$K,2,FALSE),"")</x:f>
      </x:c>
      <x:c r="J167" s="24">
        <x:f>_xlfn.IFNA(VLOOKUP(D167,Master_Section!$I:$K,3,FALSE),"")</x:f>
      </x:c>
      <x:c r="L167" s="94">
        <x:f>IF(A167&lt;&gt;"CFA",_xlfn.IFNA(VLOOKUP($G167,Master!$AE:$AI,5,0),""),"")</x:f>
      </x:c>
      <x:c r="P167" s="26">
        <x:f>IF(N167&lt;&gt;"",IF(MONTH(N167)&gt;=4,"FY1"&amp;RIGHT(YEAR(N167)+1,2),"FY1"&amp;RIGHT(YEAR(N167),2)),"")</x:f>
      </x:c>
      <x:c r="Q167" s="37">
        <x:f>IF(K167&gt;0&amp;M167&gt;0,K167*M167,"")</x:f>
      </x:c>
    </x:row>
    <x:row r="168" spans="1:18" customFormat="1" ht="15" customHeight="1">
      <x:c r="B168" s="37">
        <x:f>_xlfn.IFNA(VLOOKUP(C168,Master_Section!$H:$I,2,FALSE),"")</x:f>
      </x:c>
      <x:c r="D168" s="37">
        <x:f>_xlfn.IFNA(VLOOKUP(E168,Master_Section!$H:$I,2,FALSE),"")</x:f>
      </x:c>
      <x:c r="F168" s="26">
        <x:f>_xlfn.IFNA(VLOOKUP(G168,Master!AE:AF,2,FALSE),"")</x:f>
      </x:c>
      <x:c r="I168" s="24">
        <x:f>_xlfn.IFNA(VLOOKUP(D168,Master_Section!$I:$K,2,FALSE),"")</x:f>
      </x:c>
      <x:c r="J168" s="24">
        <x:f>_xlfn.IFNA(VLOOKUP(D168,Master_Section!$I:$K,3,FALSE),"")</x:f>
      </x:c>
      <x:c r="L168" s="94">
        <x:f>IF(A168&lt;&gt;"CFA",_xlfn.IFNA(VLOOKUP($G168,Master!$AE:$AI,5,0),""),"")</x:f>
      </x:c>
      <x:c r="P168" s="26">
        <x:f>IF(N168&lt;&gt;"",IF(MONTH(N168)&gt;=4,"FY1"&amp;RIGHT(YEAR(N168)+1,2),"FY1"&amp;RIGHT(YEAR(N168),2)),"")</x:f>
      </x:c>
      <x:c r="Q168" s="37">
        <x:f>IF(K168&gt;0&amp;M168&gt;0,K168*M168,"")</x:f>
      </x:c>
    </x:row>
    <x:row r="169" spans="1:18" customFormat="1" ht="15" customHeight="1">
      <x:c r="B169" s="37">
        <x:f>_xlfn.IFNA(VLOOKUP(C169,Master_Section!$H:$I,2,FALSE),"")</x:f>
      </x:c>
      <x:c r="D169" s="37">
        <x:f>_xlfn.IFNA(VLOOKUP(E169,Master_Section!$H:$I,2,FALSE),"")</x:f>
      </x:c>
      <x:c r="F169" s="26">
        <x:f>_xlfn.IFNA(VLOOKUP(G169,Master!AE:AF,2,FALSE),"")</x:f>
      </x:c>
      <x:c r="I169" s="24">
        <x:f>_xlfn.IFNA(VLOOKUP(D169,Master_Section!$I:$K,2,FALSE),"")</x:f>
      </x:c>
      <x:c r="J169" s="24">
        <x:f>_xlfn.IFNA(VLOOKUP(D169,Master_Section!$I:$K,3,FALSE),"")</x:f>
      </x:c>
      <x:c r="L169" s="94">
        <x:f>IF(A169&lt;&gt;"CFA",_xlfn.IFNA(VLOOKUP($G169,Master!$AE:$AI,5,0),""),"")</x:f>
      </x:c>
      <x:c r="P169" s="26">
        <x:f>IF(N169&lt;&gt;"",IF(MONTH(N169)&gt;=4,"FY1"&amp;RIGHT(YEAR(N169)+1,2),"FY1"&amp;RIGHT(YEAR(N169),2)),"")</x:f>
      </x:c>
      <x:c r="Q169" s="37">
        <x:f>IF(K169&gt;0&amp;M169&gt;0,K169*M169,"")</x:f>
      </x:c>
    </x:row>
    <x:row r="170" spans="1:18" customFormat="1" ht="15" customHeight="1">
      <x:c r="B170" s="37">
        <x:f>_xlfn.IFNA(VLOOKUP(C170,Master_Section!$H:$I,2,FALSE),"")</x:f>
      </x:c>
      <x:c r="D170" s="37">
        <x:f>_xlfn.IFNA(VLOOKUP(E170,Master_Section!$H:$I,2,FALSE),"")</x:f>
      </x:c>
      <x:c r="F170" s="26">
        <x:f>_xlfn.IFNA(VLOOKUP(G170,Master!AE:AF,2,FALSE),"")</x:f>
      </x:c>
      <x:c r="I170" s="24">
        <x:f>_xlfn.IFNA(VLOOKUP(D170,Master_Section!$I:$K,2,FALSE),"")</x:f>
      </x:c>
      <x:c r="J170" s="24">
        <x:f>_xlfn.IFNA(VLOOKUP(D170,Master_Section!$I:$K,3,FALSE),"")</x:f>
      </x:c>
      <x:c r="L170" s="94">
        <x:f>IF(A170&lt;&gt;"CFA",_xlfn.IFNA(VLOOKUP($G170,Master!$AE:$AI,5,0),""),"")</x:f>
      </x:c>
      <x:c r="P170" s="26">
        <x:f>IF(N170&lt;&gt;"",IF(MONTH(N170)&gt;=4,"FY1"&amp;RIGHT(YEAR(N170)+1,2),"FY1"&amp;RIGHT(YEAR(N170),2)),"")</x:f>
      </x:c>
      <x:c r="Q170" s="37">
        <x:f>IF(K170&gt;0&amp;M170&gt;0,K170*M170,"")</x:f>
      </x:c>
    </x:row>
    <x:row r="171" spans="1:18" customFormat="1" ht="15" customHeight="1">
      <x:c r="B171" s="37">
        <x:f>_xlfn.IFNA(VLOOKUP(C171,Master_Section!$H:$I,2,FALSE),"")</x:f>
      </x:c>
      <x:c r="D171" s="37">
        <x:f>_xlfn.IFNA(VLOOKUP(E171,Master_Section!$H:$I,2,FALSE),"")</x:f>
      </x:c>
      <x:c r="F171" s="26">
        <x:f>_xlfn.IFNA(VLOOKUP(G171,Master!AE:AF,2,FALSE),"")</x:f>
      </x:c>
      <x:c r="I171" s="24">
        <x:f>_xlfn.IFNA(VLOOKUP(D171,Master_Section!$I:$K,2,FALSE),"")</x:f>
      </x:c>
      <x:c r="J171" s="24">
        <x:f>_xlfn.IFNA(VLOOKUP(D171,Master_Section!$I:$K,3,FALSE),"")</x:f>
      </x:c>
      <x:c r="L171" s="94">
        <x:f>IF(A171&lt;&gt;"CFA",_xlfn.IFNA(VLOOKUP($G171,Master!$AE:$AI,5,0),""),"")</x:f>
      </x:c>
      <x:c r="P171" s="26">
        <x:f>IF(N171&lt;&gt;"",IF(MONTH(N171)&gt;=4,"FY1"&amp;RIGHT(YEAR(N171)+1,2),"FY1"&amp;RIGHT(YEAR(N171),2)),"")</x:f>
      </x:c>
      <x:c r="Q171" s="37">
        <x:f>IF(K171&gt;0&amp;M171&gt;0,K171*M171,"")</x:f>
      </x:c>
    </x:row>
    <x:row r="172" spans="1:18" customFormat="1" ht="15" customHeight="1">
      <x:c r="B172" s="37">
        <x:f>_xlfn.IFNA(VLOOKUP(C172,Master_Section!$H:$I,2,FALSE),"")</x:f>
      </x:c>
      <x:c r="D172" s="37">
        <x:f>_xlfn.IFNA(VLOOKUP(E172,Master_Section!$H:$I,2,FALSE),"")</x:f>
      </x:c>
      <x:c r="F172" s="26">
        <x:f>_xlfn.IFNA(VLOOKUP(G172,Master!AE:AF,2,FALSE),"")</x:f>
      </x:c>
      <x:c r="I172" s="24">
        <x:f>_xlfn.IFNA(VLOOKUP(D172,Master_Section!$I:$K,2,FALSE),"")</x:f>
      </x:c>
      <x:c r="J172" s="24">
        <x:f>_xlfn.IFNA(VLOOKUP(D172,Master_Section!$I:$K,3,FALSE),"")</x:f>
      </x:c>
      <x:c r="L172" s="94">
        <x:f>IF(A172&lt;&gt;"CFA",_xlfn.IFNA(VLOOKUP($G172,Master!$AE:$AI,5,0),""),"")</x:f>
      </x:c>
      <x:c r="P172" s="26">
        <x:f>IF(N172&lt;&gt;"",IF(MONTH(N172)&gt;=4,"FY1"&amp;RIGHT(YEAR(N172)+1,2),"FY1"&amp;RIGHT(YEAR(N172),2)),"")</x:f>
      </x:c>
      <x:c r="Q172" s="37">
        <x:f>IF(K172&gt;0&amp;M172&gt;0,K172*M172,"")</x:f>
      </x:c>
    </x:row>
    <x:row r="173" spans="1:18" customFormat="1" ht="15" customHeight="1">
      <x:c r="B173" s="37">
        <x:f>_xlfn.IFNA(VLOOKUP(C173,Master_Section!$H:$I,2,FALSE),"")</x:f>
      </x:c>
      <x:c r="D173" s="37">
        <x:f>_xlfn.IFNA(VLOOKUP(E173,Master_Section!$H:$I,2,FALSE),"")</x:f>
      </x:c>
      <x:c r="F173" s="26">
        <x:f>_xlfn.IFNA(VLOOKUP(G173,Master!AE:AF,2,FALSE),"")</x:f>
      </x:c>
      <x:c r="I173" s="24">
        <x:f>_xlfn.IFNA(VLOOKUP(D173,Master_Section!$I:$K,2,FALSE),"")</x:f>
      </x:c>
      <x:c r="J173" s="24">
        <x:f>_xlfn.IFNA(VLOOKUP(D173,Master_Section!$I:$K,3,FALSE),"")</x:f>
      </x:c>
      <x:c r="L173" s="94">
        <x:f>IF(A173&lt;&gt;"CFA",_xlfn.IFNA(VLOOKUP($G173,Master!$AE:$AI,5,0),""),"")</x:f>
      </x:c>
      <x:c r="P173" s="26">
        <x:f>IF(N173&lt;&gt;"",IF(MONTH(N173)&gt;=4,"FY1"&amp;RIGHT(YEAR(N173)+1,2),"FY1"&amp;RIGHT(YEAR(N173),2)),"")</x:f>
      </x:c>
      <x:c r="Q173" s="37">
        <x:f>IF(K173&gt;0&amp;M173&gt;0,K173*M173,"")</x:f>
      </x:c>
    </x:row>
    <x:row r="174" spans="1:18" customFormat="1" ht="15" customHeight="1">
      <x:c r="B174" s="37">
        <x:f>_xlfn.IFNA(VLOOKUP(C174,Master_Section!$H:$I,2,FALSE),"")</x:f>
      </x:c>
      <x:c r="D174" s="37">
        <x:f>_xlfn.IFNA(VLOOKUP(E174,Master_Section!$H:$I,2,FALSE),"")</x:f>
      </x:c>
      <x:c r="F174" s="26">
        <x:f>_xlfn.IFNA(VLOOKUP(G174,Master!AE:AF,2,FALSE),"")</x:f>
      </x:c>
      <x:c r="I174" s="24">
        <x:f>_xlfn.IFNA(VLOOKUP(D174,Master_Section!$I:$K,2,FALSE),"")</x:f>
      </x:c>
      <x:c r="J174" s="24">
        <x:f>_xlfn.IFNA(VLOOKUP(D174,Master_Section!$I:$K,3,FALSE),"")</x:f>
      </x:c>
      <x:c r="L174" s="94">
        <x:f>IF(A174&lt;&gt;"CFA",_xlfn.IFNA(VLOOKUP($G174,Master!$AE:$AI,5,0),""),"")</x:f>
      </x:c>
      <x:c r="P174" s="26">
        <x:f>IF(N174&lt;&gt;"",IF(MONTH(N174)&gt;=4,"FY1"&amp;RIGHT(YEAR(N174)+1,2),"FY1"&amp;RIGHT(YEAR(N174),2)),"")</x:f>
      </x:c>
      <x:c r="Q174" s="37">
        <x:f>IF(K174&gt;0&amp;M174&gt;0,K174*M174,"")</x:f>
      </x:c>
    </x:row>
    <x:row r="175" spans="1:18" customFormat="1" ht="15" customHeight="1">
      <x:c r="B175" s="37">
        <x:f>_xlfn.IFNA(VLOOKUP(C175,Master_Section!$H:$I,2,FALSE),"")</x:f>
      </x:c>
      <x:c r="D175" s="37">
        <x:f>_xlfn.IFNA(VLOOKUP(E175,Master_Section!$H:$I,2,FALSE),"")</x:f>
      </x:c>
      <x:c r="F175" s="26">
        <x:f>_xlfn.IFNA(VLOOKUP(G175,Master!AE:AF,2,FALSE),"")</x:f>
      </x:c>
      <x:c r="I175" s="24">
        <x:f>_xlfn.IFNA(VLOOKUP(D175,Master_Section!$I:$K,2,FALSE),"")</x:f>
      </x:c>
      <x:c r="J175" s="24">
        <x:f>_xlfn.IFNA(VLOOKUP(D175,Master_Section!$I:$K,3,FALSE),"")</x:f>
      </x:c>
      <x:c r="L175" s="94">
        <x:f>IF(A175&lt;&gt;"CFA",_xlfn.IFNA(VLOOKUP($G175,Master!$AE:$AI,5,0),""),"")</x:f>
      </x:c>
      <x:c r="P175" s="26">
        <x:f>IF(N175&lt;&gt;"",IF(MONTH(N175)&gt;=4,"FY1"&amp;RIGHT(YEAR(N175)+1,2),"FY1"&amp;RIGHT(YEAR(N175),2)),"")</x:f>
      </x:c>
      <x:c r="Q175" s="37">
        <x:f>IF(K175&gt;0&amp;M175&gt;0,K175*M175,"")</x:f>
      </x:c>
    </x:row>
    <x:row r="176" spans="1:18" customFormat="1" ht="15" customHeight="1">
      <x:c r="B176" s="37">
        <x:f>_xlfn.IFNA(VLOOKUP(C176,Master_Section!$H:$I,2,FALSE),"")</x:f>
      </x:c>
      <x:c r="D176" s="37">
        <x:f>_xlfn.IFNA(VLOOKUP(E176,Master_Section!$H:$I,2,FALSE),"")</x:f>
      </x:c>
      <x:c r="F176" s="26">
        <x:f>_xlfn.IFNA(VLOOKUP(G176,Master!AE:AF,2,FALSE),"")</x:f>
      </x:c>
      <x:c r="I176" s="24">
        <x:f>_xlfn.IFNA(VLOOKUP(D176,Master_Section!$I:$K,2,FALSE),"")</x:f>
      </x:c>
      <x:c r="J176" s="24">
        <x:f>_xlfn.IFNA(VLOOKUP(D176,Master_Section!$I:$K,3,FALSE),"")</x:f>
      </x:c>
      <x:c r="L176" s="94">
        <x:f>IF(A176&lt;&gt;"CFA",_xlfn.IFNA(VLOOKUP($G176,Master!$AE:$AI,5,0),""),"")</x:f>
      </x:c>
      <x:c r="P176" s="26">
        <x:f>IF(N176&lt;&gt;"",IF(MONTH(N176)&gt;=4,"FY1"&amp;RIGHT(YEAR(N176)+1,2),"FY1"&amp;RIGHT(YEAR(N176),2)),"")</x:f>
      </x:c>
      <x:c r="Q176" s="37">
        <x:f>IF(K176&gt;0&amp;M176&gt;0,K176*M176,"")</x:f>
      </x:c>
    </x:row>
    <x:row r="177" spans="1:18" customFormat="1" ht="15" customHeight="1">
      <x:c r="B177" s="37">
        <x:f>_xlfn.IFNA(VLOOKUP(C177,Master_Section!$H:$I,2,FALSE),"")</x:f>
      </x:c>
      <x:c r="D177" s="37">
        <x:f>_xlfn.IFNA(VLOOKUP(E177,Master_Section!$H:$I,2,FALSE),"")</x:f>
      </x:c>
      <x:c r="F177" s="26">
        <x:f>_xlfn.IFNA(VLOOKUP(G177,Master!AE:AF,2,FALSE),"")</x:f>
      </x:c>
      <x:c r="I177" s="24">
        <x:f>_xlfn.IFNA(VLOOKUP(D177,Master_Section!$I:$K,2,FALSE),"")</x:f>
      </x:c>
      <x:c r="J177" s="24">
        <x:f>_xlfn.IFNA(VLOOKUP(D177,Master_Section!$I:$K,3,FALSE),"")</x:f>
      </x:c>
      <x:c r="L177" s="94">
        <x:f>IF(A177&lt;&gt;"CFA",_xlfn.IFNA(VLOOKUP($G177,Master!$AE:$AI,5,0),""),"")</x:f>
      </x:c>
      <x:c r="P177" s="26">
        <x:f>IF(N177&lt;&gt;"",IF(MONTH(N177)&gt;=4,"FY1"&amp;RIGHT(YEAR(N177)+1,2),"FY1"&amp;RIGHT(YEAR(N177),2)),"")</x:f>
      </x:c>
      <x:c r="Q177" s="37">
        <x:f>IF(K177&gt;0&amp;M177&gt;0,K177*M177,"")</x:f>
      </x:c>
    </x:row>
    <x:row r="178" spans="1:18" customFormat="1" ht="15" customHeight="1">
      <x:c r="B178" s="37">
        <x:f>_xlfn.IFNA(VLOOKUP(C178,Master_Section!$H:$I,2,FALSE),"")</x:f>
      </x:c>
      <x:c r="D178" s="37">
        <x:f>_xlfn.IFNA(VLOOKUP(E178,Master_Section!$H:$I,2,FALSE),"")</x:f>
      </x:c>
      <x:c r="F178" s="26">
        <x:f>_xlfn.IFNA(VLOOKUP(G178,Master!AE:AF,2,FALSE),"")</x:f>
      </x:c>
      <x:c r="I178" s="24">
        <x:f>_xlfn.IFNA(VLOOKUP(D178,Master_Section!$I:$K,2,FALSE),"")</x:f>
      </x:c>
      <x:c r="J178" s="24">
        <x:f>_xlfn.IFNA(VLOOKUP(D178,Master_Section!$I:$K,3,FALSE),"")</x:f>
      </x:c>
      <x:c r="L178" s="94">
        <x:f>IF(A178&lt;&gt;"CFA",_xlfn.IFNA(VLOOKUP($G178,Master!$AE:$AI,5,0),""),"")</x:f>
      </x:c>
      <x:c r="P178" s="26">
        <x:f>IF(N178&lt;&gt;"",IF(MONTH(N178)&gt;=4,"FY1"&amp;RIGHT(YEAR(N178)+1,2),"FY1"&amp;RIGHT(YEAR(N178),2)),"")</x:f>
      </x:c>
      <x:c r="Q178" s="37">
        <x:f>IF(K178&gt;0&amp;M178&gt;0,K178*M178,"")</x:f>
      </x:c>
    </x:row>
    <x:row r="179" spans="1:18" customFormat="1" ht="15" customHeight="1">
      <x:c r="B179" s="37">
        <x:f>_xlfn.IFNA(VLOOKUP(C179,Master_Section!$H:$I,2,FALSE),"")</x:f>
      </x:c>
      <x:c r="D179" s="37">
        <x:f>_xlfn.IFNA(VLOOKUP(E179,Master_Section!$H:$I,2,FALSE),"")</x:f>
      </x:c>
      <x:c r="F179" s="26">
        <x:f>_xlfn.IFNA(VLOOKUP(G179,Master!AE:AF,2,FALSE),"")</x:f>
      </x:c>
      <x:c r="I179" s="24">
        <x:f>_xlfn.IFNA(VLOOKUP(D179,Master_Section!$I:$K,2,FALSE),"")</x:f>
      </x:c>
      <x:c r="J179" s="24">
        <x:f>_xlfn.IFNA(VLOOKUP(D179,Master_Section!$I:$K,3,FALSE),"")</x:f>
      </x:c>
      <x:c r="L179" s="94">
        <x:f>IF(A179&lt;&gt;"CFA",_xlfn.IFNA(VLOOKUP($G179,Master!$AE:$AI,5,0),""),"")</x:f>
      </x:c>
      <x:c r="P179" s="26">
        <x:f>IF(N179&lt;&gt;"",IF(MONTH(N179)&gt;=4,"FY1"&amp;RIGHT(YEAR(N179)+1,2),"FY1"&amp;RIGHT(YEAR(N179),2)),"")</x:f>
      </x:c>
      <x:c r="Q179" s="37">
        <x:f>IF(K179&gt;0&amp;M179&gt;0,K179*M179,"")</x:f>
      </x:c>
    </x:row>
    <x:row r="180" spans="1:18" customFormat="1" ht="15" customHeight="1">
      <x:c r="B180" s="37">
        <x:f>_xlfn.IFNA(VLOOKUP(C180,Master_Section!$H:$I,2,FALSE),"")</x:f>
      </x:c>
      <x:c r="D180" s="37">
        <x:f>_xlfn.IFNA(VLOOKUP(E180,Master_Section!$H:$I,2,FALSE),"")</x:f>
      </x:c>
      <x:c r="F180" s="26">
        <x:f>_xlfn.IFNA(VLOOKUP(G180,Master!AE:AF,2,FALSE),"")</x:f>
      </x:c>
      <x:c r="I180" s="24">
        <x:f>_xlfn.IFNA(VLOOKUP(D180,Master_Section!$I:$K,2,FALSE),"")</x:f>
      </x:c>
      <x:c r="J180" s="24">
        <x:f>_xlfn.IFNA(VLOOKUP(D180,Master_Section!$I:$K,3,FALSE),"")</x:f>
      </x:c>
      <x:c r="L180" s="94">
        <x:f>IF(A180&lt;&gt;"CFA",_xlfn.IFNA(VLOOKUP($G180,Master!$AE:$AI,5,0),""),"")</x:f>
      </x:c>
      <x:c r="P180" s="26">
        <x:f>IF(N180&lt;&gt;"",IF(MONTH(N180)&gt;=4,"FY1"&amp;RIGHT(YEAR(N180)+1,2),"FY1"&amp;RIGHT(YEAR(N180),2)),"")</x:f>
      </x:c>
      <x:c r="Q180" s="37">
        <x:f>IF(K180&gt;0&amp;M180&gt;0,K180*M180,"")</x:f>
      </x:c>
    </x:row>
    <x:row r="181" spans="1:18" customFormat="1" ht="15" customHeight="1">
      <x:c r="B181" s="37">
        <x:f>_xlfn.IFNA(VLOOKUP(C181,Master_Section!$H:$I,2,FALSE),"")</x:f>
      </x:c>
      <x:c r="D181" s="37">
        <x:f>_xlfn.IFNA(VLOOKUP(E181,Master_Section!$H:$I,2,FALSE),"")</x:f>
      </x:c>
      <x:c r="F181" s="26">
        <x:f>_xlfn.IFNA(VLOOKUP(G181,Master!AE:AF,2,FALSE),"")</x:f>
      </x:c>
      <x:c r="I181" s="24">
        <x:f>_xlfn.IFNA(VLOOKUP(D181,Master_Section!$I:$K,2,FALSE),"")</x:f>
      </x:c>
      <x:c r="J181" s="24">
        <x:f>_xlfn.IFNA(VLOOKUP(D181,Master_Section!$I:$K,3,FALSE),"")</x:f>
      </x:c>
      <x:c r="L181" s="94">
        <x:f>IF(A181&lt;&gt;"CFA",_xlfn.IFNA(VLOOKUP($G181,Master!$AE:$AI,5,0),""),"")</x:f>
      </x:c>
      <x:c r="P181" s="26">
        <x:f>IF(N181&lt;&gt;"",IF(MONTH(N181)&gt;=4,"FY1"&amp;RIGHT(YEAR(N181)+1,2),"FY1"&amp;RIGHT(YEAR(N181),2)),"")</x:f>
      </x:c>
      <x:c r="Q181" s="37">
        <x:f>IF(K181&gt;0&amp;M181&gt;0,K181*M181,"")</x:f>
      </x:c>
    </x:row>
    <x:row r="182" spans="1:18" customFormat="1" ht="15" customHeight="1">
      <x:c r="B182" s="37">
        <x:f>_xlfn.IFNA(VLOOKUP(C182,Master_Section!$H:$I,2,FALSE),"")</x:f>
      </x:c>
      <x:c r="D182" s="37">
        <x:f>_xlfn.IFNA(VLOOKUP(E182,Master_Section!$H:$I,2,FALSE),"")</x:f>
      </x:c>
      <x:c r="F182" s="26">
        <x:f>_xlfn.IFNA(VLOOKUP(G182,Master!AE:AF,2,FALSE),"")</x:f>
      </x:c>
      <x:c r="I182" s="24">
        <x:f>_xlfn.IFNA(VLOOKUP(D182,Master_Section!$I:$K,2,FALSE),"")</x:f>
      </x:c>
      <x:c r="J182" s="24">
        <x:f>_xlfn.IFNA(VLOOKUP(D182,Master_Section!$I:$K,3,FALSE),"")</x:f>
      </x:c>
      <x:c r="L182" s="94">
        <x:f>IF(A182&lt;&gt;"CFA",_xlfn.IFNA(VLOOKUP($G182,Master!$AE:$AI,5,0),""),"")</x:f>
      </x:c>
      <x:c r="P182" s="26">
        <x:f>IF(N182&lt;&gt;"",IF(MONTH(N182)&gt;=4,"FY1"&amp;RIGHT(YEAR(N182)+1,2),"FY1"&amp;RIGHT(YEAR(N182),2)),"")</x:f>
      </x:c>
      <x:c r="Q182" s="37">
        <x:f>IF(K182&gt;0&amp;M182&gt;0,K182*M182,"")</x:f>
      </x:c>
    </x:row>
    <x:row r="183" spans="1:18" customFormat="1" ht="15" customHeight="1">
      <x:c r="B183" s="37">
        <x:f>_xlfn.IFNA(VLOOKUP(C183,Master_Section!$H:$I,2,FALSE),"")</x:f>
      </x:c>
      <x:c r="D183" s="37">
        <x:f>_xlfn.IFNA(VLOOKUP(E183,Master_Section!$H:$I,2,FALSE),"")</x:f>
      </x:c>
      <x:c r="F183" s="26">
        <x:f>_xlfn.IFNA(VLOOKUP(G183,Master!AE:AF,2,FALSE),"")</x:f>
      </x:c>
      <x:c r="I183" s="24">
        <x:f>_xlfn.IFNA(VLOOKUP(D183,Master_Section!$I:$K,2,FALSE),"")</x:f>
      </x:c>
      <x:c r="J183" s="24">
        <x:f>_xlfn.IFNA(VLOOKUP(D183,Master_Section!$I:$K,3,FALSE),"")</x:f>
      </x:c>
      <x:c r="L183" s="94">
        <x:f>IF(A183&lt;&gt;"CFA",_xlfn.IFNA(VLOOKUP($G183,Master!$AE:$AI,5,0),""),"")</x:f>
      </x:c>
      <x:c r="P183" s="26">
        <x:f>IF(N183&lt;&gt;"",IF(MONTH(N183)&gt;=4,"FY1"&amp;RIGHT(YEAR(N183)+1,2),"FY1"&amp;RIGHT(YEAR(N183),2)),"")</x:f>
      </x:c>
      <x:c r="Q183" s="37">
        <x:f>IF(K183&gt;0&amp;M183&gt;0,K183*M183,"")</x:f>
      </x:c>
    </x:row>
    <x:row r="184" spans="1:18" customFormat="1" ht="15" customHeight="1">
      <x:c r="B184" s="37">
        <x:f>_xlfn.IFNA(VLOOKUP(C184,Master_Section!$H:$I,2,FALSE),"")</x:f>
      </x:c>
      <x:c r="D184" s="37">
        <x:f>_xlfn.IFNA(VLOOKUP(E184,Master_Section!$H:$I,2,FALSE),"")</x:f>
      </x:c>
      <x:c r="F184" s="26">
        <x:f>_xlfn.IFNA(VLOOKUP(G184,Master!AE:AF,2,FALSE),"")</x:f>
      </x:c>
      <x:c r="I184" s="24">
        <x:f>_xlfn.IFNA(VLOOKUP(D184,Master_Section!$I:$K,2,FALSE),"")</x:f>
      </x:c>
      <x:c r="J184" s="24">
        <x:f>_xlfn.IFNA(VLOOKUP(D184,Master_Section!$I:$K,3,FALSE),"")</x:f>
      </x:c>
      <x:c r="L184" s="94">
        <x:f>IF(A184&lt;&gt;"CFA",_xlfn.IFNA(VLOOKUP($G184,Master!$AE:$AI,5,0),""),"")</x:f>
      </x:c>
      <x:c r="P184" s="26">
        <x:f>IF(N184&lt;&gt;"",IF(MONTH(N184)&gt;=4,"FY1"&amp;RIGHT(YEAR(N184)+1,2),"FY1"&amp;RIGHT(YEAR(N184),2)),"")</x:f>
      </x:c>
      <x:c r="Q184" s="37">
        <x:f>IF(K184&gt;0&amp;M184&gt;0,K184*M184,"")</x:f>
      </x:c>
    </x:row>
    <x:row r="185" spans="1:18" customFormat="1" ht="15" customHeight="1">
      <x:c r="B185" s="37">
        <x:f>_xlfn.IFNA(VLOOKUP(C185,Master_Section!$H:$I,2,FALSE),"")</x:f>
      </x:c>
      <x:c r="D185" s="37">
        <x:f>_xlfn.IFNA(VLOOKUP(E185,Master_Section!$H:$I,2,FALSE),"")</x:f>
      </x:c>
      <x:c r="F185" s="26">
        <x:f>_xlfn.IFNA(VLOOKUP(G185,Master!AE:AF,2,FALSE),"")</x:f>
      </x:c>
      <x:c r="I185" s="24">
        <x:f>_xlfn.IFNA(VLOOKUP(D185,Master_Section!$I:$K,2,FALSE),"")</x:f>
      </x:c>
      <x:c r="J185" s="24">
        <x:f>_xlfn.IFNA(VLOOKUP(D185,Master_Section!$I:$K,3,FALSE),"")</x:f>
      </x:c>
      <x:c r="L185" s="94">
        <x:f>IF(A185&lt;&gt;"CFA",_xlfn.IFNA(VLOOKUP($G185,Master!$AE:$AI,5,0),""),"")</x:f>
      </x:c>
      <x:c r="P185" s="26">
        <x:f>IF(N185&lt;&gt;"",IF(MONTH(N185)&gt;=4,"FY1"&amp;RIGHT(YEAR(N185)+1,2),"FY1"&amp;RIGHT(YEAR(N185),2)),"")</x:f>
      </x:c>
      <x:c r="Q185" s="37">
        <x:f>IF(K185&gt;0&amp;M185&gt;0,K185*M185,"")</x:f>
      </x:c>
    </x:row>
    <x:row r="186" spans="1:18" customFormat="1" ht="15" customHeight="1">
      <x:c r="B186" s="37">
        <x:f>_xlfn.IFNA(VLOOKUP(C186,Master_Section!$H:$I,2,FALSE),"")</x:f>
      </x:c>
      <x:c r="D186" s="37">
        <x:f>_xlfn.IFNA(VLOOKUP(E186,Master_Section!$H:$I,2,FALSE),"")</x:f>
      </x:c>
      <x:c r="F186" s="26">
        <x:f>_xlfn.IFNA(VLOOKUP(G186,Master!AE:AF,2,FALSE),"")</x:f>
      </x:c>
      <x:c r="I186" s="24">
        <x:f>_xlfn.IFNA(VLOOKUP(D186,Master_Section!$I:$K,2,FALSE),"")</x:f>
      </x:c>
      <x:c r="J186" s="24">
        <x:f>_xlfn.IFNA(VLOOKUP(D186,Master_Section!$I:$K,3,FALSE),"")</x:f>
      </x:c>
      <x:c r="L186" s="94">
        <x:f>IF(A186&lt;&gt;"CFA",_xlfn.IFNA(VLOOKUP($G186,Master!$AE:$AI,5,0),""),"")</x:f>
      </x:c>
      <x:c r="P186" s="26">
        <x:f>IF(N186&lt;&gt;"",IF(MONTH(N186)&gt;=4,"FY1"&amp;RIGHT(YEAR(N186)+1,2),"FY1"&amp;RIGHT(YEAR(N186),2)),"")</x:f>
      </x:c>
      <x:c r="Q186" s="37">
        <x:f>IF(K186&gt;0&amp;M186&gt;0,K186*M186,"")</x:f>
      </x:c>
    </x:row>
    <x:row r="187" spans="1:18" customFormat="1" ht="15" customHeight="1">
      <x:c r="B187" s="37">
        <x:f>_xlfn.IFNA(VLOOKUP(C187,Master_Section!$H:$I,2,FALSE),"")</x:f>
      </x:c>
      <x:c r="D187" s="37">
        <x:f>_xlfn.IFNA(VLOOKUP(E187,Master_Section!$H:$I,2,FALSE),"")</x:f>
      </x:c>
      <x:c r="F187" s="26">
        <x:f>_xlfn.IFNA(VLOOKUP(G187,Master!AE:AF,2,FALSE),"")</x:f>
      </x:c>
      <x:c r="I187" s="24">
        <x:f>_xlfn.IFNA(VLOOKUP(D187,Master_Section!$I:$K,2,FALSE),"")</x:f>
      </x:c>
      <x:c r="J187" s="24">
        <x:f>_xlfn.IFNA(VLOOKUP(D187,Master_Section!$I:$K,3,FALSE),"")</x:f>
      </x:c>
      <x:c r="L187" s="94">
        <x:f>IF(A187&lt;&gt;"CFA",_xlfn.IFNA(VLOOKUP($G187,Master!$AE:$AI,5,0),""),"")</x:f>
      </x:c>
      <x:c r="P187" s="26">
        <x:f>IF(N187&lt;&gt;"",IF(MONTH(N187)&gt;=4,"FY1"&amp;RIGHT(YEAR(N187)+1,2),"FY1"&amp;RIGHT(YEAR(N187),2)),"")</x:f>
      </x:c>
      <x:c r="Q187" s="37">
        <x:f>IF(K187&gt;0&amp;M187&gt;0,K187*M187,"")</x:f>
      </x:c>
    </x:row>
    <x:row r="188" spans="1:18" customFormat="1" ht="15" customHeight="1">
      <x:c r="B188" s="37">
        <x:f>_xlfn.IFNA(VLOOKUP(C188,Master_Section!$H:$I,2,FALSE),"")</x:f>
      </x:c>
      <x:c r="D188" s="37">
        <x:f>_xlfn.IFNA(VLOOKUP(E188,Master_Section!$H:$I,2,FALSE),"")</x:f>
      </x:c>
      <x:c r="F188" s="26">
        <x:f>_xlfn.IFNA(VLOOKUP(G188,Master!AE:AF,2,FALSE),"")</x:f>
      </x:c>
      <x:c r="I188" s="24">
        <x:f>_xlfn.IFNA(VLOOKUP(D188,Master_Section!$I:$K,2,FALSE),"")</x:f>
      </x:c>
      <x:c r="J188" s="24">
        <x:f>_xlfn.IFNA(VLOOKUP(D188,Master_Section!$I:$K,3,FALSE),"")</x:f>
      </x:c>
      <x:c r="L188" s="94">
        <x:f>IF(A188&lt;&gt;"CFA",_xlfn.IFNA(VLOOKUP($G188,Master!$AE:$AI,5,0),""),"")</x:f>
      </x:c>
      <x:c r="P188" s="26">
        <x:f>IF(N188&lt;&gt;"",IF(MONTH(N188)&gt;=4,"FY1"&amp;RIGHT(YEAR(N188)+1,2),"FY1"&amp;RIGHT(YEAR(N188),2)),"")</x:f>
      </x:c>
      <x:c r="Q188" s="37">
        <x:f>IF(K188&gt;0&amp;M188&gt;0,K188*M188,"")</x:f>
      </x:c>
    </x:row>
    <x:row r="189" spans="1:18" customFormat="1" ht="15" customHeight="1">
      <x:c r="B189" s="37">
        <x:f>_xlfn.IFNA(VLOOKUP(C189,Master_Section!$H:$I,2,FALSE),"")</x:f>
      </x:c>
      <x:c r="D189" s="37">
        <x:f>_xlfn.IFNA(VLOOKUP(E189,Master_Section!$H:$I,2,FALSE),"")</x:f>
      </x:c>
      <x:c r="F189" s="26">
        <x:f>_xlfn.IFNA(VLOOKUP(G189,Master!AE:AF,2,FALSE),"")</x:f>
      </x:c>
      <x:c r="I189" s="24">
        <x:f>_xlfn.IFNA(VLOOKUP(D189,Master_Section!$I:$K,2,FALSE),"")</x:f>
      </x:c>
      <x:c r="J189" s="24">
        <x:f>_xlfn.IFNA(VLOOKUP(D189,Master_Section!$I:$K,3,FALSE),"")</x:f>
      </x:c>
      <x:c r="L189" s="94">
        <x:f>IF(A189&lt;&gt;"CFA",_xlfn.IFNA(VLOOKUP($G189,Master!$AE:$AI,5,0),""),"")</x:f>
      </x:c>
      <x:c r="P189" s="26">
        <x:f>IF(N189&lt;&gt;"",IF(MONTH(N189)&gt;=4,"FY1"&amp;RIGHT(YEAR(N189)+1,2),"FY1"&amp;RIGHT(YEAR(N189),2)),"")</x:f>
      </x:c>
      <x:c r="Q189" s="37">
        <x:f>IF(K189&gt;0&amp;M189&gt;0,K189*M189,"")</x:f>
      </x:c>
    </x:row>
    <x:row r="190" spans="1:18" customFormat="1" ht="15" customHeight="1">
      <x:c r="B190" s="37">
        <x:f>_xlfn.IFNA(VLOOKUP(C190,Master_Section!$H:$I,2,FALSE),"")</x:f>
      </x:c>
      <x:c r="D190" s="37">
        <x:f>_xlfn.IFNA(VLOOKUP(E190,Master_Section!$H:$I,2,FALSE),"")</x:f>
      </x:c>
      <x:c r="F190" s="26">
        <x:f>_xlfn.IFNA(VLOOKUP(G190,Master!AE:AF,2,FALSE),"")</x:f>
      </x:c>
      <x:c r="I190" s="24">
        <x:f>_xlfn.IFNA(VLOOKUP(D190,Master_Section!$I:$K,2,FALSE),"")</x:f>
      </x:c>
      <x:c r="J190" s="24">
        <x:f>_xlfn.IFNA(VLOOKUP(D190,Master_Section!$I:$K,3,FALSE),"")</x:f>
      </x:c>
      <x:c r="L190" s="94">
        <x:f>IF(A190&lt;&gt;"CFA",_xlfn.IFNA(VLOOKUP($G190,Master!$AE:$AI,5,0),""),"")</x:f>
      </x:c>
      <x:c r="P190" s="26">
        <x:f>IF(N190&lt;&gt;"",IF(MONTH(N190)&gt;=4,"FY1"&amp;RIGHT(YEAR(N190)+1,2),"FY1"&amp;RIGHT(YEAR(N190),2)),"")</x:f>
      </x:c>
      <x:c r="Q190" s="37">
        <x:f>IF(K190&gt;0&amp;M190&gt;0,K190*M190,"")</x:f>
      </x:c>
    </x:row>
    <x:row r="191" spans="1:18" customFormat="1" ht="15" customHeight="1">
      <x:c r="B191" s="37">
        <x:f>_xlfn.IFNA(VLOOKUP(C191,Master_Section!$H:$I,2,FALSE),"")</x:f>
      </x:c>
      <x:c r="D191" s="37">
        <x:f>_xlfn.IFNA(VLOOKUP(E191,Master_Section!$H:$I,2,FALSE),"")</x:f>
      </x:c>
      <x:c r="F191" s="26">
        <x:f>_xlfn.IFNA(VLOOKUP(G191,Master!AE:AF,2,FALSE),"")</x:f>
      </x:c>
      <x:c r="I191" s="24">
        <x:f>_xlfn.IFNA(VLOOKUP(D191,Master_Section!$I:$K,2,FALSE),"")</x:f>
      </x:c>
      <x:c r="J191" s="24">
        <x:f>_xlfn.IFNA(VLOOKUP(D191,Master_Section!$I:$K,3,FALSE),"")</x:f>
      </x:c>
      <x:c r="L191" s="94">
        <x:f>IF(A191&lt;&gt;"CFA",_xlfn.IFNA(VLOOKUP($G191,Master!$AE:$AI,5,0),""),"")</x:f>
      </x:c>
      <x:c r="P191" s="26">
        <x:f>IF(N191&lt;&gt;"",IF(MONTH(N191)&gt;=4,"FY1"&amp;RIGHT(YEAR(N191)+1,2),"FY1"&amp;RIGHT(YEAR(N191),2)),"")</x:f>
      </x:c>
      <x:c r="Q191" s="37">
        <x:f>IF(K191&gt;0&amp;M191&gt;0,K191*M191,"")</x:f>
      </x:c>
    </x:row>
    <x:row r="192" spans="1:18" customFormat="1" ht="15" customHeight="1">
      <x:c r="B192" s="37">
        <x:f>_xlfn.IFNA(VLOOKUP(C192,Master_Section!$H:$I,2,FALSE),"")</x:f>
      </x:c>
      <x:c r="D192" s="37">
        <x:f>_xlfn.IFNA(VLOOKUP(E192,Master_Section!$H:$I,2,FALSE),"")</x:f>
      </x:c>
      <x:c r="F192" s="26">
        <x:f>_xlfn.IFNA(VLOOKUP(G192,Master!AE:AF,2,FALSE),"")</x:f>
      </x:c>
      <x:c r="I192" s="24">
        <x:f>_xlfn.IFNA(VLOOKUP(D192,Master_Section!$I:$K,2,FALSE),"")</x:f>
      </x:c>
      <x:c r="J192" s="24">
        <x:f>_xlfn.IFNA(VLOOKUP(D192,Master_Section!$I:$K,3,FALSE),"")</x:f>
      </x:c>
      <x:c r="L192" s="94">
        <x:f>IF(A192&lt;&gt;"CFA",_xlfn.IFNA(VLOOKUP($G192,Master!$AE:$AI,5,0),""),"")</x:f>
      </x:c>
      <x:c r="P192" s="26">
        <x:f>IF(N192&lt;&gt;"",IF(MONTH(N192)&gt;=4,"FY1"&amp;RIGHT(YEAR(N192)+1,2),"FY1"&amp;RIGHT(YEAR(N192),2)),"")</x:f>
      </x:c>
      <x:c r="Q192" s="37">
        <x:f>IF(K192&gt;0&amp;M192&gt;0,K192*M192,"")</x:f>
      </x:c>
    </x:row>
    <x:row r="193" spans="1:18" customFormat="1" ht="15" customHeight="1">
      <x:c r="B193" s="37">
        <x:f>_xlfn.IFNA(VLOOKUP(C193,Master_Section!$H:$I,2,FALSE),"")</x:f>
      </x:c>
      <x:c r="D193" s="37">
        <x:f>_xlfn.IFNA(VLOOKUP(E193,Master_Section!$H:$I,2,FALSE),"")</x:f>
      </x:c>
      <x:c r="F193" s="26">
        <x:f>_xlfn.IFNA(VLOOKUP(G193,Master!AE:AF,2,FALSE),"")</x:f>
      </x:c>
      <x:c r="I193" s="24">
        <x:f>_xlfn.IFNA(VLOOKUP(D193,Master_Section!$I:$K,2,FALSE),"")</x:f>
      </x:c>
      <x:c r="J193" s="24">
        <x:f>_xlfn.IFNA(VLOOKUP(D193,Master_Section!$I:$K,3,FALSE),"")</x:f>
      </x:c>
      <x:c r="L193" s="94">
        <x:f>IF(A193&lt;&gt;"CFA",_xlfn.IFNA(VLOOKUP($G193,Master!$AE:$AI,5,0),""),"")</x:f>
      </x:c>
      <x:c r="P193" s="26">
        <x:f>IF(N193&lt;&gt;"",IF(MONTH(N193)&gt;=4,"FY1"&amp;RIGHT(YEAR(N193)+1,2),"FY1"&amp;RIGHT(YEAR(N193),2)),"")</x:f>
      </x:c>
      <x:c r="Q193" s="37">
        <x:f>IF(K193&gt;0&amp;M193&gt;0,K193*M193,"")</x:f>
      </x:c>
    </x:row>
    <x:row r="194" spans="1:18" customFormat="1" ht="15" customHeight="1">
      <x:c r="B194" s="37">
        <x:f>_xlfn.IFNA(VLOOKUP(C194,Master_Section!$H:$I,2,FALSE),"")</x:f>
      </x:c>
      <x:c r="D194" s="37">
        <x:f>_xlfn.IFNA(VLOOKUP(E194,Master_Section!$H:$I,2,FALSE),"")</x:f>
      </x:c>
      <x:c r="F194" s="26">
        <x:f>_xlfn.IFNA(VLOOKUP(G194,Master!AE:AF,2,FALSE),"")</x:f>
      </x:c>
      <x:c r="I194" s="24">
        <x:f>_xlfn.IFNA(VLOOKUP(D194,Master_Section!$I:$K,2,FALSE),"")</x:f>
      </x:c>
      <x:c r="J194" s="24">
        <x:f>_xlfn.IFNA(VLOOKUP(D194,Master_Section!$I:$K,3,FALSE),"")</x:f>
      </x:c>
      <x:c r="L194" s="94">
        <x:f>IF(A194&lt;&gt;"CFA",_xlfn.IFNA(VLOOKUP($G194,Master!$AE:$AI,5,0),""),"")</x:f>
      </x:c>
      <x:c r="P194" s="26">
        <x:f>IF(N194&lt;&gt;"",IF(MONTH(N194)&gt;=4,"FY1"&amp;RIGHT(YEAR(N194)+1,2),"FY1"&amp;RIGHT(YEAR(N194),2)),"")</x:f>
      </x:c>
      <x:c r="Q194" s="37">
        <x:f>IF(K194&gt;0&amp;M194&gt;0,K194*M194,"")</x:f>
      </x:c>
    </x:row>
    <x:row r="195" spans="1:18" customFormat="1" ht="15" customHeight="1">
      <x:c r="B195" s="37">
        <x:f>_xlfn.IFNA(VLOOKUP(C195,Master_Section!$H:$I,2,FALSE),"")</x:f>
      </x:c>
      <x:c r="D195" s="37">
        <x:f>_xlfn.IFNA(VLOOKUP(E195,Master_Section!$H:$I,2,FALSE),"")</x:f>
      </x:c>
      <x:c r="F195" s="26">
        <x:f>_xlfn.IFNA(VLOOKUP(G195,Master!AE:AF,2,FALSE),"")</x:f>
      </x:c>
      <x:c r="I195" s="24">
        <x:f>_xlfn.IFNA(VLOOKUP(D195,Master_Section!$I:$K,2,FALSE),"")</x:f>
      </x:c>
      <x:c r="J195" s="24">
        <x:f>_xlfn.IFNA(VLOOKUP(D195,Master_Section!$I:$K,3,FALSE),"")</x:f>
      </x:c>
      <x:c r="L195" s="94">
        <x:f>IF(A195&lt;&gt;"CFA",_xlfn.IFNA(VLOOKUP($G195,Master!$AE:$AI,5,0),""),"")</x:f>
      </x:c>
      <x:c r="P195" s="26">
        <x:f>IF(N195&lt;&gt;"",IF(MONTH(N195)&gt;=4,"FY1"&amp;RIGHT(YEAR(N195)+1,2),"FY1"&amp;RIGHT(YEAR(N195),2)),"")</x:f>
      </x:c>
      <x:c r="Q195" s="37">
        <x:f>IF(K195&gt;0&amp;M195&gt;0,K195*M195,"")</x:f>
      </x:c>
    </x:row>
    <x:row r="196" spans="1:18" customFormat="1" ht="15" customHeight="1">
      <x:c r="B196" s="37">
        <x:f>_xlfn.IFNA(VLOOKUP(C196,Master_Section!$H:$I,2,FALSE),"")</x:f>
      </x:c>
      <x:c r="D196" s="37">
        <x:f>_xlfn.IFNA(VLOOKUP(E196,Master_Section!$H:$I,2,FALSE),"")</x:f>
      </x:c>
      <x:c r="F196" s="26">
        <x:f>_xlfn.IFNA(VLOOKUP(G196,Master!AE:AF,2,FALSE),"")</x:f>
      </x:c>
      <x:c r="I196" s="24">
        <x:f>_xlfn.IFNA(VLOOKUP(D196,Master_Section!$I:$K,2,FALSE),"")</x:f>
      </x:c>
      <x:c r="J196" s="24">
        <x:f>_xlfn.IFNA(VLOOKUP(D196,Master_Section!$I:$K,3,FALSE),"")</x:f>
      </x:c>
      <x:c r="L196" s="94">
        <x:f>IF(A196&lt;&gt;"CFA",_xlfn.IFNA(VLOOKUP($G196,Master!$AE:$AI,5,0),""),"")</x:f>
      </x:c>
      <x:c r="P196" s="26">
        <x:f>IF(N196&lt;&gt;"",IF(MONTH(N196)&gt;=4,"FY1"&amp;RIGHT(YEAR(N196)+1,2),"FY1"&amp;RIGHT(YEAR(N196),2)),"")</x:f>
      </x:c>
      <x:c r="Q196" s="37">
        <x:f>IF(K196&gt;0&amp;M196&gt;0,K196*M196,"")</x:f>
      </x:c>
    </x:row>
    <x:row r="197" spans="1:18" customFormat="1" ht="15" customHeight="1">
      <x:c r="B197" s="37">
        <x:f>_xlfn.IFNA(VLOOKUP(C197,Master_Section!$H:$I,2,FALSE),"")</x:f>
      </x:c>
      <x:c r="D197" s="37">
        <x:f>_xlfn.IFNA(VLOOKUP(E197,Master_Section!$H:$I,2,FALSE),"")</x:f>
      </x:c>
      <x:c r="F197" s="26">
        <x:f>_xlfn.IFNA(VLOOKUP(G197,Master!AE:AF,2,FALSE),"")</x:f>
      </x:c>
      <x:c r="I197" s="24">
        <x:f>_xlfn.IFNA(VLOOKUP(D197,Master_Section!$I:$K,2,FALSE),"")</x:f>
      </x:c>
      <x:c r="J197" s="24">
        <x:f>_xlfn.IFNA(VLOOKUP(D197,Master_Section!$I:$K,3,FALSE),"")</x:f>
      </x:c>
      <x:c r="L197" s="94">
        <x:f>IF(A197&lt;&gt;"CFA",_xlfn.IFNA(VLOOKUP($G197,Master!$AE:$AI,5,0),""),"")</x:f>
      </x:c>
      <x:c r="P197" s="26">
        <x:f>IF(N197&lt;&gt;"",IF(MONTH(N197)&gt;=4,"FY1"&amp;RIGHT(YEAR(N197)+1,2),"FY1"&amp;RIGHT(YEAR(N197),2)),"")</x:f>
      </x:c>
      <x:c r="Q197" s="37">
        <x:f>IF(K197&gt;0&amp;M197&gt;0,K197*M197,"")</x:f>
      </x:c>
    </x:row>
    <x:row r="198" spans="1:18" customFormat="1" ht="15" customHeight="1">
      <x:c r="B198" s="37">
        <x:f>_xlfn.IFNA(VLOOKUP(C198,Master_Section!$H:$I,2,FALSE),"")</x:f>
      </x:c>
      <x:c r="D198" s="37">
        <x:f>_xlfn.IFNA(VLOOKUP(E198,Master_Section!$H:$I,2,FALSE),"")</x:f>
      </x:c>
      <x:c r="F198" s="26">
        <x:f>_xlfn.IFNA(VLOOKUP(G198,Master!AE:AF,2,FALSE),"")</x:f>
      </x:c>
      <x:c r="I198" s="24">
        <x:f>_xlfn.IFNA(VLOOKUP(D198,Master_Section!$I:$K,2,FALSE),"")</x:f>
      </x:c>
      <x:c r="J198" s="24">
        <x:f>_xlfn.IFNA(VLOOKUP(D198,Master_Section!$I:$K,3,FALSE),"")</x:f>
      </x:c>
      <x:c r="L198" s="94">
        <x:f>IF(A198&lt;&gt;"CFA",_xlfn.IFNA(VLOOKUP($G198,Master!$AE:$AI,5,0),""),"")</x:f>
      </x:c>
      <x:c r="P198" s="26">
        <x:f>IF(N198&lt;&gt;"",IF(MONTH(N198)&gt;=4,"FY1"&amp;RIGHT(YEAR(N198)+1,2),"FY1"&amp;RIGHT(YEAR(N198),2)),"")</x:f>
      </x:c>
      <x:c r="Q198" s="37">
        <x:f>IF(K198&gt;0&amp;M198&gt;0,K198*M198,"")</x:f>
      </x:c>
    </x:row>
    <x:row r="199" spans="1:18" customFormat="1" ht="15" customHeight="1">
      <x:c r="B199" s="37">
        <x:f>_xlfn.IFNA(VLOOKUP(C199,Master_Section!$H:$I,2,FALSE),"")</x:f>
      </x:c>
      <x:c r="D199" s="37">
        <x:f>_xlfn.IFNA(VLOOKUP(E199,Master_Section!$H:$I,2,FALSE),"")</x:f>
      </x:c>
      <x:c r="F199" s="26">
        <x:f>_xlfn.IFNA(VLOOKUP(G199,Master!AE:AF,2,FALSE),"")</x:f>
      </x:c>
      <x:c r="I199" s="24">
        <x:f>_xlfn.IFNA(VLOOKUP(D199,Master_Section!$I:$K,2,FALSE),"")</x:f>
      </x:c>
      <x:c r="J199" s="24">
        <x:f>_xlfn.IFNA(VLOOKUP(D199,Master_Section!$I:$K,3,FALSE),"")</x:f>
      </x:c>
      <x:c r="L199" s="94">
        <x:f>IF(A199&lt;&gt;"CFA",_xlfn.IFNA(VLOOKUP($G199,Master!$AE:$AI,5,0),""),"")</x:f>
      </x:c>
      <x:c r="P199" s="26">
        <x:f>IF(N199&lt;&gt;"",IF(MONTH(N199)&gt;=4,"FY1"&amp;RIGHT(YEAR(N199)+1,2),"FY1"&amp;RIGHT(YEAR(N199),2)),"")</x:f>
      </x:c>
      <x:c r="Q199" s="37">
        <x:f>IF(K199&gt;0&amp;M199&gt;0,K199*M199,"")</x:f>
      </x:c>
    </x:row>
    <x:row r="200" spans="1:18" customFormat="1" ht="15" customHeight="1">
      <x:c r="B200" s="37">
        <x:f>_xlfn.IFNA(VLOOKUP(C200,Master_Section!$H:$I,2,FALSE),"")</x:f>
      </x:c>
      <x:c r="D200" s="37">
        <x:f>_xlfn.IFNA(VLOOKUP(E200,Master_Section!$H:$I,2,FALSE),"")</x:f>
      </x:c>
      <x:c r="F200" s="26">
        <x:f>_xlfn.IFNA(VLOOKUP(G200,Master!AE:AF,2,FALSE),"")</x:f>
      </x:c>
      <x:c r="I200" s="24">
        <x:f>_xlfn.IFNA(VLOOKUP(D200,Master_Section!$I:$K,2,FALSE),"")</x:f>
      </x:c>
      <x:c r="J200" s="24">
        <x:f>_xlfn.IFNA(VLOOKUP(D200,Master_Section!$I:$K,3,FALSE),"")</x:f>
      </x:c>
      <x:c r="L200" s="94">
        <x:f>IF(A200&lt;&gt;"CFA",_xlfn.IFNA(VLOOKUP($G200,Master!$AE:$AI,5,0),""),"")</x:f>
      </x:c>
      <x:c r="P200" s="26">
        <x:f>IF(N200&lt;&gt;"",IF(MONTH(N200)&gt;=4,"FY1"&amp;RIGHT(YEAR(N200)+1,2),"FY1"&amp;RIGHT(YEAR(N200),2)),"")</x:f>
      </x:c>
      <x:c r="Q200" s="37">
        <x:f>IF(K200&gt;0&amp;M200&gt;0,K200*M200,"")</x:f>
      </x:c>
    </x:row>
    <x:row r="201" spans="1:18" customFormat="1" ht="15" customHeight="1">
      <x:c r="B201" s="37">
        <x:f>_xlfn.IFNA(VLOOKUP(C201,Master_Section!$H:$I,2,FALSE),"")</x:f>
      </x:c>
      <x:c r="D201" s="37">
        <x:f>_xlfn.IFNA(VLOOKUP(E201,Master_Section!$H:$I,2,FALSE),"")</x:f>
      </x:c>
      <x:c r="F201" s="26">
        <x:f>_xlfn.IFNA(VLOOKUP(G201,Master!AE:AF,2,FALSE),"")</x:f>
      </x:c>
      <x:c r="I201" s="24">
        <x:f>_xlfn.IFNA(VLOOKUP(D201,Master_Section!$I:$K,2,FALSE),"")</x:f>
      </x:c>
      <x:c r="J201" s="24">
        <x:f>_xlfn.IFNA(VLOOKUP(D201,Master_Section!$I:$K,3,FALSE),"")</x:f>
      </x:c>
      <x:c r="L201" s="94">
        <x:f>IF(A201&lt;&gt;"CFA",_xlfn.IFNA(VLOOKUP($G201,Master!$AE:$AI,5,0),""),"")</x:f>
      </x:c>
      <x:c r="P201" s="26">
        <x:f>IF(N201&lt;&gt;"",IF(MONTH(N201)&gt;=4,"FY1"&amp;RIGHT(YEAR(N201)+1,2),"FY1"&amp;RIGHT(YEAR(N201),2)),"")</x:f>
      </x:c>
      <x:c r="Q201" s="37">
        <x:f>IF(K201&gt;0&amp;M201&gt;0,K201*M201,"")</x:f>
      </x:c>
    </x:row>
    <x:row r="202" spans="1:18" customFormat="1" ht="15" customHeight="1">
      <x:c r="B202" s="37">
        <x:f>_xlfn.IFNA(VLOOKUP(C202,Master_Section!$H:$I,2,FALSE),"")</x:f>
      </x:c>
      <x:c r="D202" s="37">
        <x:f>_xlfn.IFNA(VLOOKUP(E202,Master_Section!$H:$I,2,FALSE),"")</x:f>
      </x:c>
      <x:c r="F202" s="26">
        <x:f>_xlfn.IFNA(VLOOKUP(G202,Master!AE:AF,2,FALSE),"")</x:f>
      </x:c>
      <x:c r="I202" s="24">
        <x:f>_xlfn.IFNA(VLOOKUP(D202,Master_Section!$I:$K,2,FALSE),"")</x:f>
      </x:c>
      <x:c r="J202" s="24">
        <x:f>_xlfn.IFNA(VLOOKUP(D202,Master_Section!$I:$K,3,FALSE),"")</x:f>
      </x:c>
      <x:c r="L202" s="94">
        <x:f>IF(A202&lt;&gt;"CFA",_xlfn.IFNA(VLOOKUP($G202,Master!$AE:$AI,5,0),""),"")</x:f>
      </x:c>
      <x:c r="P202" s="26">
        <x:f>IF(N202&lt;&gt;"",IF(MONTH(N202)&gt;=4,"FY1"&amp;RIGHT(YEAR(N202)+1,2),"FY1"&amp;RIGHT(YEAR(N202),2)),"")</x:f>
      </x:c>
      <x:c r="Q202" s="37">
        <x:f>IF(K202&gt;0&amp;M202&gt;0,K202*M202,"")</x:f>
      </x:c>
    </x:row>
    <x:row r="203" spans="1:18" customFormat="1" ht="15" customHeight="1">
      <x:c r="B203" s="37">
        <x:f>_xlfn.IFNA(VLOOKUP(C203,Master_Section!$H:$I,2,FALSE),"")</x:f>
      </x:c>
      <x:c r="D203" s="37">
        <x:f>_xlfn.IFNA(VLOOKUP(E203,Master_Section!$H:$I,2,FALSE),"")</x:f>
      </x:c>
      <x:c r="F203" s="26">
        <x:f>_xlfn.IFNA(VLOOKUP(G203,Master!AE:AF,2,FALSE),"")</x:f>
      </x:c>
      <x:c r="I203" s="24">
        <x:f>_xlfn.IFNA(VLOOKUP(D203,Master_Section!$I:$K,2,FALSE),"")</x:f>
      </x:c>
      <x:c r="J203" s="24">
        <x:f>_xlfn.IFNA(VLOOKUP(D203,Master_Section!$I:$K,3,FALSE),"")</x:f>
      </x:c>
      <x:c r="L203" s="94">
        <x:f>IF(A203&lt;&gt;"CFA",_xlfn.IFNA(VLOOKUP($G203,Master!$AE:$AI,5,0),""),"")</x:f>
      </x:c>
      <x:c r="P203" s="26">
        <x:f>IF(N203&lt;&gt;"",IF(MONTH(N203)&gt;=4,"FY1"&amp;RIGHT(YEAR(N203)+1,2),"FY1"&amp;RIGHT(YEAR(N203),2)),"")</x:f>
      </x:c>
      <x:c r="Q203" s="37">
        <x:f>IF(K203&gt;0&amp;M203&gt;0,K203*M203,"")</x:f>
      </x:c>
    </x:row>
    <x:row r="204" spans="1:18" customFormat="1" ht="15" customHeight="1">
      <x:c r="B204" s="37">
        <x:f>_xlfn.IFNA(VLOOKUP(C204,Master_Section!$H:$I,2,FALSE),"")</x:f>
      </x:c>
      <x:c r="D204" s="37">
        <x:f>_xlfn.IFNA(VLOOKUP(E204,Master_Section!$H:$I,2,FALSE),"")</x:f>
      </x:c>
      <x:c r="F204" s="26">
        <x:f>_xlfn.IFNA(VLOOKUP(G204,Master!AE:AF,2,FALSE),"")</x:f>
      </x:c>
      <x:c r="I204" s="24">
        <x:f>_xlfn.IFNA(VLOOKUP(D204,Master_Section!$I:$K,2,FALSE),"")</x:f>
      </x:c>
      <x:c r="J204" s="24">
        <x:f>_xlfn.IFNA(VLOOKUP(D204,Master_Section!$I:$K,3,FALSE),"")</x:f>
      </x:c>
      <x:c r="L204" s="94">
        <x:f>IF(A204&lt;&gt;"CFA",_xlfn.IFNA(VLOOKUP($G204,Master!$AE:$AI,5,0),""),"")</x:f>
      </x:c>
      <x:c r="P204" s="26">
        <x:f>IF(N204&lt;&gt;"",IF(MONTH(N204)&gt;=4,"FY1"&amp;RIGHT(YEAR(N204)+1,2),"FY1"&amp;RIGHT(YEAR(N204),2)),"")</x:f>
      </x:c>
      <x:c r="Q204" s="37">
        <x:f>IF(K204&gt;0&amp;M204&gt;0,K204*M204,"")</x:f>
      </x:c>
    </x:row>
    <x:row r="205" spans="1:18" customFormat="1" ht="15" customHeight="1">
      <x:c r="B205" s="37">
        <x:f>_xlfn.IFNA(VLOOKUP(C205,Master_Section!$H:$I,2,FALSE),"")</x:f>
      </x:c>
      <x:c r="D205" s="37">
        <x:f>_xlfn.IFNA(VLOOKUP(E205,Master_Section!$H:$I,2,FALSE),"")</x:f>
      </x:c>
      <x:c r="F205" s="26">
        <x:f>_xlfn.IFNA(VLOOKUP(G205,Master!AE:AF,2,FALSE),"")</x:f>
      </x:c>
      <x:c r="I205" s="24">
        <x:f>_xlfn.IFNA(VLOOKUP(D205,Master_Section!$I:$K,2,FALSE),"")</x:f>
      </x:c>
      <x:c r="J205" s="24">
        <x:f>_xlfn.IFNA(VLOOKUP(D205,Master_Section!$I:$K,3,FALSE),"")</x:f>
      </x:c>
      <x:c r="L205" s="94">
        <x:f>IF(A205&lt;&gt;"CFA",_xlfn.IFNA(VLOOKUP($G205,Master!$AE:$AI,5,0),""),"")</x:f>
      </x:c>
      <x:c r="P205" s="26">
        <x:f>IF(N205&lt;&gt;"",IF(MONTH(N205)&gt;=4,"FY1"&amp;RIGHT(YEAR(N205)+1,2),"FY1"&amp;RIGHT(YEAR(N205),2)),"")</x:f>
      </x:c>
      <x:c r="Q205" s="37">
        <x:f>IF(K205&gt;0&amp;M205&gt;0,K205*M205,"")</x:f>
      </x:c>
    </x:row>
    <x:row r="206" spans="1:18" customFormat="1" ht="15" customHeight="1">
      <x:c r="B206" s="37">
        <x:f>_xlfn.IFNA(VLOOKUP(C206,Master_Section!$H:$I,2,FALSE),"")</x:f>
      </x:c>
      <x:c r="D206" s="37">
        <x:f>_xlfn.IFNA(VLOOKUP(E206,Master_Section!$H:$I,2,FALSE),"")</x:f>
      </x:c>
      <x:c r="F206" s="26">
        <x:f>_xlfn.IFNA(VLOOKUP(G206,Master!AE:AF,2,FALSE),"")</x:f>
      </x:c>
      <x:c r="I206" s="24">
        <x:f>_xlfn.IFNA(VLOOKUP(D206,Master_Section!$I:$K,2,FALSE),"")</x:f>
      </x:c>
      <x:c r="J206" s="24">
        <x:f>_xlfn.IFNA(VLOOKUP(D206,Master_Section!$I:$K,3,FALSE),"")</x:f>
      </x:c>
      <x:c r="L206" s="94">
        <x:f>IF(A206&lt;&gt;"CFA",_xlfn.IFNA(VLOOKUP($G206,Master!$AE:$AI,5,0),""),"")</x:f>
      </x:c>
      <x:c r="P206" s="26">
        <x:f>IF(N206&lt;&gt;"",IF(MONTH(N206)&gt;=4,"FY1"&amp;RIGHT(YEAR(N206)+1,2),"FY1"&amp;RIGHT(YEAR(N206),2)),"")</x:f>
      </x:c>
      <x:c r="Q206" s="37">
        <x:f>IF(K206&gt;0&amp;M206&gt;0,K206*M206,"")</x:f>
      </x:c>
    </x:row>
    <x:row r="207" spans="1:18" customFormat="1" ht="15" customHeight="1">
      <x:c r="B207" s="37">
        <x:f>_xlfn.IFNA(VLOOKUP(C207,Master_Section!$H:$I,2,FALSE),"")</x:f>
      </x:c>
      <x:c r="D207" s="37">
        <x:f>_xlfn.IFNA(VLOOKUP(E207,Master_Section!$H:$I,2,FALSE),"")</x:f>
      </x:c>
      <x:c r="F207" s="26">
        <x:f>_xlfn.IFNA(VLOOKUP(G207,Master!AE:AF,2,FALSE),"")</x:f>
      </x:c>
      <x:c r="I207" s="24">
        <x:f>_xlfn.IFNA(VLOOKUP(D207,Master_Section!$I:$K,2,FALSE),"")</x:f>
      </x:c>
      <x:c r="J207" s="24">
        <x:f>_xlfn.IFNA(VLOOKUP(D207,Master_Section!$I:$K,3,FALSE),"")</x:f>
      </x:c>
      <x:c r="L207" s="94">
        <x:f>IF(A207&lt;&gt;"CFA",_xlfn.IFNA(VLOOKUP($G207,Master!$AE:$AI,5,0),""),"")</x:f>
      </x:c>
      <x:c r="P207" s="26">
        <x:f>IF(N207&lt;&gt;"",IF(MONTH(N207)&gt;=4,"FY1"&amp;RIGHT(YEAR(N207)+1,2),"FY1"&amp;RIGHT(YEAR(N207),2)),"")</x:f>
      </x:c>
      <x:c r="Q207" s="37">
        <x:f>IF(K207&gt;0&amp;M207&gt;0,K207*M207,"")</x:f>
      </x:c>
    </x:row>
    <x:row r="208" spans="1:18" customFormat="1" ht="15" customHeight="1">
      <x:c r="B208" s="37">
        <x:f>_xlfn.IFNA(VLOOKUP(C208,Master_Section!$H:$I,2,FALSE),"")</x:f>
      </x:c>
      <x:c r="D208" s="37">
        <x:f>_xlfn.IFNA(VLOOKUP(E208,Master_Section!$H:$I,2,FALSE),"")</x:f>
      </x:c>
      <x:c r="F208" s="26">
        <x:f>_xlfn.IFNA(VLOOKUP(G208,Master!AE:AF,2,FALSE),"")</x:f>
      </x:c>
      <x:c r="I208" s="24">
        <x:f>_xlfn.IFNA(VLOOKUP(D208,Master_Section!$I:$K,2,FALSE),"")</x:f>
      </x:c>
      <x:c r="J208" s="24">
        <x:f>_xlfn.IFNA(VLOOKUP(D208,Master_Section!$I:$K,3,FALSE),"")</x:f>
      </x:c>
      <x:c r="L208" s="94">
        <x:f>IF(A208&lt;&gt;"CFA",_xlfn.IFNA(VLOOKUP($G208,Master!$AE:$AI,5,0),""),"")</x:f>
      </x:c>
      <x:c r="P208" s="26">
        <x:f>IF(N208&lt;&gt;"",IF(MONTH(N208)&gt;=4,"FY1"&amp;RIGHT(YEAR(N208)+1,2),"FY1"&amp;RIGHT(YEAR(N208),2)),"")</x:f>
      </x:c>
      <x:c r="Q208" s="37">
        <x:f>IF(K208&gt;0&amp;M208&gt;0,K208*M208,"")</x:f>
      </x:c>
    </x:row>
    <x:row r="209" spans="1:18" customFormat="1" ht="15" customHeight="1">
      <x:c r="B209" s="37">
        <x:f>_xlfn.IFNA(VLOOKUP(C209,Master_Section!$H:$I,2,FALSE),"")</x:f>
      </x:c>
      <x:c r="D209" s="37">
        <x:f>_xlfn.IFNA(VLOOKUP(E209,Master_Section!$H:$I,2,FALSE),"")</x:f>
      </x:c>
      <x:c r="F209" s="26">
        <x:f>_xlfn.IFNA(VLOOKUP(G209,Master!AE:AF,2,FALSE),"")</x:f>
      </x:c>
      <x:c r="I209" s="24">
        <x:f>_xlfn.IFNA(VLOOKUP(D209,Master_Section!$I:$K,2,FALSE),"")</x:f>
      </x:c>
      <x:c r="J209" s="24">
        <x:f>_xlfn.IFNA(VLOOKUP(D209,Master_Section!$I:$K,3,FALSE),"")</x:f>
      </x:c>
      <x:c r="L209" s="94">
        <x:f>IF(A209&lt;&gt;"CFA",_xlfn.IFNA(VLOOKUP($G209,Master!$AE:$AI,5,0),""),"")</x:f>
      </x:c>
      <x:c r="P209" s="26">
        <x:f>IF(N209&lt;&gt;"",IF(MONTH(N209)&gt;=4,"FY1"&amp;RIGHT(YEAR(N209)+1,2),"FY1"&amp;RIGHT(YEAR(N209),2)),"")</x:f>
      </x:c>
      <x:c r="Q209" s="37">
        <x:f>IF(K209&gt;0&amp;M209&gt;0,K209*M209,"")</x:f>
      </x:c>
    </x:row>
    <x:row r="210" spans="1:18" customFormat="1" ht="15" customHeight="1">
      <x:c r="B210" s="37">
        <x:f>_xlfn.IFNA(VLOOKUP(C210,Master_Section!$H:$I,2,FALSE),"")</x:f>
      </x:c>
      <x:c r="D210" s="37">
        <x:f>_xlfn.IFNA(VLOOKUP(E210,Master_Section!$H:$I,2,FALSE),"")</x:f>
      </x:c>
      <x:c r="F210" s="26">
        <x:f>_xlfn.IFNA(VLOOKUP(G210,Master!AE:AF,2,FALSE),"")</x:f>
      </x:c>
      <x:c r="I210" s="24">
        <x:f>_xlfn.IFNA(VLOOKUP(D210,Master_Section!$I:$K,2,FALSE),"")</x:f>
      </x:c>
      <x:c r="J210" s="24">
        <x:f>_xlfn.IFNA(VLOOKUP(D210,Master_Section!$I:$K,3,FALSE),"")</x:f>
      </x:c>
      <x:c r="L210" s="94">
        <x:f>IF(A210&lt;&gt;"CFA",_xlfn.IFNA(VLOOKUP($G210,Master!$AE:$AI,5,0),""),"")</x:f>
      </x:c>
      <x:c r="P210" s="26">
        <x:f>IF(N210&lt;&gt;"",IF(MONTH(N210)&gt;=4,"FY1"&amp;RIGHT(YEAR(N210)+1,2),"FY1"&amp;RIGHT(YEAR(N210),2)),"")</x:f>
      </x:c>
      <x:c r="Q210" s="37">
        <x:f>IF(K210&gt;0&amp;M210&gt;0,K210*M210,"")</x:f>
      </x:c>
    </x:row>
    <x:row r="211" spans="1:18" customFormat="1" ht="15" customHeight="1">
      <x:c r="B211" s="37">
        <x:f>_xlfn.IFNA(VLOOKUP(C211,Master_Section!$H:$I,2,FALSE),"")</x:f>
      </x:c>
      <x:c r="D211" s="37">
        <x:f>_xlfn.IFNA(VLOOKUP(E211,Master_Section!$H:$I,2,FALSE),"")</x:f>
      </x:c>
      <x:c r="F211" s="26">
        <x:f>_xlfn.IFNA(VLOOKUP(G211,Master!AE:AF,2,FALSE),"")</x:f>
      </x:c>
      <x:c r="I211" s="24">
        <x:f>_xlfn.IFNA(VLOOKUP(D211,Master_Section!$I:$K,2,FALSE),"")</x:f>
      </x:c>
      <x:c r="J211" s="24">
        <x:f>_xlfn.IFNA(VLOOKUP(D211,Master_Section!$I:$K,3,FALSE),"")</x:f>
      </x:c>
      <x:c r="L211" s="94">
        <x:f>IF(A211&lt;&gt;"CFA",_xlfn.IFNA(VLOOKUP($G211,Master!$AE:$AI,5,0),""),"")</x:f>
      </x:c>
      <x:c r="P211" s="26">
        <x:f>IF(N211&lt;&gt;"",IF(MONTH(N211)&gt;=4,"FY1"&amp;RIGHT(YEAR(N211)+1,2),"FY1"&amp;RIGHT(YEAR(N211),2)),"")</x:f>
      </x:c>
      <x:c r="Q211" s="37">
        <x:f>IF(K211&gt;0&amp;M211&gt;0,K211*M211,"")</x:f>
      </x:c>
    </x:row>
    <x:row r="212" spans="1:18" customFormat="1" ht="15" customHeight="1">
      <x:c r="B212" s="37">
        <x:f>_xlfn.IFNA(VLOOKUP(C212,Master_Section!$H:$I,2,FALSE),"")</x:f>
      </x:c>
      <x:c r="D212" s="37">
        <x:f>_xlfn.IFNA(VLOOKUP(E212,Master_Section!$H:$I,2,FALSE),"")</x:f>
      </x:c>
      <x:c r="F212" s="26">
        <x:f>_xlfn.IFNA(VLOOKUP(G212,Master!AE:AF,2,FALSE),"")</x:f>
      </x:c>
      <x:c r="I212" s="24">
        <x:f>_xlfn.IFNA(VLOOKUP(D212,Master_Section!$I:$K,2,FALSE),"")</x:f>
      </x:c>
      <x:c r="J212" s="24">
        <x:f>_xlfn.IFNA(VLOOKUP(D212,Master_Section!$I:$K,3,FALSE),"")</x:f>
      </x:c>
      <x:c r="L212" s="94">
        <x:f>IF(A212&lt;&gt;"CFA",_xlfn.IFNA(VLOOKUP($G212,Master!$AE:$AI,5,0),""),"")</x:f>
      </x:c>
      <x:c r="P212" s="26">
        <x:f>IF(N212&lt;&gt;"",IF(MONTH(N212)&gt;=4,"FY1"&amp;RIGHT(YEAR(N212)+1,2),"FY1"&amp;RIGHT(YEAR(N212),2)),"")</x:f>
      </x:c>
      <x:c r="Q212" s="37">
        <x:f>IF(K212&gt;0&amp;M212&gt;0,K212*M212,"")</x:f>
      </x:c>
    </x:row>
    <x:row r="213" spans="1:18" customFormat="1" ht="15" customHeight="1">
      <x:c r="B213" s="37">
        <x:f>_xlfn.IFNA(VLOOKUP(C213,Master_Section!$H:$I,2,FALSE),"")</x:f>
      </x:c>
      <x:c r="D213" s="37">
        <x:f>_xlfn.IFNA(VLOOKUP(E213,Master_Section!$H:$I,2,FALSE),"")</x:f>
      </x:c>
      <x:c r="F213" s="26">
        <x:f>_xlfn.IFNA(VLOOKUP(G213,Master!AE:AF,2,FALSE),"")</x:f>
      </x:c>
      <x:c r="I213" s="24">
        <x:f>_xlfn.IFNA(VLOOKUP(D213,Master_Section!$I:$K,2,FALSE),"")</x:f>
      </x:c>
      <x:c r="J213" s="24">
        <x:f>_xlfn.IFNA(VLOOKUP(D213,Master_Section!$I:$K,3,FALSE),"")</x:f>
      </x:c>
      <x:c r="L213" s="94">
        <x:f>IF(A213&lt;&gt;"CFA",_xlfn.IFNA(VLOOKUP($G213,Master!$AE:$AI,5,0),""),"")</x:f>
      </x:c>
      <x:c r="P213" s="26">
        <x:f>IF(N213&lt;&gt;"",IF(MONTH(N213)&gt;=4,"FY1"&amp;RIGHT(YEAR(N213)+1,2),"FY1"&amp;RIGHT(YEAR(N213),2)),"")</x:f>
      </x:c>
      <x:c r="Q213" s="37">
        <x:f>IF(K213&gt;0&amp;M213&gt;0,K213*M213,"")</x:f>
      </x:c>
    </x:row>
    <x:row r="214" spans="1:18" customFormat="1" ht="15" customHeight="1">
      <x:c r="B214" s="37">
        <x:f>_xlfn.IFNA(VLOOKUP(C214,Master_Section!$H:$I,2,FALSE),"")</x:f>
      </x:c>
      <x:c r="D214" s="37">
        <x:f>_xlfn.IFNA(VLOOKUP(E214,Master_Section!$H:$I,2,FALSE),"")</x:f>
      </x:c>
      <x:c r="F214" s="26">
        <x:f>_xlfn.IFNA(VLOOKUP(G214,Master!AE:AF,2,FALSE),"")</x:f>
      </x:c>
      <x:c r="I214" s="24">
        <x:f>_xlfn.IFNA(VLOOKUP(D214,Master_Section!$I:$K,2,FALSE),"")</x:f>
      </x:c>
      <x:c r="J214" s="24">
        <x:f>_xlfn.IFNA(VLOOKUP(D214,Master_Section!$I:$K,3,FALSE),"")</x:f>
      </x:c>
      <x:c r="L214" s="94">
        <x:f>IF(A214&lt;&gt;"CFA",_xlfn.IFNA(VLOOKUP($G214,Master!$AE:$AI,5,0),""),"")</x:f>
      </x:c>
      <x:c r="P214" s="26">
        <x:f>IF(N214&lt;&gt;"",IF(MONTH(N214)&gt;=4,"FY1"&amp;RIGHT(YEAR(N214)+1,2),"FY1"&amp;RIGHT(YEAR(N214),2)),"")</x:f>
      </x:c>
      <x:c r="Q214" s="37">
        <x:f>IF(K214&gt;0&amp;M214&gt;0,K214*M214,"")</x:f>
      </x:c>
    </x:row>
    <x:row r="215" spans="1:18" customFormat="1" ht="15" customHeight="1">
      <x:c r="B215" s="37">
        <x:f>_xlfn.IFNA(VLOOKUP(C215,Master_Section!$H:$I,2,FALSE),"")</x:f>
      </x:c>
      <x:c r="D215" s="37">
        <x:f>_xlfn.IFNA(VLOOKUP(E215,Master_Section!$H:$I,2,FALSE),"")</x:f>
      </x:c>
      <x:c r="F215" s="26">
        <x:f>_xlfn.IFNA(VLOOKUP(G215,Master!AE:AF,2,FALSE),"")</x:f>
      </x:c>
      <x:c r="I215" s="24">
        <x:f>_xlfn.IFNA(VLOOKUP(D215,Master_Section!$I:$K,2,FALSE),"")</x:f>
      </x:c>
      <x:c r="J215" s="24">
        <x:f>_xlfn.IFNA(VLOOKUP(D215,Master_Section!$I:$K,3,FALSE),"")</x:f>
      </x:c>
      <x:c r="L215" s="94">
        <x:f>IF(A215&lt;&gt;"CFA",_xlfn.IFNA(VLOOKUP($G215,Master!$AE:$AI,5,0),""),"")</x:f>
      </x:c>
      <x:c r="P215" s="26">
        <x:f>IF(N215&lt;&gt;"",IF(MONTH(N215)&gt;=4,"FY1"&amp;RIGHT(YEAR(N215)+1,2),"FY1"&amp;RIGHT(YEAR(N215),2)),"")</x:f>
      </x:c>
      <x:c r="Q215" s="37">
        <x:f>IF(K215&gt;0&amp;M215&gt;0,K215*M215,"")</x:f>
      </x:c>
    </x:row>
    <x:row r="216" spans="1:18" customFormat="1" ht="15" customHeight="1">
      <x:c r="B216" s="37">
        <x:f>_xlfn.IFNA(VLOOKUP(C216,Master_Section!$H:$I,2,FALSE),"")</x:f>
      </x:c>
      <x:c r="D216" s="37">
        <x:f>_xlfn.IFNA(VLOOKUP(E216,Master_Section!$H:$I,2,FALSE),"")</x:f>
      </x:c>
      <x:c r="F216" s="26">
        <x:f>_xlfn.IFNA(VLOOKUP(G216,Master!AE:AF,2,FALSE),"")</x:f>
      </x:c>
      <x:c r="I216" s="24">
        <x:f>_xlfn.IFNA(VLOOKUP(D216,Master_Section!$I:$K,2,FALSE),"")</x:f>
      </x:c>
      <x:c r="J216" s="24">
        <x:f>_xlfn.IFNA(VLOOKUP(D216,Master_Section!$I:$K,3,FALSE),"")</x:f>
      </x:c>
      <x:c r="L216" s="94">
        <x:f>IF(A216&lt;&gt;"CFA",_xlfn.IFNA(VLOOKUP($G216,Master!$AE:$AI,5,0),""),"")</x:f>
      </x:c>
      <x:c r="P216" s="26">
        <x:f>IF(N216&lt;&gt;"",IF(MONTH(N216)&gt;=4,"FY1"&amp;RIGHT(YEAR(N216)+1,2),"FY1"&amp;RIGHT(YEAR(N216),2)),"")</x:f>
      </x:c>
      <x:c r="Q216" s="37">
        <x:f>IF(K216&gt;0&amp;M216&gt;0,K216*M216,"")</x:f>
      </x:c>
    </x:row>
    <x:row r="217" spans="1:18" customFormat="1" ht="15" customHeight="1">
      <x:c r="B217" s="37">
        <x:f>_xlfn.IFNA(VLOOKUP(C217,Master_Section!$H:$I,2,FALSE),"")</x:f>
      </x:c>
      <x:c r="D217" s="37">
        <x:f>_xlfn.IFNA(VLOOKUP(E217,Master_Section!$H:$I,2,FALSE),"")</x:f>
      </x:c>
      <x:c r="F217" s="26">
        <x:f>_xlfn.IFNA(VLOOKUP(G217,Master!AE:AF,2,FALSE),"")</x:f>
      </x:c>
      <x:c r="I217" s="24">
        <x:f>_xlfn.IFNA(VLOOKUP(D217,Master_Section!$I:$K,2,FALSE),"")</x:f>
      </x:c>
      <x:c r="J217" s="24">
        <x:f>_xlfn.IFNA(VLOOKUP(D217,Master_Section!$I:$K,3,FALSE),"")</x:f>
      </x:c>
      <x:c r="L217" s="94">
        <x:f>IF(A217&lt;&gt;"CFA",_xlfn.IFNA(VLOOKUP($G217,Master!$AE:$AI,5,0),""),"")</x:f>
      </x:c>
      <x:c r="P217" s="26">
        <x:f>IF(N217&lt;&gt;"",IF(MONTH(N217)&gt;=4,"FY1"&amp;RIGHT(YEAR(N217)+1,2),"FY1"&amp;RIGHT(YEAR(N217),2)),"")</x:f>
      </x:c>
      <x:c r="Q217" s="37">
        <x:f>IF(K217&gt;0&amp;M217&gt;0,K217*M217,"")</x:f>
      </x:c>
    </x:row>
    <x:row r="218" spans="1:18" customFormat="1" ht="15" customHeight="1">
      <x:c r="B218" s="37">
        <x:f>_xlfn.IFNA(VLOOKUP(C218,Master_Section!$H:$I,2,FALSE),"")</x:f>
      </x:c>
      <x:c r="D218" s="37">
        <x:f>_xlfn.IFNA(VLOOKUP(E218,Master_Section!$H:$I,2,FALSE),"")</x:f>
      </x:c>
      <x:c r="F218" s="26">
        <x:f>_xlfn.IFNA(VLOOKUP(G218,Master!AE:AF,2,FALSE),"")</x:f>
      </x:c>
      <x:c r="I218" s="24">
        <x:f>_xlfn.IFNA(VLOOKUP(D218,Master_Section!$I:$K,2,FALSE),"")</x:f>
      </x:c>
      <x:c r="J218" s="24">
        <x:f>_xlfn.IFNA(VLOOKUP(D218,Master_Section!$I:$K,3,FALSE),"")</x:f>
      </x:c>
      <x:c r="L218" s="94">
        <x:f>IF(A218&lt;&gt;"CFA",_xlfn.IFNA(VLOOKUP($G218,Master!$AE:$AI,5,0),""),"")</x:f>
      </x:c>
      <x:c r="P218" s="26">
        <x:f>IF(N218&lt;&gt;"",IF(MONTH(N218)&gt;=4,"FY1"&amp;RIGHT(YEAR(N218)+1,2),"FY1"&amp;RIGHT(YEAR(N218),2)),"")</x:f>
      </x:c>
      <x:c r="Q218" s="37">
        <x:f>IF(K218&gt;0&amp;M218&gt;0,K218*M218,"")</x:f>
      </x:c>
    </x:row>
    <x:row r="219" spans="1:18" customFormat="1" ht="15" customHeight="1">
      <x:c r="B219" s="37">
        <x:f>_xlfn.IFNA(VLOOKUP(C219,Master_Section!$H:$I,2,FALSE),"")</x:f>
      </x:c>
      <x:c r="D219" s="37">
        <x:f>_xlfn.IFNA(VLOOKUP(E219,Master_Section!$H:$I,2,FALSE),"")</x:f>
      </x:c>
      <x:c r="F219" s="26">
        <x:f>_xlfn.IFNA(VLOOKUP(G219,Master!AE:AF,2,FALSE),"")</x:f>
      </x:c>
      <x:c r="I219" s="24">
        <x:f>_xlfn.IFNA(VLOOKUP(D219,Master_Section!$I:$K,2,FALSE),"")</x:f>
      </x:c>
      <x:c r="J219" s="24">
        <x:f>_xlfn.IFNA(VLOOKUP(D219,Master_Section!$I:$K,3,FALSE),"")</x:f>
      </x:c>
      <x:c r="L219" s="94">
        <x:f>IF(A219&lt;&gt;"CFA",_xlfn.IFNA(VLOOKUP($G219,Master!$AE:$AI,5,0),""),"")</x:f>
      </x:c>
      <x:c r="P219" s="26">
        <x:f>IF(N219&lt;&gt;"",IF(MONTH(N219)&gt;=4,"FY1"&amp;RIGHT(YEAR(N219)+1,2),"FY1"&amp;RIGHT(YEAR(N219),2)),"")</x:f>
      </x:c>
      <x:c r="Q219" s="37">
        <x:f>IF(K219&gt;0&amp;M219&gt;0,K219*M219,"")</x:f>
      </x:c>
    </x:row>
    <x:row r="220" spans="1:18" customFormat="1" ht="15" customHeight="1">
      <x:c r="B220" s="37">
        <x:f>_xlfn.IFNA(VLOOKUP(C220,Master_Section!$H:$I,2,FALSE),"")</x:f>
      </x:c>
      <x:c r="D220" s="37">
        <x:f>_xlfn.IFNA(VLOOKUP(E220,Master_Section!$H:$I,2,FALSE),"")</x:f>
      </x:c>
      <x:c r="F220" s="26">
        <x:f>_xlfn.IFNA(VLOOKUP(G220,Master!AE:AF,2,FALSE),"")</x:f>
      </x:c>
      <x:c r="I220" s="24">
        <x:f>_xlfn.IFNA(VLOOKUP(D220,Master_Section!$I:$K,2,FALSE),"")</x:f>
      </x:c>
      <x:c r="J220" s="24">
        <x:f>_xlfn.IFNA(VLOOKUP(D220,Master_Section!$I:$K,3,FALSE),"")</x:f>
      </x:c>
      <x:c r="L220" s="94">
        <x:f>IF(A220&lt;&gt;"CFA",_xlfn.IFNA(VLOOKUP($G220,Master!$AE:$AI,5,0),""),"")</x:f>
      </x:c>
      <x:c r="P220" s="26">
        <x:f>IF(N220&lt;&gt;"",IF(MONTH(N220)&gt;=4,"FY1"&amp;RIGHT(YEAR(N220)+1,2),"FY1"&amp;RIGHT(YEAR(N220),2)),"")</x:f>
      </x:c>
      <x:c r="Q220" s="37">
        <x:f>IF(K220&gt;0&amp;M220&gt;0,K220*M220,"")</x:f>
      </x:c>
    </x:row>
    <x:row r="221" spans="1:18" customFormat="1" ht="15" customHeight="1">
      <x:c r="B221" s="37">
        <x:f>_xlfn.IFNA(VLOOKUP(C221,Master_Section!$H:$I,2,FALSE),"")</x:f>
      </x:c>
      <x:c r="D221" s="37">
        <x:f>_xlfn.IFNA(VLOOKUP(E221,Master_Section!$H:$I,2,FALSE),"")</x:f>
      </x:c>
      <x:c r="F221" s="26">
        <x:f>_xlfn.IFNA(VLOOKUP(G221,Master!AE:AF,2,FALSE),"")</x:f>
      </x:c>
      <x:c r="I221" s="24">
        <x:f>_xlfn.IFNA(VLOOKUP(D221,Master_Section!$I:$K,2,FALSE),"")</x:f>
      </x:c>
      <x:c r="J221" s="24">
        <x:f>_xlfn.IFNA(VLOOKUP(D221,Master_Section!$I:$K,3,FALSE),"")</x:f>
      </x:c>
      <x:c r="L221" s="94">
        <x:f>IF(A221&lt;&gt;"CFA",_xlfn.IFNA(VLOOKUP($G221,Master!$AE:$AI,5,0),""),"")</x:f>
      </x:c>
      <x:c r="P221" s="26">
        <x:f>IF(N221&lt;&gt;"",IF(MONTH(N221)&gt;=4,"FY1"&amp;RIGHT(YEAR(N221)+1,2),"FY1"&amp;RIGHT(YEAR(N221),2)),"")</x:f>
      </x:c>
      <x:c r="Q221" s="37">
        <x:f>IF(K221&gt;0&amp;M221&gt;0,K221*M221,"")</x:f>
      </x:c>
    </x:row>
    <x:row r="222" spans="1:18" customFormat="1" ht="15" customHeight="1">
      <x:c r="B222" s="37">
        <x:f>_xlfn.IFNA(VLOOKUP(C222,Master_Section!$H:$I,2,FALSE),"")</x:f>
      </x:c>
      <x:c r="D222" s="37">
        <x:f>_xlfn.IFNA(VLOOKUP(E222,Master_Section!$H:$I,2,FALSE),"")</x:f>
      </x:c>
      <x:c r="F222" s="26">
        <x:f>_xlfn.IFNA(VLOOKUP(G222,Master!AE:AF,2,FALSE),"")</x:f>
      </x:c>
      <x:c r="I222" s="24">
        <x:f>_xlfn.IFNA(VLOOKUP(D222,Master_Section!$I:$K,2,FALSE),"")</x:f>
      </x:c>
      <x:c r="J222" s="24">
        <x:f>_xlfn.IFNA(VLOOKUP(D222,Master_Section!$I:$K,3,FALSE),"")</x:f>
      </x:c>
      <x:c r="L222" s="94">
        <x:f>IF(A222&lt;&gt;"CFA",_xlfn.IFNA(VLOOKUP($G222,Master!$AE:$AI,5,0),""),"")</x:f>
      </x:c>
      <x:c r="P222" s="26">
        <x:f>IF(N222&lt;&gt;"",IF(MONTH(N222)&gt;=4,"FY1"&amp;RIGHT(YEAR(N222)+1,2),"FY1"&amp;RIGHT(YEAR(N222),2)),"")</x:f>
      </x:c>
      <x:c r="Q222" s="37">
        <x:f>IF(K222&gt;0&amp;M222&gt;0,K222*M222,"")</x:f>
      </x:c>
    </x:row>
    <x:row r="223" spans="1:18" customFormat="1" ht="15" customHeight="1">
      <x:c r="B223" s="37">
        <x:f>_xlfn.IFNA(VLOOKUP(C223,Master_Section!$H:$I,2,FALSE),"")</x:f>
      </x:c>
      <x:c r="D223" s="37">
        <x:f>_xlfn.IFNA(VLOOKUP(E223,Master_Section!$H:$I,2,FALSE),"")</x:f>
      </x:c>
      <x:c r="F223" s="26">
        <x:f>_xlfn.IFNA(VLOOKUP(G223,Master!AE:AF,2,FALSE),"")</x:f>
      </x:c>
      <x:c r="I223" s="24">
        <x:f>_xlfn.IFNA(VLOOKUP(D223,Master_Section!$I:$K,2,FALSE),"")</x:f>
      </x:c>
      <x:c r="J223" s="24">
        <x:f>_xlfn.IFNA(VLOOKUP(D223,Master_Section!$I:$K,3,FALSE),"")</x:f>
      </x:c>
      <x:c r="L223" s="94">
        <x:f>IF(A223&lt;&gt;"CFA",_xlfn.IFNA(VLOOKUP($G223,Master!$AE:$AI,5,0),""),"")</x:f>
      </x:c>
      <x:c r="P223" s="26">
        <x:f>IF(N223&lt;&gt;"",IF(MONTH(N223)&gt;=4,"FY1"&amp;RIGHT(YEAR(N223)+1,2),"FY1"&amp;RIGHT(YEAR(N223),2)),"")</x:f>
      </x:c>
      <x:c r="Q223" s="37">
        <x:f>IF(K223&gt;0&amp;M223&gt;0,K223*M223,"")</x:f>
      </x:c>
    </x:row>
    <x:row r="224" spans="1:18" customFormat="1" ht="15" customHeight="1">
      <x:c r="B224" s="37">
        <x:f>_xlfn.IFNA(VLOOKUP(C224,Master_Section!$H:$I,2,FALSE),"")</x:f>
      </x:c>
      <x:c r="D224" s="37">
        <x:f>_xlfn.IFNA(VLOOKUP(E224,Master_Section!$H:$I,2,FALSE),"")</x:f>
      </x:c>
      <x:c r="F224" s="26">
        <x:f>_xlfn.IFNA(VLOOKUP(G224,Master!AE:AF,2,FALSE),"")</x:f>
      </x:c>
      <x:c r="I224" s="24">
        <x:f>_xlfn.IFNA(VLOOKUP(D224,Master_Section!$I:$K,2,FALSE),"")</x:f>
      </x:c>
      <x:c r="J224" s="24">
        <x:f>_xlfn.IFNA(VLOOKUP(D224,Master_Section!$I:$K,3,FALSE),"")</x:f>
      </x:c>
      <x:c r="L224" s="94">
        <x:f>IF(A224&lt;&gt;"CFA",_xlfn.IFNA(VLOOKUP($G224,Master!$AE:$AI,5,0),""),"")</x:f>
      </x:c>
      <x:c r="P224" s="26">
        <x:f>IF(N224&lt;&gt;"",IF(MONTH(N224)&gt;=4,"FY1"&amp;RIGHT(YEAR(N224)+1,2),"FY1"&amp;RIGHT(YEAR(N224),2)),"")</x:f>
      </x:c>
      <x:c r="Q224" s="37">
        <x:f>IF(K224&gt;0&amp;M224&gt;0,K224*M224,"")</x:f>
      </x:c>
    </x:row>
    <x:row r="225" spans="1:18" customFormat="1" ht="15" customHeight="1">
      <x:c r="B225" s="37">
        <x:f>_xlfn.IFNA(VLOOKUP(C225,Master_Section!$H:$I,2,FALSE),"")</x:f>
      </x:c>
      <x:c r="D225" s="37">
        <x:f>_xlfn.IFNA(VLOOKUP(E225,Master_Section!$H:$I,2,FALSE),"")</x:f>
      </x:c>
      <x:c r="F225" s="26">
        <x:f>_xlfn.IFNA(VLOOKUP(G225,Master!AE:AF,2,FALSE),"")</x:f>
      </x:c>
      <x:c r="I225" s="24">
        <x:f>_xlfn.IFNA(VLOOKUP(D225,Master_Section!$I:$K,2,FALSE),"")</x:f>
      </x:c>
      <x:c r="J225" s="24">
        <x:f>_xlfn.IFNA(VLOOKUP(D225,Master_Section!$I:$K,3,FALSE),"")</x:f>
      </x:c>
      <x:c r="L225" s="94">
        <x:f>IF(A225&lt;&gt;"CFA",_xlfn.IFNA(VLOOKUP($G225,Master!$AE:$AI,5,0),""),"")</x:f>
      </x:c>
      <x:c r="P225" s="26">
        <x:f>IF(N225&lt;&gt;"",IF(MONTH(N225)&gt;=4,"FY1"&amp;RIGHT(YEAR(N225)+1,2),"FY1"&amp;RIGHT(YEAR(N225),2)),"")</x:f>
      </x:c>
      <x:c r="Q225" s="37">
        <x:f>IF(K225&gt;0&amp;M225&gt;0,K225*M225,"")</x:f>
      </x:c>
    </x:row>
    <x:row r="226" spans="1:18" customFormat="1" ht="15" customHeight="1">
      <x:c r="B226" s="37">
        <x:f>_xlfn.IFNA(VLOOKUP(C226,Master_Section!$H:$I,2,FALSE),"")</x:f>
      </x:c>
      <x:c r="D226" s="37">
        <x:f>_xlfn.IFNA(VLOOKUP(E226,Master_Section!$H:$I,2,FALSE),"")</x:f>
      </x:c>
      <x:c r="F226" s="26">
        <x:f>_xlfn.IFNA(VLOOKUP(G226,Master!AE:AF,2,FALSE),"")</x:f>
      </x:c>
      <x:c r="I226" s="24">
        <x:f>_xlfn.IFNA(VLOOKUP(D226,Master_Section!$I:$K,2,FALSE),"")</x:f>
      </x:c>
      <x:c r="J226" s="24">
        <x:f>_xlfn.IFNA(VLOOKUP(D226,Master_Section!$I:$K,3,FALSE),"")</x:f>
      </x:c>
      <x:c r="L226" s="94">
        <x:f>IF(A226&lt;&gt;"CFA",_xlfn.IFNA(VLOOKUP($G226,Master!$AE:$AI,5,0),""),"")</x:f>
      </x:c>
      <x:c r="P226" s="26">
        <x:f>IF(N226&lt;&gt;"",IF(MONTH(N226)&gt;=4,"FY1"&amp;RIGHT(YEAR(N226)+1,2),"FY1"&amp;RIGHT(YEAR(N226),2)),"")</x:f>
      </x:c>
      <x:c r="Q226" s="37">
        <x:f>IF(K226&gt;0&amp;M226&gt;0,K226*M226,"")</x:f>
      </x:c>
    </x:row>
    <x:row r="227" spans="1:18" customFormat="1" ht="15" customHeight="1">
      <x:c r="B227" s="37">
        <x:f>_xlfn.IFNA(VLOOKUP(C227,Master_Section!$H:$I,2,FALSE),"")</x:f>
      </x:c>
      <x:c r="D227" s="37">
        <x:f>_xlfn.IFNA(VLOOKUP(E227,Master_Section!$H:$I,2,FALSE),"")</x:f>
      </x:c>
      <x:c r="F227" s="26">
        <x:f>_xlfn.IFNA(VLOOKUP(G227,Master!AE:AF,2,FALSE),"")</x:f>
      </x:c>
      <x:c r="I227" s="24">
        <x:f>_xlfn.IFNA(VLOOKUP(D227,Master_Section!$I:$K,2,FALSE),"")</x:f>
      </x:c>
      <x:c r="J227" s="24">
        <x:f>_xlfn.IFNA(VLOOKUP(D227,Master_Section!$I:$K,3,FALSE),"")</x:f>
      </x:c>
      <x:c r="L227" s="94">
        <x:f>IF(A227&lt;&gt;"CFA",_xlfn.IFNA(VLOOKUP($G227,Master!$AE:$AI,5,0),""),"")</x:f>
      </x:c>
      <x:c r="P227" s="26">
        <x:f>IF(N227&lt;&gt;"",IF(MONTH(N227)&gt;=4,"FY1"&amp;RIGHT(YEAR(N227)+1,2),"FY1"&amp;RIGHT(YEAR(N227),2)),"")</x:f>
      </x:c>
      <x:c r="Q227" s="37">
        <x:f>IF(K227&gt;0&amp;M227&gt;0,K227*M227,"")</x:f>
      </x:c>
    </x:row>
    <x:row r="228" spans="1:18" customFormat="1" ht="15" customHeight="1">
      <x:c r="B228" s="37">
        <x:f>_xlfn.IFNA(VLOOKUP(C228,Master_Section!$H:$I,2,FALSE),"")</x:f>
      </x:c>
      <x:c r="D228" s="37">
        <x:f>_xlfn.IFNA(VLOOKUP(E228,Master_Section!$H:$I,2,FALSE),"")</x:f>
      </x:c>
      <x:c r="F228" s="26">
        <x:f>_xlfn.IFNA(VLOOKUP(G228,Master!AE:AF,2,FALSE),"")</x:f>
      </x:c>
      <x:c r="I228" s="24">
        <x:f>_xlfn.IFNA(VLOOKUP(D228,Master_Section!$I:$K,2,FALSE),"")</x:f>
      </x:c>
      <x:c r="J228" s="24">
        <x:f>_xlfn.IFNA(VLOOKUP(D228,Master_Section!$I:$K,3,FALSE),"")</x:f>
      </x:c>
      <x:c r="L228" s="94">
        <x:f>IF(A228&lt;&gt;"CFA",_xlfn.IFNA(VLOOKUP($G228,Master!$AE:$AI,5,0),""),"")</x:f>
      </x:c>
      <x:c r="P228" s="26">
        <x:f>IF(N228&lt;&gt;"",IF(MONTH(N228)&gt;=4,"FY1"&amp;RIGHT(YEAR(N228)+1,2),"FY1"&amp;RIGHT(YEAR(N228),2)),"")</x:f>
      </x:c>
      <x:c r="Q228" s="37">
        <x:f>IF(K228&gt;0&amp;M228&gt;0,K228*M228,"")</x:f>
      </x:c>
    </x:row>
    <x:row r="229" spans="1:18" customFormat="1" ht="15" customHeight="1">
      <x:c r="B229" s="37">
        <x:f>_xlfn.IFNA(VLOOKUP(C229,Master_Section!$H:$I,2,FALSE),"")</x:f>
      </x:c>
      <x:c r="D229" s="37">
        <x:f>_xlfn.IFNA(VLOOKUP(E229,Master_Section!$H:$I,2,FALSE),"")</x:f>
      </x:c>
      <x:c r="F229" s="26">
        <x:f>_xlfn.IFNA(VLOOKUP(G229,Master!AE:AF,2,FALSE),"")</x:f>
      </x:c>
      <x:c r="I229" s="24">
        <x:f>_xlfn.IFNA(VLOOKUP(D229,Master_Section!$I:$K,2,FALSE),"")</x:f>
      </x:c>
      <x:c r="J229" s="24">
        <x:f>_xlfn.IFNA(VLOOKUP(D229,Master_Section!$I:$K,3,FALSE),"")</x:f>
      </x:c>
      <x:c r="L229" s="94">
        <x:f>IF(A229&lt;&gt;"CFA",_xlfn.IFNA(VLOOKUP($G229,Master!$AE:$AI,5,0),""),"")</x:f>
      </x:c>
      <x:c r="P229" s="26">
        <x:f>IF(N229&lt;&gt;"",IF(MONTH(N229)&gt;=4,"FY1"&amp;RIGHT(YEAR(N229)+1,2),"FY1"&amp;RIGHT(YEAR(N229),2)),"")</x:f>
      </x:c>
      <x:c r="Q229" s="37">
        <x:f>IF(K229&gt;0&amp;M229&gt;0,K229*M229,"")</x:f>
      </x:c>
    </x:row>
    <x:row r="230" spans="1:18" customFormat="1" ht="15" customHeight="1">
      <x:c r="B230" s="37">
        <x:f>_xlfn.IFNA(VLOOKUP(C230,Master_Section!$H:$I,2,FALSE),"")</x:f>
      </x:c>
      <x:c r="D230" s="37">
        <x:f>_xlfn.IFNA(VLOOKUP(E230,Master_Section!$H:$I,2,FALSE),"")</x:f>
      </x:c>
      <x:c r="F230" s="26">
        <x:f>_xlfn.IFNA(VLOOKUP(G230,Master!AE:AF,2,FALSE),"")</x:f>
      </x:c>
      <x:c r="I230" s="24">
        <x:f>_xlfn.IFNA(VLOOKUP(D230,Master_Section!$I:$K,2,FALSE),"")</x:f>
      </x:c>
      <x:c r="J230" s="24">
        <x:f>_xlfn.IFNA(VLOOKUP(D230,Master_Section!$I:$K,3,FALSE),"")</x:f>
      </x:c>
      <x:c r="L230" s="94">
        <x:f>IF(A230&lt;&gt;"CFA",_xlfn.IFNA(VLOOKUP($G230,Master!$AE:$AI,5,0),""),"")</x:f>
      </x:c>
      <x:c r="P230" s="26">
        <x:f>IF(N230&lt;&gt;"",IF(MONTH(N230)&gt;=4,"FY1"&amp;RIGHT(YEAR(N230)+1,2),"FY1"&amp;RIGHT(YEAR(N230),2)),"")</x:f>
      </x:c>
      <x:c r="Q230" s="37">
        <x:f>IF(K230&gt;0&amp;M230&gt;0,K230*M230,"")</x:f>
      </x:c>
    </x:row>
    <x:row r="231" spans="1:18" customFormat="1" ht="15" customHeight="1">
      <x:c r="B231" s="37">
        <x:f>_xlfn.IFNA(VLOOKUP(C231,Master_Section!$H:$I,2,FALSE),"")</x:f>
      </x:c>
      <x:c r="D231" s="37">
        <x:f>_xlfn.IFNA(VLOOKUP(E231,Master_Section!$H:$I,2,FALSE),"")</x:f>
      </x:c>
      <x:c r="F231" s="26">
        <x:f>_xlfn.IFNA(VLOOKUP(G231,Master!AE:AF,2,FALSE),"")</x:f>
      </x:c>
      <x:c r="I231" s="24">
        <x:f>_xlfn.IFNA(VLOOKUP(D231,Master_Section!$I:$K,2,FALSE),"")</x:f>
      </x:c>
      <x:c r="J231" s="24">
        <x:f>_xlfn.IFNA(VLOOKUP(D231,Master_Section!$I:$K,3,FALSE),"")</x:f>
      </x:c>
      <x:c r="L231" s="94">
        <x:f>IF(A231&lt;&gt;"CFA",_xlfn.IFNA(VLOOKUP($G231,Master!$AE:$AI,5,0),""),"")</x:f>
      </x:c>
      <x:c r="P231" s="26">
        <x:f>IF(N231&lt;&gt;"",IF(MONTH(N231)&gt;=4,"FY1"&amp;RIGHT(YEAR(N231)+1,2),"FY1"&amp;RIGHT(YEAR(N231),2)),"")</x:f>
      </x:c>
      <x:c r="Q231" s="37">
        <x:f>IF(K231&gt;0&amp;M231&gt;0,K231*M231,"")</x:f>
      </x:c>
    </x:row>
    <x:row r="232" spans="1:18" customFormat="1" ht="15" customHeight="1">
      <x:c r="B232" s="37">
        <x:f>_xlfn.IFNA(VLOOKUP(C232,Master_Section!$H:$I,2,FALSE),"")</x:f>
      </x:c>
      <x:c r="D232" s="37">
        <x:f>_xlfn.IFNA(VLOOKUP(E232,Master_Section!$H:$I,2,FALSE),"")</x:f>
      </x:c>
      <x:c r="F232" s="26">
        <x:f>_xlfn.IFNA(VLOOKUP(G232,Master!AE:AF,2,FALSE),"")</x:f>
      </x:c>
      <x:c r="I232" s="24">
        <x:f>_xlfn.IFNA(VLOOKUP(D232,Master_Section!$I:$K,2,FALSE),"")</x:f>
      </x:c>
      <x:c r="J232" s="24">
        <x:f>_xlfn.IFNA(VLOOKUP(D232,Master_Section!$I:$K,3,FALSE),"")</x:f>
      </x:c>
      <x:c r="L232" s="94">
        <x:f>IF(A232&lt;&gt;"CFA",_xlfn.IFNA(VLOOKUP($G232,Master!$AE:$AI,5,0),""),"")</x:f>
      </x:c>
      <x:c r="P232" s="26">
        <x:f>IF(N232&lt;&gt;"",IF(MONTH(N232)&gt;=4,"FY1"&amp;RIGHT(YEAR(N232)+1,2),"FY1"&amp;RIGHT(YEAR(N232),2)),"")</x:f>
      </x:c>
      <x:c r="Q232" s="37">
        <x:f>IF(K232&gt;0&amp;M232&gt;0,K232*M232,"")</x:f>
      </x:c>
    </x:row>
    <x:row r="233" spans="1:18" customFormat="1" ht="15" customHeight="1">
      <x:c r="B233" s="37">
        <x:f>_xlfn.IFNA(VLOOKUP(C233,Master_Section!$H:$I,2,FALSE),"")</x:f>
      </x:c>
      <x:c r="D233" s="37">
        <x:f>_xlfn.IFNA(VLOOKUP(E233,Master_Section!$H:$I,2,FALSE),"")</x:f>
      </x:c>
      <x:c r="F233" s="26">
        <x:f>_xlfn.IFNA(VLOOKUP(G233,Master!AE:AF,2,FALSE),"")</x:f>
      </x:c>
      <x:c r="I233" s="24">
        <x:f>_xlfn.IFNA(VLOOKUP(D233,Master_Section!$I:$K,2,FALSE),"")</x:f>
      </x:c>
      <x:c r="J233" s="24">
        <x:f>_xlfn.IFNA(VLOOKUP(D233,Master_Section!$I:$K,3,FALSE),"")</x:f>
      </x:c>
      <x:c r="L233" s="94">
        <x:f>IF(A233&lt;&gt;"CFA",_xlfn.IFNA(VLOOKUP($G233,Master!$AE:$AI,5,0),""),"")</x:f>
      </x:c>
      <x:c r="P233" s="26">
        <x:f>IF(N233&lt;&gt;"",IF(MONTH(N233)&gt;=4,"FY1"&amp;RIGHT(YEAR(N233)+1,2),"FY1"&amp;RIGHT(YEAR(N233),2)),"")</x:f>
      </x:c>
      <x:c r="Q233" s="37">
        <x:f>IF(K233&gt;0&amp;M233&gt;0,K233*M233,"")</x:f>
      </x:c>
    </x:row>
    <x:row r="234" spans="1:18" customFormat="1" ht="15" customHeight="1">
      <x:c r="B234" s="37">
        <x:f>_xlfn.IFNA(VLOOKUP(C234,Master_Section!$H:$I,2,FALSE),"")</x:f>
      </x:c>
      <x:c r="D234" s="37">
        <x:f>_xlfn.IFNA(VLOOKUP(E234,Master_Section!$H:$I,2,FALSE),"")</x:f>
      </x:c>
      <x:c r="F234" s="26">
        <x:f>_xlfn.IFNA(VLOOKUP(G234,Master!AE:AF,2,FALSE),"")</x:f>
      </x:c>
      <x:c r="I234" s="24">
        <x:f>_xlfn.IFNA(VLOOKUP(D234,Master_Section!$I:$K,2,FALSE),"")</x:f>
      </x:c>
      <x:c r="J234" s="24">
        <x:f>_xlfn.IFNA(VLOOKUP(D234,Master_Section!$I:$K,3,FALSE),"")</x:f>
      </x:c>
      <x:c r="L234" s="94">
        <x:f>IF(A234&lt;&gt;"CFA",_xlfn.IFNA(VLOOKUP($G234,Master!$AE:$AI,5,0),""),"")</x:f>
      </x:c>
      <x:c r="P234" s="26">
        <x:f>IF(N234&lt;&gt;"",IF(MONTH(N234)&gt;=4,"FY1"&amp;RIGHT(YEAR(N234)+1,2),"FY1"&amp;RIGHT(YEAR(N234),2)),"")</x:f>
      </x:c>
      <x:c r="Q234" s="37">
        <x:f>IF(K234&gt;0&amp;M234&gt;0,K234*M234,"")</x:f>
      </x:c>
    </x:row>
    <x:row r="235" spans="1:18" customFormat="1" ht="15" customHeight="1">
      <x:c r="B235" s="37">
        <x:f>_xlfn.IFNA(VLOOKUP(C235,Master_Section!$H:$I,2,FALSE),"")</x:f>
      </x:c>
      <x:c r="D235" s="37">
        <x:f>_xlfn.IFNA(VLOOKUP(E235,Master_Section!$H:$I,2,FALSE),"")</x:f>
      </x:c>
      <x:c r="F235" s="26">
        <x:f>_xlfn.IFNA(VLOOKUP(G235,Master!AE:AF,2,FALSE),"")</x:f>
      </x:c>
      <x:c r="I235" s="24">
        <x:f>_xlfn.IFNA(VLOOKUP(D235,Master_Section!$I:$K,2,FALSE),"")</x:f>
      </x:c>
      <x:c r="J235" s="24">
        <x:f>_xlfn.IFNA(VLOOKUP(D235,Master_Section!$I:$K,3,FALSE),"")</x:f>
      </x:c>
      <x:c r="L235" s="94">
        <x:f>IF(A235&lt;&gt;"CFA",_xlfn.IFNA(VLOOKUP($G235,Master!$AE:$AI,5,0),""),"")</x:f>
      </x:c>
      <x:c r="P235" s="26">
        <x:f>IF(N235&lt;&gt;"",IF(MONTH(N235)&gt;=4,"FY1"&amp;RIGHT(YEAR(N235)+1,2),"FY1"&amp;RIGHT(YEAR(N235),2)),"")</x:f>
      </x:c>
      <x:c r="Q235" s="37">
        <x:f>IF(K235&gt;0&amp;M235&gt;0,K235*M235,"")</x:f>
      </x:c>
    </x:row>
    <x:row r="236" spans="1:18" customFormat="1" ht="15" customHeight="1">
      <x:c r="B236" s="37">
        <x:f>_xlfn.IFNA(VLOOKUP(C236,Master_Section!$H:$I,2,FALSE),"")</x:f>
      </x:c>
      <x:c r="D236" s="37">
        <x:f>_xlfn.IFNA(VLOOKUP(E236,Master_Section!$H:$I,2,FALSE),"")</x:f>
      </x:c>
      <x:c r="F236" s="26">
        <x:f>_xlfn.IFNA(VLOOKUP(G236,Master!AE:AF,2,FALSE),"")</x:f>
      </x:c>
      <x:c r="I236" s="24">
        <x:f>_xlfn.IFNA(VLOOKUP(D236,Master_Section!$I:$K,2,FALSE),"")</x:f>
      </x:c>
      <x:c r="J236" s="24">
        <x:f>_xlfn.IFNA(VLOOKUP(D236,Master_Section!$I:$K,3,FALSE),"")</x:f>
      </x:c>
      <x:c r="L236" s="94">
        <x:f>IF(A236&lt;&gt;"CFA",_xlfn.IFNA(VLOOKUP($G236,Master!$AE:$AI,5,0),""),"")</x:f>
      </x:c>
      <x:c r="P236" s="26">
        <x:f>IF(N236&lt;&gt;"",IF(MONTH(N236)&gt;=4,"FY1"&amp;RIGHT(YEAR(N236)+1,2),"FY1"&amp;RIGHT(YEAR(N236),2)),"")</x:f>
      </x:c>
      <x:c r="Q236" s="37">
        <x:f>IF(K236&gt;0&amp;M236&gt;0,K236*M236,"")</x:f>
      </x:c>
    </x:row>
    <x:row r="237" spans="1:18" customFormat="1" ht="15" customHeight="1">
      <x:c r="B237" s="37">
        <x:f>_xlfn.IFNA(VLOOKUP(C237,Master_Section!$H:$I,2,FALSE),"")</x:f>
      </x:c>
      <x:c r="D237" s="37">
        <x:f>_xlfn.IFNA(VLOOKUP(E237,Master_Section!$H:$I,2,FALSE),"")</x:f>
      </x:c>
      <x:c r="F237" s="26">
        <x:f>_xlfn.IFNA(VLOOKUP(G237,Master!AE:AF,2,FALSE),"")</x:f>
      </x:c>
      <x:c r="I237" s="24">
        <x:f>_xlfn.IFNA(VLOOKUP(D237,Master_Section!$I:$K,2,FALSE),"")</x:f>
      </x:c>
      <x:c r="J237" s="24">
        <x:f>_xlfn.IFNA(VLOOKUP(D237,Master_Section!$I:$K,3,FALSE),"")</x:f>
      </x:c>
      <x:c r="L237" s="94">
        <x:f>IF(A237&lt;&gt;"CFA",_xlfn.IFNA(VLOOKUP($G237,Master!$AE:$AI,5,0),""),"")</x:f>
      </x:c>
      <x:c r="P237" s="26">
        <x:f>IF(N237&lt;&gt;"",IF(MONTH(N237)&gt;=4,"FY1"&amp;RIGHT(YEAR(N237)+1,2),"FY1"&amp;RIGHT(YEAR(N237),2)),"")</x:f>
      </x:c>
      <x:c r="Q237" s="37">
        <x:f>IF(K237&gt;0&amp;M237&gt;0,K237*M237,"")</x:f>
      </x:c>
    </x:row>
    <x:row r="238" spans="1:18" customFormat="1" ht="15" customHeight="1">
      <x:c r="B238" s="37">
        <x:f>_xlfn.IFNA(VLOOKUP(C238,Master_Section!$H:$I,2,FALSE),"")</x:f>
      </x:c>
      <x:c r="D238" s="37">
        <x:f>_xlfn.IFNA(VLOOKUP(E238,Master_Section!$H:$I,2,FALSE),"")</x:f>
      </x:c>
      <x:c r="F238" s="26">
        <x:f>_xlfn.IFNA(VLOOKUP(G238,Master!AE:AF,2,FALSE),"")</x:f>
      </x:c>
      <x:c r="I238" s="24">
        <x:f>_xlfn.IFNA(VLOOKUP(D238,Master_Section!$I:$K,2,FALSE),"")</x:f>
      </x:c>
      <x:c r="J238" s="24">
        <x:f>_xlfn.IFNA(VLOOKUP(D238,Master_Section!$I:$K,3,FALSE),"")</x:f>
      </x:c>
      <x:c r="L238" s="94">
        <x:f>IF(A238&lt;&gt;"CFA",_xlfn.IFNA(VLOOKUP($G238,Master!$AE:$AI,5,0),""),"")</x:f>
      </x:c>
      <x:c r="P238" s="26">
        <x:f>IF(N238&lt;&gt;"",IF(MONTH(N238)&gt;=4,"FY1"&amp;RIGHT(YEAR(N238)+1,2),"FY1"&amp;RIGHT(YEAR(N238),2)),"")</x:f>
      </x:c>
      <x:c r="Q238" s="37">
        <x:f>IF(K238&gt;0&amp;M238&gt;0,K238*M238,"")</x:f>
      </x:c>
    </x:row>
    <x:row r="239" spans="1:18" customFormat="1" ht="15" customHeight="1">
      <x:c r="B239" s="37">
        <x:f>_xlfn.IFNA(VLOOKUP(C239,Master_Section!$H:$I,2,FALSE),"")</x:f>
      </x:c>
      <x:c r="D239" s="37">
        <x:f>_xlfn.IFNA(VLOOKUP(E239,Master_Section!$H:$I,2,FALSE),"")</x:f>
      </x:c>
      <x:c r="F239" s="26">
        <x:f>_xlfn.IFNA(VLOOKUP(G239,Master!AE:AF,2,FALSE),"")</x:f>
      </x:c>
      <x:c r="I239" s="24">
        <x:f>_xlfn.IFNA(VLOOKUP(D239,Master_Section!$I:$K,2,FALSE),"")</x:f>
      </x:c>
      <x:c r="J239" s="24">
        <x:f>_xlfn.IFNA(VLOOKUP(D239,Master_Section!$I:$K,3,FALSE),"")</x:f>
      </x:c>
      <x:c r="L239" s="94">
        <x:f>IF(A239&lt;&gt;"CFA",_xlfn.IFNA(VLOOKUP($G239,Master!$AE:$AI,5,0),""),"")</x:f>
      </x:c>
      <x:c r="P239" s="26">
        <x:f>IF(N239&lt;&gt;"",IF(MONTH(N239)&gt;=4,"FY1"&amp;RIGHT(YEAR(N239)+1,2),"FY1"&amp;RIGHT(YEAR(N239),2)),"")</x:f>
      </x:c>
      <x:c r="Q239" s="37">
        <x:f>IF(K239&gt;0&amp;M239&gt;0,K239*M239,"")</x:f>
      </x:c>
    </x:row>
    <x:row r="240" spans="1:18" customFormat="1" ht="15" customHeight="1">
      <x:c r="B240" s="37">
        <x:f>_xlfn.IFNA(VLOOKUP(C240,Master_Section!$H:$I,2,FALSE),"")</x:f>
      </x:c>
      <x:c r="D240" s="37">
        <x:f>_xlfn.IFNA(VLOOKUP(E240,Master_Section!$H:$I,2,FALSE),"")</x:f>
      </x:c>
      <x:c r="F240" s="26">
        <x:f>_xlfn.IFNA(VLOOKUP(G240,Master!AE:AF,2,FALSE),"")</x:f>
      </x:c>
      <x:c r="I240" s="24">
        <x:f>_xlfn.IFNA(VLOOKUP(D240,Master_Section!$I:$K,2,FALSE),"")</x:f>
      </x:c>
      <x:c r="J240" s="24">
        <x:f>_xlfn.IFNA(VLOOKUP(D240,Master_Section!$I:$K,3,FALSE),"")</x:f>
      </x:c>
      <x:c r="L240" s="94">
        <x:f>IF(A240&lt;&gt;"CFA",_xlfn.IFNA(VLOOKUP($G240,Master!$AE:$AI,5,0),""),"")</x:f>
      </x:c>
      <x:c r="P240" s="26">
        <x:f>IF(N240&lt;&gt;"",IF(MONTH(N240)&gt;=4,"FY1"&amp;RIGHT(YEAR(N240)+1,2),"FY1"&amp;RIGHT(YEAR(N240),2)),"")</x:f>
      </x:c>
      <x:c r="Q240" s="37">
        <x:f>IF(K240&gt;0&amp;M240&gt;0,K240*M240,"")</x:f>
      </x:c>
    </x:row>
    <x:row r="241" spans="1:18" customFormat="1" ht="15" customHeight="1">
      <x:c r="B241" s="37">
        <x:f>_xlfn.IFNA(VLOOKUP(C241,Master_Section!$H:$I,2,FALSE),"")</x:f>
      </x:c>
      <x:c r="D241" s="37">
        <x:f>_xlfn.IFNA(VLOOKUP(E241,Master_Section!$H:$I,2,FALSE),"")</x:f>
      </x:c>
      <x:c r="F241" s="26">
        <x:f>_xlfn.IFNA(VLOOKUP(G241,Master!AE:AF,2,FALSE),"")</x:f>
      </x:c>
      <x:c r="I241" s="24">
        <x:f>_xlfn.IFNA(VLOOKUP(D241,Master_Section!$I:$K,2,FALSE),"")</x:f>
      </x:c>
      <x:c r="J241" s="24">
        <x:f>_xlfn.IFNA(VLOOKUP(D241,Master_Section!$I:$K,3,FALSE),"")</x:f>
      </x:c>
      <x:c r="L241" s="94">
        <x:f>IF(A241&lt;&gt;"CFA",_xlfn.IFNA(VLOOKUP($G241,Master!$AE:$AI,5,0),""),"")</x:f>
      </x:c>
      <x:c r="P241" s="26">
        <x:f>IF(N241&lt;&gt;"",IF(MONTH(N241)&gt;=4,"FY1"&amp;RIGHT(YEAR(N241)+1,2),"FY1"&amp;RIGHT(YEAR(N241),2)),"")</x:f>
      </x:c>
      <x:c r="Q241" s="37">
        <x:f>IF(K241&gt;0&amp;M241&gt;0,K241*M241,"")</x:f>
      </x:c>
    </x:row>
    <x:row r="242" spans="1:18" customFormat="1" ht="15" customHeight="1">
      <x:c r="B242" s="37">
        <x:f>_xlfn.IFNA(VLOOKUP(C242,Master_Section!$H:$I,2,FALSE),"")</x:f>
      </x:c>
      <x:c r="D242" s="37">
        <x:f>_xlfn.IFNA(VLOOKUP(E242,Master_Section!$H:$I,2,FALSE),"")</x:f>
      </x:c>
      <x:c r="F242" s="26">
        <x:f>_xlfn.IFNA(VLOOKUP(G242,Master!AE:AF,2,FALSE),"")</x:f>
      </x:c>
      <x:c r="I242" s="24">
        <x:f>_xlfn.IFNA(VLOOKUP(D242,Master_Section!$I:$K,2,FALSE),"")</x:f>
      </x:c>
      <x:c r="J242" s="24">
        <x:f>_xlfn.IFNA(VLOOKUP(D242,Master_Section!$I:$K,3,FALSE),"")</x:f>
      </x:c>
      <x:c r="L242" s="94">
        <x:f>IF(A242&lt;&gt;"CFA",_xlfn.IFNA(VLOOKUP($G242,Master!$AE:$AI,5,0),""),"")</x:f>
      </x:c>
      <x:c r="P242" s="26">
        <x:f>IF(N242&lt;&gt;"",IF(MONTH(N242)&gt;=4,"FY1"&amp;RIGHT(YEAR(N242)+1,2),"FY1"&amp;RIGHT(YEAR(N242),2)),"")</x:f>
      </x:c>
      <x:c r="Q242" s="37">
        <x:f>IF(K242&gt;0&amp;M242&gt;0,K242*M242,"")</x:f>
      </x:c>
    </x:row>
    <x:row r="243" spans="1:18" customFormat="1" ht="15" customHeight="1">
      <x:c r="B243" s="37">
        <x:f>_xlfn.IFNA(VLOOKUP(C243,Master_Section!$H:$I,2,FALSE),"")</x:f>
      </x:c>
      <x:c r="D243" s="37">
        <x:f>_xlfn.IFNA(VLOOKUP(E243,Master_Section!$H:$I,2,FALSE),"")</x:f>
      </x:c>
      <x:c r="F243" s="26">
        <x:f>_xlfn.IFNA(VLOOKUP(G243,Master!AE:AF,2,FALSE),"")</x:f>
      </x:c>
      <x:c r="I243" s="24">
        <x:f>_xlfn.IFNA(VLOOKUP(D243,Master_Section!$I:$K,2,FALSE),"")</x:f>
      </x:c>
      <x:c r="J243" s="24">
        <x:f>_xlfn.IFNA(VLOOKUP(D243,Master_Section!$I:$K,3,FALSE),"")</x:f>
      </x:c>
      <x:c r="L243" s="94">
        <x:f>IF(A243&lt;&gt;"CFA",_xlfn.IFNA(VLOOKUP($G243,Master!$AE:$AI,5,0),""),"")</x:f>
      </x:c>
      <x:c r="P243" s="26">
        <x:f>IF(N243&lt;&gt;"",IF(MONTH(N243)&gt;=4,"FY1"&amp;RIGHT(YEAR(N243)+1,2),"FY1"&amp;RIGHT(YEAR(N243),2)),"")</x:f>
      </x:c>
      <x:c r="Q243" s="37">
        <x:f>IF(K243&gt;0&amp;M243&gt;0,K243*M243,"")</x:f>
      </x:c>
    </x:row>
    <x:row r="244" spans="1:18" customFormat="1" ht="15" customHeight="1">
      <x:c r="B244" s="37">
        <x:f>_xlfn.IFNA(VLOOKUP(C244,Master_Section!$H:$I,2,FALSE),"")</x:f>
      </x:c>
      <x:c r="D244" s="37">
        <x:f>_xlfn.IFNA(VLOOKUP(E244,Master_Section!$H:$I,2,FALSE),"")</x:f>
      </x:c>
      <x:c r="F244" s="26">
        <x:f>_xlfn.IFNA(VLOOKUP(G244,Master!AE:AF,2,FALSE),"")</x:f>
      </x:c>
      <x:c r="I244" s="24">
        <x:f>_xlfn.IFNA(VLOOKUP(D244,Master_Section!$I:$K,2,FALSE),"")</x:f>
      </x:c>
      <x:c r="J244" s="24">
        <x:f>_xlfn.IFNA(VLOOKUP(D244,Master_Section!$I:$K,3,FALSE),"")</x:f>
      </x:c>
      <x:c r="L244" s="94">
        <x:f>IF(A244&lt;&gt;"CFA",_xlfn.IFNA(VLOOKUP($G244,Master!$AE:$AI,5,0),""),"")</x:f>
      </x:c>
      <x:c r="P244" s="26">
        <x:f>IF(N244&lt;&gt;"",IF(MONTH(N244)&gt;=4,"FY1"&amp;RIGHT(YEAR(N244)+1,2),"FY1"&amp;RIGHT(YEAR(N244),2)),"")</x:f>
      </x:c>
      <x:c r="Q244" s="37">
        <x:f>IF(K244&gt;0&amp;M244&gt;0,K244*M244,"")</x:f>
      </x:c>
    </x:row>
    <x:row r="245" spans="1:18" customFormat="1" ht="15" customHeight="1">
      <x:c r="B245" s="37">
        <x:f>_xlfn.IFNA(VLOOKUP(C245,Master_Section!$H:$I,2,FALSE),"")</x:f>
      </x:c>
      <x:c r="D245" s="37">
        <x:f>_xlfn.IFNA(VLOOKUP(E245,Master_Section!$H:$I,2,FALSE),"")</x:f>
      </x:c>
      <x:c r="F245" s="26">
        <x:f>_xlfn.IFNA(VLOOKUP(G245,Master!AE:AF,2,FALSE),"")</x:f>
      </x:c>
      <x:c r="I245" s="24">
        <x:f>_xlfn.IFNA(VLOOKUP(D245,Master_Section!$I:$K,2,FALSE),"")</x:f>
      </x:c>
      <x:c r="J245" s="24">
        <x:f>_xlfn.IFNA(VLOOKUP(D245,Master_Section!$I:$K,3,FALSE),"")</x:f>
      </x:c>
      <x:c r="L245" s="94">
        <x:f>IF(A245&lt;&gt;"CFA",_xlfn.IFNA(VLOOKUP($G245,Master!$AE:$AI,5,0),""),"")</x:f>
      </x:c>
      <x:c r="P245" s="26">
        <x:f>IF(N245&lt;&gt;"",IF(MONTH(N245)&gt;=4,"FY1"&amp;RIGHT(YEAR(N245)+1,2),"FY1"&amp;RIGHT(YEAR(N245),2)),"")</x:f>
      </x:c>
      <x:c r="Q245" s="37">
        <x:f>IF(K245&gt;0&amp;M245&gt;0,K245*M245,"")</x:f>
      </x:c>
    </x:row>
    <x:row r="246" spans="1:18" customFormat="1" ht="15" customHeight="1">
      <x:c r="B246" s="37">
        <x:f>_xlfn.IFNA(VLOOKUP(C246,Master_Section!$H:$I,2,FALSE),"")</x:f>
      </x:c>
      <x:c r="D246" s="37">
        <x:f>_xlfn.IFNA(VLOOKUP(E246,Master_Section!$H:$I,2,FALSE),"")</x:f>
      </x:c>
      <x:c r="F246" s="26">
        <x:f>_xlfn.IFNA(VLOOKUP(G246,Master!AE:AF,2,FALSE),"")</x:f>
      </x:c>
      <x:c r="I246" s="24">
        <x:f>_xlfn.IFNA(VLOOKUP(D246,Master_Section!$I:$K,2,FALSE),"")</x:f>
      </x:c>
      <x:c r="J246" s="24">
        <x:f>_xlfn.IFNA(VLOOKUP(D246,Master_Section!$I:$K,3,FALSE),"")</x:f>
      </x:c>
      <x:c r="L246" s="94">
        <x:f>IF(A246&lt;&gt;"CFA",_xlfn.IFNA(VLOOKUP($G246,Master!$AE:$AI,5,0),""),"")</x:f>
      </x:c>
      <x:c r="P246" s="26">
        <x:f>IF(N246&lt;&gt;"",IF(MONTH(N246)&gt;=4,"FY1"&amp;RIGHT(YEAR(N246)+1,2),"FY1"&amp;RIGHT(YEAR(N246),2)),"")</x:f>
      </x:c>
      <x:c r="Q246" s="37">
        <x:f>IF(K246&gt;0&amp;M246&gt;0,K246*M246,"")</x:f>
      </x:c>
    </x:row>
    <x:row r="247" spans="1:18" customFormat="1" ht="15" customHeight="1">
      <x:c r="B247" s="37">
        <x:f>_xlfn.IFNA(VLOOKUP(C247,Master_Section!$H:$I,2,FALSE),"")</x:f>
      </x:c>
      <x:c r="D247" s="37">
        <x:f>_xlfn.IFNA(VLOOKUP(E247,Master_Section!$H:$I,2,FALSE),"")</x:f>
      </x:c>
      <x:c r="F247" s="26">
        <x:f>_xlfn.IFNA(VLOOKUP(G247,Master!AE:AF,2,FALSE),"")</x:f>
      </x:c>
      <x:c r="I247" s="24">
        <x:f>_xlfn.IFNA(VLOOKUP(D247,Master_Section!$I:$K,2,FALSE),"")</x:f>
      </x:c>
      <x:c r="J247" s="24">
        <x:f>_xlfn.IFNA(VLOOKUP(D247,Master_Section!$I:$K,3,FALSE),"")</x:f>
      </x:c>
      <x:c r="L247" s="94">
        <x:f>IF(A247&lt;&gt;"CFA",_xlfn.IFNA(VLOOKUP($G247,Master!$AE:$AI,5,0),""),"")</x:f>
      </x:c>
      <x:c r="P247" s="26">
        <x:f>IF(N247&lt;&gt;"",IF(MONTH(N247)&gt;=4,"FY1"&amp;RIGHT(YEAR(N247)+1,2),"FY1"&amp;RIGHT(YEAR(N247),2)),"")</x:f>
      </x:c>
      <x:c r="Q247" s="37">
        <x:f>IF(K247&gt;0&amp;M247&gt;0,K247*M247,"")</x:f>
      </x:c>
    </x:row>
    <x:row r="248" spans="1:18" customFormat="1" ht="15" customHeight="1">
      <x:c r="B248" s="37">
        <x:f>_xlfn.IFNA(VLOOKUP(C248,Master_Section!$H:$I,2,FALSE),"")</x:f>
      </x:c>
      <x:c r="D248" s="37">
        <x:f>_xlfn.IFNA(VLOOKUP(E248,Master_Section!$H:$I,2,FALSE),"")</x:f>
      </x:c>
      <x:c r="F248" s="26">
        <x:f>_xlfn.IFNA(VLOOKUP(G248,Master!AE:AF,2,FALSE),"")</x:f>
      </x:c>
      <x:c r="I248" s="24">
        <x:f>_xlfn.IFNA(VLOOKUP(D248,Master_Section!$I:$K,2,FALSE),"")</x:f>
      </x:c>
      <x:c r="J248" s="24">
        <x:f>_xlfn.IFNA(VLOOKUP(D248,Master_Section!$I:$K,3,FALSE),"")</x:f>
      </x:c>
      <x:c r="L248" s="94">
        <x:f>IF(A248&lt;&gt;"CFA",_xlfn.IFNA(VLOOKUP($G248,Master!$AE:$AI,5,0),""),"")</x:f>
      </x:c>
      <x:c r="P248" s="26">
        <x:f>IF(N248&lt;&gt;"",IF(MONTH(N248)&gt;=4,"FY1"&amp;RIGHT(YEAR(N248)+1,2),"FY1"&amp;RIGHT(YEAR(N248),2)),"")</x:f>
      </x:c>
      <x:c r="Q248" s="37">
        <x:f>IF(K248&gt;0&amp;M248&gt;0,K248*M248,"")</x:f>
      </x:c>
    </x:row>
    <x:row r="249" spans="1:18" customFormat="1" ht="15" customHeight="1">
      <x:c r="B249" s="37">
        <x:f>_xlfn.IFNA(VLOOKUP(C249,Master_Section!$H:$I,2,FALSE),"")</x:f>
      </x:c>
      <x:c r="D249" s="37">
        <x:f>_xlfn.IFNA(VLOOKUP(E249,Master_Section!$H:$I,2,FALSE),"")</x:f>
      </x:c>
      <x:c r="F249" s="26">
        <x:f>_xlfn.IFNA(VLOOKUP(G249,Master!AE:AF,2,FALSE),"")</x:f>
      </x:c>
      <x:c r="I249" s="24">
        <x:f>_xlfn.IFNA(VLOOKUP(D249,Master_Section!$I:$K,2,FALSE),"")</x:f>
      </x:c>
      <x:c r="J249" s="24">
        <x:f>_xlfn.IFNA(VLOOKUP(D249,Master_Section!$I:$K,3,FALSE),"")</x:f>
      </x:c>
      <x:c r="L249" s="94">
        <x:f>IF(A249&lt;&gt;"CFA",_xlfn.IFNA(VLOOKUP($G249,Master!$AE:$AI,5,0),""),"")</x:f>
      </x:c>
      <x:c r="P249" s="26">
        <x:f>IF(N249&lt;&gt;"",IF(MONTH(N249)&gt;=4,"FY1"&amp;RIGHT(YEAR(N249)+1,2),"FY1"&amp;RIGHT(YEAR(N249),2)),"")</x:f>
      </x:c>
      <x:c r="Q249" s="37">
        <x:f>IF(K249&gt;0&amp;M249&gt;0,K249*M249,"")</x:f>
      </x:c>
    </x:row>
    <x:row r="250" spans="1:18" customFormat="1" ht="15" customHeight="1">
      <x:c r="B250" s="37">
        <x:f>_xlfn.IFNA(VLOOKUP(C250,Master_Section!$H:$I,2,FALSE),"")</x:f>
      </x:c>
      <x:c r="D250" s="37">
        <x:f>_xlfn.IFNA(VLOOKUP(E250,Master_Section!$H:$I,2,FALSE),"")</x:f>
      </x:c>
      <x:c r="F250" s="26">
        <x:f>_xlfn.IFNA(VLOOKUP(G250,Master!AE:AF,2,FALSE),"")</x:f>
      </x:c>
      <x:c r="I250" s="24">
        <x:f>_xlfn.IFNA(VLOOKUP(D250,Master_Section!$I:$K,2,FALSE),"")</x:f>
      </x:c>
      <x:c r="J250" s="24">
        <x:f>_xlfn.IFNA(VLOOKUP(D250,Master_Section!$I:$K,3,FALSE),"")</x:f>
      </x:c>
      <x:c r="L250" s="94">
        <x:f>IF(A250&lt;&gt;"CFA",_xlfn.IFNA(VLOOKUP($G250,Master!$AE:$AI,5,0),""),"")</x:f>
      </x:c>
      <x:c r="P250" s="26">
        <x:f>IF(N250&lt;&gt;"",IF(MONTH(N250)&gt;=4,"FY1"&amp;RIGHT(YEAR(N250)+1,2),"FY1"&amp;RIGHT(YEAR(N250),2)),"")</x:f>
      </x:c>
      <x:c r="Q250" s="37">
        <x:f>IF(K250&gt;0&amp;M250&gt;0,K250*M250,"")</x:f>
      </x:c>
    </x:row>
    <x:row r="251" spans="1:18" customFormat="1" ht="15" customHeight="1">
      <x:c r="B251" s="37">
        <x:f>_xlfn.IFNA(VLOOKUP(C251,Master_Section!$H:$I,2,FALSE),"")</x:f>
      </x:c>
      <x:c r="D251" s="37">
        <x:f>_xlfn.IFNA(VLOOKUP(E251,Master_Section!$H:$I,2,FALSE),"")</x:f>
      </x:c>
      <x:c r="F251" s="26">
        <x:f>_xlfn.IFNA(VLOOKUP(G251,Master!AE:AF,2,FALSE),"")</x:f>
      </x:c>
      <x:c r="I251" s="24">
        <x:f>_xlfn.IFNA(VLOOKUP(D251,Master_Section!$I:$K,2,FALSE),"")</x:f>
      </x:c>
      <x:c r="J251" s="24">
        <x:f>_xlfn.IFNA(VLOOKUP(D251,Master_Section!$I:$K,3,FALSE),"")</x:f>
      </x:c>
      <x:c r="L251" s="94">
        <x:f>IF(A251&lt;&gt;"CFA",_xlfn.IFNA(VLOOKUP($G251,Master!$AE:$AI,5,0),""),"")</x:f>
      </x:c>
      <x:c r="P251" s="26">
        <x:f>IF(N251&lt;&gt;"",IF(MONTH(N251)&gt;=4,"FY1"&amp;RIGHT(YEAR(N251)+1,2),"FY1"&amp;RIGHT(YEAR(N251),2)),"")</x:f>
      </x:c>
      <x:c r="Q251" s="37">
        <x:f>IF(K251&gt;0&amp;M251&gt;0,K251*M251,"")</x:f>
      </x:c>
    </x:row>
    <x:row r="252" spans="1:18" customFormat="1" ht="15" customHeight="1">
      <x:c r="B252" s="37">
        <x:f>_xlfn.IFNA(VLOOKUP(C252,Master_Section!$H:$I,2,FALSE),"")</x:f>
      </x:c>
      <x:c r="D252" s="37">
        <x:f>_xlfn.IFNA(VLOOKUP(E252,Master_Section!$H:$I,2,FALSE),"")</x:f>
      </x:c>
      <x:c r="F252" s="26">
        <x:f>_xlfn.IFNA(VLOOKUP(G252,Master!AE:AF,2,FALSE),"")</x:f>
      </x:c>
      <x:c r="I252" s="24">
        <x:f>_xlfn.IFNA(VLOOKUP(D252,Master_Section!$I:$K,2,FALSE),"")</x:f>
      </x:c>
      <x:c r="J252" s="24">
        <x:f>_xlfn.IFNA(VLOOKUP(D252,Master_Section!$I:$K,3,FALSE),"")</x:f>
      </x:c>
      <x:c r="L252" s="94">
        <x:f>IF(A252&lt;&gt;"CFA",_xlfn.IFNA(VLOOKUP($G252,Master!$AE:$AI,5,0),""),"")</x:f>
      </x:c>
      <x:c r="P252" s="26">
        <x:f>IF(N252&lt;&gt;"",IF(MONTH(N252)&gt;=4,"FY1"&amp;RIGHT(YEAR(N252)+1,2),"FY1"&amp;RIGHT(YEAR(N252),2)),"")</x:f>
      </x:c>
      <x:c r="Q252" s="37">
        <x:f>IF(K252&gt;0&amp;M252&gt;0,K252*M252,"")</x:f>
      </x:c>
    </x:row>
    <x:row r="253" spans="1:18" customFormat="1" ht="15" customHeight="1">
      <x:c r="B253" s="37">
        <x:f>_xlfn.IFNA(VLOOKUP(C253,Master_Section!$H:$I,2,FALSE),"")</x:f>
      </x:c>
      <x:c r="D253" s="37">
        <x:f>_xlfn.IFNA(VLOOKUP(E253,Master_Section!$H:$I,2,FALSE),"")</x:f>
      </x:c>
      <x:c r="F253" s="26">
        <x:f>_xlfn.IFNA(VLOOKUP(G253,Master!AE:AF,2,FALSE),"")</x:f>
      </x:c>
      <x:c r="I253" s="24">
        <x:f>_xlfn.IFNA(VLOOKUP(D253,Master_Section!$I:$K,2,FALSE),"")</x:f>
      </x:c>
      <x:c r="J253" s="24">
        <x:f>_xlfn.IFNA(VLOOKUP(D253,Master_Section!$I:$K,3,FALSE),"")</x:f>
      </x:c>
      <x:c r="L253" s="94">
        <x:f>IF(A253&lt;&gt;"CFA",_xlfn.IFNA(VLOOKUP($G253,Master!$AE:$AI,5,0),""),"")</x:f>
      </x:c>
      <x:c r="P253" s="26">
        <x:f>IF(N253&lt;&gt;"",IF(MONTH(N253)&gt;=4,"FY1"&amp;RIGHT(YEAR(N253)+1,2),"FY1"&amp;RIGHT(YEAR(N253),2)),"")</x:f>
      </x:c>
      <x:c r="Q253" s="37">
        <x:f>IF(K253&gt;0&amp;M253&gt;0,K253*M253,"")</x:f>
      </x:c>
    </x:row>
    <x:row r="254" spans="1:18" customFormat="1" ht="15" customHeight="1">
      <x:c r="B254" s="37">
        <x:f>_xlfn.IFNA(VLOOKUP(C254,Master_Section!$H:$I,2,FALSE),"")</x:f>
      </x:c>
      <x:c r="D254" s="37">
        <x:f>_xlfn.IFNA(VLOOKUP(E254,Master_Section!$H:$I,2,FALSE),"")</x:f>
      </x:c>
      <x:c r="F254" s="26">
        <x:f>_xlfn.IFNA(VLOOKUP(G254,Master!AE:AF,2,FALSE),"")</x:f>
      </x:c>
      <x:c r="I254" s="24">
        <x:f>_xlfn.IFNA(VLOOKUP(D254,Master_Section!$I:$K,2,FALSE),"")</x:f>
      </x:c>
      <x:c r="J254" s="24">
        <x:f>_xlfn.IFNA(VLOOKUP(D254,Master_Section!$I:$K,3,FALSE),"")</x:f>
      </x:c>
      <x:c r="L254" s="94">
        <x:f>IF(A254&lt;&gt;"CFA",_xlfn.IFNA(VLOOKUP($G254,Master!$AE:$AI,5,0),""),"")</x:f>
      </x:c>
      <x:c r="P254" s="26">
        <x:f>IF(N254&lt;&gt;"",IF(MONTH(N254)&gt;=4,"FY1"&amp;RIGHT(YEAR(N254)+1,2),"FY1"&amp;RIGHT(YEAR(N254),2)),"")</x:f>
      </x:c>
      <x:c r="Q254" s="37">
        <x:f>IF(K254&gt;0&amp;M254&gt;0,K254*M254,"")</x:f>
      </x:c>
    </x:row>
    <x:row r="255" spans="1:18" customFormat="1" ht="15" customHeight="1">
      <x:c r="B255" s="37">
        <x:f>_xlfn.IFNA(VLOOKUP(C255,Master_Section!$H:$I,2,FALSE),"")</x:f>
      </x:c>
      <x:c r="D255" s="37">
        <x:f>_xlfn.IFNA(VLOOKUP(E255,Master_Section!$H:$I,2,FALSE),"")</x:f>
      </x:c>
      <x:c r="F255" s="26">
        <x:f>_xlfn.IFNA(VLOOKUP(G255,Master!AE:AF,2,FALSE),"")</x:f>
      </x:c>
      <x:c r="I255" s="24">
        <x:f>_xlfn.IFNA(VLOOKUP(D255,Master_Section!$I:$K,2,FALSE),"")</x:f>
      </x:c>
      <x:c r="J255" s="24">
        <x:f>_xlfn.IFNA(VLOOKUP(D255,Master_Section!$I:$K,3,FALSE),"")</x:f>
      </x:c>
      <x:c r="L255" s="94">
        <x:f>IF(A255&lt;&gt;"CFA",_xlfn.IFNA(VLOOKUP($G255,Master!$AE:$AI,5,0),""),"")</x:f>
      </x:c>
      <x:c r="P255" s="26">
        <x:f>IF(N255&lt;&gt;"",IF(MONTH(N255)&gt;=4,"FY1"&amp;RIGHT(YEAR(N255)+1,2),"FY1"&amp;RIGHT(YEAR(N255),2)),"")</x:f>
      </x:c>
      <x:c r="Q255" s="37">
        <x:f>IF(K255&gt;0&amp;M255&gt;0,K255*M255,"")</x:f>
      </x:c>
    </x:row>
    <x:row r="256" spans="1:18" customFormat="1" ht="15" customHeight="1">
      <x:c r="B256" s="37">
        <x:f>_xlfn.IFNA(VLOOKUP(C256,Master_Section!$H:$I,2,FALSE),"")</x:f>
      </x:c>
      <x:c r="D256" s="37">
        <x:f>_xlfn.IFNA(VLOOKUP(E256,Master_Section!$H:$I,2,FALSE),"")</x:f>
      </x:c>
      <x:c r="F256" s="26">
        <x:f>_xlfn.IFNA(VLOOKUP(G256,Master!AE:AF,2,FALSE),"")</x:f>
      </x:c>
      <x:c r="I256" s="24">
        <x:f>_xlfn.IFNA(VLOOKUP(D256,Master_Section!$I:$K,2,FALSE),"")</x:f>
      </x:c>
      <x:c r="J256" s="24">
        <x:f>_xlfn.IFNA(VLOOKUP(D256,Master_Section!$I:$K,3,FALSE),"")</x:f>
      </x:c>
      <x:c r="L256" s="94">
        <x:f>IF(A256&lt;&gt;"CFA",_xlfn.IFNA(VLOOKUP($G256,Master!$AE:$AI,5,0),""),"")</x:f>
      </x:c>
      <x:c r="P256" s="26">
        <x:f>IF(N256&lt;&gt;"",IF(MONTH(N256)&gt;=4,"FY1"&amp;RIGHT(YEAR(N256)+1,2),"FY1"&amp;RIGHT(YEAR(N256),2)),"")</x:f>
      </x:c>
      <x:c r="Q256" s="37">
        <x:f>IF(K256&gt;0&amp;M256&gt;0,K256*M256,"")</x:f>
      </x:c>
    </x:row>
    <x:row r="257" spans="1:18" customFormat="1" ht="15" customHeight="1">
      <x:c r="B257" s="37">
        <x:f>_xlfn.IFNA(VLOOKUP(C257,Master_Section!$H:$I,2,FALSE),"")</x:f>
      </x:c>
      <x:c r="D257" s="37">
        <x:f>_xlfn.IFNA(VLOOKUP(E257,Master_Section!$H:$I,2,FALSE),"")</x:f>
      </x:c>
      <x:c r="F257" s="26">
        <x:f>_xlfn.IFNA(VLOOKUP(G257,Master!AE:AF,2,FALSE),"")</x:f>
      </x:c>
      <x:c r="I257" s="24">
        <x:f>_xlfn.IFNA(VLOOKUP(D257,Master_Section!$I:$K,2,FALSE),"")</x:f>
      </x:c>
      <x:c r="J257" s="24">
        <x:f>_xlfn.IFNA(VLOOKUP(D257,Master_Section!$I:$K,3,FALSE),"")</x:f>
      </x:c>
      <x:c r="L257" s="94">
        <x:f>IF(A257&lt;&gt;"CFA",_xlfn.IFNA(VLOOKUP($G257,Master!$AE:$AI,5,0),""),"")</x:f>
      </x:c>
      <x:c r="P257" s="26">
        <x:f>IF(N257&lt;&gt;"",IF(MONTH(N257)&gt;=4,"FY1"&amp;RIGHT(YEAR(N257)+1,2),"FY1"&amp;RIGHT(YEAR(N257),2)),"")</x:f>
      </x:c>
      <x:c r="Q257" s="37">
        <x:f>IF(K257&gt;0&amp;M257&gt;0,K257*M257,"")</x:f>
      </x:c>
    </x:row>
    <x:row r="258" spans="1:18" customFormat="1" ht="15" customHeight="1">
      <x:c r="B258" s="37">
        <x:f>_xlfn.IFNA(VLOOKUP(C258,Master_Section!$H:$I,2,FALSE),"")</x:f>
      </x:c>
      <x:c r="D258" s="37">
        <x:f>_xlfn.IFNA(VLOOKUP(E258,Master_Section!$H:$I,2,FALSE),"")</x:f>
      </x:c>
      <x:c r="F258" s="26">
        <x:f>_xlfn.IFNA(VLOOKUP(G258,Master!AE:AF,2,FALSE),"")</x:f>
      </x:c>
      <x:c r="I258" s="24">
        <x:f>_xlfn.IFNA(VLOOKUP(D258,Master_Section!$I:$K,2,FALSE),"")</x:f>
      </x:c>
      <x:c r="J258" s="24">
        <x:f>_xlfn.IFNA(VLOOKUP(D258,Master_Section!$I:$K,3,FALSE),"")</x:f>
      </x:c>
      <x:c r="L258" s="94">
        <x:f>IF(A258&lt;&gt;"CFA",_xlfn.IFNA(VLOOKUP($G258,Master!$AE:$AI,5,0),""),"")</x:f>
      </x:c>
      <x:c r="P258" s="26">
        <x:f>IF(N258&lt;&gt;"",IF(MONTH(N258)&gt;=4,"FY1"&amp;RIGHT(YEAR(N258)+1,2),"FY1"&amp;RIGHT(YEAR(N258),2)),"")</x:f>
      </x:c>
      <x:c r="Q258" s="37">
        <x:f>IF(K258&gt;0&amp;M258&gt;0,K258*M258,"")</x:f>
      </x:c>
    </x:row>
    <x:row r="259" spans="1:18" customFormat="1" ht="15" customHeight="1">
      <x:c r="B259" s="37">
        <x:f>_xlfn.IFNA(VLOOKUP(C259,Master_Section!$H:$I,2,FALSE),"")</x:f>
      </x:c>
      <x:c r="D259" s="37">
        <x:f>_xlfn.IFNA(VLOOKUP(E259,Master_Section!$H:$I,2,FALSE),"")</x:f>
      </x:c>
      <x:c r="F259" s="26">
        <x:f>_xlfn.IFNA(VLOOKUP(G259,Master!AE:AF,2,FALSE),"")</x:f>
      </x:c>
      <x:c r="I259" s="24">
        <x:f>_xlfn.IFNA(VLOOKUP(D259,Master_Section!$I:$K,2,FALSE),"")</x:f>
      </x:c>
      <x:c r="J259" s="24">
        <x:f>_xlfn.IFNA(VLOOKUP(D259,Master_Section!$I:$K,3,FALSE),"")</x:f>
      </x:c>
      <x:c r="L259" s="94">
        <x:f>IF(A259&lt;&gt;"CFA",_xlfn.IFNA(VLOOKUP($G259,Master!$AE:$AI,5,0),""),"")</x:f>
      </x:c>
      <x:c r="P259" s="26">
        <x:f>IF(N259&lt;&gt;"",IF(MONTH(N259)&gt;=4,"FY1"&amp;RIGHT(YEAR(N259)+1,2),"FY1"&amp;RIGHT(YEAR(N259),2)),"")</x:f>
      </x:c>
      <x:c r="Q259" s="37">
        <x:f>IF(K259&gt;0&amp;M259&gt;0,K259*M259,"")</x:f>
      </x:c>
    </x:row>
    <x:row r="260" spans="1:18" customFormat="1" ht="15" customHeight="1">
      <x:c r="B260" s="37">
        <x:f>_xlfn.IFNA(VLOOKUP(C260,Master_Section!$H:$I,2,FALSE),"")</x:f>
      </x:c>
      <x:c r="D260" s="37">
        <x:f>_xlfn.IFNA(VLOOKUP(E260,Master_Section!$H:$I,2,FALSE),"")</x:f>
      </x:c>
      <x:c r="F260" s="26">
        <x:f>_xlfn.IFNA(VLOOKUP(G260,Master!AE:AF,2,FALSE),"")</x:f>
      </x:c>
      <x:c r="I260" s="24">
        <x:f>_xlfn.IFNA(VLOOKUP(D260,Master_Section!$I:$K,2,FALSE),"")</x:f>
      </x:c>
      <x:c r="J260" s="24">
        <x:f>_xlfn.IFNA(VLOOKUP(D260,Master_Section!$I:$K,3,FALSE),"")</x:f>
      </x:c>
      <x:c r="L260" s="94">
        <x:f>IF(A260&lt;&gt;"CFA",_xlfn.IFNA(VLOOKUP($G260,Master!$AE:$AI,5,0),""),"")</x:f>
      </x:c>
      <x:c r="P260" s="26">
        <x:f>IF(N260&lt;&gt;"",IF(MONTH(N260)&gt;=4,"FY1"&amp;RIGHT(YEAR(N260)+1,2),"FY1"&amp;RIGHT(YEAR(N260),2)),"")</x:f>
      </x:c>
      <x:c r="Q260" s="37">
        <x:f>IF(K260&gt;0&amp;M260&gt;0,K260*M260,"")</x:f>
      </x:c>
    </x:row>
    <x:row r="261" spans="1:18" customFormat="1" ht="15" customHeight="1">
      <x:c r="B261" s="37">
        <x:f>_xlfn.IFNA(VLOOKUP(C261,Master_Section!$H:$I,2,FALSE),"")</x:f>
      </x:c>
      <x:c r="D261" s="37">
        <x:f>_xlfn.IFNA(VLOOKUP(E261,Master_Section!$H:$I,2,FALSE),"")</x:f>
      </x:c>
      <x:c r="F261" s="26">
        <x:f>_xlfn.IFNA(VLOOKUP(G261,Master!AE:AF,2,FALSE),"")</x:f>
      </x:c>
      <x:c r="I261" s="24">
        <x:f>_xlfn.IFNA(VLOOKUP(D261,Master_Section!$I:$K,2,FALSE),"")</x:f>
      </x:c>
      <x:c r="J261" s="24">
        <x:f>_xlfn.IFNA(VLOOKUP(D261,Master_Section!$I:$K,3,FALSE),"")</x:f>
      </x:c>
      <x:c r="L261" s="94">
        <x:f>IF(A261&lt;&gt;"CFA",_xlfn.IFNA(VLOOKUP($G261,Master!$AE:$AI,5,0),""),"")</x:f>
      </x:c>
      <x:c r="P261" s="26">
        <x:f>IF(N261&lt;&gt;"",IF(MONTH(N261)&gt;=4,"FY1"&amp;RIGHT(YEAR(N261)+1,2),"FY1"&amp;RIGHT(YEAR(N261),2)),"")</x:f>
      </x:c>
      <x:c r="Q261" s="37">
        <x:f>IF(K261&gt;0&amp;M261&gt;0,K261*M261,"")</x:f>
      </x:c>
    </x:row>
    <x:row r="262" spans="1:18" customFormat="1" ht="15" customHeight="1">
      <x:c r="B262" s="37">
        <x:f>_xlfn.IFNA(VLOOKUP(C262,Master_Section!$H:$I,2,FALSE),"")</x:f>
      </x:c>
      <x:c r="D262" s="37">
        <x:f>_xlfn.IFNA(VLOOKUP(E262,Master_Section!$H:$I,2,FALSE),"")</x:f>
      </x:c>
      <x:c r="F262" s="26">
        <x:f>_xlfn.IFNA(VLOOKUP(G262,Master!AE:AF,2,FALSE),"")</x:f>
      </x:c>
      <x:c r="I262" s="24">
        <x:f>_xlfn.IFNA(VLOOKUP(D262,Master_Section!$I:$K,2,FALSE),"")</x:f>
      </x:c>
      <x:c r="J262" s="24">
        <x:f>_xlfn.IFNA(VLOOKUP(D262,Master_Section!$I:$K,3,FALSE),"")</x:f>
      </x:c>
      <x:c r="L262" s="94">
        <x:f>IF(A262&lt;&gt;"CFA",_xlfn.IFNA(VLOOKUP($G262,Master!$AE:$AI,5,0),""),"")</x:f>
      </x:c>
      <x:c r="P262" s="26">
        <x:f>IF(N262&lt;&gt;"",IF(MONTH(N262)&gt;=4,"FY1"&amp;RIGHT(YEAR(N262)+1,2),"FY1"&amp;RIGHT(YEAR(N262),2)),"")</x:f>
      </x:c>
      <x:c r="Q262" s="37">
        <x:f>IF(K262&gt;0&amp;M262&gt;0,K262*M262,"")</x:f>
      </x:c>
    </x:row>
    <x:row r="263" spans="1:18" customFormat="1" ht="15" customHeight="1">
      <x:c r="B263" s="37">
        <x:f>_xlfn.IFNA(VLOOKUP(C263,Master_Section!$H:$I,2,FALSE),"")</x:f>
      </x:c>
      <x:c r="D263" s="37">
        <x:f>_xlfn.IFNA(VLOOKUP(E263,Master_Section!$H:$I,2,FALSE),"")</x:f>
      </x:c>
      <x:c r="F263" s="26">
        <x:f>_xlfn.IFNA(VLOOKUP(G263,Master!AE:AF,2,FALSE),"")</x:f>
      </x:c>
      <x:c r="I263" s="24">
        <x:f>_xlfn.IFNA(VLOOKUP(D263,Master_Section!$I:$K,2,FALSE),"")</x:f>
      </x:c>
      <x:c r="J263" s="24">
        <x:f>_xlfn.IFNA(VLOOKUP(D263,Master_Section!$I:$K,3,FALSE),"")</x:f>
      </x:c>
      <x:c r="L263" s="94">
        <x:f>IF(A263&lt;&gt;"CFA",_xlfn.IFNA(VLOOKUP($G263,Master!$AE:$AI,5,0),""),"")</x:f>
      </x:c>
      <x:c r="P263" s="26">
        <x:f>IF(N263&lt;&gt;"",IF(MONTH(N263)&gt;=4,"FY1"&amp;RIGHT(YEAR(N263)+1,2),"FY1"&amp;RIGHT(YEAR(N263),2)),"")</x:f>
      </x:c>
      <x:c r="Q263" s="37">
        <x:f>IF(K263&gt;0&amp;M263&gt;0,K263*M263,"")</x:f>
      </x:c>
    </x:row>
    <x:row r="264" spans="1:18" customFormat="1" ht="15" customHeight="1">
      <x:c r="B264" s="37">
        <x:f>_xlfn.IFNA(VLOOKUP(C264,Master_Section!$H:$I,2,FALSE),"")</x:f>
      </x:c>
      <x:c r="D264" s="37">
        <x:f>_xlfn.IFNA(VLOOKUP(E264,Master_Section!$H:$I,2,FALSE),"")</x:f>
      </x:c>
      <x:c r="F264" s="26">
        <x:f>_xlfn.IFNA(VLOOKUP(G264,Master!AE:AF,2,FALSE),"")</x:f>
      </x:c>
      <x:c r="I264" s="24">
        <x:f>_xlfn.IFNA(VLOOKUP(D264,Master_Section!$I:$K,2,FALSE),"")</x:f>
      </x:c>
      <x:c r="J264" s="24">
        <x:f>_xlfn.IFNA(VLOOKUP(D264,Master_Section!$I:$K,3,FALSE),"")</x:f>
      </x:c>
      <x:c r="L264" s="94">
        <x:f>IF(A264&lt;&gt;"CFA",_xlfn.IFNA(VLOOKUP($G264,Master!$AE:$AI,5,0),""),"")</x:f>
      </x:c>
      <x:c r="P264" s="26">
        <x:f>IF(N264&lt;&gt;"",IF(MONTH(N264)&gt;=4,"FY1"&amp;RIGHT(YEAR(N264)+1,2),"FY1"&amp;RIGHT(YEAR(N264),2)),"")</x:f>
      </x:c>
      <x:c r="Q264" s="37">
        <x:f>IF(K264&gt;0&amp;M264&gt;0,K264*M264,"")</x:f>
      </x:c>
    </x:row>
    <x:row r="265" spans="1:18" customFormat="1" ht="15" customHeight="1">
      <x:c r="B265" s="37">
        <x:f>_xlfn.IFNA(VLOOKUP(C265,Master_Section!$H:$I,2,FALSE),"")</x:f>
      </x:c>
      <x:c r="D265" s="37">
        <x:f>_xlfn.IFNA(VLOOKUP(E265,Master_Section!$H:$I,2,FALSE),"")</x:f>
      </x:c>
      <x:c r="F265" s="26">
        <x:f>_xlfn.IFNA(VLOOKUP(G265,Master!AE:AF,2,FALSE),"")</x:f>
      </x:c>
      <x:c r="I265" s="24">
        <x:f>_xlfn.IFNA(VLOOKUP(D265,Master_Section!$I:$K,2,FALSE),"")</x:f>
      </x:c>
      <x:c r="J265" s="24">
        <x:f>_xlfn.IFNA(VLOOKUP(D265,Master_Section!$I:$K,3,FALSE),"")</x:f>
      </x:c>
      <x:c r="L265" s="94">
        <x:f>IF(A265&lt;&gt;"CFA",_xlfn.IFNA(VLOOKUP($G265,Master!$AE:$AI,5,0),""),"")</x:f>
      </x:c>
      <x:c r="P265" s="26">
        <x:f>IF(N265&lt;&gt;"",IF(MONTH(N265)&gt;=4,"FY1"&amp;RIGHT(YEAR(N265)+1,2),"FY1"&amp;RIGHT(YEAR(N265),2)),"")</x:f>
      </x:c>
      <x:c r="Q265" s="37">
        <x:f>IF(K265&gt;0&amp;M265&gt;0,K265*M265,"")</x:f>
      </x:c>
    </x:row>
    <x:row r="266" spans="1:18" customFormat="1" ht="15" customHeight="1">
      <x:c r="B266" s="37">
        <x:f>_xlfn.IFNA(VLOOKUP(C266,Master_Section!$H:$I,2,FALSE),"")</x:f>
      </x:c>
      <x:c r="D266" s="37">
        <x:f>_xlfn.IFNA(VLOOKUP(E266,Master_Section!$H:$I,2,FALSE),"")</x:f>
      </x:c>
      <x:c r="F266" s="26">
        <x:f>_xlfn.IFNA(VLOOKUP(G266,Master!AE:AF,2,FALSE),"")</x:f>
      </x:c>
      <x:c r="I266" s="24">
        <x:f>_xlfn.IFNA(VLOOKUP(D266,Master_Section!$I:$K,2,FALSE),"")</x:f>
      </x:c>
      <x:c r="J266" s="24">
        <x:f>_xlfn.IFNA(VLOOKUP(D266,Master_Section!$I:$K,3,FALSE),"")</x:f>
      </x:c>
      <x:c r="L266" s="94">
        <x:f>IF(A266&lt;&gt;"CFA",_xlfn.IFNA(VLOOKUP($G266,Master!$AE:$AI,5,0),""),"")</x:f>
      </x:c>
      <x:c r="P266" s="26">
        <x:f>IF(N266&lt;&gt;"",IF(MONTH(N266)&gt;=4,"FY1"&amp;RIGHT(YEAR(N266)+1,2),"FY1"&amp;RIGHT(YEAR(N266),2)),"")</x:f>
      </x:c>
      <x:c r="Q266" s="37">
        <x:f>IF(K266&gt;0&amp;M266&gt;0,K266*M266,"")</x:f>
      </x:c>
    </x:row>
    <x:row r="267" spans="1:18" customFormat="1" ht="15" customHeight="1">
      <x:c r="B267" s="37">
        <x:f>_xlfn.IFNA(VLOOKUP(C267,Master_Section!$H:$I,2,FALSE),"")</x:f>
      </x:c>
      <x:c r="D267" s="37">
        <x:f>_xlfn.IFNA(VLOOKUP(E267,Master_Section!$H:$I,2,FALSE),"")</x:f>
      </x:c>
      <x:c r="F267" s="26">
        <x:f>_xlfn.IFNA(VLOOKUP(G267,Master!AE:AF,2,FALSE),"")</x:f>
      </x:c>
      <x:c r="I267" s="24">
        <x:f>_xlfn.IFNA(VLOOKUP(D267,Master_Section!$I:$K,2,FALSE),"")</x:f>
      </x:c>
      <x:c r="J267" s="24">
        <x:f>_xlfn.IFNA(VLOOKUP(D267,Master_Section!$I:$K,3,FALSE),"")</x:f>
      </x:c>
      <x:c r="L267" s="94">
        <x:f>IF(A267&lt;&gt;"CFA",_xlfn.IFNA(VLOOKUP($G267,Master!$AE:$AI,5,0),""),"")</x:f>
      </x:c>
      <x:c r="P267" s="26">
        <x:f>IF(N267&lt;&gt;"",IF(MONTH(N267)&gt;=4,"FY1"&amp;RIGHT(YEAR(N267)+1,2),"FY1"&amp;RIGHT(YEAR(N267),2)),"")</x:f>
      </x:c>
      <x:c r="Q267" s="37">
        <x:f>IF(K267&gt;0&amp;M267&gt;0,K267*M267,"")</x:f>
      </x:c>
    </x:row>
    <x:row r="268" spans="1:18" customFormat="1" ht="15" customHeight="1">
      <x:c r="B268" s="37">
        <x:f>_xlfn.IFNA(VLOOKUP(C268,Master_Section!$H:$I,2,FALSE),"")</x:f>
      </x:c>
      <x:c r="D268" s="37">
        <x:f>_xlfn.IFNA(VLOOKUP(E268,Master_Section!$H:$I,2,FALSE),"")</x:f>
      </x:c>
      <x:c r="F268" s="26">
        <x:f>_xlfn.IFNA(VLOOKUP(G268,Master!AE:AF,2,FALSE),"")</x:f>
      </x:c>
      <x:c r="I268" s="24">
        <x:f>_xlfn.IFNA(VLOOKUP(D268,Master_Section!$I:$K,2,FALSE),"")</x:f>
      </x:c>
      <x:c r="J268" s="24">
        <x:f>_xlfn.IFNA(VLOOKUP(D268,Master_Section!$I:$K,3,FALSE),"")</x:f>
      </x:c>
      <x:c r="L268" s="94">
        <x:f>IF(A268&lt;&gt;"CFA",_xlfn.IFNA(VLOOKUP($G268,Master!$AE:$AI,5,0),""),"")</x:f>
      </x:c>
      <x:c r="P268" s="26">
        <x:f>IF(N268&lt;&gt;"",IF(MONTH(N268)&gt;=4,"FY1"&amp;RIGHT(YEAR(N268)+1,2),"FY1"&amp;RIGHT(YEAR(N268),2)),"")</x:f>
      </x:c>
      <x:c r="Q268" s="37">
        <x:f>IF(K268&gt;0&amp;M268&gt;0,K268*M268,"")</x:f>
      </x:c>
    </x:row>
    <x:row r="269" spans="1:18" customFormat="1" ht="15" customHeight="1">
      <x:c r="B269" s="37">
        <x:f>_xlfn.IFNA(VLOOKUP(C269,Master_Section!$H:$I,2,FALSE),"")</x:f>
      </x:c>
      <x:c r="D269" s="37">
        <x:f>_xlfn.IFNA(VLOOKUP(E269,Master_Section!$H:$I,2,FALSE),"")</x:f>
      </x:c>
      <x:c r="F269" s="26">
        <x:f>_xlfn.IFNA(VLOOKUP(G269,Master!AE:AF,2,FALSE),"")</x:f>
      </x:c>
      <x:c r="I269" s="24">
        <x:f>_xlfn.IFNA(VLOOKUP(D269,Master_Section!$I:$K,2,FALSE),"")</x:f>
      </x:c>
      <x:c r="J269" s="24">
        <x:f>_xlfn.IFNA(VLOOKUP(D269,Master_Section!$I:$K,3,FALSE),"")</x:f>
      </x:c>
      <x:c r="L269" s="94">
        <x:f>IF(A269&lt;&gt;"CFA",_xlfn.IFNA(VLOOKUP($G269,Master!$AE:$AI,5,0),""),"")</x:f>
      </x:c>
      <x:c r="P269" s="26">
        <x:f>IF(N269&lt;&gt;"",IF(MONTH(N269)&gt;=4,"FY1"&amp;RIGHT(YEAR(N269)+1,2),"FY1"&amp;RIGHT(YEAR(N269),2)),"")</x:f>
      </x:c>
      <x:c r="Q269" s="37">
        <x:f>IF(K269&gt;0&amp;M269&gt;0,K269*M269,"")</x:f>
      </x:c>
    </x:row>
    <x:row r="270" spans="1:18" customFormat="1" ht="15" customHeight="1">
      <x:c r="B270" s="37">
        <x:f>_xlfn.IFNA(VLOOKUP(C270,Master_Section!$H:$I,2,FALSE),"")</x:f>
      </x:c>
      <x:c r="D270" s="37">
        <x:f>_xlfn.IFNA(VLOOKUP(E270,Master_Section!$H:$I,2,FALSE),"")</x:f>
      </x:c>
      <x:c r="F270" s="26">
        <x:f>_xlfn.IFNA(VLOOKUP(G270,Master!AE:AF,2,FALSE),"")</x:f>
      </x:c>
      <x:c r="I270" s="24">
        <x:f>_xlfn.IFNA(VLOOKUP(D270,Master_Section!$I:$K,2,FALSE),"")</x:f>
      </x:c>
      <x:c r="J270" s="24">
        <x:f>_xlfn.IFNA(VLOOKUP(D270,Master_Section!$I:$K,3,FALSE),"")</x:f>
      </x:c>
      <x:c r="L270" s="94">
        <x:f>IF(A270&lt;&gt;"CFA",_xlfn.IFNA(VLOOKUP($G270,Master!$AE:$AI,5,0),""),"")</x:f>
      </x:c>
      <x:c r="P270" s="26">
        <x:f>IF(N270&lt;&gt;"",IF(MONTH(N270)&gt;=4,"FY1"&amp;RIGHT(YEAR(N270)+1,2),"FY1"&amp;RIGHT(YEAR(N270),2)),"")</x:f>
      </x:c>
      <x:c r="Q270" s="37">
        <x:f>IF(K270&gt;0&amp;M270&gt;0,K270*M270,"")</x:f>
      </x:c>
    </x:row>
    <x:row r="271" spans="1:18" customFormat="1" ht="15" customHeight="1">
      <x:c r="B271" s="37">
        <x:f>_xlfn.IFNA(VLOOKUP(C271,Master_Section!$H:$I,2,FALSE),"")</x:f>
      </x:c>
      <x:c r="D271" s="37">
        <x:f>_xlfn.IFNA(VLOOKUP(E271,Master_Section!$H:$I,2,FALSE),"")</x:f>
      </x:c>
      <x:c r="F271" s="26">
        <x:f>_xlfn.IFNA(VLOOKUP(G271,Master!AE:AF,2,FALSE),"")</x:f>
      </x:c>
      <x:c r="I271" s="24">
        <x:f>_xlfn.IFNA(VLOOKUP(D271,Master_Section!$I:$K,2,FALSE),"")</x:f>
      </x:c>
      <x:c r="J271" s="24">
        <x:f>_xlfn.IFNA(VLOOKUP(D271,Master_Section!$I:$K,3,FALSE),"")</x:f>
      </x:c>
      <x:c r="L271" s="94">
        <x:f>IF(A271&lt;&gt;"CFA",_xlfn.IFNA(VLOOKUP($G271,Master!$AE:$AI,5,0),""),"")</x:f>
      </x:c>
      <x:c r="P271" s="26">
        <x:f>IF(N271&lt;&gt;"",IF(MONTH(N271)&gt;=4,"FY1"&amp;RIGHT(YEAR(N271)+1,2),"FY1"&amp;RIGHT(YEAR(N271),2)),"")</x:f>
      </x:c>
      <x:c r="Q271" s="37">
        <x:f>IF(K271&gt;0&amp;M271&gt;0,K271*M271,"")</x:f>
      </x:c>
    </x:row>
    <x:row r="272" spans="1:18" customFormat="1" ht="15" customHeight="1">
      <x:c r="B272" s="37">
        <x:f>_xlfn.IFNA(VLOOKUP(C272,Master_Section!$H:$I,2,FALSE),"")</x:f>
      </x:c>
      <x:c r="D272" s="37">
        <x:f>_xlfn.IFNA(VLOOKUP(E272,Master_Section!$H:$I,2,FALSE),"")</x:f>
      </x:c>
      <x:c r="F272" s="26">
        <x:f>_xlfn.IFNA(VLOOKUP(G272,Master!AE:AF,2,FALSE),"")</x:f>
      </x:c>
      <x:c r="I272" s="24">
        <x:f>_xlfn.IFNA(VLOOKUP(D272,Master_Section!$I:$K,2,FALSE),"")</x:f>
      </x:c>
      <x:c r="J272" s="24">
        <x:f>_xlfn.IFNA(VLOOKUP(D272,Master_Section!$I:$K,3,FALSE),"")</x:f>
      </x:c>
      <x:c r="L272" s="94">
        <x:f>IF(A272&lt;&gt;"CFA",_xlfn.IFNA(VLOOKUP($G272,Master!$AE:$AI,5,0),""),"")</x:f>
      </x:c>
      <x:c r="P272" s="26">
        <x:f>IF(N272&lt;&gt;"",IF(MONTH(N272)&gt;=4,"FY1"&amp;RIGHT(YEAR(N272)+1,2),"FY1"&amp;RIGHT(YEAR(N272),2)),"")</x:f>
      </x:c>
      <x:c r="Q272" s="37">
        <x:f>IF(K272&gt;0&amp;M272&gt;0,K272*M272,"")</x:f>
      </x:c>
    </x:row>
    <x:row r="273" spans="1:18" customFormat="1" ht="15" customHeight="1">
      <x:c r="B273" s="37">
        <x:f>_xlfn.IFNA(VLOOKUP(C273,Master_Section!$H:$I,2,FALSE),"")</x:f>
      </x:c>
      <x:c r="D273" s="37">
        <x:f>_xlfn.IFNA(VLOOKUP(E273,Master_Section!$H:$I,2,FALSE),"")</x:f>
      </x:c>
      <x:c r="F273" s="26">
        <x:f>_xlfn.IFNA(VLOOKUP(G273,Master!AE:AF,2,FALSE),"")</x:f>
      </x:c>
      <x:c r="I273" s="24">
        <x:f>_xlfn.IFNA(VLOOKUP(D273,Master_Section!$I:$K,2,FALSE),"")</x:f>
      </x:c>
      <x:c r="J273" s="24">
        <x:f>_xlfn.IFNA(VLOOKUP(D273,Master_Section!$I:$K,3,FALSE),"")</x:f>
      </x:c>
      <x:c r="L273" s="94">
        <x:f>IF(A273&lt;&gt;"CFA",_xlfn.IFNA(VLOOKUP($G273,Master!$AE:$AI,5,0),""),"")</x:f>
      </x:c>
      <x:c r="P273" s="26">
        <x:f>IF(N273&lt;&gt;"",IF(MONTH(N273)&gt;=4,"FY1"&amp;RIGHT(YEAR(N273)+1,2),"FY1"&amp;RIGHT(YEAR(N273),2)),"")</x:f>
      </x:c>
      <x:c r="Q273" s="37">
        <x:f>IF(K273&gt;0&amp;M273&gt;0,K273*M273,"")</x:f>
      </x:c>
    </x:row>
    <x:row r="274" spans="1:18" customFormat="1" ht="15" customHeight="1">
      <x:c r="B274" s="37">
        <x:f>_xlfn.IFNA(VLOOKUP(C274,Master_Section!$H:$I,2,FALSE),"")</x:f>
      </x:c>
      <x:c r="D274" s="37">
        <x:f>_xlfn.IFNA(VLOOKUP(E274,Master_Section!$H:$I,2,FALSE),"")</x:f>
      </x:c>
      <x:c r="F274" s="26">
        <x:f>_xlfn.IFNA(VLOOKUP(G274,Master!AE:AF,2,FALSE),"")</x:f>
      </x:c>
      <x:c r="I274" s="24">
        <x:f>_xlfn.IFNA(VLOOKUP(D274,Master_Section!$I:$K,2,FALSE),"")</x:f>
      </x:c>
      <x:c r="J274" s="24">
        <x:f>_xlfn.IFNA(VLOOKUP(D274,Master_Section!$I:$K,3,FALSE),"")</x:f>
      </x:c>
      <x:c r="L274" s="94">
        <x:f>IF(A274&lt;&gt;"CFA",_xlfn.IFNA(VLOOKUP($G274,Master!$AE:$AI,5,0),""),"")</x:f>
      </x:c>
      <x:c r="P274" s="26">
        <x:f>IF(N274&lt;&gt;"",IF(MONTH(N274)&gt;=4,"FY1"&amp;RIGHT(YEAR(N274)+1,2),"FY1"&amp;RIGHT(YEAR(N274),2)),"")</x:f>
      </x:c>
      <x:c r="Q274" s="37">
        <x:f>IF(K274&gt;0&amp;M274&gt;0,K274*M274,"")</x:f>
      </x:c>
    </x:row>
    <x:row r="275" spans="1:18" customFormat="1" ht="15" customHeight="1">
      <x:c r="B275" s="37">
        <x:f>_xlfn.IFNA(VLOOKUP(C275,Master_Section!$H:$I,2,FALSE),"")</x:f>
      </x:c>
      <x:c r="D275" s="37">
        <x:f>_xlfn.IFNA(VLOOKUP(E275,Master_Section!$H:$I,2,FALSE),"")</x:f>
      </x:c>
      <x:c r="F275" s="26">
        <x:f>_xlfn.IFNA(VLOOKUP(G275,Master!AE:AF,2,FALSE),"")</x:f>
      </x:c>
      <x:c r="I275" s="24">
        <x:f>_xlfn.IFNA(VLOOKUP(D275,Master_Section!$I:$K,2,FALSE),"")</x:f>
      </x:c>
      <x:c r="J275" s="24">
        <x:f>_xlfn.IFNA(VLOOKUP(D275,Master_Section!$I:$K,3,FALSE),"")</x:f>
      </x:c>
      <x:c r="L275" s="94">
        <x:f>IF(A275&lt;&gt;"CFA",_xlfn.IFNA(VLOOKUP($G275,Master!$AE:$AI,5,0),""),"")</x:f>
      </x:c>
      <x:c r="P275" s="26">
        <x:f>IF(N275&lt;&gt;"",IF(MONTH(N275)&gt;=4,"FY1"&amp;RIGHT(YEAR(N275)+1,2),"FY1"&amp;RIGHT(YEAR(N275),2)),"")</x:f>
      </x:c>
      <x:c r="Q275" s="37">
        <x:f>IF(K275&gt;0&amp;M275&gt;0,K275*M275,"")</x:f>
      </x:c>
    </x:row>
    <x:row r="276" spans="1:18" customFormat="1" ht="15" customHeight="1">
      <x:c r="B276" s="37">
        <x:f>_xlfn.IFNA(VLOOKUP(C276,Master_Section!$H:$I,2,FALSE),"")</x:f>
      </x:c>
      <x:c r="D276" s="37">
        <x:f>_xlfn.IFNA(VLOOKUP(E276,Master_Section!$H:$I,2,FALSE),"")</x:f>
      </x:c>
      <x:c r="F276" s="26">
        <x:f>_xlfn.IFNA(VLOOKUP(G276,Master!AE:AF,2,FALSE),"")</x:f>
      </x:c>
      <x:c r="I276" s="24">
        <x:f>_xlfn.IFNA(VLOOKUP(D276,Master_Section!$I:$K,2,FALSE),"")</x:f>
      </x:c>
      <x:c r="J276" s="24">
        <x:f>_xlfn.IFNA(VLOOKUP(D276,Master_Section!$I:$K,3,FALSE),"")</x:f>
      </x:c>
      <x:c r="L276" s="94">
        <x:f>IF(A276&lt;&gt;"CFA",_xlfn.IFNA(VLOOKUP($G276,Master!$AE:$AI,5,0),""),"")</x:f>
      </x:c>
      <x:c r="P276" s="26">
        <x:f>IF(N276&lt;&gt;"",IF(MONTH(N276)&gt;=4,"FY1"&amp;RIGHT(YEAR(N276)+1,2),"FY1"&amp;RIGHT(YEAR(N276),2)),"")</x:f>
      </x:c>
      <x:c r="Q276" s="37">
        <x:f>IF(K276&gt;0&amp;M276&gt;0,K276*M276,"")</x:f>
      </x:c>
    </x:row>
    <x:row r="277" spans="1:18" customFormat="1" ht="15" customHeight="1">
      <x:c r="B277" s="37">
        <x:f>_xlfn.IFNA(VLOOKUP(C277,Master_Section!$H:$I,2,FALSE),"")</x:f>
      </x:c>
      <x:c r="D277" s="37">
        <x:f>_xlfn.IFNA(VLOOKUP(E277,Master_Section!$H:$I,2,FALSE),"")</x:f>
      </x:c>
      <x:c r="F277" s="26">
        <x:f>_xlfn.IFNA(VLOOKUP(G277,Master!AE:AF,2,FALSE),"")</x:f>
      </x:c>
      <x:c r="I277" s="24">
        <x:f>_xlfn.IFNA(VLOOKUP(D277,Master_Section!$I:$K,2,FALSE),"")</x:f>
      </x:c>
      <x:c r="J277" s="24">
        <x:f>_xlfn.IFNA(VLOOKUP(D277,Master_Section!$I:$K,3,FALSE),"")</x:f>
      </x:c>
      <x:c r="L277" s="94">
        <x:f>IF(A277&lt;&gt;"CFA",_xlfn.IFNA(VLOOKUP($G277,Master!$AE:$AI,5,0),""),"")</x:f>
      </x:c>
      <x:c r="P277" s="26">
        <x:f>IF(N277&lt;&gt;"",IF(MONTH(N277)&gt;=4,"FY1"&amp;RIGHT(YEAR(N277)+1,2),"FY1"&amp;RIGHT(YEAR(N277),2)),"")</x:f>
      </x:c>
      <x:c r="Q277" s="37">
        <x:f>IF(K277&gt;0&amp;M277&gt;0,K277*M277,"")</x:f>
      </x:c>
    </x:row>
    <x:row r="278" spans="1:18" customFormat="1" ht="15" customHeight="1">
      <x:c r="B278" s="37">
        <x:f>_xlfn.IFNA(VLOOKUP(C278,Master_Section!$H:$I,2,FALSE),"")</x:f>
      </x:c>
      <x:c r="D278" s="37">
        <x:f>_xlfn.IFNA(VLOOKUP(E278,Master_Section!$H:$I,2,FALSE),"")</x:f>
      </x:c>
      <x:c r="F278" s="26">
        <x:f>_xlfn.IFNA(VLOOKUP(G278,Master!AE:AF,2,FALSE),"")</x:f>
      </x:c>
      <x:c r="I278" s="24">
        <x:f>_xlfn.IFNA(VLOOKUP(D278,Master_Section!$I:$K,2,FALSE),"")</x:f>
      </x:c>
      <x:c r="J278" s="24">
        <x:f>_xlfn.IFNA(VLOOKUP(D278,Master_Section!$I:$K,3,FALSE),"")</x:f>
      </x:c>
      <x:c r="L278" s="94">
        <x:f>IF(A278&lt;&gt;"CFA",_xlfn.IFNA(VLOOKUP($G278,Master!$AE:$AI,5,0),""),"")</x:f>
      </x:c>
      <x:c r="P278" s="26">
        <x:f>IF(N278&lt;&gt;"",IF(MONTH(N278)&gt;=4,"FY1"&amp;RIGHT(YEAR(N278)+1,2),"FY1"&amp;RIGHT(YEAR(N278),2)),"")</x:f>
      </x:c>
      <x:c r="Q278" s="37">
        <x:f>IF(K278&gt;0&amp;M278&gt;0,K278*M278,"")</x:f>
      </x:c>
    </x:row>
    <x:row r="279" spans="1:18" customFormat="1" ht="15" customHeight="1">
      <x:c r="B279" s="37">
        <x:f>_xlfn.IFNA(VLOOKUP(C279,Master_Section!$H:$I,2,FALSE),"")</x:f>
      </x:c>
      <x:c r="D279" s="37">
        <x:f>_xlfn.IFNA(VLOOKUP(E279,Master_Section!$H:$I,2,FALSE),"")</x:f>
      </x:c>
      <x:c r="F279" s="26">
        <x:f>_xlfn.IFNA(VLOOKUP(G279,Master!AE:AF,2,FALSE),"")</x:f>
      </x:c>
      <x:c r="I279" s="24">
        <x:f>_xlfn.IFNA(VLOOKUP(D279,Master_Section!$I:$K,2,FALSE),"")</x:f>
      </x:c>
      <x:c r="J279" s="24">
        <x:f>_xlfn.IFNA(VLOOKUP(D279,Master_Section!$I:$K,3,FALSE),"")</x:f>
      </x:c>
      <x:c r="L279" s="94">
        <x:f>IF(A279&lt;&gt;"CFA",_xlfn.IFNA(VLOOKUP($G279,Master!$AE:$AI,5,0),""),"")</x:f>
      </x:c>
      <x:c r="P279" s="26">
        <x:f>IF(N279&lt;&gt;"",IF(MONTH(N279)&gt;=4,"FY1"&amp;RIGHT(YEAR(N279)+1,2),"FY1"&amp;RIGHT(YEAR(N279),2)),"")</x:f>
      </x:c>
      <x:c r="Q279" s="37">
        <x:f>IF(K279&gt;0&amp;M279&gt;0,K279*M279,"")</x:f>
      </x:c>
    </x:row>
    <x:row r="280" spans="1:18" customFormat="1" ht="15" customHeight="1">
      <x:c r="B280" s="37">
        <x:f>_xlfn.IFNA(VLOOKUP(C280,Master_Section!$H:$I,2,FALSE),"")</x:f>
      </x:c>
      <x:c r="D280" s="37">
        <x:f>_xlfn.IFNA(VLOOKUP(E280,Master_Section!$H:$I,2,FALSE),"")</x:f>
      </x:c>
      <x:c r="F280" s="26">
        <x:f>_xlfn.IFNA(VLOOKUP(G280,Master!AE:AF,2,FALSE),"")</x:f>
      </x:c>
      <x:c r="I280" s="24">
        <x:f>_xlfn.IFNA(VLOOKUP(D280,Master_Section!$I:$K,2,FALSE),"")</x:f>
      </x:c>
      <x:c r="J280" s="24">
        <x:f>_xlfn.IFNA(VLOOKUP(D280,Master_Section!$I:$K,3,FALSE),"")</x:f>
      </x:c>
      <x:c r="L280" s="94">
        <x:f>IF(A280&lt;&gt;"CFA",_xlfn.IFNA(VLOOKUP($G280,Master!$AE:$AI,5,0),""),"")</x:f>
      </x:c>
      <x:c r="P280" s="26">
        <x:f>IF(N280&lt;&gt;"",IF(MONTH(N280)&gt;=4,"FY1"&amp;RIGHT(YEAR(N280)+1,2),"FY1"&amp;RIGHT(YEAR(N280),2)),"")</x:f>
      </x:c>
      <x:c r="Q280" s="37">
        <x:f>IF(K280&gt;0&amp;M280&gt;0,K280*M280,"")</x:f>
      </x:c>
    </x:row>
    <x:row r="281" spans="1:18" customFormat="1" ht="15" customHeight="1">
      <x:c r="B281" s="37">
        <x:f>_xlfn.IFNA(VLOOKUP(C281,Master_Section!$H:$I,2,FALSE),"")</x:f>
      </x:c>
      <x:c r="D281" s="37">
        <x:f>_xlfn.IFNA(VLOOKUP(E281,Master_Section!$H:$I,2,FALSE),"")</x:f>
      </x:c>
      <x:c r="F281" s="26">
        <x:f>_xlfn.IFNA(VLOOKUP(G281,Master!AE:AF,2,FALSE),"")</x:f>
      </x:c>
      <x:c r="I281" s="24">
        <x:f>_xlfn.IFNA(VLOOKUP(D281,Master_Section!$I:$K,2,FALSE),"")</x:f>
      </x:c>
      <x:c r="J281" s="24">
        <x:f>_xlfn.IFNA(VLOOKUP(D281,Master_Section!$I:$K,3,FALSE),"")</x:f>
      </x:c>
      <x:c r="L281" s="94">
        <x:f>IF(A281&lt;&gt;"CFA",_xlfn.IFNA(VLOOKUP($G281,Master!$AE:$AI,5,0),""),"")</x:f>
      </x:c>
      <x:c r="P281" s="26">
        <x:f>IF(N281&lt;&gt;"",IF(MONTH(N281)&gt;=4,"FY1"&amp;RIGHT(YEAR(N281)+1,2),"FY1"&amp;RIGHT(YEAR(N281),2)),"")</x:f>
      </x:c>
      <x:c r="Q281" s="37">
        <x:f>IF(K281&gt;0&amp;M281&gt;0,K281*M281,"")</x:f>
      </x:c>
    </x:row>
    <x:row r="282" spans="1:18" customFormat="1" ht="15" customHeight="1">
      <x:c r="B282" s="37">
        <x:f>_xlfn.IFNA(VLOOKUP(C282,Master_Section!$H:$I,2,FALSE),"")</x:f>
      </x:c>
      <x:c r="D282" s="37">
        <x:f>_xlfn.IFNA(VLOOKUP(E282,Master_Section!$H:$I,2,FALSE),"")</x:f>
      </x:c>
      <x:c r="F282" s="26">
        <x:f>_xlfn.IFNA(VLOOKUP(G282,Master!AE:AF,2,FALSE),"")</x:f>
      </x:c>
      <x:c r="I282" s="24">
        <x:f>_xlfn.IFNA(VLOOKUP(D282,Master_Section!$I:$K,2,FALSE),"")</x:f>
      </x:c>
      <x:c r="J282" s="24">
        <x:f>_xlfn.IFNA(VLOOKUP(D282,Master_Section!$I:$K,3,FALSE),"")</x:f>
      </x:c>
      <x:c r="L282" s="94">
        <x:f>IF(A282&lt;&gt;"CFA",_xlfn.IFNA(VLOOKUP($G282,Master!$AE:$AI,5,0),""),"")</x:f>
      </x:c>
      <x:c r="P282" s="26">
        <x:f>IF(N282&lt;&gt;"",IF(MONTH(N282)&gt;=4,"FY1"&amp;RIGHT(YEAR(N282)+1,2),"FY1"&amp;RIGHT(YEAR(N282),2)),"")</x:f>
      </x:c>
      <x:c r="Q282" s="37">
        <x:f>IF(K282&gt;0&amp;M282&gt;0,K282*M282,"")</x:f>
      </x:c>
    </x:row>
    <x:row r="283" spans="1:18" customFormat="1" ht="15" customHeight="1">
      <x:c r="B283" s="37">
        <x:f>_xlfn.IFNA(VLOOKUP(C283,Master_Section!$H:$I,2,FALSE),"")</x:f>
      </x:c>
      <x:c r="D283" s="37">
        <x:f>_xlfn.IFNA(VLOOKUP(E283,Master_Section!$H:$I,2,FALSE),"")</x:f>
      </x:c>
      <x:c r="F283" s="26">
        <x:f>_xlfn.IFNA(VLOOKUP(G283,Master!AE:AF,2,FALSE),"")</x:f>
      </x:c>
      <x:c r="I283" s="24">
        <x:f>_xlfn.IFNA(VLOOKUP(D283,Master_Section!$I:$K,2,FALSE),"")</x:f>
      </x:c>
      <x:c r="J283" s="24">
        <x:f>_xlfn.IFNA(VLOOKUP(D283,Master_Section!$I:$K,3,FALSE),"")</x:f>
      </x:c>
      <x:c r="L283" s="94">
        <x:f>IF(A283&lt;&gt;"CFA",_xlfn.IFNA(VLOOKUP($G283,Master!$AE:$AI,5,0),""),"")</x:f>
      </x:c>
      <x:c r="P283" s="26">
        <x:f>IF(N283&lt;&gt;"",IF(MONTH(N283)&gt;=4,"FY1"&amp;RIGHT(YEAR(N283)+1,2),"FY1"&amp;RIGHT(YEAR(N283),2)),"")</x:f>
      </x:c>
      <x:c r="Q283" s="37">
        <x:f>IF(K283&gt;0&amp;M283&gt;0,K283*M283,"")</x:f>
      </x:c>
    </x:row>
    <x:row r="284" spans="1:18" customFormat="1" ht="15" customHeight="1">
      <x:c r="B284" s="37">
        <x:f>_xlfn.IFNA(VLOOKUP(C284,Master_Section!$H:$I,2,FALSE),"")</x:f>
      </x:c>
      <x:c r="D284" s="37">
        <x:f>_xlfn.IFNA(VLOOKUP(E284,Master_Section!$H:$I,2,FALSE),"")</x:f>
      </x:c>
      <x:c r="F284" s="26">
        <x:f>_xlfn.IFNA(VLOOKUP(G284,Master!AE:AF,2,FALSE),"")</x:f>
      </x:c>
      <x:c r="I284" s="24">
        <x:f>_xlfn.IFNA(VLOOKUP(D284,Master_Section!$I:$K,2,FALSE),"")</x:f>
      </x:c>
      <x:c r="J284" s="24">
        <x:f>_xlfn.IFNA(VLOOKUP(D284,Master_Section!$I:$K,3,FALSE),"")</x:f>
      </x:c>
      <x:c r="L284" s="94">
        <x:f>IF(A284&lt;&gt;"CFA",_xlfn.IFNA(VLOOKUP($G284,Master!$AE:$AI,5,0),""),"")</x:f>
      </x:c>
      <x:c r="P284" s="26">
        <x:f>IF(N284&lt;&gt;"",IF(MONTH(N284)&gt;=4,"FY1"&amp;RIGHT(YEAR(N284)+1,2),"FY1"&amp;RIGHT(YEAR(N284),2)),"")</x:f>
      </x:c>
      <x:c r="Q284" s="37">
        <x:f>IF(K284&gt;0&amp;M284&gt;0,K284*M284,"")</x:f>
      </x:c>
    </x:row>
    <x:row r="285" spans="1:18" customFormat="1" ht="15" customHeight="1">
      <x:c r="B285" s="37">
        <x:f>_xlfn.IFNA(VLOOKUP(C285,Master_Section!$H:$I,2,FALSE),"")</x:f>
      </x:c>
      <x:c r="D285" s="37">
        <x:f>_xlfn.IFNA(VLOOKUP(E285,Master_Section!$H:$I,2,FALSE),"")</x:f>
      </x:c>
      <x:c r="F285" s="26">
        <x:f>_xlfn.IFNA(VLOOKUP(G285,Master!AE:AF,2,FALSE),"")</x:f>
      </x:c>
      <x:c r="I285" s="24">
        <x:f>_xlfn.IFNA(VLOOKUP(D285,Master_Section!$I:$K,2,FALSE),"")</x:f>
      </x:c>
      <x:c r="J285" s="24">
        <x:f>_xlfn.IFNA(VLOOKUP(D285,Master_Section!$I:$K,3,FALSE),"")</x:f>
      </x:c>
      <x:c r="L285" s="94">
        <x:f>IF(A285&lt;&gt;"CFA",_xlfn.IFNA(VLOOKUP($G285,Master!$AE:$AI,5,0),""),"")</x:f>
      </x:c>
      <x:c r="P285" s="26">
        <x:f>IF(N285&lt;&gt;"",IF(MONTH(N285)&gt;=4,"FY1"&amp;RIGHT(YEAR(N285)+1,2),"FY1"&amp;RIGHT(YEAR(N285),2)),"")</x:f>
      </x:c>
      <x:c r="Q285" s="37">
        <x:f>IF(K285&gt;0&amp;M285&gt;0,K285*M285,"")</x:f>
      </x:c>
    </x:row>
    <x:row r="286" spans="1:18" customFormat="1" ht="15" customHeight="1">
      <x:c r="B286" s="37">
        <x:f>_xlfn.IFNA(VLOOKUP(C286,Master_Section!$H:$I,2,FALSE),"")</x:f>
      </x:c>
      <x:c r="D286" s="37">
        <x:f>_xlfn.IFNA(VLOOKUP(E286,Master_Section!$H:$I,2,FALSE),"")</x:f>
      </x:c>
      <x:c r="F286" s="26">
        <x:f>_xlfn.IFNA(VLOOKUP(G286,Master!AE:AF,2,FALSE),"")</x:f>
      </x:c>
      <x:c r="I286" s="24">
        <x:f>_xlfn.IFNA(VLOOKUP(D286,Master_Section!$I:$K,2,FALSE),"")</x:f>
      </x:c>
      <x:c r="J286" s="24">
        <x:f>_xlfn.IFNA(VLOOKUP(D286,Master_Section!$I:$K,3,FALSE),"")</x:f>
      </x:c>
      <x:c r="L286" s="94">
        <x:f>IF(A286&lt;&gt;"CFA",_xlfn.IFNA(VLOOKUP($G286,Master!$AE:$AI,5,0),""),"")</x:f>
      </x:c>
      <x:c r="P286" s="26">
        <x:f>IF(N286&lt;&gt;"",IF(MONTH(N286)&gt;=4,"FY1"&amp;RIGHT(YEAR(N286)+1,2),"FY1"&amp;RIGHT(YEAR(N286),2)),"")</x:f>
      </x:c>
      <x:c r="Q286" s="37">
        <x:f>IF(K286&gt;0&amp;M286&gt;0,K286*M286,"")</x:f>
      </x:c>
    </x:row>
    <x:row r="287" spans="1:18" customFormat="1" ht="15" customHeight="1">
      <x:c r="B287" s="37">
        <x:f>_xlfn.IFNA(VLOOKUP(C287,Master_Section!$H:$I,2,FALSE),"")</x:f>
      </x:c>
      <x:c r="D287" s="37">
        <x:f>_xlfn.IFNA(VLOOKUP(E287,Master_Section!$H:$I,2,FALSE),"")</x:f>
      </x:c>
      <x:c r="F287" s="26">
        <x:f>_xlfn.IFNA(VLOOKUP(G287,Master!AE:AF,2,FALSE),"")</x:f>
      </x:c>
      <x:c r="I287" s="24">
        <x:f>_xlfn.IFNA(VLOOKUP(D287,Master_Section!$I:$K,2,FALSE),"")</x:f>
      </x:c>
      <x:c r="J287" s="24">
        <x:f>_xlfn.IFNA(VLOOKUP(D287,Master_Section!$I:$K,3,FALSE),"")</x:f>
      </x:c>
      <x:c r="L287" s="94">
        <x:f>IF(A287&lt;&gt;"CFA",_xlfn.IFNA(VLOOKUP($G287,Master!$AE:$AI,5,0),""),"")</x:f>
      </x:c>
      <x:c r="P287" s="26">
        <x:f>IF(N287&lt;&gt;"",IF(MONTH(N287)&gt;=4,"FY1"&amp;RIGHT(YEAR(N287)+1,2),"FY1"&amp;RIGHT(YEAR(N287),2)),"")</x:f>
      </x:c>
      <x:c r="Q287" s="37">
        <x:f>IF(K287&gt;0&amp;M287&gt;0,K287*M287,"")</x:f>
      </x:c>
    </x:row>
    <x:row r="288" spans="1:18" customFormat="1" ht="15" customHeight="1">
      <x:c r="B288" s="37">
        <x:f>_xlfn.IFNA(VLOOKUP(C288,Master_Section!$H:$I,2,FALSE),"")</x:f>
      </x:c>
      <x:c r="D288" s="37">
        <x:f>_xlfn.IFNA(VLOOKUP(E288,Master_Section!$H:$I,2,FALSE),"")</x:f>
      </x:c>
      <x:c r="F288" s="26">
        <x:f>_xlfn.IFNA(VLOOKUP(G288,Master!AE:AF,2,FALSE),"")</x:f>
      </x:c>
      <x:c r="I288" s="24">
        <x:f>_xlfn.IFNA(VLOOKUP(D288,Master_Section!$I:$K,2,FALSE),"")</x:f>
      </x:c>
      <x:c r="J288" s="24">
        <x:f>_xlfn.IFNA(VLOOKUP(D288,Master_Section!$I:$K,3,FALSE),"")</x:f>
      </x:c>
      <x:c r="L288" s="94">
        <x:f>IF(A288&lt;&gt;"CFA",_xlfn.IFNA(VLOOKUP($G288,Master!$AE:$AI,5,0),""),"")</x:f>
      </x:c>
      <x:c r="P288" s="26">
        <x:f>IF(N288&lt;&gt;"",IF(MONTH(N288)&gt;=4,"FY1"&amp;RIGHT(YEAR(N288)+1,2),"FY1"&amp;RIGHT(YEAR(N288),2)),"")</x:f>
      </x:c>
      <x:c r="Q288" s="37">
        <x:f>IF(K288&gt;0&amp;M288&gt;0,K288*M288,"")</x:f>
      </x:c>
    </x:row>
    <x:row r="289" spans="1:18" customFormat="1" ht="15" customHeight="1">
      <x:c r="B289" s="37">
        <x:f>_xlfn.IFNA(VLOOKUP(C289,Master_Section!$H:$I,2,FALSE),"")</x:f>
      </x:c>
      <x:c r="D289" s="37">
        <x:f>_xlfn.IFNA(VLOOKUP(E289,Master_Section!$H:$I,2,FALSE),"")</x:f>
      </x:c>
      <x:c r="F289" s="26">
        <x:f>_xlfn.IFNA(VLOOKUP(G289,Master!AE:AF,2,FALSE),"")</x:f>
      </x:c>
      <x:c r="I289" s="24">
        <x:f>_xlfn.IFNA(VLOOKUP(D289,Master_Section!$I:$K,2,FALSE),"")</x:f>
      </x:c>
      <x:c r="J289" s="24">
        <x:f>_xlfn.IFNA(VLOOKUP(D289,Master_Section!$I:$K,3,FALSE),"")</x:f>
      </x:c>
      <x:c r="L289" s="94">
        <x:f>IF(A289&lt;&gt;"CFA",_xlfn.IFNA(VLOOKUP($G289,Master!$AE:$AI,5,0),""),"")</x:f>
      </x:c>
      <x:c r="P289" s="26">
        <x:f>IF(N289&lt;&gt;"",IF(MONTH(N289)&gt;=4,"FY1"&amp;RIGHT(YEAR(N289)+1,2),"FY1"&amp;RIGHT(YEAR(N289),2)),"")</x:f>
      </x:c>
      <x:c r="Q289" s="37">
        <x:f>IF(K289&gt;0&amp;M289&gt;0,K289*M289,"")</x:f>
      </x:c>
    </x:row>
    <x:row r="290" spans="1:18" customFormat="1" ht="15" customHeight="1">
      <x:c r="B290" s="37">
        <x:f>_xlfn.IFNA(VLOOKUP(C290,Master_Section!$H:$I,2,FALSE),"")</x:f>
      </x:c>
      <x:c r="D290" s="37">
        <x:f>_xlfn.IFNA(VLOOKUP(E290,Master_Section!$H:$I,2,FALSE),"")</x:f>
      </x:c>
      <x:c r="F290" s="26">
        <x:f>_xlfn.IFNA(VLOOKUP(G290,Master!AE:AF,2,FALSE),"")</x:f>
      </x:c>
      <x:c r="I290" s="24">
        <x:f>_xlfn.IFNA(VLOOKUP(D290,Master_Section!$I:$K,2,FALSE),"")</x:f>
      </x:c>
      <x:c r="J290" s="24">
        <x:f>_xlfn.IFNA(VLOOKUP(D290,Master_Section!$I:$K,3,FALSE),"")</x:f>
      </x:c>
      <x:c r="L290" s="94">
        <x:f>IF(A290&lt;&gt;"CFA",_xlfn.IFNA(VLOOKUP($G290,Master!$AE:$AI,5,0),""),"")</x:f>
      </x:c>
      <x:c r="P290" s="26">
        <x:f>IF(N290&lt;&gt;"",IF(MONTH(N290)&gt;=4,"FY1"&amp;RIGHT(YEAR(N290)+1,2),"FY1"&amp;RIGHT(YEAR(N290),2)),"")</x:f>
      </x:c>
      <x:c r="Q290" s="37">
        <x:f>IF(K290&gt;0&amp;M290&gt;0,K290*M290,"")</x:f>
      </x:c>
    </x:row>
    <x:row r="291" spans="1:18" customFormat="1" ht="15" customHeight="1">
      <x:c r="B291" s="37">
        <x:f>_xlfn.IFNA(VLOOKUP(C291,Master_Section!$H:$I,2,FALSE),"")</x:f>
      </x:c>
      <x:c r="D291" s="37">
        <x:f>_xlfn.IFNA(VLOOKUP(E291,Master_Section!$H:$I,2,FALSE),"")</x:f>
      </x:c>
      <x:c r="F291" s="26">
        <x:f>_xlfn.IFNA(VLOOKUP(G291,Master!AE:AF,2,FALSE),"")</x:f>
      </x:c>
      <x:c r="I291" s="24">
        <x:f>_xlfn.IFNA(VLOOKUP(D291,Master_Section!$I:$K,2,FALSE),"")</x:f>
      </x:c>
      <x:c r="J291" s="24">
        <x:f>_xlfn.IFNA(VLOOKUP(D291,Master_Section!$I:$K,3,FALSE),"")</x:f>
      </x:c>
      <x:c r="L291" s="94">
        <x:f>IF(A291&lt;&gt;"CFA",_xlfn.IFNA(VLOOKUP($G291,Master!$AE:$AI,5,0),""),"")</x:f>
      </x:c>
      <x:c r="P291" s="26">
        <x:f>IF(N291&lt;&gt;"",IF(MONTH(N291)&gt;=4,"FY1"&amp;RIGHT(YEAR(N291)+1,2),"FY1"&amp;RIGHT(YEAR(N291),2)),"")</x:f>
      </x:c>
      <x:c r="Q291" s="37">
        <x:f>IF(K291&gt;0&amp;M291&gt;0,K291*M291,"")</x:f>
      </x:c>
    </x:row>
    <x:row r="292" spans="1:18" customFormat="1" ht="15" customHeight="1">
      <x:c r="B292" s="37">
        <x:f>_xlfn.IFNA(VLOOKUP(C292,Master_Section!$H:$I,2,FALSE),"")</x:f>
      </x:c>
      <x:c r="D292" s="37">
        <x:f>_xlfn.IFNA(VLOOKUP(E292,Master_Section!$H:$I,2,FALSE),"")</x:f>
      </x:c>
      <x:c r="F292" s="26">
        <x:f>_xlfn.IFNA(VLOOKUP(G292,Master!AE:AF,2,FALSE),"")</x:f>
      </x:c>
      <x:c r="I292" s="24">
        <x:f>_xlfn.IFNA(VLOOKUP(D292,Master_Section!$I:$K,2,FALSE),"")</x:f>
      </x:c>
      <x:c r="J292" s="24">
        <x:f>_xlfn.IFNA(VLOOKUP(D292,Master_Section!$I:$K,3,FALSE),"")</x:f>
      </x:c>
      <x:c r="L292" s="94">
        <x:f>IF(A292&lt;&gt;"CFA",_xlfn.IFNA(VLOOKUP($G292,Master!$AE:$AI,5,0),""),"")</x:f>
      </x:c>
      <x:c r="P292" s="26">
        <x:f>IF(N292&lt;&gt;"",IF(MONTH(N292)&gt;=4,"FY1"&amp;RIGHT(YEAR(N292)+1,2),"FY1"&amp;RIGHT(YEAR(N292),2)),"")</x:f>
      </x:c>
      <x:c r="Q292" s="37">
        <x:f>IF(K292&gt;0&amp;M292&gt;0,K292*M292,"")</x:f>
      </x:c>
    </x:row>
    <x:row r="293" spans="1:18" customFormat="1" ht="15" customHeight="1">
      <x:c r="B293" s="37">
        <x:f>_xlfn.IFNA(VLOOKUP(C293,Master_Section!$H:$I,2,FALSE),"")</x:f>
      </x:c>
      <x:c r="D293" s="37">
        <x:f>_xlfn.IFNA(VLOOKUP(E293,Master_Section!$H:$I,2,FALSE),"")</x:f>
      </x:c>
      <x:c r="F293" s="26">
        <x:f>_xlfn.IFNA(VLOOKUP(G293,Master!AE:AF,2,FALSE),"")</x:f>
      </x:c>
      <x:c r="I293" s="24">
        <x:f>_xlfn.IFNA(VLOOKUP(D293,Master_Section!$I:$K,2,FALSE),"")</x:f>
      </x:c>
      <x:c r="J293" s="24">
        <x:f>_xlfn.IFNA(VLOOKUP(D293,Master_Section!$I:$K,3,FALSE),"")</x:f>
      </x:c>
      <x:c r="L293" s="94">
        <x:f>IF(A293&lt;&gt;"CFA",_xlfn.IFNA(VLOOKUP($G293,Master!$AE:$AI,5,0),""),"")</x:f>
      </x:c>
      <x:c r="P293" s="26">
        <x:f>IF(N293&lt;&gt;"",IF(MONTH(N293)&gt;=4,"FY1"&amp;RIGHT(YEAR(N293)+1,2),"FY1"&amp;RIGHT(YEAR(N293),2)),"")</x:f>
      </x:c>
      <x:c r="Q293" s="37">
        <x:f>IF(K293&gt;0&amp;M293&gt;0,K293*M293,"")</x:f>
      </x:c>
    </x:row>
    <x:row r="294" spans="1:18" customFormat="1" ht="15" customHeight="1">
      <x:c r="B294" s="37">
        <x:f>_xlfn.IFNA(VLOOKUP(C294,Master_Section!$H:$I,2,FALSE),"")</x:f>
      </x:c>
      <x:c r="D294" s="37">
        <x:f>_xlfn.IFNA(VLOOKUP(E294,Master_Section!$H:$I,2,FALSE),"")</x:f>
      </x:c>
      <x:c r="F294" s="26">
        <x:f>_xlfn.IFNA(VLOOKUP(G294,Master!AE:AF,2,FALSE),"")</x:f>
      </x:c>
      <x:c r="I294" s="24">
        <x:f>_xlfn.IFNA(VLOOKUP(D294,Master_Section!$I:$K,2,FALSE),"")</x:f>
      </x:c>
      <x:c r="J294" s="24">
        <x:f>_xlfn.IFNA(VLOOKUP(D294,Master_Section!$I:$K,3,FALSE),"")</x:f>
      </x:c>
      <x:c r="L294" s="94">
        <x:f>IF(A294&lt;&gt;"CFA",_xlfn.IFNA(VLOOKUP($G294,Master!$AE:$AI,5,0),""),"")</x:f>
      </x:c>
      <x:c r="P294" s="26">
        <x:f>IF(N294&lt;&gt;"",IF(MONTH(N294)&gt;=4,"FY1"&amp;RIGHT(YEAR(N294)+1,2),"FY1"&amp;RIGHT(YEAR(N294),2)),"")</x:f>
      </x:c>
      <x:c r="Q294" s="37">
        <x:f>IF(K294&gt;0&amp;M294&gt;0,K294*M294,"")</x:f>
      </x:c>
    </x:row>
    <x:row r="295" spans="1:18" customFormat="1" ht="15" customHeight="1">
      <x:c r="B295" s="37">
        <x:f>_xlfn.IFNA(VLOOKUP(C295,Master_Section!$H:$I,2,FALSE),"")</x:f>
      </x:c>
      <x:c r="D295" s="37">
        <x:f>_xlfn.IFNA(VLOOKUP(E295,Master_Section!$H:$I,2,FALSE),"")</x:f>
      </x:c>
      <x:c r="F295" s="26">
        <x:f>_xlfn.IFNA(VLOOKUP(G295,Master!AE:AF,2,FALSE),"")</x:f>
      </x:c>
      <x:c r="I295" s="24">
        <x:f>_xlfn.IFNA(VLOOKUP(D295,Master_Section!$I:$K,2,FALSE),"")</x:f>
      </x:c>
      <x:c r="J295" s="24">
        <x:f>_xlfn.IFNA(VLOOKUP(D295,Master_Section!$I:$K,3,FALSE),"")</x:f>
      </x:c>
      <x:c r="L295" s="94">
        <x:f>IF(A295&lt;&gt;"CFA",_xlfn.IFNA(VLOOKUP($G295,Master!$AE:$AI,5,0),""),"")</x:f>
      </x:c>
      <x:c r="P295" s="26">
        <x:f>IF(N295&lt;&gt;"",IF(MONTH(N295)&gt;=4,"FY1"&amp;RIGHT(YEAR(N295)+1,2),"FY1"&amp;RIGHT(YEAR(N295),2)),"")</x:f>
      </x:c>
      <x:c r="Q295" s="37">
        <x:f>IF(K295&gt;0&amp;M295&gt;0,K295*M295,"")</x:f>
      </x:c>
    </x:row>
    <x:row r="296" spans="1:18" customFormat="1" ht="15" customHeight="1">
      <x:c r="B296" s="37">
        <x:f>_xlfn.IFNA(VLOOKUP(C296,Master_Section!$H:$I,2,FALSE),"")</x:f>
      </x:c>
      <x:c r="D296" s="37">
        <x:f>_xlfn.IFNA(VLOOKUP(E296,Master_Section!$H:$I,2,FALSE),"")</x:f>
      </x:c>
      <x:c r="F296" s="26">
        <x:f>_xlfn.IFNA(VLOOKUP(G296,Master!AE:AF,2,FALSE),"")</x:f>
      </x:c>
      <x:c r="I296" s="24">
        <x:f>_xlfn.IFNA(VLOOKUP(D296,Master_Section!$I:$K,2,FALSE),"")</x:f>
      </x:c>
      <x:c r="J296" s="24">
        <x:f>_xlfn.IFNA(VLOOKUP(D296,Master_Section!$I:$K,3,FALSE),"")</x:f>
      </x:c>
      <x:c r="L296" s="94">
        <x:f>IF(A296&lt;&gt;"CFA",_xlfn.IFNA(VLOOKUP($G296,Master!$AE:$AI,5,0),""),"")</x:f>
      </x:c>
      <x:c r="P296" s="26">
        <x:f>IF(N296&lt;&gt;"",IF(MONTH(N296)&gt;=4,"FY1"&amp;RIGHT(YEAR(N296)+1,2),"FY1"&amp;RIGHT(YEAR(N296),2)),"")</x:f>
      </x:c>
      <x:c r="Q296" s="37">
        <x:f>IF(K296&gt;0&amp;M296&gt;0,K296*M296,"")</x:f>
      </x:c>
    </x:row>
    <x:row r="297" spans="1:18" customFormat="1" ht="15" customHeight="1">
      <x:c r="B297" s="37">
        <x:f>_xlfn.IFNA(VLOOKUP(C297,Master_Section!$H:$I,2,FALSE),"")</x:f>
      </x:c>
      <x:c r="D297" s="37">
        <x:f>_xlfn.IFNA(VLOOKUP(E297,Master_Section!$H:$I,2,FALSE),"")</x:f>
      </x:c>
      <x:c r="F297" s="26">
        <x:f>_xlfn.IFNA(VLOOKUP(G297,Master!AE:AF,2,FALSE),"")</x:f>
      </x:c>
      <x:c r="I297" s="24">
        <x:f>_xlfn.IFNA(VLOOKUP(D297,Master_Section!$I:$K,2,FALSE),"")</x:f>
      </x:c>
      <x:c r="J297" s="24">
        <x:f>_xlfn.IFNA(VLOOKUP(D297,Master_Section!$I:$K,3,FALSE),"")</x:f>
      </x:c>
      <x:c r="L297" s="94">
        <x:f>IF(A297&lt;&gt;"CFA",_xlfn.IFNA(VLOOKUP($G297,Master!$AE:$AI,5,0),""),"")</x:f>
      </x:c>
      <x:c r="P297" s="26">
        <x:f>IF(N297&lt;&gt;"",IF(MONTH(N297)&gt;=4,"FY1"&amp;RIGHT(YEAR(N297)+1,2),"FY1"&amp;RIGHT(YEAR(N297),2)),"")</x:f>
      </x:c>
      <x:c r="Q297" s="37">
        <x:f>IF(K297&gt;0&amp;M297&gt;0,K297*M297,"")</x:f>
      </x:c>
    </x:row>
    <x:row r="298" spans="1:18" customFormat="1" ht="15" customHeight="1">
      <x:c r="B298" s="37">
        <x:f>_xlfn.IFNA(VLOOKUP(C298,Master_Section!$H:$I,2,FALSE),"")</x:f>
      </x:c>
      <x:c r="D298" s="37">
        <x:f>_xlfn.IFNA(VLOOKUP(E298,Master_Section!$H:$I,2,FALSE),"")</x:f>
      </x:c>
      <x:c r="F298" s="26">
        <x:f>_xlfn.IFNA(VLOOKUP(G298,Master!AE:AF,2,FALSE),"")</x:f>
      </x:c>
      <x:c r="I298" s="24">
        <x:f>_xlfn.IFNA(VLOOKUP(D298,Master_Section!$I:$K,2,FALSE),"")</x:f>
      </x:c>
      <x:c r="J298" s="24">
        <x:f>_xlfn.IFNA(VLOOKUP(D298,Master_Section!$I:$K,3,FALSE),"")</x:f>
      </x:c>
      <x:c r="L298" s="94">
        <x:f>IF(A298&lt;&gt;"CFA",_xlfn.IFNA(VLOOKUP($G298,Master!$AE:$AI,5,0),""),"")</x:f>
      </x:c>
      <x:c r="P298" s="26">
        <x:f>IF(N298&lt;&gt;"",IF(MONTH(N298)&gt;=4,"FY1"&amp;RIGHT(YEAR(N298)+1,2),"FY1"&amp;RIGHT(YEAR(N298),2)),"")</x:f>
      </x:c>
      <x:c r="Q298" s="37">
        <x:f>IF(K298&gt;0&amp;M298&gt;0,K298*M298,"")</x:f>
      </x:c>
    </x:row>
    <x:row r="299" spans="1:18" customFormat="1" ht="15" customHeight="1">
      <x:c r="B299" s="37">
        <x:f>_xlfn.IFNA(VLOOKUP(C299,Master_Section!$H:$I,2,FALSE),"")</x:f>
      </x:c>
      <x:c r="D299" s="37">
        <x:f>_xlfn.IFNA(VLOOKUP(E299,Master_Section!$H:$I,2,FALSE),"")</x:f>
      </x:c>
      <x:c r="F299" s="26">
        <x:f>_xlfn.IFNA(VLOOKUP(G299,Master!AE:AF,2,FALSE),"")</x:f>
      </x:c>
      <x:c r="I299" s="24">
        <x:f>_xlfn.IFNA(VLOOKUP(D299,Master_Section!$I:$K,2,FALSE),"")</x:f>
      </x:c>
      <x:c r="J299" s="24">
        <x:f>_xlfn.IFNA(VLOOKUP(D299,Master_Section!$I:$K,3,FALSE),"")</x:f>
      </x:c>
      <x:c r="L299" s="94">
        <x:f>IF(A299&lt;&gt;"CFA",_xlfn.IFNA(VLOOKUP($G299,Master!$AE:$AI,5,0),""),"")</x:f>
      </x:c>
      <x:c r="P299" s="26">
        <x:f>IF(N299&lt;&gt;"",IF(MONTH(N299)&gt;=4,"FY1"&amp;RIGHT(YEAR(N299)+1,2),"FY1"&amp;RIGHT(YEAR(N299),2)),"")</x:f>
      </x:c>
      <x:c r="Q299" s="37">
        <x:f>IF(K299&gt;0&amp;M299&gt;0,K299*M299,"")</x:f>
      </x:c>
    </x:row>
    <x:row r="300" spans="1:18" customFormat="1" ht="15" customHeight="1">
      <x:c r="B300" s="37">
        <x:f>_xlfn.IFNA(VLOOKUP(C300,Master_Section!$H:$I,2,FALSE),"")</x:f>
      </x:c>
      <x:c r="D300" s="37">
        <x:f>_xlfn.IFNA(VLOOKUP(E300,Master_Section!$H:$I,2,FALSE),"")</x:f>
      </x:c>
      <x:c r="F300" s="26">
        <x:f>_xlfn.IFNA(VLOOKUP(G300,Master!AE:AF,2,FALSE),"")</x:f>
      </x:c>
      <x:c r="I300" s="24">
        <x:f>_xlfn.IFNA(VLOOKUP(D300,Master_Section!$I:$K,2,FALSE),"")</x:f>
      </x:c>
      <x:c r="J300" s="24">
        <x:f>_xlfn.IFNA(VLOOKUP(D300,Master_Section!$I:$K,3,FALSE),"")</x:f>
      </x:c>
      <x:c r="L300" s="94">
        <x:f>IF(A300&lt;&gt;"CFA",_xlfn.IFNA(VLOOKUP($G300,Master!$AE:$AI,5,0),""),"")</x:f>
      </x:c>
      <x:c r="P300" s="26">
        <x:f>IF(N300&lt;&gt;"",IF(MONTH(N300)&gt;=4,"FY1"&amp;RIGHT(YEAR(N300)+1,2),"FY1"&amp;RIGHT(YEAR(N300),2)),"")</x:f>
      </x:c>
      <x:c r="Q300" s="37">
        <x:f>IF(K300&gt;0&amp;M300&gt;0,K300*M300,"")</x:f>
      </x:c>
    </x:row>
    <x:row r="301" spans="1:18" customFormat="1" ht="15" customHeight="1">
      <x:c r="B301" s="37">
        <x:f>_xlfn.IFNA(VLOOKUP(C301,Master_Section!$H:$I,2,FALSE),"")</x:f>
      </x:c>
      <x:c r="D301" s="37">
        <x:f>_xlfn.IFNA(VLOOKUP(E301,Master_Section!$H:$I,2,FALSE),"")</x:f>
      </x:c>
      <x:c r="F301" s="26">
        <x:f>_xlfn.IFNA(VLOOKUP(G301,Master!AE:AF,2,FALSE),"")</x:f>
      </x:c>
      <x:c r="I301" s="24">
        <x:f>_xlfn.IFNA(VLOOKUP(D301,Master_Section!$I:$K,2,FALSE),"")</x:f>
      </x:c>
      <x:c r="J301" s="24">
        <x:f>_xlfn.IFNA(VLOOKUP(D301,Master_Section!$I:$K,3,FALSE),"")</x:f>
      </x:c>
      <x:c r="L301" s="94">
        <x:f>IF(A301&lt;&gt;"CFA",_xlfn.IFNA(VLOOKUP($G301,Master!$AE:$AI,5,0),""),"")</x:f>
      </x:c>
      <x:c r="P301" s="26">
        <x:f>IF(N301&lt;&gt;"",IF(MONTH(N301)&gt;=4,"FY1"&amp;RIGHT(YEAR(N301)+1,2),"FY1"&amp;RIGHT(YEAR(N301),2)),"")</x:f>
      </x:c>
      <x:c r="Q301" s="37">
        <x:f>IF(K301&gt;0&amp;M301&gt;0,K301*M301,"")</x:f>
      </x:c>
    </x:row>
    <x:row r="302" spans="1:18" customFormat="1" ht="15" customHeight="1">
      <x:c r="B302" s="37">
        <x:f>_xlfn.IFNA(VLOOKUP(C302,Master_Section!$H:$I,2,FALSE),"")</x:f>
      </x:c>
      <x:c r="D302" s="37">
        <x:f>_xlfn.IFNA(VLOOKUP(E302,Master_Section!$H:$I,2,FALSE),"")</x:f>
      </x:c>
      <x:c r="F302" s="26">
        <x:f>_xlfn.IFNA(VLOOKUP(G302,Master!AE:AF,2,FALSE),"")</x:f>
      </x:c>
      <x:c r="I302" s="24">
        <x:f>_xlfn.IFNA(VLOOKUP(D302,Master_Section!$I:$K,2,FALSE),"")</x:f>
      </x:c>
      <x:c r="J302" s="24">
        <x:f>_xlfn.IFNA(VLOOKUP(D302,Master_Section!$I:$K,3,FALSE),"")</x:f>
      </x:c>
      <x:c r="L302" s="94">
        <x:f>IF(A302&lt;&gt;"CFA",_xlfn.IFNA(VLOOKUP($G302,Master!$AE:$AI,5,0),""),"")</x:f>
      </x:c>
      <x:c r="P302" s="26">
        <x:f>IF(N302&lt;&gt;"",IF(MONTH(N302)&gt;=4,"FY1"&amp;RIGHT(YEAR(N302)+1,2),"FY1"&amp;RIGHT(YEAR(N302),2)),"")</x:f>
      </x:c>
      <x:c r="Q302" s="37">
        <x:f>IF(K302&gt;0&amp;M302&gt;0,K302*M302,"")</x:f>
      </x:c>
    </x:row>
    <x:row r="303" spans="1:18" customFormat="1" ht="15" customHeight="1">
      <x:c r="B303" s="37">
        <x:f>_xlfn.IFNA(VLOOKUP(C303,Master_Section!$H:$I,2,FALSE),"")</x:f>
      </x:c>
      <x:c r="D303" s="37">
        <x:f>_xlfn.IFNA(VLOOKUP(E303,Master_Section!$H:$I,2,FALSE),"")</x:f>
      </x:c>
      <x:c r="F303" s="26">
        <x:f>_xlfn.IFNA(VLOOKUP(G303,Master!AE:AF,2,FALSE),"")</x:f>
      </x:c>
      <x:c r="I303" s="24">
        <x:f>_xlfn.IFNA(VLOOKUP(D303,Master_Section!$I:$K,2,FALSE),"")</x:f>
      </x:c>
      <x:c r="J303" s="24">
        <x:f>_xlfn.IFNA(VLOOKUP(D303,Master_Section!$I:$K,3,FALSE),"")</x:f>
      </x:c>
      <x:c r="L303" s="94">
        <x:f>IF(A303&lt;&gt;"CFA",_xlfn.IFNA(VLOOKUP($G303,Master!$AE:$AI,5,0),""),"")</x:f>
      </x:c>
      <x:c r="P303" s="26">
        <x:f>IF(N303&lt;&gt;"",IF(MONTH(N303)&gt;=4,"FY1"&amp;RIGHT(YEAR(N303)+1,2),"FY1"&amp;RIGHT(YEAR(N303),2)),"")</x:f>
      </x:c>
      <x:c r="Q303" s="37">
        <x:f>IF(K303&gt;0&amp;M303&gt;0,K303*M303,"")</x:f>
      </x:c>
    </x:row>
    <x:row r="304" spans="1:18" customFormat="1" ht="15" customHeight="1">
      <x:c r="B304" s="37">
        <x:f>_xlfn.IFNA(VLOOKUP(C304,Master_Section!$H:$I,2,FALSE),"")</x:f>
      </x:c>
      <x:c r="D304" s="37">
        <x:f>_xlfn.IFNA(VLOOKUP(E304,Master_Section!$H:$I,2,FALSE),"")</x:f>
      </x:c>
      <x:c r="F304" s="26">
        <x:f>_xlfn.IFNA(VLOOKUP(G304,Master!AE:AF,2,FALSE),"")</x:f>
      </x:c>
      <x:c r="I304" s="24">
        <x:f>_xlfn.IFNA(VLOOKUP(D304,Master_Section!$I:$K,2,FALSE),"")</x:f>
      </x:c>
      <x:c r="J304" s="24">
        <x:f>_xlfn.IFNA(VLOOKUP(D304,Master_Section!$I:$K,3,FALSE),"")</x:f>
      </x:c>
      <x:c r="L304" s="94">
        <x:f>IF(A304&lt;&gt;"CFA",_xlfn.IFNA(VLOOKUP($G304,Master!$AE:$AI,5,0),""),"")</x:f>
      </x:c>
      <x:c r="P304" s="26">
        <x:f>IF(N304&lt;&gt;"",IF(MONTH(N304)&gt;=4,"FY1"&amp;RIGHT(YEAR(N304)+1,2),"FY1"&amp;RIGHT(YEAR(N304),2)),"")</x:f>
      </x:c>
      <x:c r="Q304" s="37">
        <x:f>IF(K304&gt;0&amp;M304&gt;0,K304*M304,"")</x:f>
      </x:c>
    </x:row>
    <x:row r="305" spans="1:18" customFormat="1" ht="15" customHeight="1">
      <x:c r="B305" s="37">
        <x:f>_xlfn.IFNA(VLOOKUP(C305,Master_Section!$H:$I,2,FALSE),"")</x:f>
      </x:c>
      <x:c r="D305" s="37">
        <x:f>_xlfn.IFNA(VLOOKUP(E305,Master_Section!$H:$I,2,FALSE),"")</x:f>
      </x:c>
      <x:c r="F305" s="26">
        <x:f>_xlfn.IFNA(VLOOKUP(G305,Master!AE:AF,2,FALSE),"")</x:f>
      </x:c>
      <x:c r="I305" s="24">
        <x:f>_xlfn.IFNA(VLOOKUP(D305,Master_Section!$I:$K,2,FALSE),"")</x:f>
      </x:c>
      <x:c r="J305" s="24">
        <x:f>_xlfn.IFNA(VLOOKUP(D305,Master_Section!$I:$K,3,FALSE),"")</x:f>
      </x:c>
      <x:c r="L305" s="94">
        <x:f>IF(A305&lt;&gt;"CFA",_xlfn.IFNA(VLOOKUP($G305,Master!$AE:$AI,5,0),""),"")</x:f>
      </x:c>
      <x:c r="P305" s="26">
        <x:f>IF(N305&lt;&gt;"",IF(MONTH(N305)&gt;=4,"FY1"&amp;RIGHT(YEAR(N305)+1,2),"FY1"&amp;RIGHT(YEAR(N305),2)),"")</x:f>
      </x:c>
      <x:c r="Q305" s="37">
        <x:f>IF(K305&gt;0&amp;M305&gt;0,K305*M305,"")</x:f>
      </x:c>
    </x:row>
    <x:row r="306" spans="1:18" customFormat="1" ht="15" customHeight="1">
      <x:c r="B306" s="37">
        <x:f>_xlfn.IFNA(VLOOKUP(C306,Master_Section!$H:$I,2,FALSE),"")</x:f>
      </x:c>
      <x:c r="D306" s="37">
        <x:f>_xlfn.IFNA(VLOOKUP(E306,Master_Section!$H:$I,2,FALSE),"")</x:f>
      </x:c>
      <x:c r="F306" s="26">
        <x:f>_xlfn.IFNA(VLOOKUP(G306,Master!AE:AF,2,FALSE),"")</x:f>
      </x:c>
      <x:c r="I306" s="24">
        <x:f>_xlfn.IFNA(VLOOKUP(D306,Master_Section!$I:$K,2,FALSE),"")</x:f>
      </x:c>
      <x:c r="J306" s="24">
        <x:f>_xlfn.IFNA(VLOOKUP(D306,Master_Section!$I:$K,3,FALSE),"")</x:f>
      </x:c>
      <x:c r="L306" s="94">
        <x:f>IF(A306&lt;&gt;"CFA",_xlfn.IFNA(VLOOKUP($G306,Master!$AE:$AI,5,0),""),"")</x:f>
      </x:c>
      <x:c r="P306" s="26">
        <x:f>IF(N306&lt;&gt;"",IF(MONTH(N306)&gt;=4,"FY1"&amp;RIGHT(YEAR(N306)+1,2),"FY1"&amp;RIGHT(YEAR(N306),2)),"")</x:f>
      </x:c>
      <x:c r="Q306" s="37">
        <x:f>IF(K306&gt;0&amp;M306&gt;0,K306*M306,"")</x:f>
      </x:c>
    </x:row>
    <x:row r="307" spans="1:18" customFormat="1" ht="15" customHeight="1">
      <x:c r="B307" s="37">
        <x:f>_xlfn.IFNA(VLOOKUP(C307,Master_Section!$H:$I,2,FALSE),"")</x:f>
      </x:c>
      <x:c r="D307" s="37">
        <x:f>_xlfn.IFNA(VLOOKUP(E307,Master_Section!$H:$I,2,FALSE),"")</x:f>
      </x:c>
      <x:c r="F307" s="26">
        <x:f>_xlfn.IFNA(VLOOKUP(G307,Master!AE:AF,2,FALSE),"")</x:f>
      </x:c>
      <x:c r="I307" s="24">
        <x:f>_xlfn.IFNA(VLOOKUP(D307,Master_Section!$I:$K,2,FALSE),"")</x:f>
      </x:c>
      <x:c r="J307" s="24">
        <x:f>_xlfn.IFNA(VLOOKUP(D307,Master_Section!$I:$K,3,FALSE),"")</x:f>
      </x:c>
      <x:c r="L307" s="94">
        <x:f>IF(A307&lt;&gt;"CFA",_xlfn.IFNA(VLOOKUP($G307,Master!$AE:$AI,5,0),""),"")</x:f>
      </x:c>
      <x:c r="P307" s="26">
        <x:f>IF(N307&lt;&gt;"",IF(MONTH(N307)&gt;=4,"FY1"&amp;RIGHT(YEAR(N307)+1,2),"FY1"&amp;RIGHT(YEAR(N307),2)),"")</x:f>
      </x:c>
      <x:c r="Q307" s="37">
        <x:f>IF(K307&gt;0&amp;M307&gt;0,K307*M307,"")</x:f>
      </x:c>
    </x:row>
    <x:row r="308" spans="1:18" customFormat="1" ht="15" customHeight="1">
      <x:c r="B308" s="37">
        <x:f>_xlfn.IFNA(VLOOKUP(C308,Master_Section!$H:$I,2,FALSE),"")</x:f>
      </x:c>
      <x:c r="D308" s="37">
        <x:f>_xlfn.IFNA(VLOOKUP(E308,Master_Section!$H:$I,2,FALSE),"")</x:f>
      </x:c>
      <x:c r="F308" s="26">
        <x:f>_xlfn.IFNA(VLOOKUP(G308,Master!AE:AF,2,FALSE),"")</x:f>
      </x:c>
      <x:c r="I308" s="24">
        <x:f>_xlfn.IFNA(VLOOKUP(D308,Master_Section!$I:$K,2,FALSE),"")</x:f>
      </x:c>
      <x:c r="J308" s="24">
        <x:f>_xlfn.IFNA(VLOOKUP(D308,Master_Section!$I:$K,3,FALSE),"")</x:f>
      </x:c>
      <x:c r="L308" s="94">
        <x:f>IF(A308&lt;&gt;"CFA",_xlfn.IFNA(VLOOKUP($G308,Master!$AE:$AI,5,0),""),"")</x:f>
      </x:c>
      <x:c r="P308" s="26">
        <x:f>IF(N308&lt;&gt;"",IF(MONTH(N308)&gt;=4,"FY1"&amp;RIGHT(YEAR(N308)+1,2),"FY1"&amp;RIGHT(YEAR(N308),2)),"")</x:f>
      </x:c>
      <x:c r="Q308" s="37">
        <x:f>IF(K308&gt;0&amp;M308&gt;0,K308*M308,"")</x:f>
      </x:c>
    </x:row>
    <x:row r="309" spans="1:18" customFormat="1" ht="15" customHeight="1">
      <x:c r="B309" s="37">
        <x:f>_xlfn.IFNA(VLOOKUP(C309,Master_Section!$H:$I,2,FALSE),"")</x:f>
      </x:c>
      <x:c r="D309" s="37">
        <x:f>_xlfn.IFNA(VLOOKUP(E309,Master_Section!$H:$I,2,FALSE),"")</x:f>
      </x:c>
      <x:c r="F309" s="26">
        <x:f>_xlfn.IFNA(VLOOKUP(G309,Master!AE:AF,2,FALSE),"")</x:f>
      </x:c>
      <x:c r="I309" s="24">
        <x:f>_xlfn.IFNA(VLOOKUP(D309,Master_Section!$I:$K,2,FALSE),"")</x:f>
      </x:c>
      <x:c r="J309" s="24">
        <x:f>_xlfn.IFNA(VLOOKUP(D309,Master_Section!$I:$K,3,FALSE),"")</x:f>
      </x:c>
      <x:c r="L309" s="94">
        <x:f>IF(A309&lt;&gt;"CFA",_xlfn.IFNA(VLOOKUP($G309,Master!$AE:$AI,5,0),""),"")</x:f>
      </x:c>
      <x:c r="P309" s="26">
        <x:f>IF(N309&lt;&gt;"",IF(MONTH(N309)&gt;=4,"FY1"&amp;RIGHT(YEAR(N309)+1,2),"FY1"&amp;RIGHT(YEAR(N309),2)),"")</x:f>
      </x:c>
      <x:c r="Q309" s="37">
        <x:f>IF(K309&gt;0&amp;M309&gt;0,K309*M309,"")</x:f>
      </x:c>
    </x:row>
    <x:row r="310" spans="1:18" customFormat="1" ht="15" customHeight="1">
      <x:c r="B310" s="37">
        <x:f>_xlfn.IFNA(VLOOKUP(C310,Master_Section!$H:$I,2,FALSE),"")</x:f>
      </x:c>
      <x:c r="D310" s="37">
        <x:f>_xlfn.IFNA(VLOOKUP(E310,Master_Section!$H:$I,2,FALSE),"")</x:f>
      </x:c>
      <x:c r="F310" s="26">
        <x:f>_xlfn.IFNA(VLOOKUP(G310,Master!AE:AF,2,FALSE),"")</x:f>
      </x:c>
      <x:c r="I310" s="24">
        <x:f>_xlfn.IFNA(VLOOKUP(D310,Master_Section!$I:$K,2,FALSE),"")</x:f>
      </x:c>
      <x:c r="J310" s="24">
        <x:f>_xlfn.IFNA(VLOOKUP(D310,Master_Section!$I:$K,3,FALSE),"")</x:f>
      </x:c>
      <x:c r="L310" s="94">
        <x:f>IF(A310&lt;&gt;"CFA",_xlfn.IFNA(VLOOKUP($G310,Master!$AE:$AI,5,0),""),"")</x:f>
      </x:c>
      <x:c r="P310" s="26">
        <x:f>IF(N310&lt;&gt;"",IF(MONTH(N310)&gt;=4,"FY1"&amp;RIGHT(YEAR(N310)+1,2),"FY1"&amp;RIGHT(YEAR(N310),2)),"")</x:f>
      </x:c>
      <x:c r="Q310" s="37">
        <x:f>IF(K310&gt;0&amp;M310&gt;0,K310*M310,"")</x:f>
      </x:c>
    </x:row>
    <x:row r="311" spans="1:18" customFormat="1" ht="15" customHeight="1">
      <x:c r="B311" s="37">
        <x:f>_xlfn.IFNA(VLOOKUP(C311,Master_Section!$H:$I,2,FALSE),"")</x:f>
      </x:c>
      <x:c r="D311" s="37">
        <x:f>_xlfn.IFNA(VLOOKUP(E311,Master_Section!$H:$I,2,FALSE),"")</x:f>
      </x:c>
      <x:c r="F311" s="26">
        <x:f>_xlfn.IFNA(VLOOKUP(G311,Master!AE:AF,2,FALSE),"")</x:f>
      </x:c>
      <x:c r="I311" s="24">
        <x:f>_xlfn.IFNA(VLOOKUP(D311,Master_Section!$I:$K,2,FALSE),"")</x:f>
      </x:c>
      <x:c r="J311" s="24">
        <x:f>_xlfn.IFNA(VLOOKUP(D311,Master_Section!$I:$K,3,FALSE),"")</x:f>
      </x:c>
      <x:c r="L311" s="94">
        <x:f>IF(A311&lt;&gt;"CFA",_xlfn.IFNA(VLOOKUP($G311,Master!$AE:$AI,5,0),""),"")</x:f>
      </x:c>
      <x:c r="P311" s="26">
        <x:f>IF(N311&lt;&gt;"",IF(MONTH(N311)&gt;=4,"FY1"&amp;RIGHT(YEAR(N311)+1,2),"FY1"&amp;RIGHT(YEAR(N311),2)),"")</x:f>
      </x:c>
      <x:c r="Q311" s="37">
        <x:f>IF(K311&gt;0&amp;M311&gt;0,K311*M311,"")</x:f>
      </x:c>
    </x:row>
    <x:row r="312" spans="1:18" customFormat="1" ht="15" customHeight="1">
      <x:c r="B312" s="37">
        <x:f>_xlfn.IFNA(VLOOKUP(C312,Master_Section!$H:$I,2,FALSE),"")</x:f>
      </x:c>
      <x:c r="D312" s="37">
        <x:f>_xlfn.IFNA(VLOOKUP(E312,Master_Section!$H:$I,2,FALSE),"")</x:f>
      </x:c>
      <x:c r="F312" s="26">
        <x:f>_xlfn.IFNA(VLOOKUP(G312,Master!AE:AF,2,FALSE),"")</x:f>
      </x:c>
      <x:c r="I312" s="24">
        <x:f>_xlfn.IFNA(VLOOKUP(D312,Master_Section!$I:$K,2,FALSE),"")</x:f>
      </x:c>
      <x:c r="J312" s="24">
        <x:f>_xlfn.IFNA(VLOOKUP(D312,Master_Section!$I:$K,3,FALSE),"")</x:f>
      </x:c>
      <x:c r="L312" s="94">
        <x:f>IF(A312&lt;&gt;"CFA",_xlfn.IFNA(VLOOKUP($G312,Master!$AE:$AI,5,0),""),"")</x:f>
      </x:c>
      <x:c r="P312" s="26">
        <x:f>IF(N312&lt;&gt;"",IF(MONTH(N312)&gt;=4,"FY1"&amp;RIGHT(YEAR(N312)+1,2),"FY1"&amp;RIGHT(YEAR(N312),2)),"")</x:f>
      </x:c>
      <x:c r="Q312" s="37">
        <x:f>IF(K312&gt;0&amp;M312&gt;0,K312*M312,"")</x:f>
      </x:c>
    </x:row>
    <x:row r="313" spans="1:18" customFormat="1" ht="15" customHeight="1">
      <x:c r="B313" s="37">
        <x:f>_xlfn.IFNA(VLOOKUP(C313,Master_Section!$H:$I,2,FALSE),"")</x:f>
      </x:c>
      <x:c r="D313" s="37">
        <x:f>_xlfn.IFNA(VLOOKUP(E313,Master_Section!$H:$I,2,FALSE),"")</x:f>
      </x:c>
      <x:c r="F313" s="26">
        <x:f>_xlfn.IFNA(VLOOKUP(G313,Master!AE:AF,2,FALSE),"")</x:f>
      </x:c>
      <x:c r="I313" s="24">
        <x:f>_xlfn.IFNA(VLOOKUP(D313,Master_Section!$I:$K,2,FALSE),"")</x:f>
      </x:c>
      <x:c r="J313" s="24">
        <x:f>_xlfn.IFNA(VLOOKUP(D313,Master_Section!$I:$K,3,FALSE),"")</x:f>
      </x:c>
      <x:c r="L313" s="94">
        <x:f>IF(A313&lt;&gt;"CFA",_xlfn.IFNA(VLOOKUP($G313,Master!$AE:$AI,5,0),""),"")</x:f>
      </x:c>
      <x:c r="P313" s="26">
        <x:f>IF(N313&lt;&gt;"",IF(MONTH(N313)&gt;=4,"FY1"&amp;RIGHT(YEAR(N313)+1,2),"FY1"&amp;RIGHT(YEAR(N313),2)),"")</x:f>
      </x:c>
      <x:c r="Q313" s="37">
        <x:f>IF(K313&gt;0&amp;M313&gt;0,K313*M313,"")</x:f>
      </x:c>
    </x:row>
    <x:row r="314" spans="1:18" customFormat="1" ht="15" customHeight="1">
      <x:c r="B314" s="37">
        <x:f>_xlfn.IFNA(VLOOKUP(C314,Master_Section!$H:$I,2,FALSE),"")</x:f>
      </x:c>
      <x:c r="D314" s="37">
        <x:f>_xlfn.IFNA(VLOOKUP(E314,Master_Section!$H:$I,2,FALSE),"")</x:f>
      </x:c>
      <x:c r="F314" s="26">
        <x:f>_xlfn.IFNA(VLOOKUP(G314,Master!AE:AF,2,FALSE),"")</x:f>
      </x:c>
      <x:c r="I314" s="24">
        <x:f>_xlfn.IFNA(VLOOKUP(D314,Master_Section!$I:$K,2,FALSE),"")</x:f>
      </x:c>
      <x:c r="J314" s="24">
        <x:f>_xlfn.IFNA(VLOOKUP(D314,Master_Section!$I:$K,3,FALSE),"")</x:f>
      </x:c>
      <x:c r="L314" s="94">
        <x:f>IF(A314&lt;&gt;"CFA",_xlfn.IFNA(VLOOKUP($G314,Master!$AE:$AI,5,0),""),"")</x:f>
      </x:c>
      <x:c r="P314" s="26">
        <x:f>IF(N314&lt;&gt;"",IF(MONTH(N314)&gt;=4,"FY1"&amp;RIGHT(YEAR(N314)+1,2),"FY1"&amp;RIGHT(YEAR(N314),2)),"")</x:f>
      </x:c>
      <x:c r="Q314" s="37">
        <x:f>IF(K314&gt;0&amp;M314&gt;0,K314*M314,"")</x:f>
      </x:c>
    </x:row>
    <x:row r="315" spans="1:18" customFormat="1" ht="15" customHeight="1">
      <x:c r="B315" s="37">
        <x:f>_xlfn.IFNA(VLOOKUP(C315,Master_Section!$H:$I,2,FALSE),"")</x:f>
      </x:c>
      <x:c r="D315" s="37">
        <x:f>_xlfn.IFNA(VLOOKUP(E315,Master_Section!$H:$I,2,FALSE),"")</x:f>
      </x:c>
      <x:c r="F315" s="26">
        <x:f>_xlfn.IFNA(VLOOKUP(G315,Master!AE:AF,2,FALSE),"")</x:f>
      </x:c>
      <x:c r="I315" s="24">
        <x:f>_xlfn.IFNA(VLOOKUP(D315,Master_Section!$I:$K,2,FALSE),"")</x:f>
      </x:c>
      <x:c r="J315" s="24">
        <x:f>_xlfn.IFNA(VLOOKUP(D315,Master_Section!$I:$K,3,FALSE),"")</x:f>
      </x:c>
      <x:c r="L315" s="94">
        <x:f>IF(A315&lt;&gt;"CFA",_xlfn.IFNA(VLOOKUP($G315,Master!$AE:$AI,5,0),""),"")</x:f>
      </x:c>
      <x:c r="P315" s="26">
        <x:f>IF(N315&lt;&gt;"",IF(MONTH(N315)&gt;=4,"FY1"&amp;RIGHT(YEAR(N315)+1,2),"FY1"&amp;RIGHT(YEAR(N315),2)),"")</x:f>
      </x:c>
      <x:c r="Q315" s="37">
        <x:f>IF(K315&gt;0&amp;M315&gt;0,K315*M315,"")</x:f>
      </x:c>
    </x:row>
    <x:row r="316" spans="1:18" customFormat="1" ht="15" customHeight="1">
      <x:c r="B316" s="37">
        <x:f>_xlfn.IFNA(VLOOKUP(C316,Master_Section!$H:$I,2,FALSE),"")</x:f>
      </x:c>
      <x:c r="D316" s="37">
        <x:f>_xlfn.IFNA(VLOOKUP(E316,Master_Section!$H:$I,2,FALSE),"")</x:f>
      </x:c>
      <x:c r="F316" s="26">
        <x:f>_xlfn.IFNA(VLOOKUP(G316,Master!AE:AF,2,FALSE),"")</x:f>
      </x:c>
      <x:c r="I316" s="24">
        <x:f>_xlfn.IFNA(VLOOKUP(D316,Master_Section!$I:$K,2,FALSE),"")</x:f>
      </x:c>
      <x:c r="J316" s="24">
        <x:f>_xlfn.IFNA(VLOOKUP(D316,Master_Section!$I:$K,3,FALSE),"")</x:f>
      </x:c>
      <x:c r="L316" s="94">
        <x:f>IF(A316&lt;&gt;"CFA",_xlfn.IFNA(VLOOKUP($G316,Master!$AE:$AI,5,0),""),"")</x:f>
      </x:c>
      <x:c r="P316" s="26">
        <x:f>IF(N316&lt;&gt;"",IF(MONTH(N316)&gt;=4,"FY1"&amp;RIGHT(YEAR(N316)+1,2),"FY1"&amp;RIGHT(YEAR(N316),2)),"")</x:f>
      </x:c>
      <x:c r="Q316" s="37">
        <x:f>IF(K316&gt;0&amp;M316&gt;0,K316*M316,"")</x:f>
      </x:c>
    </x:row>
    <x:row r="317" spans="1:18" customFormat="1" ht="15" customHeight="1">
      <x:c r="B317" s="37">
        <x:f>_xlfn.IFNA(VLOOKUP(C317,Master_Section!$H:$I,2,FALSE),"")</x:f>
      </x:c>
      <x:c r="D317" s="37">
        <x:f>_xlfn.IFNA(VLOOKUP(E317,Master_Section!$H:$I,2,FALSE),"")</x:f>
      </x:c>
      <x:c r="F317" s="26">
        <x:f>_xlfn.IFNA(VLOOKUP(G317,Master!AE:AF,2,FALSE),"")</x:f>
      </x:c>
      <x:c r="I317" s="24">
        <x:f>_xlfn.IFNA(VLOOKUP(D317,Master_Section!$I:$K,2,FALSE),"")</x:f>
      </x:c>
      <x:c r="J317" s="24">
        <x:f>_xlfn.IFNA(VLOOKUP(D317,Master_Section!$I:$K,3,FALSE),"")</x:f>
      </x:c>
      <x:c r="L317" s="94">
        <x:f>IF(A317&lt;&gt;"CFA",_xlfn.IFNA(VLOOKUP($G317,Master!$AE:$AI,5,0),""),"")</x:f>
      </x:c>
      <x:c r="P317" s="26">
        <x:f>IF(N317&lt;&gt;"",IF(MONTH(N317)&gt;=4,"FY1"&amp;RIGHT(YEAR(N317)+1,2),"FY1"&amp;RIGHT(YEAR(N317),2)),"")</x:f>
      </x:c>
      <x:c r="Q317" s="37">
        <x:f>IF(K317&gt;0&amp;M317&gt;0,K317*M317,"")</x:f>
      </x:c>
    </x:row>
    <x:row r="318" spans="1:18" customFormat="1" ht="15" customHeight="1">
      <x:c r="B318" s="37">
        <x:f>_xlfn.IFNA(VLOOKUP(C318,Master_Section!$H:$I,2,FALSE),"")</x:f>
      </x:c>
      <x:c r="D318" s="37">
        <x:f>_xlfn.IFNA(VLOOKUP(E318,Master_Section!$H:$I,2,FALSE),"")</x:f>
      </x:c>
      <x:c r="F318" s="26">
        <x:f>_xlfn.IFNA(VLOOKUP(G318,Master!AE:AF,2,FALSE),"")</x:f>
      </x:c>
      <x:c r="I318" s="24">
        <x:f>_xlfn.IFNA(VLOOKUP(D318,Master_Section!$I:$K,2,FALSE),"")</x:f>
      </x:c>
      <x:c r="J318" s="24">
        <x:f>_xlfn.IFNA(VLOOKUP(D318,Master_Section!$I:$K,3,FALSE),"")</x:f>
      </x:c>
      <x:c r="L318" s="94">
        <x:f>IF(A318&lt;&gt;"CFA",_xlfn.IFNA(VLOOKUP($G318,Master!$AE:$AI,5,0),""),"")</x:f>
      </x:c>
      <x:c r="P318" s="26">
        <x:f>IF(N318&lt;&gt;"",IF(MONTH(N318)&gt;=4,"FY1"&amp;RIGHT(YEAR(N318)+1,2),"FY1"&amp;RIGHT(YEAR(N318),2)),"")</x:f>
      </x:c>
      <x:c r="Q318" s="37">
        <x:f>IF(K318&gt;0&amp;M318&gt;0,K318*M318,"")</x:f>
      </x:c>
    </x:row>
    <x:row r="319" spans="1:18" customFormat="1" ht="15" customHeight="1">
      <x:c r="B319" s="37">
        <x:f>_xlfn.IFNA(VLOOKUP(C319,Master_Section!$H:$I,2,FALSE),"")</x:f>
      </x:c>
      <x:c r="D319" s="37">
        <x:f>_xlfn.IFNA(VLOOKUP(E319,Master_Section!$H:$I,2,FALSE),"")</x:f>
      </x:c>
      <x:c r="F319" s="26">
        <x:f>_xlfn.IFNA(VLOOKUP(G319,Master!AE:AF,2,FALSE),"")</x:f>
      </x:c>
      <x:c r="I319" s="24">
        <x:f>_xlfn.IFNA(VLOOKUP(D319,Master_Section!$I:$K,2,FALSE),"")</x:f>
      </x:c>
      <x:c r="J319" s="24">
        <x:f>_xlfn.IFNA(VLOOKUP(D319,Master_Section!$I:$K,3,FALSE),"")</x:f>
      </x:c>
      <x:c r="L319" s="94">
        <x:f>IF(A319&lt;&gt;"CFA",_xlfn.IFNA(VLOOKUP($G319,Master!$AE:$AI,5,0),""),"")</x:f>
      </x:c>
      <x:c r="P319" s="26">
        <x:f>IF(N319&lt;&gt;"",IF(MONTH(N319)&gt;=4,"FY1"&amp;RIGHT(YEAR(N319)+1,2),"FY1"&amp;RIGHT(YEAR(N319),2)),"")</x:f>
      </x:c>
      <x:c r="Q319" s="37">
        <x:f>IF(K319&gt;0&amp;M319&gt;0,K319*M319,"")</x:f>
      </x:c>
    </x:row>
    <x:row r="320" spans="1:18" customFormat="1" ht="15" customHeight="1">
      <x:c r="B320" s="37">
        <x:f>_xlfn.IFNA(VLOOKUP(C320,Master_Section!$H:$I,2,FALSE),"")</x:f>
      </x:c>
      <x:c r="D320" s="37">
        <x:f>_xlfn.IFNA(VLOOKUP(E320,Master_Section!$H:$I,2,FALSE),"")</x:f>
      </x:c>
      <x:c r="F320" s="26">
        <x:f>_xlfn.IFNA(VLOOKUP(G320,Master!AE:AF,2,FALSE),"")</x:f>
      </x:c>
      <x:c r="I320" s="24">
        <x:f>_xlfn.IFNA(VLOOKUP(D320,Master_Section!$I:$K,2,FALSE),"")</x:f>
      </x:c>
      <x:c r="J320" s="24">
        <x:f>_xlfn.IFNA(VLOOKUP(D320,Master_Section!$I:$K,3,FALSE),"")</x:f>
      </x:c>
      <x:c r="L320" s="94">
        <x:f>IF(A320&lt;&gt;"CFA",_xlfn.IFNA(VLOOKUP($G320,Master!$AE:$AI,5,0),""),"")</x:f>
      </x:c>
      <x:c r="P320" s="26">
        <x:f>IF(N320&lt;&gt;"",IF(MONTH(N320)&gt;=4,"FY1"&amp;RIGHT(YEAR(N320)+1,2),"FY1"&amp;RIGHT(YEAR(N320),2)),"")</x:f>
      </x:c>
      <x:c r="Q320" s="37">
        <x:f>IF(K320&gt;0&amp;M320&gt;0,K320*M320,"")</x:f>
      </x:c>
    </x:row>
    <x:row r="321" spans="1:18" customFormat="1" ht="15" customHeight="1">
      <x:c r="B321" s="37">
        <x:f>_xlfn.IFNA(VLOOKUP(C321,Master_Section!$H:$I,2,FALSE),"")</x:f>
      </x:c>
      <x:c r="D321" s="37">
        <x:f>_xlfn.IFNA(VLOOKUP(E321,Master_Section!$H:$I,2,FALSE),"")</x:f>
      </x:c>
      <x:c r="F321" s="26">
        <x:f>_xlfn.IFNA(VLOOKUP(G321,Master!AE:AF,2,FALSE),"")</x:f>
      </x:c>
      <x:c r="I321" s="24">
        <x:f>_xlfn.IFNA(VLOOKUP(D321,Master_Section!$I:$K,2,FALSE),"")</x:f>
      </x:c>
      <x:c r="J321" s="24">
        <x:f>_xlfn.IFNA(VLOOKUP(D321,Master_Section!$I:$K,3,FALSE),"")</x:f>
      </x:c>
      <x:c r="L321" s="94">
        <x:f>IF(A321&lt;&gt;"CFA",_xlfn.IFNA(VLOOKUP($G321,Master!$AE:$AI,5,0),""),"")</x:f>
      </x:c>
      <x:c r="P321" s="26">
        <x:f>IF(N321&lt;&gt;"",IF(MONTH(N321)&gt;=4,"FY1"&amp;RIGHT(YEAR(N321)+1,2),"FY1"&amp;RIGHT(YEAR(N321),2)),"")</x:f>
      </x:c>
      <x:c r="Q321" s="37">
        <x:f>IF(K321&gt;0&amp;M321&gt;0,K321*M321,"")</x:f>
      </x:c>
    </x:row>
    <x:row r="322" spans="1:18" customFormat="1" ht="15" customHeight="1">
      <x:c r="B322" s="37">
        <x:f>_xlfn.IFNA(VLOOKUP(C322,Master_Section!$H:$I,2,FALSE),"")</x:f>
      </x:c>
      <x:c r="D322" s="37">
        <x:f>_xlfn.IFNA(VLOOKUP(E322,Master_Section!$H:$I,2,FALSE),"")</x:f>
      </x:c>
      <x:c r="F322" s="26">
        <x:f>_xlfn.IFNA(VLOOKUP(G322,Master!AE:AF,2,FALSE),"")</x:f>
      </x:c>
      <x:c r="I322" s="24">
        <x:f>_xlfn.IFNA(VLOOKUP(D322,Master_Section!$I:$K,2,FALSE),"")</x:f>
      </x:c>
      <x:c r="J322" s="24">
        <x:f>_xlfn.IFNA(VLOOKUP(D322,Master_Section!$I:$K,3,FALSE),"")</x:f>
      </x:c>
      <x:c r="L322" s="94">
        <x:f>IF(A322&lt;&gt;"CFA",_xlfn.IFNA(VLOOKUP($G322,Master!$AE:$AI,5,0),""),"")</x:f>
      </x:c>
      <x:c r="P322" s="26">
        <x:f>IF(N322&lt;&gt;"",IF(MONTH(N322)&gt;=4,"FY1"&amp;RIGHT(YEAR(N322)+1,2),"FY1"&amp;RIGHT(YEAR(N322),2)),"")</x:f>
      </x:c>
      <x:c r="Q322" s="37">
        <x:f>IF(K322&gt;0&amp;M322&gt;0,K322*M322,"")</x:f>
      </x:c>
    </x:row>
    <x:row r="323" spans="1:18" customFormat="1" ht="15" customHeight="1">
      <x:c r="B323" s="37">
        <x:f>_xlfn.IFNA(VLOOKUP(C323,Master_Section!$H:$I,2,FALSE),"")</x:f>
      </x:c>
      <x:c r="D323" s="37">
        <x:f>_xlfn.IFNA(VLOOKUP(E323,Master_Section!$H:$I,2,FALSE),"")</x:f>
      </x:c>
      <x:c r="F323" s="26">
        <x:f>_xlfn.IFNA(VLOOKUP(G323,Master!AE:AF,2,FALSE),"")</x:f>
      </x:c>
      <x:c r="I323" s="24">
        <x:f>_xlfn.IFNA(VLOOKUP(D323,Master_Section!$I:$K,2,FALSE),"")</x:f>
      </x:c>
      <x:c r="J323" s="24">
        <x:f>_xlfn.IFNA(VLOOKUP(D323,Master_Section!$I:$K,3,FALSE),"")</x:f>
      </x:c>
      <x:c r="L323" s="94">
        <x:f>IF(A323&lt;&gt;"CFA",_xlfn.IFNA(VLOOKUP($G323,Master!$AE:$AI,5,0),""),"")</x:f>
      </x:c>
      <x:c r="P323" s="26">
        <x:f>IF(N323&lt;&gt;"",IF(MONTH(N323)&gt;=4,"FY1"&amp;RIGHT(YEAR(N323)+1,2),"FY1"&amp;RIGHT(YEAR(N323),2)),"")</x:f>
      </x:c>
      <x:c r="Q323" s="37">
        <x:f>IF(K323&gt;0&amp;M323&gt;0,K323*M323,"")</x:f>
      </x:c>
    </x:row>
    <x:row r="324" spans="1:18" customFormat="1" ht="15" customHeight="1">
      <x:c r="B324" s="37">
        <x:f>_xlfn.IFNA(VLOOKUP(C324,Master_Section!$H:$I,2,FALSE),"")</x:f>
      </x:c>
      <x:c r="D324" s="37">
        <x:f>_xlfn.IFNA(VLOOKUP(E324,Master_Section!$H:$I,2,FALSE),"")</x:f>
      </x:c>
      <x:c r="F324" s="26">
        <x:f>_xlfn.IFNA(VLOOKUP(G324,Master!AE:AF,2,FALSE),"")</x:f>
      </x:c>
      <x:c r="I324" s="24">
        <x:f>_xlfn.IFNA(VLOOKUP(D324,Master_Section!$I:$K,2,FALSE),"")</x:f>
      </x:c>
      <x:c r="J324" s="24">
        <x:f>_xlfn.IFNA(VLOOKUP(D324,Master_Section!$I:$K,3,FALSE),"")</x:f>
      </x:c>
      <x:c r="L324" s="94">
        <x:f>IF(A324&lt;&gt;"CFA",_xlfn.IFNA(VLOOKUP($G324,Master!$AE:$AI,5,0),""),"")</x:f>
      </x:c>
      <x:c r="P324" s="26">
        <x:f>IF(N324&lt;&gt;"",IF(MONTH(N324)&gt;=4,"FY1"&amp;RIGHT(YEAR(N324)+1,2),"FY1"&amp;RIGHT(YEAR(N324),2)),"")</x:f>
      </x:c>
      <x:c r="Q324" s="37">
        <x:f>IF(K324&gt;0&amp;M324&gt;0,K324*M324,"")</x:f>
      </x:c>
    </x:row>
    <x:row r="325" spans="1:18" customFormat="1" ht="15" customHeight="1">
      <x:c r="B325" s="37">
        <x:f>_xlfn.IFNA(VLOOKUP(C325,Master_Section!$H:$I,2,FALSE),"")</x:f>
      </x:c>
      <x:c r="D325" s="37">
        <x:f>_xlfn.IFNA(VLOOKUP(E325,Master_Section!$H:$I,2,FALSE),"")</x:f>
      </x:c>
      <x:c r="F325" s="26">
        <x:f>_xlfn.IFNA(VLOOKUP(G325,Master!AE:AF,2,FALSE),"")</x:f>
      </x:c>
      <x:c r="I325" s="24">
        <x:f>_xlfn.IFNA(VLOOKUP(D325,Master_Section!$I:$K,2,FALSE),"")</x:f>
      </x:c>
      <x:c r="J325" s="24">
        <x:f>_xlfn.IFNA(VLOOKUP(D325,Master_Section!$I:$K,3,FALSE),"")</x:f>
      </x:c>
      <x:c r="L325" s="94">
        <x:f>IF(A325&lt;&gt;"CFA",_xlfn.IFNA(VLOOKUP($G325,Master!$AE:$AI,5,0),""),"")</x:f>
      </x:c>
      <x:c r="P325" s="26">
        <x:f>IF(N325&lt;&gt;"",IF(MONTH(N325)&gt;=4,"FY1"&amp;RIGHT(YEAR(N325)+1,2),"FY1"&amp;RIGHT(YEAR(N325),2)),"")</x:f>
      </x:c>
      <x:c r="Q325" s="37">
        <x:f>IF(K325&gt;0&amp;M325&gt;0,K325*M325,"")</x:f>
      </x:c>
    </x:row>
    <x:row r="326" spans="1:18" customFormat="1" ht="15" customHeight="1">
      <x:c r="B326" s="37">
        <x:f>_xlfn.IFNA(VLOOKUP(C326,Master_Section!$H:$I,2,FALSE),"")</x:f>
      </x:c>
      <x:c r="D326" s="37">
        <x:f>_xlfn.IFNA(VLOOKUP(E326,Master_Section!$H:$I,2,FALSE),"")</x:f>
      </x:c>
      <x:c r="F326" s="26">
        <x:f>_xlfn.IFNA(VLOOKUP(G326,Master!AE:AF,2,FALSE),"")</x:f>
      </x:c>
      <x:c r="I326" s="24">
        <x:f>_xlfn.IFNA(VLOOKUP(D326,Master_Section!$I:$K,2,FALSE),"")</x:f>
      </x:c>
      <x:c r="J326" s="24">
        <x:f>_xlfn.IFNA(VLOOKUP(D326,Master_Section!$I:$K,3,FALSE),"")</x:f>
      </x:c>
      <x:c r="L326" s="94">
        <x:f>IF(A326&lt;&gt;"CFA",_xlfn.IFNA(VLOOKUP($G326,Master!$AE:$AI,5,0),""),"")</x:f>
      </x:c>
      <x:c r="P326" s="26">
        <x:f>IF(N326&lt;&gt;"",IF(MONTH(N326)&gt;=4,"FY1"&amp;RIGHT(YEAR(N326)+1,2),"FY1"&amp;RIGHT(YEAR(N326),2)),"")</x:f>
      </x:c>
      <x:c r="Q326" s="37">
        <x:f>IF(K326&gt;0&amp;M326&gt;0,K326*M326,"")</x:f>
      </x:c>
    </x:row>
    <x:row r="327" spans="1:18" customFormat="1" ht="15" customHeight="1">
      <x:c r="B327" s="37">
        <x:f>_xlfn.IFNA(VLOOKUP(C327,Master_Section!$H:$I,2,FALSE),"")</x:f>
      </x:c>
      <x:c r="D327" s="37">
        <x:f>_xlfn.IFNA(VLOOKUP(E327,Master_Section!$H:$I,2,FALSE),"")</x:f>
      </x:c>
      <x:c r="F327" s="26">
        <x:f>_xlfn.IFNA(VLOOKUP(G327,Master!AE:AF,2,FALSE),"")</x:f>
      </x:c>
      <x:c r="I327" s="24">
        <x:f>_xlfn.IFNA(VLOOKUP(D327,Master_Section!$I:$K,2,FALSE),"")</x:f>
      </x:c>
      <x:c r="J327" s="24">
        <x:f>_xlfn.IFNA(VLOOKUP(D327,Master_Section!$I:$K,3,FALSE),"")</x:f>
      </x:c>
      <x:c r="L327" s="94">
        <x:f>IF(A327&lt;&gt;"CFA",_xlfn.IFNA(VLOOKUP($G327,Master!$AE:$AI,5,0),""),"")</x:f>
      </x:c>
      <x:c r="P327" s="26">
        <x:f>IF(N327&lt;&gt;"",IF(MONTH(N327)&gt;=4,"FY1"&amp;RIGHT(YEAR(N327)+1,2),"FY1"&amp;RIGHT(YEAR(N327),2)),"")</x:f>
      </x:c>
      <x:c r="Q327" s="37">
        <x:f>IF(K327&gt;0&amp;M327&gt;0,K327*M327,"")</x:f>
      </x:c>
    </x:row>
    <x:row r="328" spans="1:18" customFormat="1" ht="15" customHeight="1">
      <x:c r="B328" s="37">
        <x:f>_xlfn.IFNA(VLOOKUP(C328,Master_Section!$H:$I,2,FALSE),"")</x:f>
      </x:c>
      <x:c r="D328" s="37">
        <x:f>_xlfn.IFNA(VLOOKUP(E328,Master_Section!$H:$I,2,FALSE),"")</x:f>
      </x:c>
      <x:c r="F328" s="26">
        <x:f>_xlfn.IFNA(VLOOKUP(G328,Master!AE:AF,2,FALSE),"")</x:f>
      </x:c>
      <x:c r="I328" s="24">
        <x:f>_xlfn.IFNA(VLOOKUP(D328,Master_Section!$I:$K,2,FALSE),"")</x:f>
      </x:c>
      <x:c r="J328" s="24">
        <x:f>_xlfn.IFNA(VLOOKUP(D328,Master_Section!$I:$K,3,FALSE),"")</x:f>
      </x:c>
      <x:c r="L328" s="94">
        <x:f>IF(A328&lt;&gt;"CFA",_xlfn.IFNA(VLOOKUP($G328,Master!$AE:$AI,5,0),""),"")</x:f>
      </x:c>
      <x:c r="P328" s="26">
        <x:f>IF(N328&lt;&gt;"",IF(MONTH(N328)&gt;=4,"FY1"&amp;RIGHT(YEAR(N328)+1,2),"FY1"&amp;RIGHT(YEAR(N328),2)),"")</x:f>
      </x:c>
      <x:c r="Q328" s="37">
        <x:f>IF(K328&gt;0&amp;M328&gt;0,K328*M328,"")</x:f>
      </x:c>
    </x:row>
    <x:row r="329" spans="1:18" customFormat="1" ht="15" customHeight="1">
      <x:c r="B329" s="37">
        <x:f>_xlfn.IFNA(VLOOKUP(C329,Master_Section!$H:$I,2,FALSE),"")</x:f>
      </x:c>
      <x:c r="D329" s="37">
        <x:f>_xlfn.IFNA(VLOOKUP(E329,Master_Section!$H:$I,2,FALSE),"")</x:f>
      </x:c>
      <x:c r="F329" s="26">
        <x:f>_xlfn.IFNA(VLOOKUP(G329,Master!AE:AF,2,FALSE),"")</x:f>
      </x:c>
      <x:c r="I329" s="24">
        <x:f>_xlfn.IFNA(VLOOKUP(D329,Master_Section!$I:$K,2,FALSE),"")</x:f>
      </x:c>
      <x:c r="J329" s="24">
        <x:f>_xlfn.IFNA(VLOOKUP(D329,Master_Section!$I:$K,3,FALSE),"")</x:f>
      </x:c>
      <x:c r="L329" s="94">
        <x:f>IF(A329&lt;&gt;"CFA",_xlfn.IFNA(VLOOKUP($G329,Master!$AE:$AI,5,0),""),"")</x:f>
      </x:c>
      <x:c r="P329" s="26">
        <x:f>IF(N329&lt;&gt;"",IF(MONTH(N329)&gt;=4,"FY1"&amp;RIGHT(YEAR(N329)+1,2),"FY1"&amp;RIGHT(YEAR(N329),2)),"")</x:f>
      </x:c>
      <x:c r="Q329" s="37">
        <x:f>IF(K329&gt;0&amp;M329&gt;0,K329*M329,"")</x:f>
      </x:c>
    </x:row>
    <x:row r="330" spans="1:18" customFormat="1" ht="15" customHeight="1">
      <x:c r="B330" s="37">
        <x:f>_xlfn.IFNA(VLOOKUP(C330,Master_Section!$H:$I,2,FALSE),"")</x:f>
      </x:c>
      <x:c r="D330" s="37">
        <x:f>_xlfn.IFNA(VLOOKUP(E330,Master_Section!$H:$I,2,FALSE),"")</x:f>
      </x:c>
      <x:c r="F330" s="26">
        <x:f>_xlfn.IFNA(VLOOKUP(G330,Master!AE:AF,2,FALSE),"")</x:f>
      </x:c>
      <x:c r="I330" s="24">
        <x:f>_xlfn.IFNA(VLOOKUP(D330,Master_Section!$I:$K,2,FALSE),"")</x:f>
      </x:c>
      <x:c r="J330" s="24">
        <x:f>_xlfn.IFNA(VLOOKUP(D330,Master_Section!$I:$K,3,FALSE),"")</x:f>
      </x:c>
      <x:c r="L330" s="94">
        <x:f>IF(A330&lt;&gt;"CFA",_xlfn.IFNA(VLOOKUP($G330,Master!$AE:$AI,5,0),""),"")</x:f>
      </x:c>
      <x:c r="P330" s="26">
        <x:f>IF(N330&lt;&gt;"",IF(MONTH(N330)&gt;=4,"FY1"&amp;RIGHT(YEAR(N330)+1,2),"FY1"&amp;RIGHT(YEAR(N330),2)),"")</x:f>
      </x:c>
      <x:c r="Q330" s="37">
        <x:f>IF(K330&gt;0&amp;M330&gt;0,K330*M330,"")</x:f>
      </x:c>
    </x:row>
    <x:row r="331" spans="1:18" customFormat="1" ht="15" customHeight="1">
      <x:c r="B331" s="37">
        <x:f>_xlfn.IFNA(VLOOKUP(C331,Master_Section!$H:$I,2,FALSE),"")</x:f>
      </x:c>
      <x:c r="D331" s="37">
        <x:f>_xlfn.IFNA(VLOOKUP(E331,Master_Section!$H:$I,2,FALSE),"")</x:f>
      </x:c>
      <x:c r="F331" s="26">
        <x:f>_xlfn.IFNA(VLOOKUP(G331,Master!AE:AF,2,FALSE),"")</x:f>
      </x:c>
      <x:c r="I331" s="24">
        <x:f>_xlfn.IFNA(VLOOKUP(D331,Master_Section!$I:$K,2,FALSE),"")</x:f>
      </x:c>
      <x:c r="J331" s="24">
        <x:f>_xlfn.IFNA(VLOOKUP(D331,Master_Section!$I:$K,3,FALSE),"")</x:f>
      </x:c>
      <x:c r="L331" s="94">
        <x:f>IF(A331&lt;&gt;"CFA",_xlfn.IFNA(VLOOKUP($G331,Master!$AE:$AI,5,0),""),"")</x:f>
      </x:c>
      <x:c r="P331" s="26">
        <x:f>IF(N331&lt;&gt;"",IF(MONTH(N331)&gt;=4,"FY1"&amp;RIGHT(YEAR(N331)+1,2),"FY1"&amp;RIGHT(YEAR(N331),2)),"")</x:f>
      </x:c>
      <x:c r="Q331" s="37">
        <x:f>IF(K331&gt;0&amp;M331&gt;0,K331*M331,"")</x:f>
      </x:c>
    </x:row>
    <x:row r="332" spans="1:18" customFormat="1" ht="15" customHeight="1">
      <x:c r="B332" s="37">
        <x:f>_xlfn.IFNA(VLOOKUP(C332,Master_Section!$H:$I,2,FALSE),"")</x:f>
      </x:c>
      <x:c r="D332" s="37">
        <x:f>_xlfn.IFNA(VLOOKUP(E332,Master_Section!$H:$I,2,FALSE),"")</x:f>
      </x:c>
      <x:c r="F332" s="26">
        <x:f>_xlfn.IFNA(VLOOKUP(G332,Master!AE:AF,2,FALSE),"")</x:f>
      </x:c>
      <x:c r="I332" s="24">
        <x:f>_xlfn.IFNA(VLOOKUP(D332,Master_Section!$I:$K,2,FALSE),"")</x:f>
      </x:c>
      <x:c r="J332" s="24">
        <x:f>_xlfn.IFNA(VLOOKUP(D332,Master_Section!$I:$K,3,FALSE),"")</x:f>
      </x:c>
      <x:c r="L332" s="94">
        <x:f>IF(A332&lt;&gt;"CFA",_xlfn.IFNA(VLOOKUP($G332,Master!$AE:$AI,5,0),""),"")</x:f>
      </x:c>
      <x:c r="P332" s="26">
        <x:f>IF(N332&lt;&gt;"",IF(MONTH(N332)&gt;=4,"FY1"&amp;RIGHT(YEAR(N332)+1,2),"FY1"&amp;RIGHT(YEAR(N332),2)),"")</x:f>
      </x:c>
      <x:c r="Q332" s="37">
        <x:f>IF(K332&gt;0&amp;M332&gt;0,K332*M332,"")</x:f>
      </x:c>
    </x:row>
    <x:row r="333" spans="1:18" customFormat="1" ht="15" customHeight="1">
      <x:c r="B333" s="37">
        <x:f>_xlfn.IFNA(VLOOKUP(C333,Master_Section!$H:$I,2,FALSE),"")</x:f>
      </x:c>
      <x:c r="D333" s="37">
        <x:f>_xlfn.IFNA(VLOOKUP(E333,Master_Section!$H:$I,2,FALSE),"")</x:f>
      </x:c>
      <x:c r="F333" s="26">
        <x:f>_xlfn.IFNA(VLOOKUP(G333,Master!AE:AF,2,FALSE),"")</x:f>
      </x:c>
      <x:c r="I333" s="24">
        <x:f>_xlfn.IFNA(VLOOKUP(D333,Master_Section!$I:$K,2,FALSE),"")</x:f>
      </x:c>
      <x:c r="J333" s="24">
        <x:f>_xlfn.IFNA(VLOOKUP(D333,Master_Section!$I:$K,3,FALSE),"")</x:f>
      </x:c>
      <x:c r="L333" s="94">
        <x:f>IF(A333&lt;&gt;"CFA",_xlfn.IFNA(VLOOKUP($G333,Master!$AE:$AI,5,0),""),"")</x:f>
      </x:c>
      <x:c r="P333" s="26">
        <x:f>IF(N333&lt;&gt;"",IF(MONTH(N333)&gt;=4,"FY1"&amp;RIGHT(YEAR(N333)+1,2),"FY1"&amp;RIGHT(YEAR(N333),2)),"")</x:f>
      </x:c>
      <x:c r="Q333" s="37">
        <x:f>IF(K333&gt;0&amp;M333&gt;0,K333*M333,"")</x:f>
      </x:c>
    </x:row>
    <x:row r="334" spans="1:18" customFormat="1" ht="15" customHeight="1">
      <x:c r="B334" s="37">
        <x:f>_xlfn.IFNA(VLOOKUP(C334,Master_Section!$H:$I,2,FALSE),"")</x:f>
      </x:c>
      <x:c r="D334" s="37">
        <x:f>_xlfn.IFNA(VLOOKUP(E334,Master_Section!$H:$I,2,FALSE),"")</x:f>
      </x:c>
      <x:c r="F334" s="26">
        <x:f>_xlfn.IFNA(VLOOKUP(G334,Master!AE:AF,2,FALSE),"")</x:f>
      </x:c>
      <x:c r="I334" s="24">
        <x:f>_xlfn.IFNA(VLOOKUP(D334,Master_Section!$I:$K,2,FALSE),"")</x:f>
      </x:c>
      <x:c r="J334" s="24">
        <x:f>_xlfn.IFNA(VLOOKUP(D334,Master_Section!$I:$K,3,FALSE),"")</x:f>
      </x:c>
      <x:c r="L334" s="94">
        <x:f>IF(A334&lt;&gt;"CFA",_xlfn.IFNA(VLOOKUP($G334,Master!$AE:$AI,5,0),""),"")</x:f>
      </x:c>
      <x:c r="P334" s="26">
        <x:f>IF(N334&lt;&gt;"",IF(MONTH(N334)&gt;=4,"FY1"&amp;RIGHT(YEAR(N334)+1,2),"FY1"&amp;RIGHT(YEAR(N334),2)),"")</x:f>
      </x:c>
      <x:c r="Q334" s="37">
        <x:f>IF(K334&gt;0&amp;M334&gt;0,K334*M334,"")</x:f>
      </x:c>
    </x:row>
    <x:row r="335" spans="1:18" customFormat="1" ht="15" customHeight="1">
      <x:c r="B335" s="37">
        <x:f>_xlfn.IFNA(VLOOKUP(C335,Master_Section!$H:$I,2,FALSE),"")</x:f>
      </x:c>
      <x:c r="D335" s="37">
        <x:f>_xlfn.IFNA(VLOOKUP(E335,Master_Section!$H:$I,2,FALSE),"")</x:f>
      </x:c>
      <x:c r="F335" s="26">
        <x:f>_xlfn.IFNA(VLOOKUP(G335,Master!AE:AF,2,FALSE),"")</x:f>
      </x:c>
      <x:c r="I335" s="24">
        <x:f>_xlfn.IFNA(VLOOKUP(D335,Master_Section!$I:$K,2,FALSE),"")</x:f>
      </x:c>
      <x:c r="J335" s="24">
        <x:f>_xlfn.IFNA(VLOOKUP(D335,Master_Section!$I:$K,3,FALSE),"")</x:f>
      </x:c>
      <x:c r="L335" s="94">
        <x:f>IF(A335&lt;&gt;"CFA",_xlfn.IFNA(VLOOKUP($G335,Master!$AE:$AI,5,0),""),"")</x:f>
      </x:c>
      <x:c r="P335" s="26">
        <x:f>IF(N335&lt;&gt;"",IF(MONTH(N335)&gt;=4,"FY1"&amp;RIGHT(YEAR(N335)+1,2),"FY1"&amp;RIGHT(YEAR(N335),2)),"")</x:f>
      </x:c>
      <x:c r="Q335" s="37">
        <x:f>IF(K335&gt;0&amp;M335&gt;0,K335*M335,"")</x:f>
      </x:c>
    </x:row>
    <x:row r="336" spans="1:18" customFormat="1" ht="15" customHeight="1">
      <x:c r="B336" s="37">
        <x:f>_xlfn.IFNA(VLOOKUP(C336,Master_Section!$H:$I,2,FALSE),"")</x:f>
      </x:c>
      <x:c r="D336" s="37">
        <x:f>_xlfn.IFNA(VLOOKUP(E336,Master_Section!$H:$I,2,FALSE),"")</x:f>
      </x:c>
      <x:c r="F336" s="26">
        <x:f>_xlfn.IFNA(VLOOKUP(G336,Master!AE:AF,2,FALSE),"")</x:f>
      </x:c>
      <x:c r="I336" s="24">
        <x:f>_xlfn.IFNA(VLOOKUP(D336,Master_Section!$I:$K,2,FALSE),"")</x:f>
      </x:c>
      <x:c r="J336" s="24">
        <x:f>_xlfn.IFNA(VLOOKUP(D336,Master_Section!$I:$K,3,FALSE),"")</x:f>
      </x:c>
      <x:c r="L336" s="94">
        <x:f>IF(A336&lt;&gt;"CFA",_xlfn.IFNA(VLOOKUP($G336,Master!$AE:$AI,5,0),""),"")</x:f>
      </x:c>
      <x:c r="P336" s="26">
        <x:f>IF(N336&lt;&gt;"",IF(MONTH(N336)&gt;=4,"FY1"&amp;RIGHT(YEAR(N336)+1,2),"FY1"&amp;RIGHT(YEAR(N336),2)),"")</x:f>
      </x:c>
      <x:c r="Q336" s="37">
        <x:f>IF(K336&gt;0&amp;M336&gt;0,K336*M336,"")</x:f>
      </x:c>
    </x:row>
    <x:row r="337" spans="1:18" customFormat="1" ht="15" customHeight="1">
      <x:c r="B337" s="37">
        <x:f>_xlfn.IFNA(VLOOKUP(C337,Master_Section!$H:$I,2,FALSE),"")</x:f>
      </x:c>
      <x:c r="D337" s="37">
        <x:f>_xlfn.IFNA(VLOOKUP(E337,Master_Section!$H:$I,2,FALSE),"")</x:f>
      </x:c>
      <x:c r="F337" s="26">
        <x:f>_xlfn.IFNA(VLOOKUP(G337,Master!AE:AF,2,FALSE),"")</x:f>
      </x:c>
      <x:c r="I337" s="24">
        <x:f>_xlfn.IFNA(VLOOKUP(D337,Master_Section!$I:$K,2,FALSE),"")</x:f>
      </x:c>
      <x:c r="J337" s="24">
        <x:f>_xlfn.IFNA(VLOOKUP(D337,Master_Section!$I:$K,3,FALSE),"")</x:f>
      </x:c>
      <x:c r="L337" s="94">
        <x:f>IF(A337&lt;&gt;"CFA",_xlfn.IFNA(VLOOKUP($G337,Master!$AE:$AI,5,0),""),"")</x:f>
      </x:c>
      <x:c r="P337" s="26">
        <x:f>IF(N337&lt;&gt;"",IF(MONTH(N337)&gt;=4,"FY1"&amp;RIGHT(YEAR(N337)+1,2),"FY1"&amp;RIGHT(YEAR(N337),2)),"")</x:f>
      </x:c>
      <x:c r="Q337" s="37">
        <x:f>IF(K337&gt;0&amp;M337&gt;0,K337*M337,"")</x:f>
      </x:c>
    </x:row>
    <x:row r="338" spans="1:18" customFormat="1" ht="15" customHeight="1">
      <x:c r="B338" s="37">
        <x:f>_xlfn.IFNA(VLOOKUP(C338,Master_Section!$H:$I,2,FALSE),"")</x:f>
      </x:c>
      <x:c r="D338" s="37">
        <x:f>_xlfn.IFNA(VLOOKUP(E338,Master_Section!$H:$I,2,FALSE),"")</x:f>
      </x:c>
      <x:c r="F338" s="26">
        <x:f>_xlfn.IFNA(VLOOKUP(G338,Master!AE:AF,2,FALSE),"")</x:f>
      </x:c>
      <x:c r="I338" s="24">
        <x:f>_xlfn.IFNA(VLOOKUP(D338,Master_Section!$I:$K,2,FALSE),"")</x:f>
      </x:c>
      <x:c r="J338" s="24">
        <x:f>_xlfn.IFNA(VLOOKUP(D338,Master_Section!$I:$K,3,FALSE),"")</x:f>
      </x:c>
      <x:c r="L338" s="94">
        <x:f>IF(A338&lt;&gt;"CFA",_xlfn.IFNA(VLOOKUP($G338,Master!$AE:$AI,5,0),""),"")</x:f>
      </x:c>
      <x:c r="P338" s="26">
        <x:f>IF(N338&lt;&gt;"",IF(MONTH(N338)&gt;=4,"FY1"&amp;RIGHT(YEAR(N338)+1,2),"FY1"&amp;RIGHT(YEAR(N338),2)),"")</x:f>
      </x:c>
      <x:c r="Q338" s="37">
        <x:f>IF(K338&gt;0&amp;M338&gt;0,K338*M338,"")</x:f>
      </x:c>
    </x:row>
    <x:row r="339" spans="1:18" customFormat="1" ht="15" customHeight="1">
      <x:c r="B339" s="37">
        <x:f>_xlfn.IFNA(VLOOKUP(C339,Master_Section!$H:$I,2,FALSE),"")</x:f>
      </x:c>
      <x:c r="D339" s="37">
        <x:f>_xlfn.IFNA(VLOOKUP(E339,Master_Section!$H:$I,2,FALSE),"")</x:f>
      </x:c>
      <x:c r="F339" s="26">
        <x:f>_xlfn.IFNA(VLOOKUP(G339,Master!AE:AF,2,FALSE),"")</x:f>
      </x:c>
      <x:c r="I339" s="24">
        <x:f>_xlfn.IFNA(VLOOKUP(D339,Master_Section!$I:$K,2,FALSE),"")</x:f>
      </x:c>
      <x:c r="J339" s="24">
        <x:f>_xlfn.IFNA(VLOOKUP(D339,Master_Section!$I:$K,3,FALSE),"")</x:f>
      </x:c>
      <x:c r="L339" s="94">
        <x:f>IF(A339&lt;&gt;"CFA",_xlfn.IFNA(VLOOKUP($G339,Master!$AE:$AI,5,0),""),"")</x:f>
      </x:c>
      <x:c r="P339" s="26">
        <x:f>IF(N339&lt;&gt;"",IF(MONTH(N339)&gt;=4,"FY1"&amp;RIGHT(YEAR(N339)+1,2),"FY1"&amp;RIGHT(YEAR(N339),2)),"")</x:f>
      </x:c>
      <x:c r="Q339" s="37">
        <x:f>IF(K339&gt;0&amp;M339&gt;0,K339*M339,"")</x:f>
      </x:c>
    </x:row>
    <x:row r="340" spans="1:18" customFormat="1" ht="15" customHeight="1">
      <x:c r="B340" s="37">
        <x:f>_xlfn.IFNA(VLOOKUP(C340,Master_Section!$H:$I,2,FALSE),"")</x:f>
      </x:c>
      <x:c r="D340" s="37">
        <x:f>_xlfn.IFNA(VLOOKUP(E340,Master_Section!$H:$I,2,FALSE),"")</x:f>
      </x:c>
      <x:c r="F340" s="26">
        <x:f>_xlfn.IFNA(VLOOKUP(G340,Master!AE:AF,2,FALSE),"")</x:f>
      </x:c>
      <x:c r="I340" s="24">
        <x:f>_xlfn.IFNA(VLOOKUP(D340,Master_Section!$I:$K,2,FALSE),"")</x:f>
      </x:c>
      <x:c r="J340" s="24">
        <x:f>_xlfn.IFNA(VLOOKUP(D340,Master_Section!$I:$K,3,FALSE),"")</x:f>
      </x:c>
      <x:c r="L340" s="94">
        <x:f>IF(A340&lt;&gt;"CFA",_xlfn.IFNA(VLOOKUP($G340,Master!$AE:$AI,5,0),""),"")</x:f>
      </x:c>
      <x:c r="P340" s="26">
        <x:f>IF(N340&lt;&gt;"",IF(MONTH(N340)&gt;=4,"FY1"&amp;RIGHT(YEAR(N340)+1,2),"FY1"&amp;RIGHT(YEAR(N340),2)),"")</x:f>
      </x:c>
      <x:c r="Q340" s="37">
        <x:f>IF(K340&gt;0&amp;M340&gt;0,K340*M340,"")</x:f>
      </x:c>
    </x:row>
    <x:row r="341" spans="1:18" customFormat="1" ht="15" customHeight="1">
      <x:c r="B341" s="37">
        <x:f>_xlfn.IFNA(VLOOKUP(C341,Master_Section!$H:$I,2,FALSE),"")</x:f>
      </x:c>
      <x:c r="D341" s="37">
        <x:f>_xlfn.IFNA(VLOOKUP(E341,Master_Section!$H:$I,2,FALSE),"")</x:f>
      </x:c>
      <x:c r="F341" s="26">
        <x:f>_xlfn.IFNA(VLOOKUP(G341,Master!AE:AF,2,FALSE),"")</x:f>
      </x:c>
      <x:c r="I341" s="24">
        <x:f>_xlfn.IFNA(VLOOKUP(D341,Master_Section!$I:$K,2,FALSE),"")</x:f>
      </x:c>
      <x:c r="J341" s="24">
        <x:f>_xlfn.IFNA(VLOOKUP(D341,Master_Section!$I:$K,3,FALSE),"")</x:f>
      </x:c>
      <x:c r="L341" s="94">
        <x:f>IF(A341&lt;&gt;"CFA",_xlfn.IFNA(VLOOKUP($G341,Master!$AE:$AI,5,0),""),"")</x:f>
      </x:c>
      <x:c r="P341" s="26">
        <x:f>IF(N341&lt;&gt;"",IF(MONTH(N341)&gt;=4,"FY1"&amp;RIGHT(YEAR(N341)+1,2),"FY1"&amp;RIGHT(YEAR(N341),2)),"")</x:f>
      </x:c>
      <x:c r="Q341" s="37">
        <x:f>IF(K341&gt;0&amp;M341&gt;0,K341*M341,"")</x:f>
      </x:c>
    </x:row>
    <x:row r="342" spans="1:18" customFormat="1" ht="15" customHeight="1">
      <x:c r="B342" s="37">
        <x:f>_xlfn.IFNA(VLOOKUP(C342,Master_Section!$H:$I,2,FALSE),"")</x:f>
      </x:c>
      <x:c r="D342" s="37">
        <x:f>_xlfn.IFNA(VLOOKUP(E342,Master_Section!$H:$I,2,FALSE),"")</x:f>
      </x:c>
      <x:c r="F342" s="26">
        <x:f>_xlfn.IFNA(VLOOKUP(G342,Master!AE:AF,2,FALSE),"")</x:f>
      </x:c>
      <x:c r="I342" s="24">
        <x:f>_xlfn.IFNA(VLOOKUP(D342,Master_Section!$I:$K,2,FALSE),"")</x:f>
      </x:c>
      <x:c r="J342" s="24">
        <x:f>_xlfn.IFNA(VLOOKUP(D342,Master_Section!$I:$K,3,FALSE),"")</x:f>
      </x:c>
      <x:c r="L342" s="94">
        <x:f>IF(A342&lt;&gt;"CFA",_xlfn.IFNA(VLOOKUP($G342,Master!$AE:$AI,5,0),""),"")</x:f>
      </x:c>
      <x:c r="P342" s="26">
        <x:f>IF(N342&lt;&gt;"",IF(MONTH(N342)&gt;=4,"FY1"&amp;RIGHT(YEAR(N342)+1,2),"FY1"&amp;RIGHT(YEAR(N342),2)),"")</x:f>
      </x:c>
      <x:c r="Q342" s="37">
        <x:f>IF(K342&gt;0&amp;M342&gt;0,K342*M342,"")</x:f>
      </x:c>
    </x:row>
    <x:row r="343" spans="1:18" customFormat="1" ht="15" customHeight="1">
      <x:c r="B343" s="37">
        <x:f>_xlfn.IFNA(VLOOKUP(C343,Master_Section!$H:$I,2,FALSE),"")</x:f>
      </x:c>
      <x:c r="F343" s="26">
        <x:f>_xlfn.IFNA(VLOOKUP(G343,Master!AE:AF,2,FALSE),"")</x:f>
      </x:c>
      <x:c r="I343" s="24">
        <x:f>_xlfn.IFNA(VLOOKUP(D343,Master_Section!$I:$K,2,FALSE),"")</x:f>
      </x:c>
      <x:c r="J343" s="24">
        <x:f>_xlfn.IFNA(VLOOKUP(D343,Master_Section!$I:$K,3,FALSE),"")</x:f>
      </x:c>
      <x:c r="L343" s="94">
        <x:f>IF(A343&lt;&gt;"CFA",_xlfn.IFNA(VLOOKUP($G343,Master!$AE:$AI,5,0),""),"")</x:f>
      </x:c>
      <x:c r="P343" s="26">
        <x:f>IF(N343&lt;&gt;"",IF(MONTH(N343)&gt;=4,"FY1"&amp;RIGHT(YEAR(N343)+1,2),"FY1"&amp;RIGHT(YEAR(N343),2)),"")</x:f>
      </x:c>
      <x:c r="Q343" s="37">
        <x:f>IF(K343&gt;0&amp;M343&gt;0,K343*M343,"")</x:f>
      </x:c>
    </x:row>
    <x:row r="344" spans="1:18" customFormat="1" ht="15" customHeight="1">
      <x:c r="B344" s="37">
        <x:f>_xlfn.IFNA(VLOOKUP(C344,Master_Section!$H:$I,2,FALSE),"")</x:f>
      </x:c>
      <x:c r="F344" s="26">
        <x:f>_xlfn.IFNA(VLOOKUP(G344,Master!AE:AF,2,FALSE),"")</x:f>
      </x:c>
      <x:c r="I344" s="24">
        <x:f>_xlfn.IFNA(VLOOKUP(D344,Master_Section!$I:$K,2,FALSE),"")</x:f>
      </x:c>
      <x:c r="J344" s="24">
        <x:f>_xlfn.IFNA(VLOOKUP(D344,Master_Section!$I:$K,3,FALSE),"")</x:f>
      </x:c>
      <x:c r="L344" s="94">
        <x:f>IF(A344&lt;&gt;"CFA",_xlfn.IFNA(VLOOKUP($G344,Master!$AE:$AI,5,0),""),"")</x:f>
      </x:c>
      <x:c r="P344" s="26">
        <x:f>IF(N344&lt;&gt;"",IF(MONTH(N344)&gt;=4,"FY1"&amp;RIGHT(YEAR(N344)+1,2),"FY1"&amp;RIGHT(YEAR(N344),2)),"")</x:f>
      </x:c>
      <x:c r="Q344" s="37">
        <x:f>IF(K344&gt;0&amp;M344&gt;0,K344*M344,"")</x:f>
      </x:c>
    </x:row>
    <x:row r="345" spans="1:18" customFormat="1" ht="15" customHeight="1">
      <x:c r="B345" s="37">
        <x:f>_xlfn.IFNA(VLOOKUP(C345,Master_Section!$H:$I,2,FALSE),"")</x:f>
      </x:c>
      <x:c r="F345" s="26">
        <x:f>_xlfn.IFNA(VLOOKUP(G345,Master!AE:AF,2,FALSE),"")</x:f>
      </x:c>
      <x:c r="I345" s="24">
        <x:f>_xlfn.IFNA(VLOOKUP(D345,Master_Section!$I:$K,2,FALSE),"")</x:f>
      </x:c>
      <x:c r="J345" s="24">
        <x:f>_xlfn.IFNA(VLOOKUP(D345,Master_Section!$I:$K,3,FALSE),"")</x:f>
      </x:c>
      <x:c r="L345" s="94">
        <x:f>IF(A345&lt;&gt;"CFA",_xlfn.IFNA(VLOOKUP($G345,Master!$AE:$AI,5,0),""),"")</x:f>
      </x:c>
      <x:c r="P345" s="26">
        <x:f>IF(N345&lt;&gt;"",IF(MONTH(N345)&gt;=4,"FY1"&amp;RIGHT(YEAR(N345)+1,2),"FY1"&amp;RIGHT(YEAR(N345),2)),"")</x:f>
      </x:c>
      <x:c r="Q345" s="37">
        <x:f>IF(K345&gt;0&amp;M345&gt;0,K345*M345,"")</x:f>
      </x:c>
    </x:row>
    <x:row r="346" spans="1:18" customFormat="1" ht="15" customHeight="1">
      <x:c r="B346" s="37">
        <x:f>_xlfn.IFNA(VLOOKUP(C346,Master_Section!$H:$I,2,FALSE),"")</x:f>
      </x:c>
      <x:c r="F346" s="26">
        <x:f>_xlfn.IFNA(VLOOKUP(G346,Master!AE:AF,2,FALSE),"")</x:f>
      </x:c>
      <x:c r="I346" s="24">
        <x:f>_xlfn.IFNA(VLOOKUP(D346,Master_Section!$I:$K,2,FALSE),"")</x:f>
      </x:c>
      <x:c r="J346" s="24">
        <x:f>_xlfn.IFNA(VLOOKUP(D346,Master_Section!$I:$K,3,FALSE),"")</x:f>
      </x:c>
      <x:c r="L346" s="94">
        <x:f>IF(A346&lt;&gt;"CFA",_xlfn.IFNA(VLOOKUP($G346,Master!$AE:$AI,5,0),""),"")</x:f>
      </x:c>
      <x:c r="P346" s="26">
        <x:f>IF(N346&lt;&gt;"",IF(MONTH(N346)&gt;=4,"FY1"&amp;RIGHT(YEAR(N346)+1,2),"FY1"&amp;RIGHT(YEAR(N346),2)),"")</x:f>
      </x:c>
      <x:c r="Q346" s="37">
        <x:f>IF(K346&gt;0&amp;M346&gt;0,K346*M346,"")</x:f>
      </x:c>
    </x:row>
    <x:row r="347" spans="1:18" customFormat="1" ht="15" customHeight="1">
      <x:c r="B347" s="37">
        <x:f>_xlfn.IFNA(VLOOKUP(C347,Master_Section!$H:$I,2,FALSE),"")</x:f>
      </x:c>
      <x:c r="F347" s="26">
        <x:f>_xlfn.IFNA(VLOOKUP(G347,Master!AE:AF,2,FALSE),"")</x:f>
      </x:c>
      <x:c r="I347" s="24">
        <x:f>_xlfn.IFNA(VLOOKUP(D347,Master_Section!$I:$K,2,FALSE),"")</x:f>
      </x:c>
      <x:c r="J347" s="24">
        <x:f>_xlfn.IFNA(VLOOKUP(D347,Master_Section!$I:$K,3,FALSE),"")</x:f>
      </x:c>
      <x:c r="L347" s="94">
        <x:f>IF(A347&lt;&gt;"CFA",_xlfn.IFNA(VLOOKUP($G347,Master!$AE:$AI,5,0),""),"")</x:f>
      </x:c>
      <x:c r="P347" s="26">
        <x:f>IF(N347&lt;&gt;"",IF(MONTH(N347)&gt;=4,"FY1"&amp;RIGHT(YEAR(N347)+1,2),"FY1"&amp;RIGHT(YEAR(N347),2)),"")</x:f>
      </x:c>
      <x:c r="Q347" s="37">
        <x:f>IF(K347&gt;0&amp;M347&gt;0,K347*M347,"")</x:f>
      </x:c>
    </x:row>
    <x:row r="348" spans="1:18" customFormat="1" ht="15" customHeight="1">
      <x:c r="B348" s="37">
        <x:f>_xlfn.IFNA(VLOOKUP(C348,Master_Section!$H:$I,2,FALSE),"")</x:f>
      </x:c>
      <x:c r="F348" s="26">
        <x:f>_xlfn.IFNA(VLOOKUP(G348,Master!AE:AF,2,FALSE),"")</x:f>
      </x:c>
      <x:c r="I348" s="24">
        <x:f>_xlfn.IFNA(VLOOKUP(D348,Master_Section!$I:$K,2,FALSE),"")</x:f>
      </x:c>
      <x:c r="J348" s="24">
        <x:f>_xlfn.IFNA(VLOOKUP(D348,Master_Section!$I:$K,3,FALSE),"")</x:f>
      </x:c>
      <x:c r="L348" s="94">
        <x:f>IF(A348&lt;&gt;"CFA",_xlfn.IFNA(VLOOKUP($G348,Master!$AE:$AI,5,0),""),"")</x:f>
      </x:c>
      <x:c r="P348" s="26">
        <x:f>IF(N348&lt;&gt;"",IF(MONTH(N348)&gt;=4,"FY1"&amp;RIGHT(YEAR(N348)+1,2),"FY1"&amp;RIGHT(YEAR(N348),2)),"")</x:f>
      </x:c>
      <x:c r="Q348" s="37">
        <x:f>IF(K348&gt;0&amp;M348&gt;0,K348*M348,"")</x:f>
      </x:c>
    </x:row>
    <x:row r="349" spans="1:18" customFormat="1" ht="15" customHeight="1">
      <x:c r="B349" s="37">
        <x:f>_xlfn.IFNA(VLOOKUP(C349,Master_Section!$H:$I,2,FALSE),"")</x:f>
      </x:c>
      <x:c r="F349" s="26">
        <x:f>_xlfn.IFNA(VLOOKUP(G349,Master!AE:AF,2,FALSE),"")</x:f>
      </x:c>
      <x:c r="I349" s="24">
        <x:f>_xlfn.IFNA(VLOOKUP(D349,Master_Section!$I:$K,2,FALSE),"")</x:f>
      </x:c>
      <x:c r="J349" s="24">
        <x:f>_xlfn.IFNA(VLOOKUP(D349,Master_Section!$I:$K,3,FALSE),"")</x:f>
      </x:c>
      <x:c r="L349" s="94">
        <x:f>IF(A349&lt;&gt;"CFA",_xlfn.IFNA(VLOOKUP($G349,Master!$AE:$AI,5,0),""),"")</x:f>
      </x:c>
      <x:c r="P349" s="26">
        <x:f>IF(N349&lt;&gt;"",IF(MONTH(N349)&gt;=4,"FY1"&amp;RIGHT(YEAR(N349)+1,2),"FY1"&amp;RIGHT(YEAR(N349),2)),"")</x:f>
      </x:c>
      <x:c r="Q349" s="37">
        <x:f>IF(K349&gt;0&amp;M349&gt;0,K349*M349,"")</x:f>
      </x:c>
    </x:row>
    <x:row r="350" spans="1:18" customFormat="1" ht="15" customHeight="1">
      <x:c r="B350" s="37">
        <x:f>_xlfn.IFNA(VLOOKUP(C350,Master_Section!$H:$I,2,FALSE),"")</x:f>
      </x:c>
      <x:c r="F350" s="26">
        <x:f>_xlfn.IFNA(VLOOKUP(G350,Master!AE:AF,2,FALSE),"")</x:f>
      </x:c>
      <x:c r="I350" s="24">
        <x:f>_xlfn.IFNA(VLOOKUP(D350,Master_Section!$I:$K,2,FALSE),"")</x:f>
      </x:c>
      <x:c r="J350" s="24">
        <x:f>_xlfn.IFNA(VLOOKUP(D350,Master_Section!$I:$K,3,FALSE),"")</x:f>
      </x:c>
      <x:c r="L350" s="94">
        <x:f>IF(A350&lt;&gt;"CFA",_xlfn.IFNA(VLOOKUP($G350,Master!$AE:$AI,5,0),""),"")</x:f>
      </x:c>
      <x:c r="P350" s="26">
        <x:f>IF(N350&lt;&gt;"",IF(MONTH(N350)&gt;=4,"FY1"&amp;RIGHT(YEAR(N350)+1,2),"FY1"&amp;RIGHT(YEAR(N350),2)),"")</x:f>
      </x:c>
      <x:c r="Q350" s="37">
        <x:f>IF(K350&gt;0&amp;M350&gt;0,K350*M350,"")</x:f>
      </x:c>
    </x:row>
    <x:row r="351" spans="1:18" customFormat="1" ht="15" customHeight="1">
      <x:c r="B351" s="37">
        <x:f>_xlfn.IFNA(VLOOKUP(C351,Master_Section!$H:$I,2,FALSE),"")</x:f>
      </x:c>
      <x:c r="F351" s="26">
        <x:f>_xlfn.IFNA(VLOOKUP(G351,Master!AE:AF,2,FALSE),"")</x:f>
      </x:c>
      <x:c r="I351" s="24">
        <x:f>_xlfn.IFNA(VLOOKUP(D351,Master_Section!$I:$K,2,FALSE),"")</x:f>
      </x:c>
      <x:c r="J351" s="24">
        <x:f>_xlfn.IFNA(VLOOKUP(D351,Master_Section!$I:$K,3,FALSE),"")</x:f>
      </x:c>
      <x:c r="L351" s="94">
        <x:f>IF(A351&lt;&gt;"CFA",_xlfn.IFNA(VLOOKUP($G351,Master!$AE:$AI,5,0),""),"")</x:f>
      </x:c>
      <x:c r="P351" s="26">
        <x:f>IF(N351&lt;&gt;"",IF(MONTH(N351)&gt;=4,"FY1"&amp;RIGHT(YEAR(N351)+1,2),"FY1"&amp;RIGHT(YEAR(N351),2)),"")</x:f>
      </x:c>
      <x:c r="Q351" s="37">
        <x:f>IF(K351&gt;0&amp;M351&gt;0,K351*M351,"")</x:f>
      </x:c>
    </x:row>
    <x:row r="352" spans="1:18" customFormat="1" ht="15" customHeight="1">
      <x:c r="B352" s="37">
        <x:f>_xlfn.IFNA(VLOOKUP(C352,Master_Section!$H:$I,2,FALSE),"")</x:f>
      </x:c>
      <x:c r="F352" s="26">
        <x:f>_xlfn.IFNA(VLOOKUP(G352,Master!AE:AF,2,FALSE),"")</x:f>
      </x:c>
      <x:c r="I352" s="24">
        <x:f>_xlfn.IFNA(VLOOKUP(D352,Master_Section!$I:$K,2,FALSE),"")</x:f>
      </x:c>
      <x:c r="J352" s="24">
        <x:f>_xlfn.IFNA(VLOOKUP(D352,Master_Section!$I:$K,3,FALSE),"")</x:f>
      </x:c>
      <x:c r="L352" s="94">
        <x:f>IF(A352&lt;&gt;"CFA",_xlfn.IFNA(VLOOKUP($G352,Master!$AE:$AI,5,0),""),"")</x:f>
      </x:c>
      <x:c r="P352" s="26">
        <x:f>IF(N352&lt;&gt;"",IF(MONTH(N352)&gt;=4,"FY1"&amp;RIGHT(YEAR(N352)+1,2),"FY1"&amp;RIGHT(YEAR(N352),2)),"")</x:f>
      </x:c>
      <x:c r="Q352" s="37">
        <x:f>IF(K352&gt;0&amp;M352&gt;0,K352*M352,"")</x:f>
      </x:c>
    </x:row>
    <x:row r="353" spans="1:18" customFormat="1" ht="15" customHeight="1">
      <x:c r="B353" s="37">
        <x:f>_xlfn.IFNA(VLOOKUP(C353,Master_Section!$H:$I,2,FALSE),"")</x:f>
      </x:c>
      <x:c r="F353" s="26">
        <x:f>_xlfn.IFNA(VLOOKUP(G353,Master!AE:AF,2,FALSE),"")</x:f>
      </x:c>
      <x:c r="I353" s="24">
        <x:f>_xlfn.IFNA(VLOOKUP(D353,Master_Section!$I:$K,2,FALSE),"")</x:f>
      </x:c>
      <x:c r="J353" s="24">
        <x:f>_xlfn.IFNA(VLOOKUP(D353,Master_Section!$I:$K,3,FALSE),"")</x:f>
      </x:c>
      <x:c r="L353" s="94">
        <x:f>IF(A353&lt;&gt;"CFA",_xlfn.IFNA(VLOOKUP($G353,Master!$AE:$AI,5,0),""),"")</x:f>
      </x:c>
      <x:c r="P353" s="26">
        <x:f>IF(N353&lt;&gt;"",IF(MONTH(N353)&gt;=4,"FY1"&amp;RIGHT(YEAR(N353)+1,2),"FY1"&amp;RIGHT(YEAR(N353),2)),"")</x:f>
      </x:c>
      <x:c r="Q353" s="37">
        <x:f>IF(K353&gt;0&amp;M353&gt;0,K353*M353,"")</x:f>
      </x:c>
    </x:row>
    <x:row r="354" spans="1:18" customFormat="1" ht="15" customHeight="1">
      <x:c r="B354" s="37">
        <x:f>_xlfn.IFNA(VLOOKUP(C354,Master_Section!$H:$I,2,FALSE),"")</x:f>
      </x:c>
      <x:c r="F354" s="26">
        <x:f>_xlfn.IFNA(VLOOKUP(G354,Master!AE:AF,2,FALSE),"")</x:f>
      </x:c>
      <x:c r="I354" s="24">
        <x:f>_xlfn.IFNA(VLOOKUP(D354,Master_Section!$I:$K,2,FALSE),"")</x:f>
      </x:c>
      <x:c r="J354" s="24">
        <x:f>_xlfn.IFNA(VLOOKUP(D354,Master_Section!$I:$K,3,FALSE),"")</x:f>
      </x:c>
      <x:c r="L354" s="94">
        <x:f>IF(A354&lt;&gt;"CFA",_xlfn.IFNA(VLOOKUP($G354,Master!$AE:$AI,5,0),""),"")</x:f>
      </x:c>
      <x:c r="P354" s="26">
        <x:f>IF(N354&lt;&gt;"",IF(MONTH(N354)&gt;=4,"FY1"&amp;RIGHT(YEAR(N354)+1,2),"FY1"&amp;RIGHT(YEAR(N354),2)),"")</x:f>
      </x:c>
      <x:c r="Q354" s="37">
        <x:f>IF(K354&gt;0&amp;M354&gt;0,K354*M354,"")</x:f>
      </x:c>
    </x:row>
    <x:row r="355" spans="1:18" customFormat="1" ht="15" customHeight="1">
      <x:c r="B355" s="37">
        <x:f>_xlfn.IFNA(VLOOKUP(C355,Master_Section!$H:$I,2,FALSE),"")</x:f>
      </x:c>
      <x:c r="F355" s="26">
        <x:f>_xlfn.IFNA(VLOOKUP(G355,Master!AE:AF,2,FALSE),"")</x:f>
      </x:c>
      <x:c r="I355" s="24">
        <x:f>_xlfn.IFNA(VLOOKUP(D355,Master_Section!$I:$K,2,FALSE),"")</x:f>
      </x:c>
      <x:c r="J355" s="24">
        <x:f>_xlfn.IFNA(VLOOKUP(D355,Master_Section!$I:$K,3,FALSE),"")</x:f>
      </x:c>
      <x:c r="L355" s="94">
        <x:f>IF(A355&lt;&gt;"CFA",_xlfn.IFNA(VLOOKUP($G355,Master!$AE:$AI,5,0),""),"")</x:f>
      </x:c>
      <x:c r="P355" s="26">
        <x:f>IF(N355&lt;&gt;"",IF(MONTH(N355)&gt;=4,"FY1"&amp;RIGHT(YEAR(N355)+1,2),"FY1"&amp;RIGHT(YEAR(N355),2)),"")</x:f>
      </x:c>
      <x:c r="Q355" s="37">
        <x:f>IF(K355&gt;0&amp;M355&gt;0,K355*M355,"")</x:f>
      </x:c>
    </x:row>
    <x:row r="356" spans="1:18" customFormat="1" ht="15" customHeight="1">
      <x:c r="B356" s="37">
        <x:f>_xlfn.IFNA(VLOOKUP(C356,Master_Section!$H:$I,2,FALSE),"")</x:f>
      </x:c>
      <x:c r="F356" s="26">
        <x:f>_xlfn.IFNA(VLOOKUP(G356,Master!AE:AF,2,FALSE),"")</x:f>
      </x:c>
      <x:c r="I356" s="24">
        <x:f>_xlfn.IFNA(VLOOKUP(D356,Master_Section!$I:$K,2,FALSE),"")</x:f>
      </x:c>
      <x:c r="J356" s="24">
        <x:f>_xlfn.IFNA(VLOOKUP(D356,Master_Section!$I:$K,3,FALSE),"")</x:f>
      </x:c>
      <x:c r="L356" s="94">
        <x:f>IF(A356&lt;&gt;"CFA",_xlfn.IFNA(VLOOKUP($G356,Master!$AE:$AI,5,0),""),"")</x:f>
      </x:c>
      <x:c r="P356" s="26">
        <x:f>IF(N356&lt;&gt;"",IF(MONTH(N356)&gt;=4,"FY1"&amp;RIGHT(YEAR(N356)+1,2),"FY1"&amp;RIGHT(YEAR(N356),2)),"")</x:f>
      </x:c>
      <x:c r="Q356" s="37">
        <x:f>IF(K356&gt;0&amp;M356&gt;0,K356*M356,"")</x:f>
      </x:c>
    </x:row>
    <x:row r="357" spans="1:18" customFormat="1" ht="15" customHeight="1">
      <x:c r="B357" s="37">
        <x:f>_xlfn.IFNA(VLOOKUP(C357,Master_Section!$H:$I,2,FALSE),"")</x:f>
      </x:c>
      <x:c r="F357" s="26">
        <x:f>_xlfn.IFNA(VLOOKUP(G357,Master!AE:AF,2,FALSE),"")</x:f>
      </x:c>
      <x:c r="I357" s="24">
        <x:f>_xlfn.IFNA(VLOOKUP(D357,Master_Section!$I:$K,2,FALSE),"")</x:f>
      </x:c>
      <x:c r="J357" s="24">
        <x:f>_xlfn.IFNA(VLOOKUP(D357,Master_Section!$I:$K,3,FALSE),"")</x:f>
      </x:c>
      <x:c r="L357" s="94">
        <x:f>IF(A357&lt;&gt;"CFA",_xlfn.IFNA(VLOOKUP($G357,Master!$AE:$AI,5,0),""),"")</x:f>
      </x:c>
      <x:c r="P357" s="26">
        <x:f>IF(N357&lt;&gt;"",IF(MONTH(N357)&gt;=4,"FY1"&amp;RIGHT(YEAR(N357)+1,2),"FY1"&amp;RIGHT(YEAR(N357),2)),"")</x:f>
      </x:c>
      <x:c r="Q357" s="37">
        <x:f>IF(K357&gt;0&amp;M357&gt;0,K357*M357,"")</x:f>
      </x:c>
    </x:row>
    <x:row r="358" spans="1:18" customFormat="1" ht="15" customHeight="1">
      <x:c r="B358" s="37">
        <x:f>_xlfn.IFNA(VLOOKUP(C358,Master_Section!$H:$I,2,FALSE),"")</x:f>
      </x:c>
      <x:c r="F358" s="26">
        <x:f>_xlfn.IFNA(VLOOKUP(G358,Master!AE:AF,2,FALSE),"")</x:f>
      </x:c>
      <x:c r="I358" s="24">
        <x:f>_xlfn.IFNA(VLOOKUP(D358,Master_Section!$I:$K,2,FALSE),"")</x:f>
      </x:c>
      <x:c r="J358" s="24">
        <x:f>_xlfn.IFNA(VLOOKUP(D358,Master_Section!$I:$K,3,FALSE),"")</x:f>
      </x:c>
      <x:c r="L358" s="94">
        <x:f>IF(A358&lt;&gt;"CFA",_xlfn.IFNA(VLOOKUP($G358,Master!$AE:$AI,5,0),""),"")</x:f>
      </x:c>
      <x:c r="P358" s="26">
        <x:f>IF(N358&lt;&gt;"",IF(MONTH(N358)&gt;=4,"FY1"&amp;RIGHT(YEAR(N358)+1,2),"FY1"&amp;RIGHT(YEAR(N358),2)),"")</x:f>
      </x:c>
      <x:c r="Q358" s="37">
        <x:f>IF(K358&gt;0&amp;M358&gt;0,K358*M358,"")</x:f>
      </x:c>
    </x:row>
    <x:row r="359" spans="1:18" customFormat="1" ht="15" customHeight="1">
      <x:c r="B359" s="37">
        <x:f>_xlfn.IFNA(VLOOKUP(C359,Master_Section!$H:$I,2,FALSE),"")</x:f>
      </x:c>
      <x:c r="F359" s="26">
        <x:f>_xlfn.IFNA(VLOOKUP(G359,Master!AE:AF,2,FALSE),"")</x:f>
      </x:c>
      <x:c r="I359" s="24">
        <x:f>_xlfn.IFNA(VLOOKUP(D359,Master_Section!$I:$K,2,FALSE),"")</x:f>
      </x:c>
      <x:c r="J359" s="24">
        <x:f>_xlfn.IFNA(VLOOKUP(D359,Master_Section!$I:$K,3,FALSE),"")</x:f>
      </x:c>
      <x:c r="L359" s="94">
        <x:f>IF(A359&lt;&gt;"CFA",_xlfn.IFNA(VLOOKUP($G359,Master!$AE:$AI,5,0),""),"")</x:f>
      </x:c>
      <x:c r="P359" s="26">
        <x:f>IF(N359&lt;&gt;"",IF(MONTH(N359)&gt;=4,"FY1"&amp;RIGHT(YEAR(N359)+1,2),"FY1"&amp;RIGHT(YEAR(N359),2)),"")</x:f>
      </x:c>
      <x:c r="Q359" s="37">
        <x:f>IF(K359&gt;0&amp;M359&gt;0,K359*M359,"")</x:f>
      </x:c>
    </x:row>
    <x:row r="360" spans="1:18" customFormat="1" ht="15" customHeight="1">
      <x:c r="B360" s="37">
        <x:f>_xlfn.IFNA(VLOOKUP(C360,Master_Section!$H:$I,2,FALSE),"")</x:f>
      </x:c>
      <x:c r="F360" s="26">
        <x:f>_xlfn.IFNA(VLOOKUP(G360,Master!AE:AF,2,FALSE),"")</x:f>
      </x:c>
      <x:c r="I360" s="24">
        <x:f>_xlfn.IFNA(VLOOKUP(D360,Master_Section!$I:$K,2,FALSE),"")</x:f>
      </x:c>
      <x:c r="J360" s="24">
        <x:f>_xlfn.IFNA(VLOOKUP(D360,Master_Section!$I:$K,3,FALSE),"")</x:f>
      </x:c>
      <x:c r="L360" s="94">
        <x:f>IF(A360&lt;&gt;"CFA",_xlfn.IFNA(VLOOKUP($G360,Master!$AE:$AI,5,0),""),"")</x:f>
      </x:c>
      <x:c r="P360" s="26">
        <x:f>IF(N360&lt;&gt;"",IF(MONTH(N360)&gt;=4,"FY1"&amp;RIGHT(YEAR(N360)+1,2),"FY1"&amp;RIGHT(YEAR(N360),2)),"")</x:f>
      </x:c>
      <x:c r="Q360" s="37">
        <x:f>IF(K360&gt;0&amp;M360&gt;0,K360*M360,"")</x:f>
      </x:c>
    </x:row>
    <x:row r="361" spans="1:18" customFormat="1" ht="15" customHeight="1">
      <x:c r="B361" s="37">
        <x:f>_xlfn.IFNA(VLOOKUP(C361,Master_Section!$H:$I,2,FALSE),"")</x:f>
      </x:c>
      <x:c r="F361" s="26">
        <x:f>_xlfn.IFNA(VLOOKUP(G361,Master!AE:AF,2,FALSE),"")</x:f>
      </x:c>
      <x:c r="I361" s="24">
        <x:f>_xlfn.IFNA(VLOOKUP(D361,Master_Section!$I:$K,2,FALSE),"")</x:f>
      </x:c>
      <x:c r="J361" s="24">
        <x:f>_xlfn.IFNA(VLOOKUP(D361,Master_Section!$I:$K,3,FALSE),"")</x:f>
      </x:c>
      <x:c r="L361" s="94">
        <x:f>IF(A361&lt;&gt;"CFA",_xlfn.IFNA(VLOOKUP($G361,Master!$AE:$AI,5,0),""),"")</x:f>
      </x:c>
      <x:c r="P361" s="26">
        <x:f>IF(N361&lt;&gt;"",IF(MONTH(N361)&gt;=4,"FY1"&amp;RIGHT(YEAR(N361)+1,2),"FY1"&amp;RIGHT(YEAR(N361),2)),"")</x:f>
      </x:c>
      <x:c r="Q361" s="37">
        <x:f>IF(K361&gt;0&amp;M361&gt;0,K361*M361,"")</x:f>
      </x:c>
    </x:row>
    <x:row r="362" spans="1:18" customFormat="1" ht="15" customHeight="1">
      <x:c r="B362" s="37">
        <x:f>_xlfn.IFNA(VLOOKUP(C362,Master_Section!$H:$I,2,FALSE),"")</x:f>
      </x:c>
      <x:c r="F362" s="26">
        <x:f>_xlfn.IFNA(VLOOKUP(G362,Master!AE:AF,2,FALSE),"")</x:f>
      </x:c>
      <x:c r="I362" s="24">
        <x:f>_xlfn.IFNA(VLOOKUP(D362,Master_Section!$I:$K,2,FALSE),"")</x:f>
      </x:c>
      <x:c r="J362" s="24">
        <x:f>_xlfn.IFNA(VLOOKUP(D362,Master_Section!$I:$K,3,FALSE),"")</x:f>
      </x:c>
      <x:c r="L362" s="94">
        <x:f>IF(A362&lt;&gt;"CFA",_xlfn.IFNA(VLOOKUP($G362,Master!$AE:$AI,5,0),""),"")</x:f>
      </x:c>
      <x:c r="P362" s="26">
        <x:f>IF(N362&lt;&gt;"",IF(MONTH(N362)&gt;=4,"FY1"&amp;RIGHT(YEAR(N362)+1,2),"FY1"&amp;RIGHT(YEAR(N362),2)),"")</x:f>
      </x:c>
      <x:c r="Q362" s="37">
        <x:f>IF(K362&gt;0&amp;M362&gt;0,K362*M362,"")</x:f>
      </x:c>
    </x:row>
    <x:row r="363" spans="1:18" customFormat="1" ht="15" customHeight="1">
      <x:c r="B363" s="37">
        <x:f>_xlfn.IFNA(VLOOKUP(C363,Master_Section!$H:$I,2,FALSE),"")</x:f>
      </x:c>
      <x:c r="F363" s="26">
        <x:f>_xlfn.IFNA(VLOOKUP(G363,Master!AE:AF,2,FALSE),"")</x:f>
      </x:c>
      <x:c r="I363" s="24">
        <x:f>_xlfn.IFNA(VLOOKUP(D363,Master_Section!$I:$K,2,FALSE),"")</x:f>
      </x:c>
      <x:c r="J363" s="24">
        <x:f>_xlfn.IFNA(VLOOKUP(D363,Master_Section!$I:$K,3,FALSE),"")</x:f>
      </x:c>
      <x:c r="L363" s="94">
        <x:f>IF(A363&lt;&gt;"CFA",_xlfn.IFNA(VLOOKUP($G363,Master!$AE:$AI,5,0),""),"")</x:f>
      </x:c>
      <x:c r="P363" s="26">
        <x:f>IF(N363&lt;&gt;"",IF(MONTH(N363)&gt;=4,"FY1"&amp;RIGHT(YEAR(N363)+1,2),"FY1"&amp;RIGHT(YEAR(N363),2)),"")</x:f>
      </x:c>
      <x:c r="Q363" s="37">
        <x:f>IF(K363&gt;0&amp;M363&gt;0,K363*M363,"")</x:f>
      </x:c>
    </x:row>
    <x:row r="364" spans="1:18" customFormat="1" ht="15" customHeight="1">
      <x:c r="B364" s="37">
        <x:f>_xlfn.IFNA(VLOOKUP(C364,Master_Section!$H:$I,2,FALSE),"")</x:f>
      </x:c>
      <x:c r="F364" s="26">
        <x:f>_xlfn.IFNA(VLOOKUP(G364,Master!AE:AF,2,FALSE),"")</x:f>
      </x:c>
      <x:c r="I364" s="24">
        <x:f>_xlfn.IFNA(VLOOKUP(D364,Master_Section!$I:$K,2,FALSE),"")</x:f>
      </x:c>
      <x:c r="J364" s="24">
        <x:f>_xlfn.IFNA(VLOOKUP(D364,Master_Section!$I:$K,3,FALSE),"")</x:f>
      </x:c>
      <x:c r="L364" s="94">
        <x:f>IF(A364&lt;&gt;"CFA",_xlfn.IFNA(VLOOKUP($G364,Master!$AE:$AI,5,0),""),"")</x:f>
      </x:c>
      <x:c r="P364" s="26">
        <x:f>IF(N364&lt;&gt;"",IF(MONTH(N364)&gt;=4,"FY1"&amp;RIGHT(YEAR(N364)+1,2),"FY1"&amp;RIGHT(YEAR(N364),2)),"")</x:f>
      </x:c>
      <x:c r="Q364" s="37">
        <x:f>IF(K364&gt;0&amp;M364&gt;0,K364*M364,"")</x:f>
      </x:c>
    </x:row>
    <x:row r="365" spans="1:18" customFormat="1" ht="15" customHeight="1">
      <x:c r="B365" s="37">
        <x:f>_xlfn.IFNA(VLOOKUP(C365,Master_Section!$H:$I,2,FALSE),"")</x:f>
      </x:c>
      <x:c r="F365" s="26">
        <x:f>_xlfn.IFNA(VLOOKUP(G365,Master!AE:AF,2,FALSE),"")</x:f>
      </x:c>
      <x:c r="I365" s="24">
        <x:f>_xlfn.IFNA(VLOOKUP(D365,Master_Section!$I:$K,2,FALSE),"")</x:f>
      </x:c>
      <x:c r="J365" s="24">
        <x:f>_xlfn.IFNA(VLOOKUP(D365,Master_Section!$I:$K,3,FALSE),"")</x:f>
      </x:c>
      <x:c r="L365" s="94">
        <x:f>IF(A365&lt;&gt;"CFA",_xlfn.IFNA(VLOOKUP($G365,Master!$AE:$AI,5,0),""),"")</x:f>
      </x:c>
      <x:c r="P365" s="26">
        <x:f>IF(N365&lt;&gt;"",IF(MONTH(N365)&gt;=4,"FY1"&amp;RIGHT(YEAR(N365)+1,2),"FY1"&amp;RIGHT(YEAR(N365),2)),"")</x:f>
      </x:c>
      <x:c r="Q365" s="37">
        <x:f>IF(K365&gt;0&amp;M365&gt;0,K365*M365,"")</x:f>
      </x:c>
    </x:row>
    <x:row r="366" spans="1:18" customFormat="1" ht="15" customHeight="1">
      <x:c r="B366" s="37">
        <x:f>_xlfn.IFNA(VLOOKUP(C366,Master_Section!$H:$I,2,FALSE),"")</x:f>
      </x:c>
      <x:c r="F366" s="26">
        <x:f>_xlfn.IFNA(VLOOKUP(G366,Master!AE:AF,2,FALSE),"")</x:f>
      </x:c>
      <x:c r="I366" s="24">
        <x:f>_xlfn.IFNA(VLOOKUP(D366,Master_Section!$I:$K,2,FALSE),"")</x:f>
      </x:c>
      <x:c r="J366" s="24">
        <x:f>_xlfn.IFNA(VLOOKUP(D366,Master_Section!$I:$K,3,FALSE),"")</x:f>
      </x:c>
      <x:c r="L366" s="94">
        <x:f>IF(A366&lt;&gt;"CFA",_xlfn.IFNA(VLOOKUP($G366,Master!$AE:$AI,5,0),""),"")</x:f>
      </x:c>
      <x:c r="P366" s="26">
        <x:f>IF(N366&lt;&gt;"",IF(MONTH(N366)&gt;=4,"FY1"&amp;RIGHT(YEAR(N366)+1,2),"FY1"&amp;RIGHT(YEAR(N366),2)),"")</x:f>
      </x:c>
      <x:c r="Q366" s="37">
        <x:f>IF(K366&gt;0&amp;M366&gt;0,K366*M366,"")</x:f>
      </x:c>
    </x:row>
    <x:row r="367" spans="1:18" customFormat="1" ht="15" customHeight="1">
      <x:c r="B367" s="37">
        <x:f>_xlfn.IFNA(VLOOKUP(C367,Master_Section!$H:$I,2,FALSE),"")</x:f>
      </x:c>
      <x:c r="F367" s="26">
        <x:f>_xlfn.IFNA(VLOOKUP(G367,Master!AE:AF,2,FALSE),"")</x:f>
      </x:c>
      <x:c r="I367" s="24">
        <x:f>_xlfn.IFNA(VLOOKUP(D367,Master_Section!$I:$K,2,FALSE),"")</x:f>
      </x:c>
      <x:c r="J367" s="24">
        <x:f>_xlfn.IFNA(VLOOKUP(D367,Master_Section!$I:$K,3,FALSE),"")</x:f>
      </x:c>
      <x:c r="L367" s="94">
        <x:f>IF(A367&lt;&gt;"CFA",_xlfn.IFNA(VLOOKUP($G367,Master!$AE:$AI,5,0),""),"")</x:f>
      </x:c>
      <x:c r="P367" s="26">
        <x:f>IF(N367&lt;&gt;"",IF(MONTH(N367)&gt;=4,"FY1"&amp;RIGHT(YEAR(N367)+1,2),"FY1"&amp;RIGHT(YEAR(N367),2)),"")</x:f>
      </x:c>
      <x:c r="Q367" s="37">
        <x:f>IF(K367&gt;0&amp;M367&gt;0,K367*M367,"")</x:f>
      </x:c>
    </x:row>
    <x:row r="368" spans="1:18" customFormat="1" ht="15" customHeight="1">
      <x:c r="B368" s="37">
        <x:f>_xlfn.IFNA(VLOOKUP(C368,Master_Section!$H:$I,2,FALSE),"")</x:f>
      </x:c>
      <x:c r="F368" s="26">
        <x:f>_xlfn.IFNA(VLOOKUP(G368,Master!AE:AF,2,FALSE),"")</x:f>
      </x:c>
      <x:c r="I368" s="24">
        <x:f>_xlfn.IFNA(VLOOKUP(D368,Master_Section!$I:$K,2,FALSE),"")</x:f>
      </x:c>
      <x:c r="J368" s="24">
        <x:f>_xlfn.IFNA(VLOOKUP(D368,Master_Section!$I:$K,3,FALSE),"")</x:f>
      </x:c>
      <x:c r="L368" s="94">
        <x:f>IF(A368&lt;&gt;"CFA",_xlfn.IFNA(VLOOKUP($G368,Master!$AE:$AI,5,0),""),"")</x:f>
      </x:c>
      <x:c r="P368" s="26">
        <x:f>IF(N368&lt;&gt;"",IF(MONTH(N368)&gt;=4,"FY1"&amp;RIGHT(YEAR(N368)+1,2),"FY1"&amp;RIGHT(YEAR(N368),2)),"")</x:f>
      </x:c>
      <x:c r="Q368" s="37">
        <x:f>IF(K368&gt;0&amp;M368&gt;0,K368*M368,"")</x:f>
      </x:c>
    </x:row>
    <x:row r="369" spans="1:18" customFormat="1" ht="15" customHeight="1">
      <x:c r="B369" s="37">
        <x:f>_xlfn.IFNA(VLOOKUP(C369,Master_Section!$H:$I,2,FALSE),"")</x:f>
      </x:c>
      <x:c r="F369" s="26">
        <x:f>_xlfn.IFNA(VLOOKUP(G369,Master!AE:AF,2,FALSE),"")</x:f>
      </x:c>
      <x:c r="I369" s="24">
        <x:f>_xlfn.IFNA(VLOOKUP(D369,Master_Section!$I:$K,2,FALSE),"")</x:f>
      </x:c>
      <x:c r="J369" s="24">
        <x:f>_xlfn.IFNA(VLOOKUP(D369,Master_Section!$I:$K,3,FALSE),"")</x:f>
      </x:c>
      <x:c r="L369" s="94">
        <x:f>IF(A369&lt;&gt;"CFA",_xlfn.IFNA(VLOOKUP($G369,Master!$AE:$AI,5,0),""),"")</x:f>
      </x:c>
      <x:c r="P369" s="26">
        <x:f>IF(N369&lt;&gt;"",IF(MONTH(N369)&gt;=4,"FY1"&amp;RIGHT(YEAR(N369)+1,2),"FY1"&amp;RIGHT(YEAR(N369),2)),"")</x:f>
      </x:c>
      <x:c r="Q369" s="37">
        <x:f>IF(K369&gt;0&amp;M369&gt;0,K369*M369,"")</x:f>
      </x:c>
    </x:row>
    <x:row r="370" spans="1:18" customFormat="1" ht="15" customHeight="1">
      <x:c r="B370" s="37">
        <x:f>_xlfn.IFNA(VLOOKUP(C370,Master_Section!$H:$I,2,FALSE),"")</x:f>
      </x:c>
      <x:c r="F370" s="26">
        <x:f>_xlfn.IFNA(VLOOKUP(G370,Master!AE:AF,2,FALSE),"")</x:f>
      </x:c>
      <x:c r="I370" s="24">
        <x:f>_xlfn.IFNA(VLOOKUP(D370,Master_Section!$I:$K,2,FALSE),"")</x:f>
      </x:c>
      <x:c r="J370" s="24">
        <x:f>_xlfn.IFNA(VLOOKUP(D370,Master_Section!$I:$K,3,FALSE),"")</x:f>
      </x:c>
      <x:c r="L370" s="94">
        <x:f>IF(A370&lt;&gt;"CFA",_xlfn.IFNA(VLOOKUP($G370,Master!$AE:$AI,5,0),""),"")</x:f>
      </x:c>
      <x:c r="P370" s="26">
        <x:f>IF(N370&lt;&gt;"",IF(MONTH(N370)&gt;=4,"FY1"&amp;RIGHT(YEAR(N370)+1,2),"FY1"&amp;RIGHT(YEAR(N370),2)),"")</x:f>
      </x:c>
      <x:c r="Q370" s="37">
        <x:f>IF(K370&gt;0&amp;M370&gt;0,K370*M370,"")</x:f>
      </x:c>
    </x:row>
    <x:row r="371" spans="1:18" customFormat="1" ht="15" customHeight="1">
      <x:c r="B371" s="37">
        <x:f>_xlfn.IFNA(VLOOKUP(C371,Master_Section!$H:$I,2,FALSE),"")</x:f>
      </x:c>
      <x:c r="F371" s="26">
        <x:f>_xlfn.IFNA(VLOOKUP(G371,Master!AE:AF,2,FALSE),"")</x:f>
      </x:c>
      <x:c r="I371" s="24">
        <x:f>_xlfn.IFNA(VLOOKUP(D371,Master_Section!$I:$K,2,FALSE),"")</x:f>
      </x:c>
      <x:c r="J371" s="24">
        <x:f>_xlfn.IFNA(VLOOKUP(D371,Master_Section!$I:$K,3,FALSE),"")</x:f>
      </x:c>
      <x:c r="L371" s="94">
        <x:f>IF(A371&lt;&gt;"CFA",_xlfn.IFNA(VLOOKUP($G371,Master!$AE:$AI,5,0),""),"")</x:f>
      </x:c>
      <x:c r="P371" s="26">
        <x:f>IF(N371&lt;&gt;"",IF(MONTH(N371)&gt;=4,"FY1"&amp;RIGHT(YEAR(N371)+1,2),"FY1"&amp;RIGHT(YEAR(N371),2)),"")</x:f>
      </x:c>
      <x:c r="Q371" s="37">
        <x:f>IF(K371&gt;0&amp;M371&gt;0,K371*M371,"")</x:f>
      </x:c>
    </x:row>
    <x:row r="372" spans="1:18" customFormat="1" ht="15" customHeight="1">
      <x:c r="B372" s="37">
        <x:f>_xlfn.IFNA(VLOOKUP(C372,Master_Section!$H:$I,2,FALSE),"")</x:f>
      </x:c>
      <x:c r="F372" s="26">
        <x:f>_xlfn.IFNA(VLOOKUP(G372,Master!AE:AF,2,FALSE),"")</x:f>
      </x:c>
      <x:c r="I372" s="24">
        <x:f>_xlfn.IFNA(VLOOKUP(D372,Master_Section!$I:$K,2,FALSE),"")</x:f>
      </x:c>
      <x:c r="J372" s="24">
        <x:f>_xlfn.IFNA(VLOOKUP(D372,Master_Section!$I:$K,3,FALSE),"")</x:f>
      </x:c>
      <x:c r="L372" s="94">
        <x:f>IF(A372&lt;&gt;"CFA",_xlfn.IFNA(VLOOKUP($G372,Master!$AE:$AI,5,0),""),"")</x:f>
      </x:c>
      <x:c r="P372" s="26">
        <x:f>IF(N372&lt;&gt;"",IF(MONTH(N372)&gt;=4,"FY1"&amp;RIGHT(YEAR(N372)+1,2),"FY1"&amp;RIGHT(YEAR(N372),2)),"")</x:f>
      </x:c>
      <x:c r="Q372" s="37">
        <x:f>IF(K372&gt;0&amp;M372&gt;0,K372*M372,"")</x:f>
      </x:c>
    </x:row>
    <x:row r="373" spans="1:18" customFormat="1" ht="15" customHeight="1">
      <x:c r="B373" s="37">
        <x:f>_xlfn.IFNA(VLOOKUP(C373,Master_Section!$H:$I,2,FALSE),"")</x:f>
      </x:c>
      <x:c r="F373" s="26">
        <x:f>_xlfn.IFNA(VLOOKUP(G373,Master!AE:AF,2,FALSE),"")</x:f>
      </x:c>
      <x:c r="I373" s="24">
        <x:f>_xlfn.IFNA(VLOOKUP(D373,Master_Section!$I:$K,2,FALSE),"")</x:f>
      </x:c>
      <x:c r="J373" s="24">
        <x:f>_xlfn.IFNA(VLOOKUP(D373,Master_Section!$I:$K,3,FALSE),"")</x:f>
      </x:c>
      <x:c r="L373" s="94">
        <x:f>IF(A373&lt;&gt;"CFA",_xlfn.IFNA(VLOOKUP($G373,Master!$AE:$AI,5,0),""),"")</x:f>
      </x:c>
      <x:c r="P373" s="26">
        <x:f>IF(N373&lt;&gt;"",IF(MONTH(N373)&gt;=4,"FY1"&amp;RIGHT(YEAR(N373)+1,2),"FY1"&amp;RIGHT(YEAR(N373),2)),"")</x:f>
      </x:c>
      <x:c r="Q373" s="37">
        <x:f>IF(K373&gt;0&amp;M373&gt;0,K373*M373,"")</x:f>
      </x:c>
    </x:row>
    <x:row r="374" spans="1:18" customFormat="1" ht="15" customHeight="1">
      <x:c r="B374" s="37">
        <x:f>_xlfn.IFNA(VLOOKUP(C374,Master_Section!$H:$I,2,FALSE),"")</x:f>
      </x:c>
      <x:c r="F374" s="26">
        <x:f>_xlfn.IFNA(VLOOKUP(G374,Master!AE:AF,2,FALSE),"")</x:f>
      </x:c>
      <x:c r="I374" s="24">
        <x:f>_xlfn.IFNA(VLOOKUP(D374,Master_Section!$I:$K,2,FALSE),"")</x:f>
      </x:c>
      <x:c r="J374" s="24">
        <x:f>_xlfn.IFNA(VLOOKUP(D374,Master_Section!$I:$K,3,FALSE),"")</x:f>
      </x:c>
      <x:c r="L374" s="94">
        <x:f>IF(A374&lt;&gt;"CFA",_xlfn.IFNA(VLOOKUP($G374,Master!$AE:$AI,5,0),""),"")</x:f>
      </x:c>
      <x:c r="P374" s="26">
        <x:f>IF(N374&lt;&gt;"",IF(MONTH(N374)&gt;=4,"FY1"&amp;RIGHT(YEAR(N374)+1,2),"FY1"&amp;RIGHT(YEAR(N374),2)),"")</x:f>
      </x:c>
      <x:c r="Q374" s="37">
        <x:f>IF(K374&gt;0&amp;M374&gt;0,K374*M374,"")</x:f>
      </x:c>
    </x:row>
    <x:row r="375" spans="1:18" customFormat="1" ht="15" customHeight="1">
      <x:c r="B375" s="37">
        <x:f>_xlfn.IFNA(VLOOKUP(C375,Master_Section!$H:$I,2,FALSE),"")</x:f>
      </x:c>
      <x:c r="F375" s="26">
        <x:f>_xlfn.IFNA(VLOOKUP(G375,Master!AE:AF,2,FALSE),"")</x:f>
      </x:c>
      <x:c r="I375" s="24">
        <x:f>_xlfn.IFNA(VLOOKUP(D375,Master_Section!$I:$K,2,FALSE),"")</x:f>
      </x:c>
      <x:c r="J375" s="24">
        <x:f>_xlfn.IFNA(VLOOKUP(D375,Master_Section!$I:$K,3,FALSE),"")</x:f>
      </x:c>
      <x:c r="L375" s="94">
        <x:f>IF(A375&lt;&gt;"CFA",_xlfn.IFNA(VLOOKUP($G375,Master!$AE:$AI,5,0),""),"")</x:f>
      </x:c>
      <x:c r="P375" s="26">
        <x:f>IF(N375&lt;&gt;"",IF(MONTH(N375)&gt;=4,"FY1"&amp;RIGHT(YEAR(N375)+1,2),"FY1"&amp;RIGHT(YEAR(N375),2)),"")</x:f>
      </x:c>
      <x:c r="Q375" s="37">
        <x:f>IF(K375&gt;0&amp;M375&gt;0,K375*M375,"")</x:f>
      </x:c>
    </x:row>
    <x:row r="376" spans="1:18" customFormat="1" ht="15" customHeight="1">
      <x:c r="B376" s="37">
        <x:f>_xlfn.IFNA(VLOOKUP(C376,Master_Section!$H:$I,2,FALSE),"")</x:f>
      </x:c>
      <x:c r="F376" s="26">
        <x:f>_xlfn.IFNA(VLOOKUP(G376,Master!AE:AF,2,FALSE),"")</x:f>
      </x:c>
      <x:c r="I376" s="24">
        <x:f>_xlfn.IFNA(VLOOKUP(D376,Master_Section!$I:$K,2,FALSE),"")</x:f>
      </x:c>
      <x:c r="J376" s="24">
        <x:f>_xlfn.IFNA(VLOOKUP(D376,Master_Section!$I:$K,3,FALSE),"")</x:f>
      </x:c>
      <x:c r="L376" s="94">
        <x:f>IF(A376&lt;&gt;"CFA",_xlfn.IFNA(VLOOKUP($G376,Master!$AE:$AI,5,0),""),"")</x:f>
      </x:c>
      <x:c r="P376" s="26">
        <x:f>IF(N376&lt;&gt;"",IF(MONTH(N376)&gt;=4,"FY1"&amp;RIGHT(YEAR(N376)+1,2),"FY1"&amp;RIGHT(YEAR(N376),2)),"")</x:f>
      </x:c>
      <x:c r="Q376" s="37">
        <x:f>IF(K376&gt;0&amp;M376&gt;0,K376*M376,"")</x:f>
      </x:c>
    </x:row>
    <x:row r="377" spans="1:18" customFormat="1" ht="15" customHeight="1">
      <x:c r="B377" s="37">
        <x:f>_xlfn.IFNA(VLOOKUP(C377,Master_Section!$H:$I,2,FALSE),"")</x:f>
      </x:c>
      <x:c r="F377" s="26">
        <x:f>_xlfn.IFNA(VLOOKUP(G377,Master!AE:AF,2,FALSE),"")</x:f>
      </x:c>
      <x:c r="I377" s="24">
        <x:f>_xlfn.IFNA(VLOOKUP(D377,Master_Section!$I:$K,2,FALSE),"")</x:f>
      </x:c>
      <x:c r="J377" s="24">
        <x:f>_xlfn.IFNA(VLOOKUP(D377,Master_Section!$I:$K,3,FALSE),"")</x:f>
      </x:c>
      <x:c r="L377" s="94">
        <x:f>IF(A377&lt;&gt;"CFA",_xlfn.IFNA(VLOOKUP($G377,Master!$AE:$AI,5,0),""),"")</x:f>
      </x:c>
      <x:c r="P377" s="26">
        <x:f>IF(N377&lt;&gt;"",IF(MONTH(N377)&gt;=4,"FY1"&amp;RIGHT(YEAR(N377)+1,2),"FY1"&amp;RIGHT(YEAR(N377),2)),"")</x:f>
      </x:c>
      <x:c r="Q377" s="37">
        <x:f>IF(K377&gt;0&amp;M377&gt;0,K377*M377,"")</x:f>
      </x:c>
    </x:row>
    <x:row r="378" spans="1:18" customFormat="1" ht="15" customHeight="1">
      <x:c r="B378" s="37">
        <x:f>_xlfn.IFNA(VLOOKUP(C378,Master_Section!$H:$I,2,FALSE),"")</x:f>
      </x:c>
      <x:c r="F378" s="26">
        <x:f>_xlfn.IFNA(VLOOKUP(G378,Master!AE:AF,2,FALSE),"")</x:f>
      </x:c>
      <x:c r="I378" s="24">
        <x:f>_xlfn.IFNA(VLOOKUP(D378,Master_Section!$I:$K,2,FALSE),"")</x:f>
      </x:c>
      <x:c r="J378" s="24">
        <x:f>_xlfn.IFNA(VLOOKUP(D378,Master_Section!$I:$K,3,FALSE),"")</x:f>
      </x:c>
      <x:c r="L378" s="94">
        <x:f>IF(A378&lt;&gt;"CFA",_xlfn.IFNA(VLOOKUP($G378,Master!$AE:$AI,5,0),""),"")</x:f>
      </x:c>
      <x:c r="P378" s="26">
        <x:f>IF(N378&lt;&gt;"",IF(MONTH(N378)&gt;=4,"FY1"&amp;RIGHT(YEAR(N378)+1,2),"FY1"&amp;RIGHT(YEAR(N378),2)),"")</x:f>
      </x:c>
      <x:c r="Q378" s="37">
        <x:f>IF(K378&gt;0&amp;M378&gt;0,K378*M378,"")</x:f>
      </x:c>
    </x:row>
    <x:row r="379" spans="1:18" customFormat="1" ht="15" customHeight="1">
      <x:c r="B379" s="37">
        <x:f>_xlfn.IFNA(VLOOKUP(C379,Master_Section!$H:$I,2,FALSE),"")</x:f>
      </x:c>
      <x:c r="F379" s="26">
        <x:f>_xlfn.IFNA(VLOOKUP(G379,Master!AE:AF,2,FALSE),"")</x:f>
      </x:c>
      <x:c r="I379" s="24">
        <x:f>_xlfn.IFNA(VLOOKUP(D379,Master_Section!$I:$K,2,FALSE),"")</x:f>
      </x:c>
      <x:c r="J379" s="24">
        <x:f>_xlfn.IFNA(VLOOKUP(D379,Master_Section!$I:$K,3,FALSE),"")</x:f>
      </x:c>
      <x:c r="L379" s="94">
        <x:f>IF(A379&lt;&gt;"CFA",_xlfn.IFNA(VLOOKUP($G379,Master!$AE:$AI,5,0),""),"")</x:f>
      </x:c>
      <x:c r="P379" s="26">
        <x:f>IF(N379&lt;&gt;"",IF(MONTH(N379)&gt;=4,"FY1"&amp;RIGHT(YEAR(N379)+1,2),"FY1"&amp;RIGHT(YEAR(N379),2)),"")</x:f>
      </x:c>
      <x:c r="Q379" s="37">
        <x:f>IF(K379&gt;0&amp;M379&gt;0,K379*M379,"")</x:f>
      </x:c>
    </x:row>
    <x:row r="380" spans="1:18" customFormat="1" ht="15" customHeight="1">
      <x:c r="B380" s="37">
        <x:f>_xlfn.IFNA(VLOOKUP(C380,Master_Section!$H:$I,2,FALSE),"")</x:f>
      </x:c>
      <x:c r="F380" s="26">
        <x:f>_xlfn.IFNA(VLOOKUP(G380,Master!AE:AF,2,FALSE),"")</x:f>
      </x:c>
      <x:c r="I380" s="24">
        <x:f>_xlfn.IFNA(VLOOKUP(D380,Master_Section!$I:$K,2,FALSE),"")</x:f>
      </x:c>
      <x:c r="J380" s="24">
        <x:f>_xlfn.IFNA(VLOOKUP(D380,Master_Section!$I:$K,3,FALSE),"")</x:f>
      </x:c>
      <x:c r="L380" s="94">
        <x:f>IF(A380&lt;&gt;"CFA",_xlfn.IFNA(VLOOKUP($G380,Master!$AE:$AI,5,0),""),"")</x:f>
      </x:c>
      <x:c r="P380" s="26">
        <x:f>IF(N380&lt;&gt;"",IF(MONTH(N380)&gt;=4,"FY1"&amp;RIGHT(YEAR(N380)+1,2),"FY1"&amp;RIGHT(YEAR(N380),2)),"")</x:f>
      </x:c>
      <x:c r="Q380" s="37">
        <x:f>IF(K380&gt;0&amp;M380&gt;0,K380*M380,"")</x:f>
      </x:c>
    </x:row>
    <x:row r="381" spans="1:18" customFormat="1" ht="15" customHeight="1">
      <x:c r="B381" s="37">
        <x:f>_xlfn.IFNA(VLOOKUP(C381,Master_Section!$H:$I,2,FALSE),"")</x:f>
      </x:c>
      <x:c r="F381" s="26">
        <x:f>_xlfn.IFNA(VLOOKUP(G381,Master!AE:AF,2,FALSE),"")</x:f>
      </x:c>
      <x:c r="I381" s="24">
        <x:f>_xlfn.IFNA(VLOOKUP(D381,Master_Section!$I:$K,2,FALSE),"")</x:f>
      </x:c>
      <x:c r="J381" s="24">
        <x:f>_xlfn.IFNA(VLOOKUP(D381,Master_Section!$I:$K,3,FALSE),"")</x:f>
      </x:c>
      <x:c r="L381" s="94">
        <x:f>IF(A381&lt;&gt;"CFA",_xlfn.IFNA(VLOOKUP($G381,Master!$AE:$AI,5,0),""),"")</x:f>
      </x:c>
      <x:c r="P381" s="26">
        <x:f>IF(N381&lt;&gt;"",IF(MONTH(N381)&gt;=4,"FY1"&amp;RIGHT(YEAR(N381)+1,2),"FY1"&amp;RIGHT(YEAR(N381),2)),"")</x:f>
      </x:c>
      <x:c r="Q381" s="37">
        <x:f>IF(K381&gt;0&amp;M381&gt;0,K381*M381,"")</x:f>
      </x:c>
    </x:row>
    <x:row r="382" spans="1:18" customFormat="1" ht="15" customHeight="1">
      <x:c r="B382" s="37">
        <x:f>_xlfn.IFNA(VLOOKUP(C382,Master_Section!$H:$I,2,FALSE),"")</x:f>
      </x:c>
      <x:c r="F382" s="26">
        <x:f>_xlfn.IFNA(VLOOKUP(G382,Master!AE:AF,2,FALSE),"")</x:f>
      </x:c>
      <x:c r="I382" s="24">
        <x:f>_xlfn.IFNA(VLOOKUP(D382,Master_Section!$I:$K,2,FALSE),"")</x:f>
      </x:c>
      <x:c r="J382" s="24">
        <x:f>_xlfn.IFNA(VLOOKUP(D382,Master_Section!$I:$K,3,FALSE),"")</x:f>
      </x:c>
      <x:c r="L382" s="94">
        <x:f>IF(A382&lt;&gt;"CFA",_xlfn.IFNA(VLOOKUP($G382,Master!$AE:$AI,5,0),""),"")</x:f>
      </x:c>
      <x:c r="P382" s="26">
        <x:f>IF(N382&lt;&gt;"",IF(MONTH(N382)&gt;=4,"FY1"&amp;RIGHT(YEAR(N382)+1,2),"FY1"&amp;RIGHT(YEAR(N382),2)),"")</x:f>
      </x:c>
      <x:c r="Q382" s="37">
        <x:f>IF(K382&gt;0&amp;M382&gt;0,K382*M382,"")</x:f>
      </x:c>
    </x:row>
    <x:row r="383" spans="1:18" customFormat="1" ht="15" customHeight="1">
      <x:c r="F383" s="26">
        <x:f>_xlfn.IFNA(VLOOKUP(G383,Master!AE:AF,2,FALSE),"")</x:f>
      </x:c>
      <x:c r="I383" s="24">
        <x:f>_xlfn.IFNA(VLOOKUP(D383,Master_Section!$I:$K,2,FALSE),"")</x:f>
      </x:c>
      <x:c r="J383" s="24">
        <x:f>_xlfn.IFNA(VLOOKUP(D383,Master_Section!$I:$K,3,FALSE),"")</x:f>
      </x:c>
      <x:c r="L383" s="94">
        <x:f>IF(A383&lt;&gt;"CFA",_xlfn.IFNA(VLOOKUP($G383,Master!$AE:$AI,5,0),""),"")</x:f>
      </x:c>
      <x:c r="P383" s="26">
        <x:f>IF(N383&lt;&gt;"",IF(MONTH(N383)&gt;=4,"FY1"&amp;RIGHT(YEAR(N383)+1,2),"FY1"&amp;RIGHT(YEAR(N383),2)),"")</x:f>
      </x:c>
      <x:c r="Q383" s="37">
        <x:f>IF(K383&gt;0&amp;M383&gt;0,K383*M383,"")</x:f>
      </x:c>
    </x:row>
    <x:row r="384" spans="1:18" customFormat="1" ht="15" customHeight="1">
      <x:c r="F384" s="26">
        <x:f>_xlfn.IFNA(VLOOKUP(G384,Master!AE:AF,2,FALSE),"")</x:f>
      </x:c>
      <x:c r="I384" s="24">
        <x:f>_xlfn.IFNA(VLOOKUP(D384,Master_Section!$I:$K,2,FALSE),"")</x:f>
      </x:c>
      <x:c r="J384" s="24">
        <x:f>_xlfn.IFNA(VLOOKUP(D384,Master_Section!$I:$K,3,FALSE),"")</x:f>
      </x:c>
      <x:c r="L384" s="94">
        <x:f>IF(A384&lt;&gt;"CFA",_xlfn.IFNA(VLOOKUP($G384,Master!$AE:$AI,5,0),""),"")</x:f>
      </x:c>
      <x:c r="P384" s="26">
        <x:f>IF(N384&lt;&gt;"",IF(MONTH(N384)&gt;=4,"FY1"&amp;RIGHT(YEAR(N384)+1,2),"FY1"&amp;RIGHT(YEAR(N384),2)),"")</x:f>
      </x:c>
      <x:c r="Q384" s="37">
        <x:f>IF(K384&gt;0&amp;M384&gt;0,K384*M384,"")</x:f>
      </x:c>
    </x:row>
    <x:row r="385" spans="1:18" customFormat="1" ht="15" customHeight="1">
      <x:c r="L385" s="94">
        <x:f>IF(A385&lt;&gt;"CFA",_xlfn.IFNA(VLOOKUP($G385,Master!$AE:$AI,5,0),""),"")</x:f>
      </x:c>
      <x:c r="P385" s="26">
        <x:f>IF(N385&lt;&gt;"",IF(MONTH(N385)&gt;=4,"FY1"&amp;RIGHT(YEAR(N385)+1,2),"FY1"&amp;RIGHT(YEAR(N385),2)),"")</x:f>
      </x:c>
      <x:c r="Q385" s="37">
        <x:f>IF(K385&gt;0&amp;M385&gt;0,K385*M385,"")</x:f>
      </x:c>
    </x:row>
    <x:row r="386" spans="1:18" customFormat="1" ht="15" customHeight="1">
      <x:c r="L386" s="94">
        <x:f>IF(A386&lt;&gt;"CFA",_xlfn.IFNA(VLOOKUP($G386,Master!$AE:$AI,5,0),""),"")</x:f>
      </x:c>
      <x:c r="P386" s="26">
        <x:f>IF(N386&lt;&gt;"",IF(MONTH(N386)&gt;=4,"FY1"&amp;RIGHT(YEAR(N386)+1,2),"FY1"&amp;RIGHT(YEAR(N386),2)),"")</x:f>
      </x:c>
      <x:c r="Q386" s="37">
        <x:f>IF(K386&gt;0&amp;M386&gt;0,K386*M386,"")</x:f>
      </x:c>
    </x:row>
    <x:row r="387" spans="1:18" customFormat="1" ht="15" customHeight="1">
      <x:c r="L387" s="94">
        <x:f>IF(A387&lt;&gt;"CFA",_xlfn.IFNA(VLOOKUP($G387,Master!$AE:$AI,5,0),""),"")</x:f>
      </x:c>
      <x:c r="Q387" s="37">
        <x:f>IF(K387&gt;0&amp;M387&gt;0,K387*M387,"")</x:f>
      </x:c>
    </x:row>
    <x:row r="388" spans="1:18" customFormat="1" ht="15" customHeight="1">
      <x:c r="L388" s="94">
        <x:f>IF(A388&lt;&gt;"CFA",_xlfn.IFNA(VLOOKUP($G388,Master!$AE:$AI,5,0),""),"")</x:f>
      </x:c>
      <x:c r="Q388" s="37">
        <x:f>IF(K388&gt;0&amp;M388&gt;0,K388*M388,"")</x:f>
      </x:c>
    </x:row>
    <x:row r="389" spans="1:18" customFormat="1" ht="15" customHeight="1">
      <x:c r="L389" s="94">
        <x:f>IF(A389&lt;&gt;"CFA",_xlfn.IFNA(VLOOKUP($G389,Master!$AE:$AI,5,0),""),"")</x:f>
      </x:c>
      <x:c r="Q389" s="37">
        <x:f>IF(K389&gt;0&amp;M389&gt;0,K389*M389,"")</x:f>
      </x:c>
    </x:row>
    <x:row r="390" spans="1:18" customFormat="1" ht="15" customHeight="1">
      <x:c r="L390" s="94">
        <x:f>IF(A390&lt;&gt;"CFA",_xlfn.IFNA(VLOOKUP($G390,Master!$AE:$AI,5,0),""),"")</x:f>
      </x:c>
      <x:c r="Q390" s="37">
        <x:f>IF(K390&gt;0&amp;M390&gt;0,K390*M390,"")</x:f>
      </x:c>
    </x:row>
    <x:row r="391" spans="1:18" customFormat="1" ht="15" customHeight="1">
      <x:c r="L391" s="94">
        <x:f>IF(A391&lt;&gt;"CFA",_xlfn.IFNA(VLOOKUP($G391,Master!$AE:$AI,5,0),""),"")</x:f>
      </x:c>
      <x:c r="Q391" s="37">
        <x:f>IF(K391&gt;0&amp;M391&gt;0,K391*M391,"")</x:f>
      </x:c>
    </x:row>
    <x:row r="392" spans="1:18" customFormat="1" ht="15" customHeight="1">
      <x:c r="L392" s="94">
        <x:f>IF(A392&lt;&gt;"CFA",_xlfn.IFNA(VLOOKUP($G392,Master!$AE:$AI,5,0),""),"")</x:f>
      </x:c>
      <x:c r="Q392" s="37">
        <x:f>IF(K392&gt;0&amp;M392&gt;0,K392*M392,"")</x:f>
      </x:c>
    </x:row>
    <x:row r="393" spans="1:18" customFormat="1" ht="15" customHeight="1">
      <x:c r="L393" s="94">
        <x:f>IF(A393&lt;&gt;"CFA",_xlfn.IFNA(VLOOKUP($G393,Master!$AE:$AI,5,0),""),"")</x:f>
      </x:c>
      <x:c r="Q393" s="37">
        <x:f>IF(K393&gt;0&amp;M393&gt;0,K393*M393,"")</x:f>
      </x:c>
    </x:row>
    <x:row r="394" spans="1:18" customFormat="1" ht="15" customHeight="1">
      <x:c r="L394" s="94">
        <x:f>IF(A394&lt;&gt;"CFA",_xlfn.IFNA(VLOOKUP($G394,Master!$AE:$AI,5,0),""),"")</x:f>
      </x:c>
      <x:c r="Q394" s="37">
        <x:f>IF(K394&gt;0&amp;M394&gt;0,K394*M394,"")</x:f>
      </x:c>
    </x:row>
    <x:row r="395" spans="1:18" customFormat="1" ht="15" customHeight="1">
      <x:c r="L395" s="94">
        <x:f>IF(A395&lt;&gt;"CFA",_xlfn.IFNA(VLOOKUP($G395,Master!$AE:$AI,5,0),""),"")</x:f>
      </x:c>
      <x:c r="Q395" s="37">
        <x:f>IF(K395&gt;0&amp;M395&gt;0,K395*M395,"")</x:f>
      </x:c>
    </x:row>
    <x:row r="396" spans="1:18" customFormat="1" ht="15" customHeight="1">
      <x:c r="L396" s="94">
        <x:f>IF(A396&lt;&gt;"CFA",_xlfn.IFNA(VLOOKUP($G396,Master!$AE:$AI,5,0),""),"")</x:f>
      </x:c>
      <x:c r="Q396" s="37">
        <x:f>IF(K396&gt;0&amp;M396&gt;0,K396*M396,"")</x:f>
      </x:c>
    </x:row>
    <x:row r="397" spans="1:18" customFormat="1" ht="15" customHeight="1">
      <x:c r="L397" s="94">
        <x:f>IF(A397&lt;&gt;"CFA",_xlfn.IFNA(VLOOKUP($G397,Master!$AE:$AI,5,0),""),"")</x:f>
      </x:c>
      <x:c r="Q397" s="37">
        <x:f>IF(K397&gt;0&amp;M397&gt;0,K397*M397,"")</x:f>
      </x:c>
    </x:row>
    <x:row r="398" spans="1:18" customFormat="1" ht="15" customHeight="1">
      <x:c r="L398" s="94">
        <x:f>IF(A398&lt;&gt;"CFA",_xlfn.IFNA(VLOOKUP($G398,Master!$AE:$AI,5,0),""),"")</x:f>
      </x:c>
      <x:c r="Q398" s="37">
        <x:f>IF(K398&gt;0&amp;M398&gt;0,K398*M398,"")</x:f>
      </x:c>
    </x:row>
    <x:row r="399" spans="1:18" customFormat="1" ht="15" customHeight="1">
      <x:c r="L399" s="94">
        <x:f>IF(A399&lt;&gt;"CFA",_xlfn.IFNA(VLOOKUP($G399,Master!$AE:$AI,5,0),""),"")</x:f>
      </x:c>
      <x:c r="Q399" s="37">
        <x:f>IF(K399&gt;0&amp;M399&gt;0,K399*M399,"")</x:f>
      </x:c>
    </x:row>
    <x:row r="400" spans="1:18" customFormat="1" ht="15" customHeight="1">
      <x:c r="L400" s="94">
        <x:f>IF(A400&lt;&gt;"CFA",_xlfn.IFNA(VLOOKUP($G400,Master!$AE:$AI,5,0),""),"")</x:f>
      </x:c>
      <x:c r="Q400" s="37">
        <x:f>IF(K400&gt;0&amp;M400&gt;0,K400*M400,"")</x:f>
      </x:c>
    </x:row>
    <x:row r="401" spans="1:18" customFormat="1" ht="15" customHeight="1">
      <x:c r="L401" s="94">
        <x:f>IF(A401&lt;&gt;"CFA",_xlfn.IFNA(VLOOKUP($G401,Master!$AE:$AI,5,0),""),"")</x:f>
      </x:c>
      <x:c r="Q401" s="37">
        <x:f>IF(K401&gt;0&amp;M401&gt;0,K401*M401,"")</x:f>
      </x:c>
    </x:row>
    <x:row r="402" spans="1:18" customFormat="1" ht="15" customHeight="1">
      <x:c r="L402" s="94">
        <x:f>IF(A402&lt;&gt;"CFA",_xlfn.IFNA(VLOOKUP($G402,Master!$AE:$AI,5,0),""),"")</x:f>
      </x:c>
      <x:c r="Q402" s="37">
        <x:f>IF(K402&gt;0&amp;M402&gt;0,K402*M402,"")</x:f>
      </x:c>
    </x:row>
    <x:row r="403" spans="1:18" customFormat="1" ht="15" customHeight="1">
      <x:c r="L403" s="94">
        <x:f>IF(A403&lt;&gt;"CFA",_xlfn.IFNA(VLOOKUP($G403,Master!$AE:$AI,5,0),""),"")</x:f>
      </x:c>
      <x:c r="Q403" s="37">
        <x:f>IF(K403&gt;0&amp;M403&gt;0,K403*M403,"")</x:f>
      </x:c>
    </x:row>
    <x:row r="404" spans="1:18" customFormat="1" ht="15" customHeight="1">
      <x:c r="L404" s="94">
        <x:f>IF(A404&lt;&gt;"CFA",_xlfn.IFNA(VLOOKUP($G404,Master!$AE:$AI,5,0),""),"")</x:f>
      </x:c>
      <x:c r="Q404" s="37">
        <x:f>IF(K404&gt;0&amp;M404&gt;0,K404*M404,"")</x:f>
      </x:c>
    </x:row>
    <x:row r="405" spans="1:18" customFormat="1" ht="15" customHeight="1">
      <x:c r="L405" s="94">
        <x:f>IF(A405&lt;&gt;"CFA",_xlfn.IFNA(VLOOKUP($G405,Master!$AE:$AI,5,0),""),"")</x:f>
      </x:c>
      <x:c r="Q405" s="37">
        <x:f>IF(K405&gt;0&amp;M405&gt;0,K405*M405,"")</x:f>
      </x:c>
    </x:row>
    <x:row r="406" spans="1:18" customFormat="1" ht="15" customHeight="1">
      <x:c r="L406" s="94">
        <x:f>IF(A406&lt;&gt;"CFA",_xlfn.IFNA(VLOOKUP($G406,Master!$AE:$AI,5,0),""),"")</x:f>
      </x:c>
      <x:c r="Q406" s="37">
        <x:f>IF(K406&gt;0&amp;M406&gt;0,K406*M406,"")</x:f>
      </x:c>
    </x:row>
    <x:row r="407" spans="1:18" customFormat="1" ht="15" customHeight="1">
      <x:c r="L407" s="94">
        <x:f>IF(A407&lt;&gt;"CFA",_xlfn.IFNA(VLOOKUP($G407,Master!$AE:$AI,5,0),""),"")</x:f>
      </x:c>
      <x:c r="Q407" s="37">
        <x:f>IF(K407&gt;0&amp;M407&gt;0,K407*M407,"")</x:f>
      </x:c>
    </x:row>
    <x:row r="408" spans="1:18" customFormat="1" ht="15" customHeight="1">
      <x:c r="L408" s="94">
        <x:f>IF(A408&lt;&gt;"CFA",_xlfn.IFNA(VLOOKUP($G408,Master!$AE:$AI,5,0),""),"")</x:f>
      </x:c>
      <x:c r="Q408" s="37">
        <x:f>IF(K408&gt;0&amp;M408&gt;0,K408*M408,"")</x:f>
      </x:c>
    </x:row>
    <x:row r="409" spans="1:18" customFormat="1" ht="15" customHeight="1">
      <x:c r="L409" s="94">
        <x:f>IF(A409&lt;&gt;"CFA",_xlfn.IFNA(VLOOKUP($G409,Master!$AE:$AI,5,0),""),"")</x:f>
      </x:c>
      <x:c r="Q409" s="37">
        <x:f>IF(K409&gt;0&amp;M409&gt;0,K409*M409,"")</x:f>
      </x:c>
    </x:row>
    <x:row r="410" spans="1:18" customFormat="1" ht="15" customHeight="1">
      <x:c r="L410" s="94">
        <x:f>IF(A410&lt;&gt;"CFA",_xlfn.IFNA(VLOOKUP($G410,Master!$AE:$AI,5,0),""),"")</x:f>
      </x:c>
      <x:c r="Q410" s="37">
        <x:f>IF(K410&gt;0&amp;M410&gt;0,K410*M410,"")</x:f>
      </x:c>
    </x:row>
    <x:row r="411" spans="1:18" customFormat="1" ht="15" customHeight="1">
      <x:c r="L411" s="94">
        <x:f>IF(A411&lt;&gt;"CFA",_xlfn.IFNA(VLOOKUP($G411,Master!$AE:$AI,5,0),""),"")</x:f>
      </x:c>
      <x:c r="Q411" s="37">
        <x:f>IF(K411&gt;0&amp;M411&gt;0,K411*M411,"")</x:f>
      </x:c>
    </x:row>
    <x:row r="412" spans="1:18" customFormat="1" ht="15" customHeight="1">
      <x:c r="L412" s="94">
        <x:f>IF(A412&lt;&gt;"CFA",_xlfn.IFNA(VLOOKUP($G412,Master!$AE:$AI,5,0),""),"")</x:f>
      </x:c>
      <x:c r="Q412" s="37">
        <x:f>IF(K412&gt;0&amp;M412&gt;0,K412*M412,"")</x:f>
      </x:c>
    </x:row>
    <x:row r="413" spans="1:18" customFormat="1" ht="15" customHeight="1">
      <x:c r="L413" s="94">
        <x:f>IF(A413&lt;&gt;"CFA",_xlfn.IFNA(VLOOKUP($G413,Master!$AE:$AI,5,0),""),"")</x:f>
      </x:c>
      <x:c r="Q413" s="37">
        <x:f>IF(K413&gt;0&amp;M413&gt;0,K413*M413,"")</x:f>
      </x:c>
    </x:row>
    <x:row r="414" spans="1:18" customFormat="1" ht="15" customHeight="1">
      <x:c r="L414" s="94">
        <x:f>IF(A414&lt;&gt;"CFA",_xlfn.IFNA(VLOOKUP($G414,Master!$AE:$AI,5,0),""),"")</x:f>
      </x:c>
      <x:c r="Q414" s="37">
        <x:f>IF(K414&gt;0&amp;M414&gt;0,K414*M414,"")</x:f>
      </x:c>
    </x:row>
    <x:row r="415" spans="1:18" customFormat="1" ht="15" customHeight="1">
      <x:c r="L415" s="94">
        <x:f>IF(A415&lt;&gt;"CFA",_xlfn.IFNA(VLOOKUP($G415,Master!$AE:$AI,5,0),""),"")</x:f>
      </x:c>
      <x:c r="Q415" s="37">
        <x:f>IF(K415&gt;0&amp;M415&gt;0,K415*M415,"")</x:f>
      </x:c>
    </x:row>
    <x:row r="416" spans="1:18" customFormat="1" ht="15" customHeight="1">
      <x:c r="L416" s="94">
        <x:f>IF(A416&lt;&gt;"CFA",_xlfn.IFNA(VLOOKUP($G416,Master!$AE:$AI,5,0),""),"")</x:f>
      </x:c>
      <x:c r="Q416" s="37">
        <x:f>IF(K416&gt;0&amp;M416&gt;0,K416*M416,"")</x:f>
      </x:c>
    </x:row>
    <x:row r="417" spans="1:18" customFormat="1" ht="15" customHeight="1">
      <x:c r="L417" s="94">
        <x:f>IF(A417&lt;&gt;"CFA",_xlfn.IFNA(VLOOKUP($G417,Master!$AE:$AI,5,0),""),"")</x:f>
      </x:c>
      <x:c r="Q417" s="37">
        <x:f>IF(K417&gt;0&amp;M417&gt;0,K417*M417,"")</x:f>
      </x:c>
    </x:row>
    <x:row r="418" spans="1:18" customFormat="1" ht="15" customHeight="1">
      <x:c r="L418" s="94">
        <x:f>IF(A418&lt;&gt;"CFA",_xlfn.IFNA(VLOOKUP($G418,Master!$AE:$AI,5,0),""),"")</x:f>
      </x:c>
      <x:c r="Q418" s="37">
        <x:f>IF(K418&gt;0&amp;M418&gt;0,K418*M418,"")</x:f>
      </x:c>
    </x:row>
    <x:row r="419" spans="1:18" customFormat="1" ht="15" customHeight="1">
      <x:c r="L419" s="94">
        <x:f>IF(A419&lt;&gt;"CFA",_xlfn.IFNA(VLOOKUP($G419,Master!$AE:$AI,5,0),""),"")</x:f>
      </x:c>
      <x:c r="Q419" s="37">
        <x:f>IF(K419&gt;0&amp;M419&gt;0,K419*M419,"")</x:f>
      </x:c>
    </x:row>
    <x:row r="420" spans="1:18" customFormat="1" ht="15" customHeight="1">
      <x:c r="L420" s="94">
        <x:f>IF(A420&lt;&gt;"CFA",_xlfn.IFNA(VLOOKUP($G420,Master!$AE:$AI,5,0),""),"")</x:f>
      </x:c>
      <x:c r="Q420" s="37">
        <x:f>IF(K420&gt;0&amp;M420&gt;0,K420*M420,"")</x:f>
      </x:c>
    </x:row>
    <x:row r="421" spans="1:18" customFormat="1" ht="15" customHeight="1">
      <x:c r="L421" s="94">
        <x:f>IF(A421&lt;&gt;"CFA",_xlfn.IFNA(VLOOKUP($G421,Master!$AE:$AI,5,0),""),"")</x:f>
      </x:c>
      <x:c r="Q421" s="37">
        <x:f>IF(K421&gt;0&amp;M421&gt;0,K421*M421,"")</x:f>
      </x:c>
    </x:row>
    <x:row r="422" spans="1:18" customFormat="1" ht="15" customHeight="1">
      <x:c r="L422" s="94">
        <x:f>IF(A422&lt;&gt;"CFA",_xlfn.IFNA(VLOOKUP($G422,Master!$AE:$AI,5,0),""),"")</x:f>
      </x:c>
      <x:c r="Q422" s="37">
        <x:f>IF(K422&gt;0&amp;M422&gt;0,K422*M422,"")</x:f>
      </x:c>
    </x:row>
    <x:row r="423" spans="1:18" customFormat="1" ht="15" customHeight="1">
      <x:c r="L423" s="94">
        <x:f>IF(A423&lt;&gt;"CFA",_xlfn.IFNA(VLOOKUP($G423,Master!$AE:$AI,5,0),""),"")</x:f>
      </x:c>
      <x:c r="Q423" s="37">
        <x:f>IF(K423&gt;0&amp;M423&gt;0,K423*M423,"")</x:f>
      </x:c>
    </x:row>
    <x:row r="424" spans="1:18" customFormat="1" ht="15" customHeight="1">
      <x:c r="L424" s="94">
        <x:f>IF(A424&lt;&gt;"CFA",_xlfn.IFNA(VLOOKUP($G424,Master!$AE:$AI,5,0),""),"")</x:f>
      </x:c>
      <x:c r="Q424" s="37">
        <x:f>IF(K424&gt;0&amp;M424&gt;0,K424*M424,"")</x:f>
      </x:c>
    </x:row>
    <x:row r="425" spans="1:18" customFormat="1" ht="15" customHeight="1">
      <x:c r="L425" s="94">
        <x:f>IF(A425&lt;&gt;"CFA",_xlfn.IFNA(VLOOKUP($G425,Master!$AE:$AI,5,0),""),"")</x:f>
      </x:c>
      <x:c r="Q425" s="37">
        <x:f>IF(K425&gt;0&amp;M425&gt;0,K425*M425,"")</x:f>
      </x:c>
    </x:row>
    <x:row r="426" spans="1:18" customFormat="1" ht="15" customHeight="1">
      <x:c r="L426" s="94">
        <x:f>IF(A426&lt;&gt;"CFA",_xlfn.IFNA(VLOOKUP($G426,Master!$AE:$AI,5,0),""),"")</x:f>
      </x:c>
      <x:c r="Q426" s="37">
        <x:f>IF(K426&gt;0&amp;M426&gt;0,K426*M426,"")</x:f>
      </x:c>
    </x:row>
    <x:row r="427" spans="1:18" customFormat="1" ht="15" customHeight="1">
      <x:c r="L427" s="94">
        <x:f>IF(A427&lt;&gt;"CFA",_xlfn.IFNA(VLOOKUP($G427,Master!$AE:$AI,5,0),""),"")</x:f>
      </x:c>
      <x:c r="Q427" s="37">
        <x:f>IF(K427&gt;0&amp;M427&gt;0,K427*M427,"")</x:f>
      </x:c>
    </x:row>
    <x:row r="428" spans="1:18" customFormat="1" ht="15" customHeight="1">
      <x:c r="L428" s="94">
        <x:f>IF(A428&lt;&gt;"CFA",_xlfn.IFNA(VLOOKUP($G428,Master!$AE:$AI,5,0),""),"")</x:f>
      </x:c>
      <x:c r="Q428" s="37">
        <x:f>IF(K428&gt;0&amp;M428&gt;0,K428*M428,"")</x:f>
      </x:c>
    </x:row>
    <x:row r="429" spans="1:18" customFormat="1" ht="15" customHeight="1">
      <x:c r="L429" s="94">
        <x:f>IF(A429&lt;&gt;"CFA",_xlfn.IFNA(VLOOKUP($G429,Master!$AE:$AI,5,0),""),"")</x:f>
      </x:c>
      <x:c r="Q429" s="37">
        <x:f>IF(K429&gt;0&amp;M429&gt;0,K429*M429,"")</x:f>
      </x:c>
    </x:row>
    <x:row r="430" spans="1:18" customFormat="1" ht="15" customHeight="1">
      <x:c r="L430" s="94">
        <x:f>IF(A430&lt;&gt;"CFA",_xlfn.IFNA(VLOOKUP($G430,Master!$AE:$AI,5,0),""),"")</x:f>
      </x:c>
      <x:c r="Q430" s="37">
        <x:f>IF(K430&gt;0&amp;M430&gt;0,K430*M430,"")</x:f>
      </x:c>
    </x:row>
    <x:row r="431" spans="1:18" customFormat="1" ht="15" customHeight="1">
      <x:c r="L431" s="94">
        <x:f>IF(A431&lt;&gt;"CFA",_xlfn.IFNA(VLOOKUP($G431,Master!$AE:$AI,5,0),""),"")</x:f>
      </x:c>
      <x:c r="Q431" s="37">
        <x:f>IF(K431&gt;0&amp;M431&gt;0,K431*M431,"")</x:f>
      </x:c>
    </x:row>
    <x:row r="432" spans="1:18" customFormat="1" ht="15" customHeight="1">
      <x:c r="L432" s="94">
        <x:f>IF(A432&lt;&gt;"CFA",_xlfn.IFNA(VLOOKUP($G432,Master!$AE:$AI,5,0),""),"")</x:f>
      </x:c>
      <x:c r="Q432" s="37">
        <x:f>IF(K432&gt;0&amp;M432&gt;0,K432*M432,"")</x:f>
      </x:c>
    </x:row>
    <x:row r="433" spans="1:18" customFormat="1" ht="15" customHeight="1">
      <x:c r="L433" s="94">
        <x:f>IF(A433&lt;&gt;"CFA",_xlfn.IFNA(VLOOKUP($G433,Master!$AE:$AI,5,0),""),"")</x:f>
      </x:c>
      <x:c r="Q433" s="37">
        <x:f>IF(K433&gt;0&amp;M433&gt;0,K433*M433,"")</x:f>
      </x:c>
    </x:row>
    <x:row r="434" spans="1:18" customFormat="1" ht="15" customHeight="1">
      <x:c r="L434" s="94">
        <x:f>IF(A434&lt;&gt;"CFA",_xlfn.IFNA(VLOOKUP($G434,Master!$AE:$AI,5,0),""),"")</x:f>
      </x:c>
      <x:c r="Q434" s="37">
        <x:f>IF(K434&gt;0&amp;M434&gt;0,K434*M434,"")</x:f>
      </x:c>
    </x:row>
    <x:row r="435" spans="1:18" customFormat="1" ht="15" customHeight="1">
      <x:c r="L435" s="94">
        <x:f>IF(A435&lt;&gt;"CFA",_xlfn.IFNA(VLOOKUP($G435,Master!$AE:$AI,5,0),""),"")</x:f>
      </x:c>
      <x:c r="Q435" s="37">
        <x:f>IF(K435&gt;0&amp;M435&gt;0,K435*M435,"")</x:f>
      </x:c>
    </x:row>
    <x:row r="436" spans="1:18" customFormat="1" ht="15" customHeight="1">
      <x:c r="L436" s="94">
        <x:f>IF(A436&lt;&gt;"CFA",_xlfn.IFNA(VLOOKUP($G436,Master!$AE:$AI,5,0),""),"")</x:f>
      </x:c>
      <x:c r="Q436" s="37">
        <x:f>IF(K436&gt;0&amp;M436&gt;0,K436*M436,"")</x:f>
      </x:c>
    </x:row>
    <x:row r="437" spans="1:18" customFormat="1" ht="15" customHeight="1">
      <x:c r="L437" s="94">
        <x:f>IF(A437&lt;&gt;"CFA",_xlfn.IFNA(VLOOKUP($G437,Master!$AE:$AI,5,0),""),"")</x:f>
      </x:c>
      <x:c r="Q437" s="37">
        <x:f>IF(K437&gt;0&amp;M437&gt;0,K437*M437,"")</x:f>
      </x:c>
    </x:row>
    <x:row r="438" spans="1:18" customFormat="1" ht="15" customHeight="1">
      <x:c r="L438" s="94">
        <x:f>IF(A438&lt;&gt;"CFA",_xlfn.IFNA(VLOOKUP($G438,Master!$AE:$AI,5,0),""),"")</x:f>
      </x:c>
      <x:c r="Q438" s="37">
        <x:f>IF(K438&gt;0&amp;M438&gt;0,K438*M438,"")</x:f>
      </x:c>
    </x:row>
    <x:row r="439" spans="1:18" customFormat="1" ht="15" customHeight="1">
      <x:c r="L439" s="94">
        <x:f>IF(A439&lt;&gt;"CFA",_xlfn.IFNA(VLOOKUP($G439,Master!$AE:$AI,5,0),""),"")</x:f>
      </x:c>
      <x:c r="Q439" s="37">
        <x:f>IF(K439&gt;0&amp;M439&gt;0,K439*M439,"")</x:f>
      </x:c>
    </x:row>
    <x:row r="440" spans="1:18" customFormat="1" ht="15" customHeight="1">
      <x:c r="L440" s="94">
        <x:f>IF(A440&lt;&gt;"CFA",_xlfn.IFNA(VLOOKUP($G440,Master!$AE:$AI,5,0),""),"")</x:f>
      </x:c>
      <x:c r="Q440" s="37">
        <x:f>IF(K440&gt;0&amp;M440&gt;0,K440*M440,"")</x:f>
      </x:c>
    </x:row>
    <x:row r="441" spans="1:18" customFormat="1" ht="15" customHeight="1">
      <x:c r="L441" s="94">
        <x:f>IF(A441&lt;&gt;"CFA",_xlfn.IFNA(VLOOKUP($G441,Master!$AE:$AI,5,0),""),"")</x:f>
      </x:c>
      <x:c r="Q441" s="37">
        <x:f>IF(K441&gt;0&amp;M441&gt;0,K441*M441,"")</x:f>
      </x:c>
    </x:row>
    <x:row r="442" spans="1:18" customFormat="1" ht="15" customHeight="1">
      <x:c r="L442" s="94">
        <x:f>IF(A442&lt;&gt;"CFA",_xlfn.IFNA(VLOOKUP($G442,Master!$AE:$AI,5,0),""),"")</x:f>
      </x:c>
      <x:c r="Q442" s="37">
        <x:f>IF(K442&gt;0&amp;M442&gt;0,K442*M442,"")</x:f>
      </x:c>
    </x:row>
    <x:row r="443" spans="1:18" customFormat="1" ht="15" customHeight="1">
      <x:c r="L443" s="94">
        <x:f>IF(A443&lt;&gt;"CFA",_xlfn.IFNA(VLOOKUP($G443,Master!$AE:$AI,5,0),""),"")</x:f>
      </x:c>
      <x:c r="Q443" s="37">
        <x:f>IF(K443&gt;0&amp;M443&gt;0,K443*M443,"")</x:f>
      </x:c>
    </x:row>
    <x:row r="444" spans="1:18" customFormat="1" ht="15" customHeight="1">
      <x:c r="L444" s="94">
        <x:f>IF(A444&lt;&gt;"CFA",_xlfn.IFNA(VLOOKUP($G444,Master!$AE:$AI,5,0),""),"")</x:f>
      </x:c>
      <x:c r="Q444" s="37">
        <x:f>IF(K444&gt;0&amp;M444&gt;0,K444*M444,"")</x:f>
      </x:c>
    </x:row>
    <x:row r="445" spans="1:18" customFormat="1" ht="15" customHeight="1">
      <x:c r="L445" s="94">
        <x:f>IF(A445&lt;&gt;"CFA",_xlfn.IFNA(VLOOKUP($G445,Master!$AE:$AI,5,0),""),"")</x:f>
      </x:c>
      <x:c r="Q445" s="37">
        <x:f>IF(K445&gt;0&amp;M445&gt;0,K445*M445,"")</x:f>
      </x:c>
    </x:row>
    <x:row r="446" spans="1:18" customFormat="1" ht="15" customHeight="1">
      <x:c r="L446" s="94">
        <x:f>IF(A446&lt;&gt;"CFA",_xlfn.IFNA(VLOOKUP($G446,Master!$AE:$AI,5,0),""),"")</x:f>
      </x:c>
      <x:c r="Q446" s="37">
        <x:f>IF(K446&gt;0&amp;M446&gt;0,K446*M446,"")</x:f>
      </x:c>
    </x:row>
    <x:row r="447" spans="1:18" customFormat="1" ht="15" customHeight="1">
      <x:c r="L447" s="94">
        <x:f>IF(A447&lt;&gt;"CFA",_xlfn.IFNA(VLOOKUP($G447,Master!$AE:$AI,5,0),""),"")</x:f>
      </x:c>
      <x:c r="Q447" s="37">
        <x:f>IF(K447&gt;0&amp;M447&gt;0,K447*M447,"")</x:f>
      </x:c>
    </x:row>
    <x:row r="448" spans="1:18" customFormat="1" ht="15" customHeight="1">
      <x:c r="L448" s="94">
        <x:f>IF(A448&lt;&gt;"CFA",_xlfn.IFNA(VLOOKUP($G448,Master!$AE:$AI,5,0),""),"")</x:f>
      </x:c>
      <x:c r="Q448" s="37">
        <x:f>IF(K448&gt;0&amp;M448&gt;0,K448*M448,"")</x:f>
      </x:c>
    </x:row>
    <x:row r="449" spans="1:18" customFormat="1" ht="15" customHeight="1">
      <x:c r="L449" s="94">
        <x:f>IF(A449&lt;&gt;"CFA",_xlfn.IFNA(VLOOKUP($G449,Master!$AE:$AI,5,0),""),"")</x:f>
      </x:c>
      <x:c r="Q449" s="37">
        <x:f>IF(K449&gt;0&amp;M449&gt;0,K449*M449,"")</x:f>
      </x:c>
    </x:row>
    <x:row r="450" spans="1:18" customFormat="1" ht="15" customHeight="1">
      <x:c r="L450" s="94">
        <x:f>IF(A450&lt;&gt;"CFA",_xlfn.IFNA(VLOOKUP($G450,Master!$AE:$AI,5,0),""),"")</x:f>
      </x:c>
      <x:c r="Q450" s="37">
        <x:f>IF(K450&gt;0&amp;M450&gt;0,K450*M450,"")</x:f>
      </x:c>
    </x:row>
    <x:row r="451" spans="1:18" customFormat="1" ht="15" customHeight="1">
      <x:c r="L451" s="94">
        <x:f>IF(A451&lt;&gt;"CFA",_xlfn.IFNA(VLOOKUP($G451,Master!$AE:$AI,5,0),""),"")</x:f>
      </x:c>
      <x:c r="Q451" s="37">
        <x:f>IF(K451&gt;0&amp;M451&gt;0,K451*M451,"")</x:f>
      </x:c>
    </x:row>
    <x:row r="452" spans="1:18" customFormat="1" ht="15" customHeight="1">
      <x:c r="L452" s="94">
        <x:f>IF(A452&lt;&gt;"CFA",_xlfn.IFNA(VLOOKUP($G452,Master!$AE:$AI,5,0),""),"")</x:f>
      </x:c>
      <x:c r="Q452" s="37">
        <x:f>IF(K452&gt;0&amp;M452&gt;0,K452*M452,"")</x:f>
      </x:c>
    </x:row>
    <x:row r="453" spans="1:18" customFormat="1" ht="15" customHeight="1">
      <x:c r="L453" s="94">
        <x:f>IF(A453&lt;&gt;"CFA",_xlfn.IFNA(VLOOKUP($G453,Master!$AE:$AI,5,0),""),"")</x:f>
      </x:c>
      <x:c r="Q453" s="37">
        <x:f>IF(K453&gt;0&amp;M453&gt;0,K453*M453,"")</x:f>
      </x:c>
    </x:row>
    <x:row r="454" spans="1:18" customFormat="1" ht="15" customHeight="1">
      <x:c r="L454" s="94">
        <x:f>IF(A454&lt;&gt;"CFA",_xlfn.IFNA(VLOOKUP($G454,Master!$AE:$AI,5,0),""),"")</x:f>
      </x:c>
      <x:c r="Q454" s="37">
        <x:f>IF(K454&gt;0&amp;M454&gt;0,K454*M454,"")</x:f>
      </x:c>
    </x:row>
    <x:row r="455" spans="1:18" customFormat="1" ht="15" customHeight="1">
      <x:c r="L455" s="94">
        <x:f>IF(A455&lt;&gt;"CFA",_xlfn.IFNA(VLOOKUP($G455,Master!$AE:$AI,5,0),""),"")</x:f>
      </x:c>
      <x:c r="Q455" s="37">
        <x:f>IF(K455&gt;0&amp;M455&gt;0,K455*M455,"")</x:f>
      </x:c>
    </x:row>
    <x:row r="456" spans="1:18" customFormat="1" ht="15" customHeight="1">
      <x:c r="L456" s="94">
        <x:f>IF(A456&lt;&gt;"CFA",_xlfn.IFNA(VLOOKUP($G456,Master!$AE:$AI,5,0),""),"")</x:f>
      </x:c>
      <x:c r="Q456" s="37">
        <x:f>IF(K456&gt;0&amp;M456&gt;0,K456*M456,"")</x:f>
      </x:c>
    </x:row>
    <x:row r="457" spans="1:18" customFormat="1" ht="15" customHeight="1">
      <x:c r="L457" s="94">
        <x:f>IF(A457&lt;&gt;"CFA",_xlfn.IFNA(VLOOKUP($G457,Master!$AE:$AI,5,0),""),"")</x:f>
      </x:c>
      <x:c r="Q457" s="37">
        <x:f>IF(K457&gt;0&amp;M457&gt;0,K457*M457,"")</x:f>
      </x:c>
    </x:row>
    <x:row r="458" spans="1:18" customFormat="1" ht="15" customHeight="1">
      <x:c r="L458" s="94">
        <x:f>IF(A458&lt;&gt;"CFA",_xlfn.IFNA(VLOOKUP($G458,Master!$AE:$AI,5,0),""),"")</x:f>
      </x:c>
      <x:c r="Q458" s="37">
        <x:f>IF(K458&gt;0&amp;M458&gt;0,K458*M458,"")</x:f>
      </x:c>
    </x:row>
    <x:row r="459" spans="1:18" customFormat="1" ht="15" customHeight="1">
      <x:c r="L459" s="94">
        <x:f>IF(A459&lt;&gt;"CFA",_xlfn.IFNA(VLOOKUP($G459,Master!$AE:$AI,5,0),""),"")</x:f>
      </x:c>
      <x:c r="Q459" s="37">
        <x:f>IF(K459&gt;0&amp;M459&gt;0,K459*M459,"")</x:f>
      </x:c>
    </x:row>
  </x:sheetData>
  <x:sheetProtection algorithmName="SHA-512" hashValue="KCMAJ4M4nxeVixfVS3+wyYlfw2mGlKXeBepnyp+VdYWtC42h8T0Jqd+u8jwTEjpiw9O7eJkd2FM0/xl7YeSPJg==" saltValue="50RojqtGto76fYujS+pZHA==" spinCount="100000" sheet="1" objects="1"/>
  <x:autoFilter ref="H1:O1"/>
  <x:phoneticPr fontId="22" type="noConversion"/>
  <x:conditionalFormatting sqref="Q:Q">
    <x:cfRule type="cellIs" dxfId="0" priority="1" operator="equal">
      <x:formula>0</x:formula>
    </x:cfRule>
  </x:conditionalFormatting>
  <x:conditionalFormatting sqref="B:B D:D F:F I:J L:L P:Q">
    <x:cfRule type="containsBlanks" dxfId="0" priority="2">
      <x:formula>LEN(TRIM(B1))=0</x:formula>
    </x:cfRule>
  </x:conditionalFormatting>
  <x:conditionalFormatting sqref="A:A C:C E:E G:H K:K M:O">
    <x:cfRule type="containsBlanks" dxfId="1" priority="3">
      <x:formula>LEN(TRIM(A1))=0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legacyDrawing r:id="rId2"/>
  <x:tableParts count="0"/>
  <x:extLst>
    <x: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E71404A-BCF1-48E6-9D6E-FB7CDB9216F4}">
          <x14:formula1>
            <xm:f>Master!$G$6:$G$8</xm:f>
          </x14:formula1>
          <xm:sqref>A2:A1048576</xm:sqref>
        </x14:dataValidation>
        <x14:dataValidation type="list" allowBlank="1" showInputMessage="1" showErrorMessage="1" xr:uid="{C5696D0E-E593-48C3-80E5-EAD6DE87C50B}">
          <x14:formula1>
            <xm:f>Master!$AE$2:$AE$7</xm:f>
          </x14:formula1>
          <xm:sqref>G2:G1048576</xm:sqref>
        </x14:dataValidation>
        <x14:dataValidation type="list" allowBlank="1" showInputMessage="1" showErrorMessage="1" xr:uid="{37A1847A-938A-47A2-870D-94DBA3AD11B6}">
          <x14:formula1>
            <xm:f>Master_Section!$H$2:$H$42</xm:f>
          </x14:formula1>
          <xm:sqref>C2:C1048576 E2:E1048576</xm:sqref>
        </x14:dataValidation>
        <x14:dataValidation type="list" showInputMessage="1" showErrorMessage="1" xr:uid="{57FFE111-A99B-4321-86D8-5E8E6AB2EAC8}">
          <x14:formula1>
            <xm:f>Master!$AM$2:$AM$4</xm:f>
          </x14:formula1>
          <xm:sqref>O2:O1048576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E90AA0-08F8-4782-9AAE-D6A3D48FC9B5}" mc:Ignorable="x14ac xr xr2 xr3">
  <x:sheetPr>
    <x:outlinePr summaryBelow="1" summaryRight="1"/>
  </x:sheetPr>
  <x:dimension ref="A1"/>
  <x:sheetViews>
    <x:sheetView workbookViewId="0">
      <x:selection activeCell="A10" sqref="A10"/>
    </x:sheetView>
  </x:sheetViews>
  <x:sheetFormatPr defaultRowHeight="15"/>
  <x:cols>
    <x:col min="1" max="1" width="53.425781" style="0" bestFit="1" customWidth="1"/>
  </x:cols>
  <x:sheetData>
    <x:row r="1" spans="1:1">
      <x:c r="A1" s="0" t="s">
        <x:v>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607F5A-1FA7-447A-87B8-BCD1D2EB0411}" mc:Ignorable="x14ac xr xr2 xr3">
  <x:sheetPr>
    <x:outlinePr summaryBelow="1" summaryRight="1"/>
  </x:sheetPr>
  <x:dimension ref="A1:AO173"/>
  <x:sheetViews>
    <x:sheetView showGridLines="0" topLeftCell="AC1" zoomScale="90" zoomScaleNormal="90" workbookViewId="0">
      <x:selection activeCell="AO2" sqref="AO2"/>
    </x:sheetView>
  </x:sheetViews>
  <x:sheetFormatPr defaultColWidth="8.855469" defaultRowHeight="18" customHeight="1"/>
  <x:cols>
    <x:col min="1" max="1" width="28.425781" style="4" bestFit="1" customWidth="1"/>
    <x:col min="2" max="2" width="7.425781" style="4" customWidth="1"/>
    <x:col min="3" max="3" width="15" style="4" bestFit="1" customWidth="1"/>
    <x:col min="4" max="4" width="17" style="4" bestFit="1" customWidth="1"/>
    <x:col min="5" max="5" width="31.140625" style="4" customWidth="1"/>
    <x:col min="6" max="6" width="0.855469" style="4" customWidth="1"/>
    <x:col min="7" max="7" width="6.425781" style="4" bestFit="1" customWidth="1"/>
    <x:col min="8" max="8" width="38" style="4" bestFit="1" customWidth="1"/>
    <x:col min="9" max="9" width="0.855469" style="4" customWidth="1"/>
    <x:col min="10" max="10" width="56.140625" style="4" bestFit="1" customWidth="1"/>
    <x:col min="11" max="11" width="10.570312" style="5" bestFit="1" customWidth="1"/>
    <x:col min="12" max="12" width="12.570312" style="6" bestFit="1" customWidth="1"/>
    <x:col min="13" max="13" width="12.425781" style="6" bestFit="1" customWidth="1"/>
    <x:col min="14" max="14" width="13.855469" style="6" bestFit="1" customWidth="1"/>
    <x:col min="15" max="15" width="50.710938" style="4" hidden="1" customWidth="1"/>
    <x:col min="16" max="16" width="0.855469" style="95" customWidth="1"/>
    <x:col min="17" max="17" width="28.570312" style="4" bestFit="1" customWidth="1"/>
    <x:col min="18" max="18" width="11.425781" style="5" bestFit="1" customWidth="1"/>
    <x:col min="19" max="19" width="15.855469" style="4" bestFit="1" customWidth="1"/>
    <x:col min="20" max="20" width="19.425781" style="4" bestFit="1" customWidth="1"/>
    <x:col min="21" max="21" width="28.570312" style="4" bestFit="1" customWidth="1"/>
    <x:col min="22" max="22" width="0.855469" style="95" customWidth="1"/>
    <x:col min="23" max="23" width="9.855469" style="4" bestFit="1" customWidth="1"/>
    <x:col min="24" max="24" width="19.570312" style="4" bestFit="1" customWidth="1"/>
    <x:col min="25" max="25" width="0.855469" style="95" customWidth="1"/>
    <x:col min="26" max="26" width="18.425781" style="29" bestFit="1" customWidth="1"/>
    <x:col min="27" max="27" width="19" style="30" bestFit="1" customWidth="1"/>
    <x:col min="28" max="28" width="72.570312" style="31" bestFit="1" customWidth="1"/>
    <x:col min="29" max="29" width="8.855469" style="4" customWidth="1"/>
    <x:col min="30" max="30" width="11.570312" style="5" bestFit="1" customWidth="1"/>
    <x:col min="31" max="31" width="30.140625" style="4" bestFit="1" customWidth="1"/>
    <x:col min="32" max="32" width="11.570312" style="5" customWidth="1"/>
    <x:col min="33" max="33" width="11.425781" style="5" bestFit="1" customWidth="1"/>
    <x:col min="34" max="34" width="41.425781" style="4" bestFit="1" customWidth="1"/>
    <x:col min="35" max="35" width="11.285156" style="4" bestFit="1" customWidth="1"/>
    <x:col min="36" max="36" width="16.425781" style="29" bestFit="1" customWidth="1"/>
    <x:col min="37" max="37" width="41" style="30" customWidth="1"/>
    <x:col min="38" max="38" width="2.710938" style="31" customWidth="1"/>
    <x:col min="39" max="39" width="14.570312" style="4" customWidth="1"/>
    <x:col min="40" max="40" width="14.140625" style="4" bestFit="1" customWidth="1"/>
    <x:col min="41" max="41" width="37.710938" style="4" bestFit="1" customWidth="1"/>
    <x:col min="42" max="16384" width="8.855469" style="4" customWidth="1"/>
  </x:cols>
  <x:sheetData>
    <x:row r="1" spans="1:41" s="0" customFormat="1" ht="18" customHeight="1">
      <x:c r="A1" s="96" t="s">
        <x:v>43</x:v>
      </x:c>
      <x:c r="B1" s="96" t="s">
        <x:v>44</x:v>
      </x:c>
      <x:c r="C1" s="97" t="s">
        <x:v>45</x:v>
      </x:c>
      <x:c r="D1" s="97" t="s">
        <x:v>46</x:v>
      </x:c>
      <x:c r="E1" s="96" t="s">
        <x:v>47</x:v>
      </x:c>
      <x:c r="F1" s="0" t="s"/>
      <x:c r="G1" s="98" t="s">
        <x:v>48</x:v>
      </x:c>
      <x:c r="H1" s="98" t="s">
        <x:v>49</x:v>
      </x:c>
      <x:c r="I1" s="0" t="s"/>
      <x:c r="J1" s="99" t="s">
        <x:v>50</x:v>
      </x:c>
      <x:c r="K1" s="99" t="s">
        <x:v>51</x:v>
      </x:c>
      <x:c r="L1" s="100" t="s">
        <x:v>9</x:v>
      </x:c>
      <x:c r="M1" s="100" t="s">
        <x:v>52</x:v>
      </x:c>
      <x:c r="N1" s="100" t="s">
        <x:v>53</x:v>
      </x:c>
      <x:c r="O1" s="99" t="s">
        <x:v>54</x:v>
      </x:c>
      <x:c r="P1" s="101" t="s"/>
      <x:c r="Q1" s="96" t="s">
        <x:v>55</x:v>
      </x:c>
      <x:c r="R1" s="96" t="s">
        <x:v>44</x:v>
      </x:c>
      <x:c r="S1" s="97" t="s">
        <x:v>45</x:v>
      </x:c>
      <x:c r="T1" s="97" t="s">
        <x:v>46</x:v>
      </x:c>
      <x:c r="U1" s="96" t="s">
        <x:v>56</x:v>
      </x:c>
      <x:c r="V1" s="102" t="s"/>
      <x:c r="W1" s="98" t="s">
        <x:v>57</x:v>
      </x:c>
      <x:c r="X1" s="98" t="s">
        <x:v>58</x:v>
      </x:c>
      <x:c r="Y1" s="102" t="s"/>
      <x:c r="Z1" s="103" t="s">
        <x:v>14</x:v>
      </x:c>
      <x:c r="AA1" s="103" t="s">
        <x:v>59</x:v>
      </x:c>
      <x:c r="AB1" s="104" t="s">
        <x:v>54</x:v>
      </x:c>
      <x:c r="AC1" s="3" t="s"/>
      <x:c r="AD1" s="16" t="s">
        <x:v>60</x:v>
      </x:c>
      <x:c r="AE1" s="17" t="s">
        <x:v>61</x:v>
      </x:c>
      <x:c r="AF1" s="16" t="s">
        <x:v>60</x:v>
      </x:c>
      <x:c r="AG1" s="16" t="s">
        <x:v>62</x:v>
      </x:c>
      <x:c r="AH1" s="17" t="s">
        <x:v>63</x:v>
      </x:c>
      <x:c r="AI1" s="17" t="s">
        <x:v>11</x:v>
      </x:c>
      <x:c r="AJ1" s="66" t="s">
        <x:v>64</x:v>
      </x:c>
      <x:c r="AK1" s="67" t="s">
        <x:v>54</x:v>
      </x:c>
      <x:c r="AL1" s="4" t="s"/>
      <x:c r="AM1" s="32" t="s">
        <x:v>14</x:v>
      </x:c>
      <x:c r="AN1" s="32" t="s">
        <x:v>59</x:v>
      </x:c>
      <x:c r="AO1" s="36" t="s">
        <x:v>54</x:v>
      </x:c>
    </x:row>
    <x:row r="2" spans="1:41" s="0" customFormat="1" ht="32.25" customHeight="1">
      <x:c r="A2" s="18" t="s">
        <x:v>65</x:v>
      </x:c>
      <x:c r="B2" s="19" t="s">
        <x:v>66</x:v>
      </x:c>
      <x:c r="C2" s="20" t="s">
        <x:v>23</x:v>
      </x:c>
      <x:c r="D2" s="21" t="s">
        <x:v>24</x:v>
      </x:c>
      <x:c r="E2" s="21">
        <x:f>A2</x:f>
      </x:c>
      <x:c r="F2" s="0" t="s"/>
      <x:c r="G2" s="21" t="n">
        <x:v>53450</x:v>
      </x:c>
      <x:c r="H2" s="21" t="s">
        <x:v>67</x:v>
      </x:c>
      <x:c r="I2" s="0" t="s"/>
      <x:c r="J2" s="4" t="s">
        <x:v>68</x:v>
      </x:c>
      <x:c r="K2" s="5" t="n">
        <x:v>7511101</x:v>
      </x:c>
      <x:c r="L2" s="6" t="s">
        <x:v>23</x:v>
      </x:c>
      <x:c r="M2" s="7">
        <x:f>L2&amp;"-"&amp;K2</x:f>
      </x:c>
      <x:c r="N2" s="6" t="s">
        <x:v>69</x:v>
      </x:c>
      <x:c r="O2" s="4" t="s">
        <x:v>68</x:v>
      </x:c>
      <x:c r="P2" s="105" t="s"/>
      <x:c r="Q2" s="18" t="s">
        <x:v>65</x:v>
      </x:c>
      <x:c r="R2" s="19" t="s">
        <x:v>66</x:v>
      </x:c>
      <x:c r="S2" s="20" t="s">
        <x:v>23</x:v>
      </x:c>
      <x:c r="T2" s="21" t="s">
        <x:v>24</x:v>
      </x:c>
      <x:c r="U2" s="21">
        <x:f>Q2</x:f>
      </x:c>
      <x:c r="V2" s="105" t="s"/>
      <x:c r="W2" s="21" t="n">
        <x:v>53450</x:v>
      </x:c>
      <x:c r="X2" s="21" t="s">
        <x:v>67</x:v>
      </x:c>
      <x:c r="Y2" s="105" t="s"/>
      <x:c r="Z2" s="34" t="s">
        <x:v>25</x:v>
      </x:c>
      <x:c r="AA2" s="35" t="s">
        <x:v>70</x:v>
      </x:c>
      <x:c r="AB2" s="33" t="s">
        <x:v>71</x:v>
      </x:c>
      <x:c r="AC2" s="0" t="s"/>
      <x:c r="AD2" s="22" t="n">
        <x:v>2111100</x:v>
      </x:c>
      <x:c r="AE2" s="21" t="s">
        <x:v>72</x:v>
      </x:c>
      <x:c r="AF2" s="22" t="n">
        <x:v>2111100</x:v>
      </x:c>
      <x:c r="AG2" s="22" t="n">
        <x:v>7611100</x:v>
      </x:c>
      <x:c r="AH2" s="21" t="s">
        <x:v>73</x:v>
      </x:c>
      <x:c r="AI2" s="68" t="n">
        <x:v>240</x:v>
      </x:c>
      <x:c r="AJ2" s="68" t="s"/>
      <x:c r="AK2" s="69" t="s">
        <x:v>74</x:v>
      </x:c>
      <x:c r="AL2" s="4" t="s"/>
      <x:c r="AM2" s="34" t="s">
        <x:v>25</x:v>
      </x:c>
      <x:c r="AN2" s="35" t="s">
        <x:v>70</x:v>
      </x:c>
      <x:c r="AO2" s="33" t="s">
        <x:v>71</x:v>
      </x:c>
    </x:row>
    <x:row r="3" spans="1:41" customFormat="1" ht="32.25" customHeight="1">
      <x:c r="A3" s="18" t="s">
        <x:v>75</x:v>
      </x:c>
      <x:c r="B3" s="19" t="s">
        <x:v>76</x:v>
      </x:c>
      <x:c r="C3" s="20" t="s">
        <x:v>23</x:v>
      </x:c>
      <x:c r="D3" s="21" t="s">
        <x:v>24</x:v>
      </x:c>
      <x:c r="E3" s="21">
        <x:f>A3</x:f>
      </x:c>
      <x:c r="G3" s="21" t="s"/>
      <x:c r="H3" s="21" t="s"/>
      <x:c r="J3" s="4" t="s">
        <x:v>77</x:v>
      </x:c>
      <x:c r="K3" s="5" t="n">
        <x:v>7511102</x:v>
      </x:c>
      <x:c r="L3" s="6" t="s">
        <x:v>23</x:v>
      </x:c>
      <x:c r="M3" s="7">
        <x:f>L3&amp;"-"&amp;K3</x:f>
      </x:c>
      <x:c r="N3" s="6" t="s">
        <x:v>69</x:v>
      </x:c>
      <x:c r="O3" s="4" t="s">
        <x:v>78</x:v>
      </x:c>
      <x:c r="Q3" s="18" t="s">
        <x:v>75</x:v>
      </x:c>
      <x:c r="R3" s="19" t="s">
        <x:v>76</x:v>
      </x:c>
      <x:c r="S3" s="20" t="s">
        <x:v>23</x:v>
      </x:c>
      <x:c r="T3" s="21" t="s">
        <x:v>24</x:v>
      </x:c>
      <x:c r="U3" s="21">
        <x:f>Q3</x:f>
      </x:c>
      <x:c r="W3" s="21" t="s"/>
      <x:c r="X3" s="21" t="s"/>
      <x:c r="Z3" s="34" t="s">
        <x:v>29</x:v>
      </x:c>
      <x:c r="AA3" s="35" t="s">
        <x:v>79</x:v>
      </x:c>
      <x:c r="AB3" s="33" t="s">
        <x:v>80</x:v>
      </x:c>
      <x:c r="AD3" s="22" t="n">
        <x:v>2121000</x:v>
      </x:c>
      <x:c r="AE3" s="21" t="s">
        <x:v>81</x:v>
      </x:c>
      <x:c r="AF3" s="22" t="n">
        <x:v>2121000</x:v>
      </x:c>
      <x:c r="AG3" s="22" t="n">
        <x:v>7611300</x:v>
      </x:c>
      <x:c r="AH3" s="21" t="s">
        <x:v>82</x:v>
      </x:c>
      <x:c r="AI3" s="68" t="n">
        <x:v>120</x:v>
      </x:c>
      <x:c r="AJ3" s="68" t="s"/>
      <x:c r="AK3" s="69" t="s">
        <x:v>83</x:v>
      </x:c>
      <x:c r="AL3" s="4" t="s"/>
      <x:c r="AM3" s="34" t="s">
        <x:v>29</x:v>
      </x:c>
      <x:c r="AN3" s="35" t="s">
        <x:v>79</x:v>
      </x:c>
      <x:c r="AO3" s="33" t="s">
        <x:v>80</x:v>
      </x:c>
    </x:row>
    <x:row r="4" spans="1:41" customFormat="1" ht="32.25" customHeight="1">
      <x:c r="A4" s="18" t="s">
        <x:v>84</x:v>
      </x:c>
      <x:c r="B4" s="19" t="s">
        <x:v>85</x:v>
      </x:c>
      <x:c r="C4" s="20" t="s">
        <x:v>23</x:v>
      </x:c>
      <x:c r="D4" s="21" t="s">
        <x:v>24</x:v>
      </x:c>
      <x:c r="E4" s="21">
        <x:f>A4</x:f>
      </x:c>
      <x:c r="G4" s="21" t="s"/>
      <x:c r="H4" s="21" t="s"/>
      <x:c r="J4" s="4" t="s">
        <x:v>86</x:v>
      </x:c>
      <x:c r="K4" s="5" t="n">
        <x:v>7511103</x:v>
      </x:c>
      <x:c r="L4" s="6" t="s">
        <x:v>23</x:v>
      </x:c>
      <x:c r="M4" s="7">
        <x:f>L4&amp;"-"&amp;K4</x:f>
      </x:c>
      <x:c r="N4" s="6" t="s">
        <x:v>87</x:v>
      </x:c>
      <x:c r="O4" s="4" t="s">
        <x:v>88</x:v>
      </x:c>
      <x:c r="Q4" s="18" t="s">
        <x:v>84</x:v>
      </x:c>
      <x:c r="R4" s="19" t="s">
        <x:v>85</x:v>
      </x:c>
      <x:c r="S4" s="20" t="s">
        <x:v>23</x:v>
      </x:c>
      <x:c r="T4" s="21" t="s">
        <x:v>24</x:v>
      </x:c>
      <x:c r="U4" s="21">
        <x:f>Q4</x:f>
      </x:c>
      <x:c r="W4" s="21" t="s"/>
      <x:c r="X4" s="21" t="s"/>
      <x:c r="Z4" s="34" t="s">
        <x:v>89</x:v>
      </x:c>
      <x:c r="AA4" s="35" t="s">
        <x:v>90</x:v>
      </x:c>
      <x:c r="AB4" s="33" t="s">
        <x:v>91</x:v>
      </x:c>
      <x:c r="AD4" s="22" t="n">
        <x:v>2121000</x:v>
      </x:c>
      <x:c r="AE4" s="21" t="s">
        <x:v>92</x:v>
      </x:c>
      <x:c r="AF4" s="22" t="n">
        <x:v>2121000</x:v>
      </x:c>
      <x:c r="AG4" s="22" t="n">
        <x:v>7611300</x:v>
      </x:c>
      <x:c r="AH4" s="21" t="s">
        <x:v>82</x:v>
      </x:c>
      <x:c r="AI4" s="68" t="n">
        <x:v>84</x:v>
      </x:c>
      <x:c r="AJ4" s="68" t="s"/>
      <x:c r="AK4" s="69" t="s">
        <x:v>93</x:v>
      </x:c>
      <x:c r="AL4" s="4" t="s"/>
      <x:c r="AM4" s="34" t="s">
        <x:v>89</x:v>
      </x:c>
      <x:c r="AN4" s="35" t="s">
        <x:v>90</x:v>
      </x:c>
      <x:c r="AO4" s="33" t="s">
        <x:v>91</x:v>
      </x:c>
    </x:row>
    <x:row r="5" spans="1:41" customFormat="1" ht="18" customHeight="1">
      <x:c r="A5" s="18" t="s">
        <x:v>94</x:v>
      </x:c>
      <x:c r="B5" s="19" t="s">
        <x:v>95</x:v>
      </x:c>
      <x:c r="C5" s="20" t="s">
        <x:v>23</x:v>
      </x:c>
      <x:c r="D5" s="21" t="s">
        <x:v>24</x:v>
      </x:c>
      <x:c r="E5" s="21">
        <x:f>A5</x:f>
      </x:c>
      <x:c r="J5" s="4" t="s">
        <x:v>96</x:v>
      </x:c>
      <x:c r="K5" s="5" t="n">
        <x:v>7511111</x:v>
      </x:c>
      <x:c r="L5" s="6" t="s">
        <x:v>23</x:v>
      </x:c>
      <x:c r="M5" s="7">
        <x:f>L5&amp;"-"&amp;K5</x:f>
      </x:c>
      <x:c r="N5" s="6" t="s">
        <x:v>87</x:v>
      </x:c>
      <x:c r="O5" s="4" t="s">
        <x:v>97</x:v>
      </x:c>
      <x:c r="Q5" s="18" t="s">
        <x:v>94</x:v>
      </x:c>
      <x:c r="R5" s="19" t="s">
        <x:v>95</x:v>
      </x:c>
      <x:c r="S5" s="20" t="s">
        <x:v>23</x:v>
      </x:c>
      <x:c r="T5" s="21" t="s">
        <x:v>24</x:v>
      </x:c>
      <x:c r="U5" s="21">
        <x:f>Q5</x:f>
      </x:c>
      <x:c r="AD5" s="22" t="n">
        <x:v>2131000</x:v>
      </x:c>
      <x:c r="AE5" s="21" t="s">
        <x:v>98</x:v>
      </x:c>
      <x:c r="AF5" s="22" t="n">
        <x:v>2131000</x:v>
      </x:c>
      <x:c r="AG5" s="22" t="n">
        <x:v>7611500</x:v>
      </x:c>
      <x:c r="AH5" s="21" t="s">
        <x:v>99</x:v>
      </x:c>
      <x:c r="AI5" s="68" t="n">
        <x:v>60</x:v>
      </x:c>
      <x:c r="AJ5" s="68" t="s"/>
      <x:c r="AK5" s="69" t="s">
        <x:v>100</x:v>
      </x:c>
      <x:c r="AL5" s="4" t="s"/>
      <x:c r="AM5" s="29" t="s"/>
      <x:c r="AN5" s="30" t="s"/>
      <x:c r="AO5" s="31" t="s"/>
    </x:row>
    <x:row r="6" spans="1:41" customFormat="1" ht="18" customHeight="1">
      <x:c r="A6" s="18" t="s">
        <x:v>101</x:v>
      </x:c>
      <x:c r="B6" s="19" t="s">
        <x:v>102</x:v>
      </x:c>
      <x:c r="C6" s="20" t="s">
        <x:v>23</x:v>
      </x:c>
      <x:c r="D6" s="21" t="s">
        <x:v>24</x:v>
      </x:c>
      <x:c r="E6" s="21">
        <x:f>A6</x:f>
      </x:c>
      <x:c r="G6" s="4" t="s">
        <x:v>17</x:v>
      </x:c>
      <x:c r="J6" s="4" t="s">
        <x:v>103</x:v>
      </x:c>
      <x:c r="K6" s="5" t="n">
        <x:v>7511112</x:v>
      </x:c>
      <x:c r="L6" s="6" t="s">
        <x:v>23</x:v>
      </x:c>
      <x:c r="M6" s="7">
        <x:f>L6&amp;"-"&amp;K6</x:f>
      </x:c>
      <x:c r="N6" s="6" t="s">
        <x:v>87</x:v>
      </x:c>
      <x:c r="O6" s="4" t="s">
        <x:v>104</x:v>
      </x:c>
      <x:c r="Q6" s="18" t="s">
        <x:v>101</x:v>
      </x:c>
      <x:c r="R6" s="19" t="s">
        <x:v>102</x:v>
      </x:c>
      <x:c r="S6" s="20" t="s">
        <x:v>23</x:v>
      </x:c>
      <x:c r="T6" s="21" t="s">
        <x:v>24</x:v>
      </x:c>
      <x:c r="U6" s="21">
        <x:f>Q6</x:f>
      </x:c>
      <x:c r="AD6" s="22" t="n">
        <x:v>2141000</x:v>
      </x:c>
      <x:c r="AE6" s="21" t="s">
        <x:v>21</x:v>
      </x:c>
      <x:c r="AF6" s="22" t="n">
        <x:v>2141000</x:v>
      </x:c>
      <x:c r="AG6" s="22" t="n">
        <x:v>7611600</x:v>
      </x:c>
      <x:c r="AH6" s="21" t="s">
        <x:v>105</x:v>
      </x:c>
      <x:c r="AI6" s="68" t="n">
        <x:v>60</x:v>
      </x:c>
      <x:c r="AJ6" s="68" t="s">
        <x:v>106</x:v>
      </x:c>
      <x:c r="AK6" s="69" t="s">
        <x:v>107</x:v>
      </x:c>
      <x:c r="AL6" s="4" t="s"/>
      <x:c r="AM6" s="29" t="s"/>
      <x:c r="AN6" s="30" t="s"/>
      <x:c r="AO6" s="31" t="s"/>
    </x:row>
    <x:row r="7" spans="1:41" customFormat="1" ht="18" customHeight="1">
      <x:c r="A7" s="18" t="s">
        <x:v>108</x:v>
      </x:c>
      <x:c r="B7" s="19" t="s">
        <x:v>109</x:v>
      </x:c>
      <x:c r="C7" s="20" t="s">
        <x:v>23</x:v>
      </x:c>
      <x:c r="D7" s="21" t="s">
        <x:v>24</x:v>
      </x:c>
      <x:c r="E7" s="21">
        <x:f>A7</x:f>
      </x:c>
      <x:c r="G7" s="4" t="s">
        <x:v>110</x:v>
      </x:c>
      <x:c r="J7" s="4" t="s">
        <x:v>111</x:v>
      </x:c>
      <x:c r="K7" s="5" t="n">
        <x:v>7511121</x:v>
      </x:c>
      <x:c r="L7" s="6" t="s">
        <x:v>23</x:v>
      </x:c>
      <x:c r="M7" s="7">
        <x:f>L7&amp;"-"&amp;K7</x:f>
      </x:c>
      <x:c r="N7" s="6" t="s">
        <x:v>87</x:v>
      </x:c>
      <x:c r="O7" s="4" t="s">
        <x:v>112</x:v>
      </x:c>
      <x:c r="Q7" s="18" t="s">
        <x:v>108</x:v>
      </x:c>
      <x:c r="R7" s="19" t="s">
        <x:v>109</x:v>
      </x:c>
      <x:c r="S7" s="20" t="s">
        <x:v>23</x:v>
      </x:c>
      <x:c r="T7" s="21" t="s">
        <x:v>24</x:v>
      </x:c>
      <x:c r="U7" s="21">
        <x:f>Q7</x:f>
      </x:c>
      <x:c r="AD7" s="22" t="n">
        <x:v>2221101</x:v>
      </x:c>
      <x:c r="AE7" s="21" t="s">
        <x:v>39</x:v>
      </x:c>
      <x:c r="AF7" s="22" t="n">
        <x:v>2221101</x:v>
      </x:c>
      <x:c r="AG7" s="22" t="n">
        <x:v>7611700</x:v>
      </x:c>
      <x:c r="AH7" s="21" t="s">
        <x:v>113</x:v>
      </x:c>
      <x:c r="AI7" s="68" t="n">
        <x:v>60</x:v>
      </x:c>
      <x:c r="AJ7" s="68" t="s"/>
      <x:c r="AK7" s="69" t="s"/>
    </x:row>
    <x:row r="8" spans="1:41" customFormat="1" ht="18" customHeight="1">
      <x:c r="A8" s="18" t="s">
        <x:v>114</x:v>
      </x:c>
      <x:c r="B8" s="19" t="s">
        <x:v>115</x:v>
      </x:c>
      <x:c r="C8" s="20" t="s">
        <x:v>23</x:v>
      </x:c>
      <x:c r="D8" s="21" t="s">
        <x:v>24</x:v>
      </x:c>
      <x:c r="E8" s="21">
        <x:f>A8</x:f>
      </x:c>
      <x:c r="G8" s="4" t="s">
        <x:v>116</x:v>
      </x:c>
      <x:c r="J8" s="4" t="s">
        <x:v>117</x:v>
      </x:c>
      <x:c r="K8" s="5" t="n">
        <x:v>7511122</x:v>
      </x:c>
      <x:c r="L8" s="6" t="s">
        <x:v>23</x:v>
      </x:c>
      <x:c r="M8" s="7">
        <x:f>L8&amp;"-"&amp;K8</x:f>
      </x:c>
      <x:c r="N8" s="6" t="s">
        <x:v>87</x:v>
      </x:c>
      <x:c r="O8" s="4" t="s">
        <x:v>118</x:v>
      </x:c>
      <x:c r="Q8" s="18" t="s">
        <x:v>114</x:v>
      </x:c>
      <x:c r="R8" s="19" t="s">
        <x:v>115</x:v>
      </x:c>
      <x:c r="S8" s="20" t="s">
        <x:v>23</x:v>
      </x:c>
      <x:c r="T8" s="21" t="s">
        <x:v>24</x:v>
      </x:c>
      <x:c r="U8" s="21">
        <x:f>Q8</x:f>
      </x:c>
    </x:row>
    <x:row r="9" spans="1:41" customFormat="1" ht="18" customHeight="1">
      <x:c r="A9" s="18" t="s">
        <x:v>19</x:v>
      </x:c>
      <x:c r="B9" s="19" t="s">
        <x:v>18</x:v>
      </x:c>
      <x:c r="C9" s="20" t="s">
        <x:v>23</x:v>
      </x:c>
      <x:c r="D9" s="21" t="s">
        <x:v>24</x:v>
      </x:c>
      <x:c r="E9" s="21">
        <x:f>A9</x:f>
      </x:c>
      <x:c r="J9" s="4" t="s">
        <x:v>119</x:v>
      </x:c>
      <x:c r="K9" s="5" t="n">
        <x:v>7511201</x:v>
      </x:c>
      <x:c r="L9" s="6" t="s">
        <x:v>23</x:v>
      </x:c>
      <x:c r="M9" s="7">
        <x:f>L9&amp;"-"&amp;K9</x:f>
      </x:c>
      <x:c r="N9" s="6" t="s">
        <x:v>120</x:v>
      </x:c>
      <x:c r="O9" s="4" t="s">
        <x:v>121</x:v>
      </x:c>
      <x:c r="Q9" s="18" t="s">
        <x:v>19</x:v>
      </x:c>
      <x:c r="R9" s="19" t="s">
        <x:v>18</x:v>
      </x:c>
      <x:c r="S9" s="20" t="s">
        <x:v>23</x:v>
      </x:c>
      <x:c r="T9" s="21" t="s">
        <x:v>24</x:v>
      </x:c>
      <x:c r="U9" s="21">
        <x:f>Q9</x:f>
      </x:c>
    </x:row>
    <x:row r="10" spans="1:41" customFormat="1" ht="18" customHeight="1">
      <x:c r="A10" s="18" t="s">
        <x:v>122</x:v>
      </x:c>
      <x:c r="B10" s="19" t="s">
        <x:v>123</x:v>
      </x:c>
      <x:c r="C10" s="20" t="s">
        <x:v>23</x:v>
      </x:c>
      <x:c r="D10" s="21" t="s">
        <x:v>24</x:v>
      </x:c>
      <x:c r="E10" s="21">
        <x:f>A10</x:f>
      </x:c>
      <x:c r="J10" s="4" t="s">
        <x:v>124</x:v>
      </x:c>
      <x:c r="K10" s="5" t="n">
        <x:v>7512111</x:v>
      </x:c>
      <x:c r="L10" s="6" t="s">
        <x:v>23</x:v>
      </x:c>
      <x:c r="M10" s="7">
        <x:f>L10&amp;"-"&amp;K10</x:f>
      </x:c>
      <x:c r="N10" s="6" t="s">
        <x:v>125</x:v>
      </x:c>
      <x:c r="O10" s="4" t="s">
        <x:v>126</x:v>
      </x:c>
      <x:c r="Q10" s="18" t="s">
        <x:v>122</x:v>
      </x:c>
      <x:c r="R10" s="19" t="s">
        <x:v>123</x:v>
      </x:c>
      <x:c r="S10" s="20" t="s">
        <x:v>23</x:v>
      </x:c>
      <x:c r="T10" s="21" t="s">
        <x:v>24</x:v>
      </x:c>
      <x:c r="U10" s="21">
        <x:f>Q10</x:f>
      </x:c>
    </x:row>
    <x:row r="11" spans="1:41" customFormat="1" ht="18" customHeight="1">
      <x:c r="A11" s="18" t="s">
        <x:v>127</x:v>
      </x:c>
      <x:c r="B11" s="19" t="s">
        <x:v>128</x:v>
      </x:c>
      <x:c r="C11" s="20" t="s">
        <x:v>23</x:v>
      </x:c>
      <x:c r="D11" s="21" t="s">
        <x:v>24</x:v>
      </x:c>
      <x:c r="E11" s="21">
        <x:f>A11</x:f>
      </x:c>
      <x:c r="J11" s="4" t="s">
        <x:v>129</x:v>
      </x:c>
      <x:c r="K11" s="5" t="n">
        <x:v>7512112</x:v>
      </x:c>
      <x:c r="L11" s="6" t="s">
        <x:v>23</x:v>
      </x:c>
      <x:c r="M11" s="7">
        <x:f>L11&amp;"-"&amp;K11</x:f>
      </x:c>
      <x:c r="N11" s="6" t="s">
        <x:v>125</x:v>
      </x:c>
      <x:c r="O11" s="4" t="s">
        <x:v>130</x:v>
      </x:c>
      <x:c r="Q11" s="18" t="s">
        <x:v>127</x:v>
      </x:c>
      <x:c r="R11" s="19" t="s">
        <x:v>128</x:v>
      </x:c>
      <x:c r="S11" s="20" t="s">
        <x:v>23</x:v>
      </x:c>
      <x:c r="T11" s="21" t="s">
        <x:v>24</x:v>
      </x:c>
      <x:c r="U11" s="21">
        <x:f>Q11</x:f>
      </x:c>
    </x:row>
    <x:row r="12" spans="1:41" customFormat="1" ht="18" customHeight="1">
      <x:c r="A12" s="18" t="s">
        <x:v>131</x:v>
      </x:c>
      <x:c r="B12" s="19" t="s">
        <x:v>132</x:v>
      </x:c>
      <x:c r="C12" s="20" t="s">
        <x:v>23</x:v>
      </x:c>
      <x:c r="D12" s="21" t="s">
        <x:v>24</x:v>
      </x:c>
      <x:c r="E12" s="21">
        <x:f>A12</x:f>
      </x:c>
      <x:c r="J12" s="4" t="s">
        <x:v>133</x:v>
      </x:c>
      <x:c r="K12" s="5" t="n">
        <x:v>7514101</x:v>
      </x:c>
      <x:c r="L12" s="6" t="s">
        <x:v>23</x:v>
      </x:c>
      <x:c r="M12" s="7">
        <x:f>L12&amp;"-"&amp;K12</x:f>
      </x:c>
      <x:c r="N12" s="6" t="s">
        <x:v>87</x:v>
      </x:c>
      <x:c r="O12" s="4" t="s">
        <x:v>134</x:v>
      </x:c>
      <x:c r="Q12" s="18" t="s">
        <x:v>131</x:v>
      </x:c>
      <x:c r="R12" s="19" t="s">
        <x:v>132</x:v>
      </x:c>
      <x:c r="S12" s="20" t="s">
        <x:v>23</x:v>
      </x:c>
      <x:c r="T12" s="21" t="s">
        <x:v>24</x:v>
      </x:c>
      <x:c r="U12" s="21">
        <x:f>Q12</x:f>
      </x:c>
    </x:row>
    <x:row r="13" spans="1:41" customFormat="1" ht="18" customHeight="1">
      <x:c r="A13" s="18" t="s">
        <x:v>135</x:v>
      </x:c>
      <x:c r="B13" s="19" t="s">
        <x:v>136</x:v>
      </x:c>
      <x:c r="C13" s="20" t="s">
        <x:v>23</x:v>
      </x:c>
      <x:c r="D13" s="21" t="s">
        <x:v>24</x:v>
      </x:c>
      <x:c r="E13" s="21">
        <x:f>A13</x:f>
      </x:c>
      <x:c r="J13" s="4" t="s">
        <x:v>137</x:v>
      </x:c>
      <x:c r="K13" s="5" t="n">
        <x:v>7514102</x:v>
      </x:c>
      <x:c r="L13" s="6" t="s">
        <x:v>23</x:v>
      </x:c>
      <x:c r="M13" s="7">
        <x:f>L13&amp;"-"&amp;K13</x:f>
      </x:c>
      <x:c r="N13" s="6" t="s">
        <x:v>87</x:v>
      </x:c>
      <x:c r="O13" s="4" t="s">
        <x:v>138</x:v>
      </x:c>
      <x:c r="Q13" s="18" t="s">
        <x:v>135</x:v>
      </x:c>
      <x:c r="R13" s="19" t="s">
        <x:v>136</x:v>
      </x:c>
      <x:c r="S13" s="20" t="s">
        <x:v>23</x:v>
      </x:c>
      <x:c r="T13" s="21" t="s">
        <x:v>24</x:v>
      </x:c>
      <x:c r="U13" s="21">
        <x:f>Q13</x:f>
      </x:c>
    </x:row>
    <x:row r="14" spans="1:41" customFormat="1" ht="18" customHeight="1">
      <x:c r="A14" s="18" t="s">
        <x:v>139</x:v>
      </x:c>
      <x:c r="B14" s="19" t="s">
        <x:v>140</x:v>
      </x:c>
      <x:c r="C14" s="20" t="s">
        <x:v>23</x:v>
      </x:c>
      <x:c r="D14" s="21" t="s">
        <x:v>24</x:v>
      </x:c>
      <x:c r="E14" s="21">
        <x:f>A14</x:f>
      </x:c>
      <x:c r="J14" s="4" t="s">
        <x:v>141</x:v>
      </x:c>
      <x:c r="K14" s="5" t="n">
        <x:v>7515401</x:v>
      </x:c>
      <x:c r="L14" s="6" t="s">
        <x:v>23</x:v>
      </x:c>
      <x:c r="M14" s="7">
        <x:f>L14&amp;"-"&amp;K14</x:f>
      </x:c>
      <x:c r="N14" s="6" t="s">
        <x:v>125</x:v>
      </x:c>
      <x:c r="O14" s="4" t="s">
        <x:v>142</x:v>
      </x:c>
      <x:c r="Q14" s="18" t="s">
        <x:v>139</x:v>
      </x:c>
      <x:c r="R14" s="19" t="s">
        <x:v>140</x:v>
      </x:c>
      <x:c r="S14" s="20" t="s">
        <x:v>23</x:v>
      </x:c>
      <x:c r="T14" s="21" t="s">
        <x:v>24</x:v>
      </x:c>
      <x:c r="U14" s="21">
        <x:f>Q14</x:f>
      </x:c>
    </x:row>
    <x:row r="15" spans="1:41" customFormat="1" ht="18" customHeight="1">
      <x:c r="A15" s="18" t="s">
        <x:v>143</x:v>
      </x:c>
      <x:c r="B15" s="19" t="s">
        <x:v>144</x:v>
      </x:c>
      <x:c r="C15" s="21" t="s">
        <x:v>145</x:v>
      </x:c>
      <x:c r="D15" s="21" t="s">
        <x:v>146</x:v>
      </x:c>
      <x:c r="E15" s="21">
        <x:f>A15</x:f>
      </x:c>
      <x:c r="J15" s="4" t="s">
        <x:v>147</x:v>
      </x:c>
      <x:c r="K15" s="5" t="n">
        <x:v>7515402</x:v>
      </x:c>
      <x:c r="L15" s="6" t="s">
        <x:v>23</x:v>
      </x:c>
      <x:c r="M15" s="7">
        <x:f>L15&amp;"-"&amp;K15</x:f>
      </x:c>
      <x:c r="N15" s="6" t="s">
        <x:v>125</x:v>
      </x:c>
      <x:c r="O15" s="4" t="s">
        <x:v>148</x:v>
      </x:c>
      <x:c r="Q15" s="18" t="s">
        <x:v>143</x:v>
      </x:c>
      <x:c r="R15" s="19" t="s">
        <x:v>144</x:v>
      </x:c>
      <x:c r="S15" s="21" t="s">
        <x:v>145</x:v>
      </x:c>
      <x:c r="T15" s="21" t="s">
        <x:v>146</x:v>
      </x:c>
      <x:c r="U15" s="21">
        <x:f>Q15</x:f>
      </x:c>
    </x:row>
    <x:row r="16" spans="1:41" customFormat="1" ht="18" customHeight="1">
      <x:c r="A16" s="18" t="s">
        <x:v>149</x:v>
      </x:c>
      <x:c r="B16" s="19" t="s">
        <x:v>150</x:v>
      </x:c>
      <x:c r="C16" s="21" t="s">
        <x:v>145</x:v>
      </x:c>
      <x:c r="D16" s="21" t="s">
        <x:v>146</x:v>
      </x:c>
      <x:c r="E16" s="21">
        <x:f>A16</x:f>
      </x:c>
      <x:c r="J16" s="4" t="s">
        <x:v>151</x:v>
      </x:c>
      <x:c r="K16" s="5" t="n">
        <x:v>7515403</x:v>
      </x:c>
      <x:c r="L16" s="6" t="s">
        <x:v>23</x:v>
      </x:c>
      <x:c r="M16" s="7">
        <x:f>L16&amp;"-"&amp;K16</x:f>
      </x:c>
      <x:c r="N16" s="6" t="s">
        <x:v>125</x:v>
      </x:c>
      <x:c r="O16" s="4" t="s">
        <x:v>152</x:v>
      </x:c>
      <x:c r="Q16" s="18" t="s">
        <x:v>149</x:v>
      </x:c>
      <x:c r="R16" s="19" t="s">
        <x:v>150</x:v>
      </x:c>
      <x:c r="S16" s="21" t="s">
        <x:v>145</x:v>
      </x:c>
      <x:c r="T16" s="21" t="s">
        <x:v>146</x:v>
      </x:c>
      <x:c r="U16" s="21">
        <x:f>Q16</x:f>
      </x:c>
    </x:row>
    <x:row r="17" spans="1:41" customFormat="1" ht="18" customHeight="1">
      <x:c r="A17" s="18" t="s">
        <x:v>153</x:v>
      </x:c>
      <x:c r="B17" s="19" t="s">
        <x:v>154</x:v>
      </x:c>
      <x:c r="C17" s="21" t="s">
        <x:v>145</x:v>
      </x:c>
      <x:c r="D17" s="21" t="s">
        <x:v>146</x:v>
      </x:c>
      <x:c r="E17" s="21">
        <x:f>A17</x:f>
      </x:c>
      <x:c r="J17" s="4" t="s">
        <x:v>155</x:v>
      </x:c>
      <x:c r="K17" s="5" t="n">
        <x:v>7515404</x:v>
      </x:c>
      <x:c r="L17" s="6" t="s">
        <x:v>23</x:v>
      </x:c>
      <x:c r="M17" s="7">
        <x:f>L17&amp;"-"&amp;K17</x:f>
      </x:c>
      <x:c r="N17" s="6" t="s">
        <x:v>125</x:v>
      </x:c>
      <x:c r="O17" s="4" t="s">
        <x:v>156</x:v>
      </x:c>
      <x:c r="Q17" s="18" t="s">
        <x:v>153</x:v>
      </x:c>
      <x:c r="R17" s="19" t="s">
        <x:v>154</x:v>
      </x:c>
      <x:c r="S17" s="21" t="s">
        <x:v>145</x:v>
      </x:c>
      <x:c r="T17" s="21" t="s">
        <x:v>146</x:v>
      </x:c>
      <x:c r="U17" s="21">
        <x:f>Q17</x:f>
      </x:c>
    </x:row>
    <x:row r="18" spans="1:41" customFormat="1" ht="18" customHeight="1">
      <x:c r="A18" s="18" t="s">
        <x:v>157</x:v>
      </x:c>
      <x:c r="B18" s="19" t="s">
        <x:v>158</x:v>
      </x:c>
      <x:c r="C18" s="21" t="s">
        <x:v>145</x:v>
      </x:c>
      <x:c r="D18" s="21" t="s">
        <x:v>146</x:v>
      </x:c>
      <x:c r="E18" s="21">
        <x:f>A18</x:f>
      </x:c>
      <x:c r="J18" s="4" t="s">
        <x:v>159</x:v>
      </x:c>
      <x:c r="K18" s="5" t="n">
        <x:v>7515405</x:v>
      </x:c>
      <x:c r="L18" s="6" t="s">
        <x:v>23</x:v>
      </x:c>
      <x:c r="M18" s="7">
        <x:f>L18&amp;"-"&amp;K18</x:f>
      </x:c>
      <x:c r="N18" s="6" t="s">
        <x:v>125</x:v>
      </x:c>
      <x:c r="O18" s="4" t="s">
        <x:v>160</x:v>
      </x:c>
      <x:c r="Q18" s="18" t="s">
        <x:v>157</x:v>
      </x:c>
      <x:c r="R18" s="19" t="s">
        <x:v>158</x:v>
      </x:c>
      <x:c r="S18" s="21" t="s">
        <x:v>145</x:v>
      </x:c>
      <x:c r="T18" s="21" t="s">
        <x:v>146</x:v>
      </x:c>
      <x:c r="U18" s="21">
        <x:f>Q18</x:f>
      </x:c>
    </x:row>
    <x:row r="19" spans="1:41" customFormat="1" ht="18" customHeight="1">
      <x:c r="A19" s="18" t="s">
        <x:v>161</x:v>
      </x:c>
      <x:c r="B19" s="19" t="s">
        <x:v>162</x:v>
      </x:c>
      <x:c r="C19" s="21" t="s">
        <x:v>145</x:v>
      </x:c>
      <x:c r="D19" s="21" t="s">
        <x:v>146</x:v>
      </x:c>
      <x:c r="E19" s="21">
        <x:f>A19</x:f>
      </x:c>
      <x:c r="J19" s="4" t="s">
        <x:v>163</x:v>
      </x:c>
      <x:c r="K19" s="5" t="n">
        <x:v>7515406</x:v>
      </x:c>
      <x:c r="L19" s="6" t="s">
        <x:v>23</x:v>
      </x:c>
      <x:c r="M19" s="7">
        <x:f>L19&amp;"-"&amp;K19</x:f>
      </x:c>
      <x:c r="N19" s="6" t="s">
        <x:v>125</x:v>
      </x:c>
      <x:c r="O19" s="4" t="s">
        <x:v>164</x:v>
      </x:c>
      <x:c r="Q19" s="18" t="s">
        <x:v>161</x:v>
      </x:c>
      <x:c r="R19" s="19" t="s">
        <x:v>162</x:v>
      </x:c>
      <x:c r="S19" s="21" t="s">
        <x:v>145</x:v>
      </x:c>
      <x:c r="T19" s="21" t="s">
        <x:v>146</x:v>
      </x:c>
      <x:c r="U19" s="21">
        <x:f>Q19</x:f>
      </x:c>
    </x:row>
    <x:row r="20" spans="1:41" customFormat="1" ht="18" customHeight="1">
      <x:c r="A20" s="18" t="s">
        <x:v>165</x:v>
      </x:c>
      <x:c r="B20" s="19" t="s">
        <x:v>166</x:v>
      </x:c>
      <x:c r="C20" s="21" t="s">
        <x:v>145</x:v>
      </x:c>
      <x:c r="D20" s="21" t="s">
        <x:v>146</x:v>
      </x:c>
      <x:c r="E20" s="21">
        <x:f>A20</x:f>
      </x:c>
      <x:c r="J20" s="4" t="s">
        <x:v>167</x:v>
      </x:c>
      <x:c r="K20" s="5" t="n">
        <x:v>7515407</x:v>
      </x:c>
      <x:c r="L20" s="6" t="s">
        <x:v>23</x:v>
      </x:c>
      <x:c r="M20" s="7">
        <x:f>L20&amp;"-"&amp;K20</x:f>
      </x:c>
      <x:c r="N20" s="6" t="s">
        <x:v>125</x:v>
      </x:c>
      <x:c r="Q20" s="18" t="s"/>
      <x:c r="R20" s="19" t="s"/>
      <x:c r="S20" s="21" t="s"/>
      <x:c r="T20" s="21" t="s"/>
      <x:c r="U20" s="21" t="s"/>
    </x:row>
    <x:row r="21" spans="1:41" customFormat="1" ht="18" customHeight="1">
      <x:c r="A21" s="18" t="s">
        <x:v>168</x:v>
      </x:c>
      <x:c r="B21" s="19" t="s">
        <x:v>169</x:v>
      </x:c>
      <x:c r="C21" s="21" t="s">
        <x:v>145</x:v>
      </x:c>
      <x:c r="D21" s="21" t="s">
        <x:v>146</x:v>
      </x:c>
      <x:c r="E21" s="21">
        <x:f>A21</x:f>
      </x:c>
      <x:c r="J21" s="4" t="s">
        <x:v>170</x:v>
      </x:c>
      <x:c r="K21" s="5" t="n">
        <x:v>7515408</x:v>
      </x:c>
      <x:c r="L21" s="6" t="s">
        <x:v>23</x:v>
      </x:c>
      <x:c r="M21" s="7">
        <x:f>L21&amp;"-"&amp;K21</x:f>
      </x:c>
      <x:c r="N21" s="6" t="s">
        <x:v>125</x:v>
      </x:c>
      <x:c r="O21" s="4" t="s">
        <x:v>171</x:v>
      </x:c>
      <x:c r="Q21" s="18" t="s">
        <x:v>165</x:v>
      </x:c>
      <x:c r="R21" s="19" t="s">
        <x:v>166</x:v>
      </x:c>
      <x:c r="S21" s="21" t="s">
        <x:v>145</x:v>
      </x:c>
      <x:c r="T21" s="21" t="s">
        <x:v>146</x:v>
      </x:c>
      <x:c r="U21" s="21">
        <x:f>Q21</x:f>
      </x:c>
    </x:row>
    <x:row r="22" spans="1:41" customFormat="1" ht="18" customHeight="1">
      <x:c r="A22" s="18" t="s">
        <x:v>172</x:v>
      </x:c>
      <x:c r="B22" s="19" t="s">
        <x:v>173</x:v>
      </x:c>
      <x:c r="C22" s="21" t="s">
        <x:v>145</x:v>
      </x:c>
      <x:c r="D22" s="21" t="s">
        <x:v>146</x:v>
      </x:c>
      <x:c r="E22" s="21">
        <x:f>A22</x:f>
      </x:c>
      <x:c r="J22" s="4" t="s">
        <x:v>174</x:v>
      </x:c>
      <x:c r="K22" s="5" t="n">
        <x:v>7515409</x:v>
      </x:c>
      <x:c r="L22" s="6" t="s">
        <x:v>23</x:v>
      </x:c>
      <x:c r="M22" s="7">
        <x:f>L22&amp;"-"&amp;K22</x:f>
      </x:c>
      <x:c r="N22" s="6" t="s">
        <x:v>125</x:v>
      </x:c>
      <x:c r="O22" s="4" t="s">
        <x:v>175</x:v>
      </x:c>
      <x:c r="Q22" s="18" t="s">
        <x:v>168</x:v>
      </x:c>
      <x:c r="R22" s="19" t="s">
        <x:v>169</x:v>
      </x:c>
      <x:c r="S22" s="21" t="s">
        <x:v>145</x:v>
      </x:c>
      <x:c r="T22" s="21" t="s">
        <x:v>146</x:v>
      </x:c>
      <x:c r="U22" s="21">
        <x:f>Q22</x:f>
      </x:c>
    </x:row>
    <x:row r="23" spans="1:41" customFormat="1" ht="18" customHeight="1">
      <x:c r="A23" s="18" t="s">
        <x:v>176</x:v>
      </x:c>
      <x:c r="B23" s="19" t="s">
        <x:v>177</x:v>
      </x:c>
      <x:c r="C23" s="21" t="s">
        <x:v>145</x:v>
      </x:c>
      <x:c r="D23" s="21" t="s">
        <x:v>146</x:v>
      </x:c>
      <x:c r="E23" s="21">
        <x:f>A23</x:f>
      </x:c>
      <x:c r="J23" s="4" t="s">
        <x:v>178</x:v>
      </x:c>
      <x:c r="K23" s="5" t="n">
        <x:v>7515410</x:v>
      </x:c>
      <x:c r="L23" s="6" t="s">
        <x:v>23</x:v>
      </x:c>
      <x:c r="M23" s="7">
        <x:f>L23&amp;"-"&amp;K23</x:f>
      </x:c>
      <x:c r="N23" s="6" t="s">
        <x:v>125</x:v>
      </x:c>
      <x:c r="O23" s="4" t="s">
        <x:v>179</x:v>
      </x:c>
      <x:c r="Q23" s="18" t="s">
        <x:v>172</x:v>
      </x:c>
      <x:c r="R23" s="19" t="s">
        <x:v>173</x:v>
      </x:c>
      <x:c r="S23" s="21" t="s">
        <x:v>145</x:v>
      </x:c>
      <x:c r="T23" s="21" t="s">
        <x:v>146</x:v>
      </x:c>
      <x:c r="U23" s="21">
        <x:f>Q23</x:f>
      </x:c>
    </x:row>
    <x:row r="24" spans="1:41" customFormat="1" ht="18" customHeight="1">
      <x:c r="A24" s="18" t="s">
        <x:v>180</x:v>
      </x:c>
      <x:c r="B24" s="19" t="s">
        <x:v>181</x:v>
      </x:c>
      <x:c r="C24" s="21" t="s">
        <x:v>145</x:v>
      </x:c>
      <x:c r="D24" s="21" t="s">
        <x:v>146</x:v>
      </x:c>
      <x:c r="E24" s="21">
        <x:f>A24</x:f>
      </x:c>
      <x:c r="J24" s="4" t="s">
        <x:v>182</x:v>
      </x:c>
      <x:c r="K24" s="5" t="n">
        <x:v>7515499</x:v>
      </x:c>
      <x:c r="L24" s="6" t="s">
        <x:v>23</x:v>
      </x:c>
      <x:c r="M24" s="7">
        <x:f>L24&amp;"-"&amp;K24</x:f>
      </x:c>
      <x:c r="N24" s="6" t="s">
        <x:v>125</x:v>
      </x:c>
      <x:c r="O24" s="4" t="s">
        <x:v>183</x:v>
      </x:c>
      <x:c r="Q24" s="18" t="s">
        <x:v>176</x:v>
      </x:c>
      <x:c r="R24" s="19" t="s">
        <x:v>177</x:v>
      </x:c>
      <x:c r="S24" s="21" t="s">
        <x:v>145</x:v>
      </x:c>
      <x:c r="T24" s="21" t="s">
        <x:v>146</x:v>
      </x:c>
      <x:c r="U24" s="21">
        <x:f>Q24</x:f>
      </x:c>
    </x:row>
    <x:row r="25" spans="1:41" customFormat="1" ht="18" customHeight="1">
      <x:c r="A25" s="18" t="s">
        <x:v>184</x:v>
      </x:c>
      <x:c r="B25" s="19" t="s">
        <x:v>185</x:v>
      </x:c>
      <x:c r="C25" s="21" t="s">
        <x:v>145</x:v>
      </x:c>
      <x:c r="D25" s="21" t="s">
        <x:v>146</x:v>
      </x:c>
      <x:c r="E25" s="21">
        <x:f>A25</x:f>
      </x:c>
      <x:c r="J25" s="4" t="s">
        <x:v>186</x:v>
      </x:c>
      <x:c r="K25" s="5" t="n">
        <x:v>7516102</x:v>
      </x:c>
      <x:c r="L25" s="6" t="s">
        <x:v>23</x:v>
      </x:c>
      <x:c r="M25" s="7">
        <x:f>L25&amp;"-"&amp;K25</x:f>
      </x:c>
      <x:c r="N25" s="6" t="s">
        <x:v>187</x:v>
      </x:c>
      <x:c r="O25" s="4" t="s">
        <x:v>188</x:v>
      </x:c>
      <x:c r="Q25" s="18" t="s">
        <x:v>180</x:v>
      </x:c>
      <x:c r="R25" s="19" t="s">
        <x:v>181</x:v>
      </x:c>
      <x:c r="S25" s="21" t="s">
        <x:v>145</x:v>
      </x:c>
      <x:c r="T25" s="21" t="s">
        <x:v>146</x:v>
      </x:c>
      <x:c r="U25" s="21">
        <x:f>Q25</x:f>
      </x:c>
    </x:row>
    <x:row r="26" spans="1:41" customFormat="1" ht="18" customHeight="1">
      <x:c r="A26" s="18" t="s">
        <x:v>189</x:v>
      </x:c>
      <x:c r="B26" s="19" t="s">
        <x:v>190</x:v>
      </x:c>
      <x:c r="C26" s="21" t="s">
        <x:v>145</x:v>
      </x:c>
      <x:c r="D26" s="21" t="s">
        <x:v>146</x:v>
      </x:c>
      <x:c r="E26" s="21">
        <x:f>A26</x:f>
      </x:c>
      <x:c r="J26" s="4" t="s">
        <x:v>191</x:v>
      </x:c>
      <x:c r="K26" s="5" t="n">
        <x:v>7519101</x:v>
      </x:c>
      <x:c r="L26" s="6" t="s">
        <x:v>23</x:v>
      </x:c>
      <x:c r="M26" s="7">
        <x:f>L26&amp;"-"&amp;K26</x:f>
      </x:c>
      <x:c r="N26" s="6" t="s">
        <x:v>69</x:v>
      </x:c>
      <x:c r="O26" s="4" t="s">
        <x:v>192</x:v>
      </x:c>
      <x:c r="Q26" s="18" t="s">
        <x:v>184</x:v>
      </x:c>
      <x:c r="R26" s="19" t="s">
        <x:v>185</x:v>
      </x:c>
      <x:c r="S26" s="21" t="s">
        <x:v>145</x:v>
      </x:c>
      <x:c r="T26" s="21" t="s">
        <x:v>146</x:v>
      </x:c>
      <x:c r="U26" s="21">
        <x:f>Q26</x:f>
      </x:c>
    </x:row>
    <x:row r="27" spans="1:41" customFormat="1" ht="18" customHeight="1">
      <x:c r="A27" s="18" t="s">
        <x:v>193</x:v>
      </x:c>
      <x:c r="B27" s="19" t="s">
        <x:v>194</x:v>
      </x:c>
      <x:c r="C27" s="21" t="s">
        <x:v>145</x:v>
      </x:c>
      <x:c r="D27" s="21" t="s">
        <x:v>146</x:v>
      </x:c>
      <x:c r="E27" s="21">
        <x:f>A27</x:f>
      </x:c>
      <x:c r="J27" s="4" t="s">
        <x:v>195</x:v>
      </x:c>
      <x:c r="K27" s="5" t="n">
        <x:v>7521101</x:v>
      </x:c>
      <x:c r="L27" s="6" t="s">
        <x:v>23</x:v>
      </x:c>
      <x:c r="M27" s="7">
        <x:f>L27&amp;"-"&amp;K27</x:f>
      </x:c>
      <x:c r="N27" s="6" t="s">
        <x:v>87</x:v>
      </x:c>
      <x:c r="O27" s="4" t="s">
        <x:v>196</x:v>
      </x:c>
      <x:c r="Q27" s="18" t="s">
        <x:v>189</x:v>
      </x:c>
      <x:c r="R27" s="19" t="s">
        <x:v>190</x:v>
      </x:c>
      <x:c r="S27" s="21" t="s">
        <x:v>145</x:v>
      </x:c>
      <x:c r="T27" s="21" t="s">
        <x:v>146</x:v>
      </x:c>
      <x:c r="U27" s="21">
        <x:f>Q27</x:f>
      </x:c>
    </x:row>
    <x:row r="28" spans="1:41" customFormat="1" ht="18" customHeight="1">
      <x:c r="A28" s="18" t="s">
        <x:v>197</x:v>
      </x:c>
      <x:c r="B28" s="19" t="s">
        <x:v>198</x:v>
      </x:c>
      <x:c r="C28" s="21" t="s">
        <x:v>145</x:v>
      </x:c>
      <x:c r="D28" s="21" t="s">
        <x:v>146</x:v>
      </x:c>
      <x:c r="E28" s="21">
        <x:f>A28</x:f>
      </x:c>
      <x:c r="J28" s="4" t="s">
        <x:v>199</x:v>
      </x:c>
      <x:c r="K28" s="5" t="n">
        <x:v>7521102</x:v>
      </x:c>
      <x:c r="L28" s="6" t="s">
        <x:v>23</x:v>
      </x:c>
      <x:c r="M28" s="7">
        <x:f>L28&amp;"-"&amp;K28</x:f>
      </x:c>
      <x:c r="N28" s="6" t="s">
        <x:v>120</x:v>
      </x:c>
      <x:c r="O28" s="4" t="s">
        <x:v>200</x:v>
      </x:c>
      <x:c r="Q28" s="18" t="s">
        <x:v>193</x:v>
      </x:c>
      <x:c r="R28" s="19" t="s">
        <x:v>194</x:v>
      </x:c>
      <x:c r="S28" s="21" t="s">
        <x:v>145</x:v>
      </x:c>
      <x:c r="T28" s="21" t="s">
        <x:v>146</x:v>
      </x:c>
      <x:c r="U28" s="21">
        <x:f>Q28</x:f>
      </x:c>
    </x:row>
    <x:row r="29" spans="1:41" customFormat="1" ht="18" customHeight="1">
      <x:c r="A29" s="18" t="s">
        <x:v>201</x:v>
      </x:c>
      <x:c r="B29" s="19" t="s">
        <x:v>202</x:v>
      </x:c>
      <x:c r="C29" s="21" t="s">
        <x:v>145</x:v>
      </x:c>
      <x:c r="D29" s="21" t="s">
        <x:v>203</x:v>
      </x:c>
      <x:c r="E29" s="21">
        <x:f>A29</x:f>
      </x:c>
      <x:c r="J29" s="4" t="s">
        <x:v>204</x:v>
      </x:c>
      <x:c r="K29" s="5" t="n">
        <x:v>7571101</x:v>
      </x:c>
      <x:c r="L29" s="6" t="s">
        <x:v>23</x:v>
      </x:c>
      <x:c r="M29" s="7">
        <x:f>L29&amp;"-"&amp;K29</x:f>
      </x:c>
      <x:c r="N29" s="6" t="s">
        <x:v>205</x:v>
      </x:c>
      <x:c r="O29" s="4" t="s">
        <x:v>206</x:v>
      </x:c>
      <x:c r="Q29" s="18" t="s">
        <x:v>197</x:v>
      </x:c>
      <x:c r="R29" s="19" t="s">
        <x:v>198</x:v>
      </x:c>
      <x:c r="S29" s="21" t="s">
        <x:v>145</x:v>
      </x:c>
      <x:c r="T29" s="21" t="s">
        <x:v>146</x:v>
      </x:c>
      <x:c r="U29" s="21">
        <x:f>Q29</x:f>
      </x:c>
    </x:row>
    <x:row r="30" spans="1:41" customFormat="1" ht="18" customHeight="1">
      <x:c r="A30" s="18" t="s">
        <x:v>207</x:v>
      </x:c>
      <x:c r="B30" s="19" t="s">
        <x:v>208</x:v>
      </x:c>
      <x:c r="C30" s="21" t="s">
        <x:v>145</x:v>
      </x:c>
      <x:c r="D30" s="21" t="s">
        <x:v>203</x:v>
      </x:c>
      <x:c r="E30" s="21">
        <x:f>A30</x:f>
      </x:c>
      <x:c r="J30" s="4" t="s">
        <x:v>73</x:v>
      </x:c>
      <x:c r="K30" s="5" t="n">
        <x:v>7611100</x:v>
      </x:c>
      <x:c r="L30" s="6" t="s">
        <x:v>23</x:v>
      </x:c>
      <x:c r="M30" s="7">
        <x:f>L30&amp;"-"&amp;K30</x:f>
      </x:c>
      <x:c r="N30" s="6" t="s">
        <x:v>209</x:v>
      </x:c>
      <x:c r="O30" s="4" t="s">
        <x:v>210</x:v>
      </x:c>
      <x:c r="Q30" s="18" t="s">
        <x:v>201</x:v>
      </x:c>
      <x:c r="R30" s="19" t="s">
        <x:v>202</x:v>
      </x:c>
      <x:c r="S30" s="21" t="s">
        <x:v>145</x:v>
      </x:c>
      <x:c r="T30" s="21" t="s">
        <x:v>203</x:v>
      </x:c>
      <x:c r="U30" s="21">
        <x:f>Q30</x:f>
      </x:c>
    </x:row>
    <x:row r="31" spans="1:41" customFormat="1" ht="18" customHeight="1">
      <x:c r="A31" s="18" t="s">
        <x:v>211</x:v>
      </x:c>
      <x:c r="B31" s="19" t="s">
        <x:v>212</x:v>
      </x:c>
      <x:c r="C31" s="21" t="s">
        <x:v>145</x:v>
      </x:c>
      <x:c r="D31" s="21" t="s">
        <x:v>203</x:v>
      </x:c>
      <x:c r="E31" s="21">
        <x:f>A31</x:f>
      </x:c>
      <x:c r="J31" s="4" t="s">
        <x:v>82</x:v>
      </x:c>
      <x:c r="K31" s="5" t="n">
        <x:v>7611300</x:v>
      </x:c>
      <x:c r="L31" s="6" t="s">
        <x:v>23</x:v>
      </x:c>
      <x:c r="M31" s="7">
        <x:f>L31&amp;"-"&amp;K31</x:f>
      </x:c>
      <x:c r="N31" s="6" t="s">
        <x:v>209</x:v>
      </x:c>
      <x:c r="O31" s="4" t="s">
        <x:v>213</x:v>
      </x:c>
      <x:c r="Q31" s="18" t="s">
        <x:v>207</x:v>
      </x:c>
      <x:c r="R31" s="19" t="s">
        <x:v>208</x:v>
      </x:c>
      <x:c r="S31" s="21" t="s">
        <x:v>145</x:v>
      </x:c>
      <x:c r="T31" s="21" t="s">
        <x:v>203</x:v>
      </x:c>
      <x:c r="U31" s="21">
        <x:f>Q31</x:f>
      </x:c>
    </x:row>
    <x:row r="32" spans="1:41" customFormat="1" ht="18" customHeight="1">
      <x:c r="A32" s="18" t="s">
        <x:v>214</x:v>
      </x:c>
      <x:c r="B32" s="19" t="s">
        <x:v>215</x:v>
      </x:c>
      <x:c r="C32" s="21" t="s">
        <x:v>145</x:v>
      </x:c>
      <x:c r="D32" s="21" t="s">
        <x:v>203</x:v>
      </x:c>
      <x:c r="E32" s="21">
        <x:f>A32</x:f>
      </x:c>
      <x:c r="J32" s="4" t="s">
        <x:v>216</x:v>
      </x:c>
      <x:c r="K32" s="5" t="n">
        <x:v>7611400</x:v>
      </x:c>
      <x:c r="L32" s="6" t="s">
        <x:v>23</x:v>
      </x:c>
      <x:c r="M32" s="7">
        <x:f>L32&amp;"-"&amp;K32</x:f>
      </x:c>
      <x:c r="N32" s="6" t="s">
        <x:v>209</x:v>
      </x:c>
      <x:c r="O32" s="4" t="s">
        <x:v>217</x:v>
      </x:c>
      <x:c r="Q32" s="18" t="s">
        <x:v>211</x:v>
      </x:c>
      <x:c r="R32" s="19" t="s">
        <x:v>212</x:v>
      </x:c>
      <x:c r="S32" s="21" t="s">
        <x:v>145</x:v>
      </x:c>
      <x:c r="T32" s="21" t="s">
        <x:v>203</x:v>
      </x:c>
      <x:c r="U32" s="21">
        <x:f>Q32</x:f>
      </x:c>
    </x:row>
    <x:row r="33" spans="1:41" customFormat="1" ht="18" customHeight="1">
      <x:c r="A33" s="18" t="s">
        <x:v>218</x:v>
      </x:c>
      <x:c r="B33" s="19" t="s">
        <x:v>219</x:v>
      </x:c>
      <x:c r="C33" s="21" t="s">
        <x:v>145</x:v>
      </x:c>
      <x:c r="D33" s="21" t="s">
        <x:v>203</x:v>
      </x:c>
      <x:c r="E33" s="21">
        <x:f>A33</x:f>
      </x:c>
      <x:c r="J33" s="4" t="s">
        <x:v>99</x:v>
      </x:c>
      <x:c r="K33" s="5" t="n">
        <x:v>7611500</x:v>
      </x:c>
      <x:c r="L33" s="6" t="s">
        <x:v>23</x:v>
      </x:c>
      <x:c r="M33" s="7">
        <x:f>L33&amp;"-"&amp;K33</x:f>
      </x:c>
      <x:c r="N33" s="6" t="s">
        <x:v>209</x:v>
      </x:c>
      <x:c r="O33" s="4" t="s">
        <x:v>220</x:v>
      </x:c>
      <x:c r="Q33" s="18" t="s">
        <x:v>214</x:v>
      </x:c>
      <x:c r="R33" s="19" t="s">
        <x:v>215</x:v>
      </x:c>
      <x:c r="S33" s="21" t="s">
        <x:v>145</x:v>
      </x:c>
      <x:c r="T33" s="21" t="s">
        <x:v>203</x:v>
      </x:c>
      <x:c r="U33" s="21">
        <x:f>Q33</x:f>
      </x:c>
    </x:row>
    <x:row r="34" spans="1:41" customFormat="1" ht="18" customHeight="1">
      <x:c r="A34" s="18" t="s">
        <x:v>221</x:v>
      </x:c>
      <x:c r="B34" s="19" t="s">
        <x:v>222</x:v>
      </x:c>
      <x:c r="C34" s="21" t="s">
        <x:v>145</x:v>
      </x:c>
      <x:c r="D34" s="21" t="s">
        <x:v>203</x:v>
      </x:c>
      <x:c r="E34" s="21">
        <x:f>A34</x:f>
      </x:c>
      <x:c r="J34" s="4" t="s">
        <x:v>105</x:v>
      </x:c>
      <x:c r="K34" s="5" t="n">
        <x:v>7611600</x:v>
      </x:c>
      <x:c r="L34" s="6" t="s">
        <x:v>23</x:v>
      </x:c>
      <x:c r="M34" s="7">
        <x:f>L34&amp;"-"&amp;K34</x:f>
      </x:c>
      <x:c r="N34" s="6" t="s">
        <x:v>209</x:v>
      </x:c>
      <x:c r="O34" s="4" t="s">
        <x:v>223</x:v>
      </x:c>
      <x:c r="Q34" s="18" t="s">
        <x:v>218</x:v>
      </x:c>
      <x:c r="R34" s="19" t="s">
        <x:v>219</x:v>
      </x:c>
      <x:c r="S34" s="21" t="s">
        <x:v>145</x:v>
      </x:c>
      <x:c r="T34" s="21" t="s">
        <x:v>203</x:v>
      </x:c>
      <x:c r="U34" s="21">
        <x:f>Q34</x:f>
      </x:c>
    </x:row>
    <x:row r="35" spans="1:41" customFormat="1" ht="18" customHeight="1">
      <x:c r="A35" s="18" t="s">
        <x:v>224</x:v>
      </x:c>
      <x:c r="B35" s="19" t="s">
        <x:v>225</x:v>
      </x:c>
      <x:c r="C35" s="21" t="s">
        <x:v>145</x:v>
      </x:c>
      <x:c r="D35" s="21" t="s">
        <x:v>203</x:v>
      </x:c>
      <x:c r="E35" s="21">
        <x:f>A35</x:f>
      </x:c>
      <x:c r="J35" s="4" t="s">
        <x:v>113</x:v>
      </x:c>
      <x:c r="K35" s="5" t="n">
        <x:v>7611700</x:v>
      </x:c>
      <x:c r="L35" s="6" t="s">
        <x:v>23</x:v>
      </x:c>
      <x:c r="M35" s="7">
        <x:f>L35&amp;"-"&amp;K35</x:f>
      </x:c>
      <x:c r="N35" s="6" t="s">
        <x:v>209</x:v>
      </x:c>
      <x:c r="O35" s="4" t="s">
        <x:v>226</x:v>
      </x:c>
      <x:c r="Q35" s="18" t="s">
        <x:v>221</x:v>
      </x:c>
      <x:c r="R35" s="19" t="s">
        <x:v>222</x:v>
      </x:c>
      <x:c r="S35" s="21" t="s">
        <x:v>145</x:v>
      </x:c>
      <x:c r="T35" s="21" t="s">
        <x:v>203</x:v>
      </x:c>
      <x:c r="U35" s="21">
        <x:f>Q35</x:f>
      </x:c>
    </x:row>
    <x:row r="36" spans="1:41" customFormat="1" ht="18" customHeight="1">
      <x:c r="A36" s="18" t="s">
        <x:v>227</x:v>
      </x:c>
      <x:c r="B36" s="19" t="s">
        <x:v>228</x:v>
      </x:c>
      <x:c r="C36" s="21" t="s">
        <x:v>145</x:v>
      </x:c>
      <x:c r="D36" s="21" t="s">
        <x:v>203</x:v>
      </x:c>
      <x:c r="E36" s="21">
        <x:f>A36</x:f>
      </x:c>
      <x:c r="J36" s="4" t="s">
        <x:v>229</x:v>
      </x:c>
      <x:c r="K36" s="5" t="n">
        <x:v>7611800</x:v>
      </x:c>
      <x:c r="L36" s="6" t="s">
        <x:v>23</x:v>
      </x:c>
      <x:c r="M36" s="7">
        <x:f>L36&amp;"-"&amp;K36</x:f>
      </x:c>
      <x:c r="N36" s="6" t="s">
        <x:v>209</x:v>
      </x:c>
      <x:c r="O36" s="4" t="s">
        <x:v>230</x:v>
      </x:c>
      <x:c r="Q36" s="18" t="s">
        <x:v>224</x:v>
      </x:c>
      <x:c r="R36" s="19" t="s">
        <x:v>225</x:v>
      </x:c>
      <x:c r="S36" s="21" t="s">
        <x:v>145</x:v>
      </x:c>
      <x:c r="T36" s="21" t="s">
        <x:v>203</x:v>
      </x:c>
      <x:c r="U36" s="21">
        <x:f>Q36</x:f>
      </x:c>
    </x:row>
    <x:row r="37" spans="1:41" customFormat="1" ht="18" customHeight="1">
      <x:c r="A37" s="18" t="s">
        <x:v>231</x:v>
      </x:c>
      <x:c r="B37" s="19" t="s">
        <x:v>232</x:v>
      </x:c>
      <x:c r="C37" s="21" t="s">
        <x:v>145</x:v>
      </x:c>
      <x:c r="D37" s="21" t="s">
        <x:v>203</x:v>
      </x:c>
      <x:c r="E37" s="21">
        <x:f>A37</x:f>
      </x:c>
      <x:c r="J37" s="4" t="s">
        <x:v>233</x:v>
      </x:c>
      <x:c r="K37" s="5" t="n">
        <x:v>7621101</x:v>
      </x:c>
      <x:c r="L37" s="6" t="s">
        <x:v>23</x:v>
      </x:c>
      <x:c r="M37" s="7">
        <x:f>L37&amp;"-"&amp;K37</x:f>
      </x:c>
      <x:c r="N37" s="6" t="s">
        <x:v>234</x:v>
      </x:c>
      <x:c r="O37" s="4" t="s">
        <x:v>235</x:v>
      </x:c>
      <x:c r="Q37" s="18" t="s">
        <x:v>227</x:v>
      </x:c>
      <x:c r="R37" s="19" t="s">
        <x:v>228</x:v>
      </x:c>
      <x:c r="S37" s="21" t="s">
        <x:v>145</x:v>
      </x:c>
      <x:c r="T37" s="21" t="s">
        <x:v>203</x:v>
      </x:c>
      <x:c r="U37" s="21">
        <x:f>Q37</x:f>
      </x:c>
    </x:row>
    <x:row r="38" spans="1:41" customFormat="1" ht="18" customHeight="1">
      <x:c r="A38" s="18" t="s">
        <x:v>236</x:v>
      </x:c>
      <x:c r="B38" s="19" t="s">
        <x:v>237</x:v>
      </x:c>
      <x:c r="C38" s="21" t="s">
        <x:v>145</x:v>
      </x:c>
      <x:c r="D38" s="21" t="s">
        <x:v>203</x:v>
      </x:c>
      <x:c r="E38" s="21">
        <x:f>A38</x:f>
      </x:c>
      <x:c r="J38" s="4" t="s">
        <x:v>238</x:v>
      </x:c>
      <x:c r="K38" s="5" t="n">
        <x:v>7621199</x:v>
      </x:c>
      <x:c r="L38" s="6" t="s">
        <x:v>23</x:v>
      </x:c>
      <x:c r="M38" s="7">
        <x:f>L38&amp;"-"&amp;K38</x:f>
      </x:c>
      <x:c r="N38" s="6" t="s">
        <x:v>239</x:v>
      </x:c>
      <x:c r="O38" s="4" t="s">
        <x:v>240</x:v>
      </x:c>
      <x:c r="Q38" s="18" t="s">
        <x:v>231</x:v>
      </x:c>
      <x:c r="R38" s="19" t="s">
        <x:v>232</x:v>
      </x:c>
      <x:c r="S38" s="21" t="s">
        <x:v>145</x:v>
      </x:c>
      <x:c r="T38" s="21" t="s">
        <x:v>203</x:v>
      </x:c>
      <x:c r="U38" s="21">
        <x:f>Q38</x:f>
      </x:c>
    </x:row>
    <x:row r="39" spans="1:41" customFormat="1" ht="18" customHeight="1">
      <x:c r="A39" s="18" t="s">
        <x:v>241</x:v>
      </x:c>
      <x:c r="B39" s="19" t="s">
        <x:v>242</x:v>
      </x:c>
      <x:c r="C39" s="21" t="s">
        <x:v>145</x:v>
      </x:c>
      <x:c r="D39" s="21" t="s">
        <x:v>203</x:v>
      </x:c>
      <x:c r="E39" s="21">
        <x:f>A39</x:f>
      </x:c>
      <x:c r="J39" s="4" t="s">
        <x:v>243</x:v>
      </x:c>
      <x:c r="K39" s="5" t="n">
        <x:v>7631101</x:v>
      </x:c>
      <x:c r="L39" s="6" t="s">
        <x:v>23</x:v>
      </x:c>
      <x:c r="M39" s="7">
        <x:f>L39&amp;"-"&amp;K39</x:f>
      </x:c>
      <x:c r="N39" s="6" t="s">
        <x:v>244</x:v>
      </x:c>
      <x:c r="O39" s="4" t="s">
        <x:v>245</x:v>
      </x:c>
      <x:c r="Q39" s="18" t="s">
        <x:v>236</x:v>
      </x:c>
      <x:c r="R39" s="19" t="s">
        <x:v>237</x:v>
      </x:c>
      <x:c r="S39" s="21" t="s">
        <x:v>145</x:v>
      </x:c>
      <x:c r="T39" s="21" t="s">
        <x:v>203</x:v>
      </x:c>
      <x:c r="U39" s="21">
        <x:f>Q39</x:f>
      </x:c>
    </x:row>
    <x:row r="40" spans="1:41" customFormat="1" ht="18" customHeight="1">
      <x:c r="A40" s="18" t="s">
        <x:v>241</x:v>
      </x:c>
      <x:c r="B40" s="19" t="s">
        <x:v>242</x:v>
      </x:c>
      <x:c r="C40" s="21" t="s">
        <x:v>145</x:v>
      </x:c>
      <x:c r="D40" s="21" t="s">
        <x:v>203</x:v>
      </x:c>
      <x:c r="E40" s="21">
        <x:f>A40</x:f>
      </x:c>
      <x:c r="J40" s="4" t="s">
        <x:v>246</x:v>
      </x:c>
      <x:c r="K40" s="5" t="n">
        <x:v>7631102</x:v>
      </x:c>
      <x:c r="L40" s="6" t="s">
        <x:v>23</x:v>
      </x:c>
      <x:c r="M40" s="7">
        <x:f>L40&amp;"-"&amp;K40</x:f>
      </x:c>
      <x:c r="N40" s="6" t="s">
        <x:v>247</x:v>
      </x:c>
      <x:c r="O40" s="4" t="s">
        <x:v>248</x:v>
      </x:c>
      <x:c r="Q40" s="106" t="s">
        <x:v>249</x:v>
      </x:c>
      <x:c r="R40" s="107" t="s">
        <x:v>250</x:v>
      </x:c>
      <x:c r="S40" s="106" t="s">
        <x:v>23</x:v>
      </x:c>
      <x:c r="T40" s="106" t="s">
        <x:v>24</x:v>
      </x:c>
      <x:c r="U40" s="106">
        <x:f>Q40</x:f>
      </x:c>
    </x:row>
    <x:row r="41" spans="1:41" customFormat="1" ht="18" customHeight="1">
      <x:c r="A41" s="18" t="s">
        <x:v>249</x:v>
      </x:c>
      <x:c r="B41" s="19" t="s">
        <x:v>250</x:v>
      </x:c>
      <x:c r="C41" s="20" t="s">
        <x:v>23</x:v>
      </x:c>
      <x:c r="D41" s="21" t="s">
        <x:v>24</x:v>
      </x:c>
      <x:c r="E41" s="21">
        <x:f>A41</x:f>
      </x:c>
      <x:c r="J41" s="4" t="s">
        <x:v>251</x:v>
      </x:c>
      <x:c r="K41" s="5" t="n">
        <x:v>7641101</x:v>
      </x:c>
      <x:c r="L41" s="6" t="s">
        <x:v>23</x:v>
      </x:c>
      <x:c r="M41" s="7">
        <x:f>L41&amp;"-"&amp;K41</x:f>
      </x:c>
      <x:c r="N41" s="6" t="s">
        <x:v>252</x:v>
      </x:c>
      <x:c r="O41" s="4" t="s">
        <x:v>253</x:v>
      </x:c>
      <x:c r="Q41" s="18" t="s">
        <x:v>241</x:v>
      </x:c>
      <x:c r="R41" s="19" t="s">
        <x:v>242</x:v>
      </x:c>
      <x:c r="S41" s="21" t="s">
        <x:v>145</x:v>
      </x:c>
      <x:c r="T41" s="21" t="s">
        <x:v>203</x:v>
      </x:c>
      <x:c r="U41" s="21">
        <x:f>Q41</x:f>
      </x:c>
    </x:row>
    <x:row r="42" spans="1:41" customFormat="1" ht="18" customHeight="1">
      <x:c r="A42" s="18" t="s">
        <x:v>241</x:v>
      </x:c>
      <x:c r="B42" s="19" t="s">
        <x:v>242</x:v>
      </x:c>
      <x:c r="C42" s="21" t="s">
        <x:v>145</x:v>
      </x:c>
      <x:c r="D42" s="21" t="s">
        <x:v>203</x:v>
      </x:c>
      <x:c r="E42" s="21">
        <x:f>A42</x:f>
      </x:c>
      <x:c r="J42" s="4" t="s">
        <x:v>254</x:v>
      </x:c>
      <x:c r="K42" s="5" t="n">
        <x:v>7641102</x:v>
      </x:c>
      <x:c r="L42" s="6" t="s">
        <x:v>23</x:v>
      </x:c>
      <x:c r="M42" s="7">
        <x:f>L42&amp;"-"&amp;K42</x:f>
      </x:c>
      <x:c r="N42" s="6" t="s">
        <x:v>252</x:v>
      </x:c>
      <x:c r="O42" s="4" t="s">
        <x:v>255</x:v>
      </x:c>
      <x:c r="Q42" s="18" t="s">
        <x:v>256</x:v>
      </x:c>
      <x:c r="R42" s="19" t="s">
        <x:v>257</x:v>
      </x:c>
      <x:c r="S42" s="21" t="s">
        <x:v>145</x:v>
      </x:c>
      <x:c r="T42" s="21" t="s">
        <x:v>203</x:v>
      </x:c>
      <x:c r="U42" s="21">
        <x:f>Q42</x:f>
      </x:c>
    </x:row>
    <x:row r="43" spans="1:41" customFormat="1" ht="18" customHeight="1">
      <x:c r="A43" s="18" t="s">
        <x:v>256</x:v>
      </x:c>
      <x:c r="B43" s="19" t="s">
        <x:v>257</x:v>
      </x:c>
      <x:c r="C43" s="21" t="s">
        <x:v>145</x:v>
      </x:c>
      <x:c r="D43" s="21" t="s">
        <x:v>203</x:v>
      </x:c>
      <x:c r="E43" s="21">
        <x:f>A43</x:f>
      </x:c>
      <x:c r="J43" s="4" t="s">
        <x:v>258</x:v>
      </x:c>
      <x:c r="K43" s="5" t="n">
        <x:v>7641103</x:v>
      </x:c>
      <x:c r="L43" s="6" t="s">
        <x:v>23</x:v>
      </x:c>
      <x:c r="M43" s="7">
        <x:f>L43&amp;"-"&amp;K43</x:f>
      </x:c>
      <x:c r="N43" s="6" t="s">
        <x:v>259</x:v>
      </x:c>
      <x:c r="O43" s="4" t="s">
        <x:v>260</x:v>
      </x:c>
      <x:c r="Q43" s="4" t="s">
        <x:v>261</x:v>
      </x:c>
      <x:c r="R43" s="5" t="s">
        <x:v>262</x:v>
      </x:c>
      <x:c r="U43" s="4">
        <x:f>Q43</x:f>
      </x:c>
    </x:row>
    <x:row r="44" spans="1:41" customFormat="1" ht="18" customHeight="1">
      <x:c r="J44" s="4" t="s">
        <x:v>263</x:v>
      </x:c>
      <x:c r="K44" s="5" t="n">
        <x:v>7641104</x:v>
      </x:c>
      <x:c r="L44" s="6" t="s">
        <x:v>23</x:v>
      </x:c>
      <x:c r="M44" s="7">
        <x:f>L44&amp;"-"&amp;K44</x:f>
      </x:c>
      <x:c r="N44" s="6" t="s">
        <x:v>259</x:v>
      </x:c>
      <x:c r="O44" s="4" t="s">
        <x:v>264</x:v>
      </x:c>
    </x:row>
    <x:row r="45" spans="1:41" customFormat="1" ht="18" customHeight="1">
      <x:c r="J45" s="4" t="s">
        <x:v>265</x:v>
      </x:c>
      <x:c r="K45" s="5" t="n">
        <x:v>7651101</x:v>
      </x:c>
      <x:c r="L45" s="6" t="s">
        <x:v>23</x:v>
      </x:c>
      <x:c r="M45" s="7">
        <x:f>L45&amp;"-"&amp;K45</x:f>
      </x:c>
      <x:c r="N45" s="6" t="s">
        <x:v>234</x:v>
      </x:c>
      <x:c r="O45" s="4" t="s">
        <x:v>266</x:v>
      </x:c>
    </x:row>
    <x:row r="46" spans="1:41" customFormat="1" ht="18" customHeight="1">
      <x:c r="J46" s="4" t="s">
        <x:v>267</x:v>
      </x:c>
      <x:c r="K46" s="5" t="n">
        <x:v>7651102</x:v>
      </x:c>
      <x:c r="L46" s="6" t="s">
        <x:v>23</x:v>
      </x:c>
      <x:c r="M46" s="7">
        <x:f>L46&amp;"-"&amp;K46</x:f>
      </x:c>
      <x:c r="N46" s="6" t="s">
        <x:v>234</x:v>
      </x:c>
      <x:c r="O46" s="4" t="s">
        <x:v>268</x:v>
      </x:c>
    </x:row>
    <x:row r="47" spans="1:41" customFormat="1" ht="18" customHeight="1">
      <x:c r="J47" s="4" t="s">
        <x:v>269</x:v>
      </x:c>
      <x:c r="K47" s="5" t="n">
        <x:v>7651103</x:v>
      </x:c>
      <x:c r="L47" s="6" t="s">
        <x:v>23</x:v>
      </x:c>
      <x:c r="M47" s="7">
        <x:f>L47&amp;"-"&amp;K47</x:f>
      </x:c>
      <x:c r="N47" s="6" t="s">
        <x:v>234</x:v>
      </x:c>
      <x:c r="O47" s="4" t="s">
        <x:v>270</x:v>
      </x:c>
    </x:row>
    <x:row r="48" spans="1:41" customFormat="1" ht="18" customHeight="1">
      <x:c r="J48" s="4" t="s">
        <x:v>271</x:v>
      </x:c>
      <x:c r="K48" s="5" t="n">
        <x:v>7661101</x:v>
      </x:c>
      <x:c r="L48" s="6" t="s">
        <x:v>23</x:v>
      </x:c>
      <x:c r="M48" s="7">
        <x:f>L48&amp;"-"&amp;K48</x:f>
      </x:c>
      <x:c r="N48" s="6" t="s">
        <x:v>272</x:v>
      </x:c>
      <x:c r="O48" s="4" t="s">
        <x:v>273</x:v>
      </x:c>
    </x:row>
    <x:row r="49" spans="1:41" customFormat="1" ht="18" customHeight="1">
      <x:c r="J49" s="4" t="s">
        <x:v>274</x:v>
      </x:c>
      <x:c r="K49" s="5" t="n">
        <x:v>7671102</x:v>
      </x:c>
      <x:c r="L49" s="6" t="s">
        <x:v>23</x:v>
      </x:c>
      <x:c r="M49" s="7">
        <x:f>L49&amp;"-"&amp;K49</x:f>
      </x:c>
      <x:c r="N49" s="6" t="s">
        <x:v>259</x:v>
      </x:c>
      <x:c r="O49" s="4" t="s">
        <x:v>275</x:v>
      </x:c>
    </x:row>
    <x:row r="50" spans="1:41" customFormat="1" ht="18" customHeight="1">
      <x:c r="J50" s="4" t="s">
        <x:v>276</x:v>
      </x:c>
      <x:c r="K50" s="5" t="n">
        <x:v>7671103</x:v>
      </x:c>
      <x:c r="L50" s="6" t="s">
        <x:v>23</x:v>
      </x:c>
      <x:c r="M50" s="7">
        <x:f>L50&amp;"-"&amp;K50</x:f>
      </x:c>
      <x:c r="N50" s="6" t="s">
        <x:v>259</x:v>
      </x:c>
      <x:c r="O50" s="4" t="s">
        <x:v>277</x:v>
      </x:c>
    </x:row>
    <x:row r="51" spans="1:41" customFormat="1" ht="18" customHeight="1">
      <x:c r="J51" s="4" t="s">
        <x:v>278</x:v>
      </x:c>
      <x:c r="K51" s="5" t="n">
        <x:v>7681101</x:v>
      </x:c>
      <x:c r="L51" s="6" t="s">
        <x:v>23</x:v>
      </x:c>
      <x:c r="M51" s="7">
        <x:f>L51&amp;"-"&amp;K51</x:f>
      </x:c>
      <x:c r="N51" s="6" t="s">
        <x:v>259</x:v>
      </x:c>
      <x:c r="O51" s="4" t="s">
        <x:v>279</x:v>
      </x:c>
    </x:row>
    <x:row r="52" spans="1:41" customFormat="1" ht="18" customHeight="1">
      <x:c r="J52" s="4" t="s">
        <x:v>280</x:v>
      </x:c>
      <x:c r="K52" s="5" t="n">
        <x:v>7691000</x:v>
      </x:c>
      <x:c r="L52" s="6" t="s">
        <x:v>23</x:v>
      </x:c>
      <x:c r="M52" s="7">
        <x:f>L52&amp;"-"&amp;K52</x:f>
      </x:c>
      <x:c r="N52" s="6" t="s">
        <x:v>259</x:v>
      </x:c>
      <x:c r="O52" s="4" t="s">
        <x:v>281</x:v>
      </x:c>
    </x:row>
    <x:row r="53" spans="1:41" customFormat="1" ht="18" customHeight="1">
      <x:c r="J53" s="4" t="s">
        <x:v>282</x:v>
      </x:c>
      <x:c r="K53" s="5" t="n">
        <x:v>7711101</x:v>
      </x:c>
      <x:c r="L53" s="6" t="s">
        <x:v>23</x:v>
      </x:c>
      <x:c r="M53" s="7">
        <x:f>L53&amp;"-"&amp;K53</x:f>
      </x:c>
      <x:c r="N53" s="6" t="s">
        <x:v>259</x:v>
      </x:c>
      <x:c r="O53" s="4" t="s">
        <x:v>283</x:v>
      </x:c>
    </x:row>
    <x:row r="54" spans="1:41" customFormat="1" ht="18" customHeight="1">
      <x:c r="J54" s="4" t="s">
        <x:v>284</x:v>
      </x:c>
      <x:c r="K54" s="5" t="n">
        <x:v>7711102</x:v>
      </x:c>
      <x:c r="L54" s="6" t="s">
        <x:v>23</x:v>
      </x:c>
      <x:c r="M54" s="7">
        <x:f>L54&amp;"-"&amp;K54</x:f>
      </x:c>
      <x:c r="N54" s="6" t="s">
        <x:v>285</x:v>
      </x:c>
      <x:c r="O54" s="4" t="s">
        <x:v>286</x:v>
      </x:c>
    </x:row>
    <x:row r="55" spans="1:41" customFormat="1" ht="18" customHeight="1">
      <x:c r="J55" s="4" t="s">
        <x:v>287</x:v>
      </x:c>
      <x:c r="K55" s="5" t="n">
        <x:v>7711103</x:v>
      </x:c>
      <x:c r="L55" s="6" t="s">
        <x:v>23</x:v>
      </x:c>
      <x:c r="M55" s="7">
        <x:f>L55&amp;"-"&amp;K55</x:f>
      </x:c>
      <x:c r="N55" s="6" t="s">
        <x:v>259</x:v>
      </x:c>
      <x:c r="O55" s="4" t="s">
        <x:v>288</x:v>
      </x:c>
    </x:row>
    <x:row r="56" spans="1:41" customFormat="1" ht="18" customHeight="1">
      <x:c r="J56" s="4" t="s">
        <x:v>289</x:v>
      </x:c>
      <x:c r="K56" s="5" t="n">
        <x:v>7721101</x:v>
      </x:c>
      <x:c r="L56" s="6" t="s">
        <x:v>23</x:v>
      </x:c>
      <x:c r="M56" s="7">
        <x:f>L56&amp;"-"&amp;K56</x:f>
      </x:c>
      <x:c r="N56" s="6" t="s">
        <x:v>259</x:v>
      </x:c>
      <x:c r="O56" s="4" t="s">
        <x:v>290</x:v>
      </x:c>
    </x:row>
    <x:row r="57" spans="1:41" customFormat="1" ht="18" customHeight="1">
      <x:c r="J57" s="4" t="s">
        <x:v>291</x:v>
      </x:c>
      <x:c r="K57" s="5" t="n">
        <x:v>7729101</x:v>
      </x:c>
      <x:c r="L57" s="6" t="s">
        <x:v>23</x:v>
      </x:c>
      <x:c r="M57" s="7">
        <x:f>L57&amp;"-"&amp;K57</x:f>
      </x:c>
      <x:c r="N57" s="6" t="s">
        <x:v>292</x:v>
      </x:c>
      <x:c r="O57" s="4" t="s">
        <x:v>293</x:v>
      </x:c>
    </x:row>
    <x:row r="58" spans="1:41" customFormat="1" ht="18" customHeight="1">
      <x:c r="J58" s="4" t="s">
        <x:v>294</x:v>
      </x:c>
      <x:c r="K58" s="5" t="n">
        <x:v>7729103</x:v>
      </x:c>
      <x:c r="L58" s="6" t="s">
        <x:v>23</x:v>
      </x:c>
      <x:c r="M58" s="7">
        <x:f>L58&amp;"-"&amp;K58</x:f>
      </x:c>
      <x:c r="N58" s="6" t="s">
        <x:v>295</x:v>
      </x:c>
      <x:c r="O58" s="4" t="s">
        <x:v>296</x:v>
      </x:c>
    </x:row>
    <x:row r="59" spans="1:41" customFormat="1" ht="18" customHeight="1">
      <x:c r="J59" s="4" t="s">
        <x:v>297</x:v>
      </x:c>
      <x:c r="K59" s="5" t="n">
        <x:v>7729105</x:v>
      </x:c>
      <x:c r="L59" s="6" t="s">
        <x:v>23</x:v>
      </x:c>
      <x:c r="M59" s="7">
        <x:f>L59&amp;"-"&amp;K59</x:f>
      </x:c>
      <x:c r="N59" s="6" t="s">
        <x:v>259</x:v>
      </x:c>
      <x:c r="O59" s="4" t="s">
        <x:v>298</x:v>
      </x:c>
    </x:row>
    <x:row r="60" spans="1:41" customFormat="1" ht="18" customHeight="1">
      <x:c r="J60" s="4" t="s">
        <x:v>299</x:v>
      </x:c>
      <x:c r="K60" s="5" t="n">
        <x:v>7781101</x:v>
      </x:c>
      <x:c r="L60" s="6" t="s">
        <x:v>23</x:v>
      </x:c>
      <x:c r="M60" s="7">
        <x:f>L60&amp;"-"&amp;K60</x:f>
      </x:c>
      <x:c r="N60" s="6" t="s">
        <x:v>259</x:v>
      </x:c>
      <x:c r="O60" s="4" t="s">
        <x:v>300</x:v>
      </x:c>
    </x:row>
    <x:row r="61" spans="1:41" customFormat="1" ht="18" customHeight="1">
      <x:c r="J61" s="4" t="s">
        <x:v>301</x:v>
      </x:c>
      <x:c r="K61" s="5" t="n">
        <x:v>7781103</x:v>
      </x:c>
      <x:c r="L61" s="6" t="s">
        <x:v>23</x:v>
      </x:c>
      <x:c r="M61" s="7">
        <x:f>L61&amp;"-"&amp;K61</x:f>
      </x:c>
      <x:c r="N61" s="6" t="s">
        <x:v>259</x:v>
      </x:c>
      <x:c r="O61" s="4" t="s">
        <x:v>302</x:v>
      </x:c>
    </x:row>
    <x:row r="62" spans="1:41" customFormat="1" ht="18" customHeight="1">
      <x:c r="J62" s="4" t="s">
        <x:v>303</x:v>
      </x:c>
      <x:c r="K62" s="5" t="n">
        <x:v>7781104</x:v>
      </x:c>
      <x:c r="L62" s="6" t="s">
        <x:v>23</x:v>
      </x:c>
      <x:c r="M62" s="7">
        <x:f>L62&amp;"-"&amp;K62</x:f>
      </x:c>
      <x:c r="N62" s="6" t="s">
        <x:v>259</x:v>
      </x:c>
      <x:c r="O62" s="4" t="s">
        <x:v>304</x:v>
      </x:c>
    </x:row>
    <x:row r="63" spans="1:41" customFormat="1" ht="18" customHeight="1">
      <x:c r="J63" s="4" t="s">
        <x:v>305</x:v>
      </x:c>
      <x:c r="K63" s="5" t="n">
        <x:v>7781105</x:v>
      </x:c>
      <x:c r="L63" s="6" t="s">
        <x:v>23</x:v>
      </x:c>
      <x:c r="M63" s="7">
        <x:f>L63&amp;"-"&amp;K63</x:f>
      </x:c>
      <x:c r="N63" s="6" t="s">
        <x:v>259</x:v>
      </x:c>
      <x:c r="O63" s="4" t="s">
        <x:v>306</x:v>
      </x:c>
    </x:row>
    <x:row r="64" spans="1:41" customFormat="1" ht="18" customHeight="1">
      <x:c r="J64" s="4" t="s">
        <x:v>307</x:v>
      </x:c>
      <x:c r="K64" s="5" t="n">
        <x:v>7781106</x:v>
      </x:c>
      <x:c r="L64" s="6" t="s">
        <x:v>23</x:v>
      </x:c>
      <x:c r="M64" s="7">
        <x:f>L64&amp;"-"&amp;K64</x:f>
      </x:c>
      <x:c r="N64" s="6" t="s">
        <x:v>259</x:v>
      </x:c>
      <x:c r="O64" s="4" t="s">
        <x:v>308</x:v>
      </x:c>
    </x:row>
    <x:row r="65" spans="1:41" customFormat="1" ht="18" customHeight="1">
      <x:c r="J65" s="4" t="s">
        <x:v>309</x:v>
      </x:c>
      <x:c r="K65" s="5" t="n">
        <x:v>7781107</x:v>
      </x:c>
      <x:c r="L65" s="6" t="s">
        <x:v>23</x:v>
      </x:c>
      <x:c r="M65" s="7">
        <x:f>L65&amp;"-"&amp;K65</x:f>
      </x:c>
      <x:c r="N65" s="6" t="s">
        <x:v>310</x:v>
      </x:c>
      <x:c r="O65" s="4" t="s">
        <x:v>311</x:v>
      </x:c>
    </x:row>
    <x:row r="66" spans="1:41" customFormat="1" ht="18" customHeight="1">
      <x:c r="J66" s="4" t="s">
        <x:v>312</x:v>
      </x:c>
      <x:c r="K66" s="5" t="n">
        <x:v>7781111</x:v>
      </x:c>
      <x:c r="L66" s="6" t="s">
        <x:v>23</x:v>
      </x:c>
      <x:c r="M66" s="7">
        <x:f>L66&amp;"-"&amp;K66</x:f>
      </x:c>
      <x:c r="N66" s="6" t="s">
        <x:v>259</x:v>
      </x:c>
      <x:c r="O66" s="4" t="s">
        <x:v>313</x:v>
      </x:c>
    </x:row>
    <x:row r="67" spans="1:41" customFormat="1" ht="18" customHeight="1">
      <x:c r="J67" s="4" t="s">
        <x:v>314</x:v>
      </x:c>
      <x:c r="K67" s="5" t="n">
        <x:v>7781112</x:v>
      </x:c>
      <x:c r="L67" s="6" t="s">
        <x:v>23</x:v>
      </x:c>
      <x:c r="M67" s="7">
        <x:f>L67&amp;"-"&amp;K67</x:f>
      </x:c>
      <x:c r="N67" s="6" t="s">
        <x:v>259</x:v>
      </x:c>
      <x:c r="O67" s="4" t="s">
        <x:v>315</x:v>
      </x:c>
    </x:row>
    <x:row r="68" spans="1:41" customFormat="1" ht="18" customHeight="1">
      <x:c r="J68" s="4" t="s">
        <x:v>316</x:v>
      </x:c>
      <x:c r="K68" s="5" t="n">
        <x:v>7781113</x:v>
      </x:c>
      <x:c r="L68" s="6" t="s">
        <x:v>23</x:v>
      </x:c>
      <x:c r="M68" s="7">
        <x:f>L68&amp;"-"&amp;K68</x:f>
      </x:c>
      <x:c r="N68" s="6" t="s">
        <x:v>259</x:v>
      </x:c>
      <x:c r="O68" s="4" t="s">
        <x:v>317</x:v>
      </x:c>
    </x:row>
    <x:row r="69" spans="1:41" customFormat="1" ht="18" customHeight="1">
      <x:c r="J69" s="4" t="s">
        <x:v>318</x:v>
      </x:c>
      <x:c r="K69" s="5" t="n">
        <x:v>7411101</x:v>
      </x:c>
      <x:c r="L69" s="6" t="s">
        <x:v>23</x:v>
      </x:c>
      <x:c r="M69" s="7">
        <x:f>L69&amp;"-"&amp;K69</x:f>
      </x:c>
      <x:c r="N69" s="6" t="s">
        <x:v>319</x:v>
      </x:c>
      <x:c r="O69" s="4" t="s">
        <x:v>320</x:v>
      </x:c>
    </x:row>
    <x:row r="70" spans="1:41" customFormat="1" ht="18" customHeight="1">
      <x:c r="J70" s="4" t="s">
        <x:v>321</x:v>
      </x:c>
      <x:c r="K70" s="5" t="n">
        <x:v>7411103</x:v>
      </x:c>
      <x:c r="L70" s="6" t="s">
        <x:v>23</x:v>
      </x:c>
      <x:c r="M70" s="7">
        <x:f>L70&amp;"-"&amp;K70</x:f>
      </x:c>
      <x:c r="N70" s="6" t="s">
        <x:v>322</x:v>
      </x:c>
      <x:c r="O70" s="4" t="s">
        <x:v>323</x:v>
      </x:c>
    </x:row>
    <x:row r="71" spans="1:41" customFormat="1" ht="18" customHeight="1">
      <x:c r="J71" s="4" t="s">
        <x:v>324</x:v>
      </x:c>
      <x:c r="K71" s="5" t="n">
        <x:v>7411104</x:v>
      </x:c>
      <x:c r="L71" s="6" t="s">
        <x:v>23</x:v>
      </x:c>
      <x:c r="M71" s="7">
        <x:f>L71&amp;"-"&amp;K71</x:f>
      </x:c>
      <x:c r="N71" s="6" t="s">
        <x:v>325</x:v>
      </x:c>
      <x:c r="O71" s="4" t="s">
        <x:v>326</x:v>
      </x:c>
    </x:row>
    <x:row r="72" spans="1:41" customFormat="1" ht="18" customHeight="1">
      <x:c r="J72" s="4" t="s">
        <x:v>327</x:v>
      </x:c>
      <x:c r="K72" s="5" t="n">
        <x:v>7431101</x:v>
      </x:c>
      <x:c r="L72" s="6" t="s">
        <x:v>23</x:v>
      </x:c>
      <x:c r="M72" s="7">
        <x:f>L72&amp;"-"&amp;K72</x:f>
      </x:c>
      <x:c r="N72" s="6" t="s">
        <x:v>328</x:v>
      </x:c>
      <x:c r="O72" s="4" t="s">
        <x:v>329</x:v>
      </x:c>
    </x:row>
    <x:row r="73" spans="1:41" customFormat="1" ht="18" customHeight="1">
      <x:c r="J73" s="4" t="s">
        <x:v>330</x:v>
      </x:c>
      <x:c r="K73" s="5" t="n">
        <x:v>7451101</x:v>
      </x:c>
      <x:c r="L73" s="6" t="s">
        <x:v>23</x:v>
      </x:c>
      <x:c r="M73" s="7">
        <x:f>L73&amp;"-"&amp;K73</x:f>
      </x:c>
      <x:c r="N73" s="6" t="s">
        <x:v>331</x:v>
      </x:c>
      <x:c r="O73" s="4" t="s">
        <x:v>332</x:v>
      </x:c>
    </x:row>
    <x:row r="74" spans="1:41" customFormat="1" ht="18" customHeight="1">
      <x:c r="J74" s="4" t="s">
        <x:v>333</x:v>
      </x:c>
      <x:c r="K74" s="5" t="n">
        <x:v>7451102</x:v>
      </x:c>
      <x:c r="L74" s="6" t="s">
        <x:v>23</x:v>
      </x:c>
      <x:c r="M74" s="7">
        <x:f>L74&amp;"-"&amp;K74</x:f>
      </x:c>
      <x:c r="N74" s="6" t="s">
        <x:v>334</x:v>
      </x:c>
      <x:c r="O74" s="4" t="s">
        <x:v>335</x:v>
      </x:c>
    </x:row>
    <x:row r="75" spans="1:41" customFormat="1" ht="18" customHeight="1">
      <x:c r="J75" s="4" t="s">
        <x:v>336</x:v>
      </x:c>
      <x:c r="K75" s="5" t="n">
        <x:v>7451103</x:v>
      </x:c>
      <x:c r="L75" s="6" t="s">
        <x:v>23</x:v>
      </x:c>
      <x:c r="M75" s="7">
        <x:f>L75&amp;"-"&amp;K75</x:f>
      </x:c>
      <x:c r="N75" s="6" t="s">
        <x:v>337</x:v>
      </x:c>
      <x:c r="O75" s="4" t="s">
        <x:v>338</x:v>
      </x:c>
    </x:row>
    <x:row r="76" spans="1:41" customFormat="1" ht="18" customHeight="1">
      <x:c r="J76" s="108" t="s">
        <x:v>339</x:v>
      </x:c>
      <x:c r="K76" s="5" t="n">
        <x:v>7461101</x:v>
      </x:c>
      <x:c r="L76" s="6" t="s">
        <x:v>23</x:v>
      </x:c>
      <x:c r="M76" s="7">
        <x:f>L76&amp;"-"&amp;K76</x:f>
      </x:c>
      <x:c r="N76" s="6" t="s">
        <x:v>340</x:v>
      </x:c>
      <x:c r="O76" s="4" t="s">
        <x:v>341</x:v>
      </x:c>
    </x:row>
    <x:row r="77" spans="1:41" customFormat="1" ht="18" customHeight="1">
      <x:c r="J77" s="4" t="s">
        <x:v>342</x:v>
      </x:c>
      <x:c r="K77" s="5" t="n">
        <x:v>7411105</x:v>
      </x:c>
      <x:c r="L77" s="6" t="s">
        <x:v>23</x:v>
      </x:c>
      <x:c r="M77" s="6">
        <x:f>L77&amp;"-"&amp;K77</x:f>
      </x:c>
      <x:c r="N77" s="109" t="s">
        <x:v>343</x:v>
      </x:c>
    </x:row>
    <x:row r="78" spans="1:41" customFormat="1" ht="18" customHeight="1">
      <x:c r="J78" s="4" t="s">
        <x:v>344</x:v>
      </x:c>
      <x:c r="K78" s="5" t="n">
        <x:v>7471201</x:v>
      </x:c>
      <x:c r="L78" s="6" t="s">
        <x:v>23</x:v>
      </x:c>
      <x:c r="M78" s="6">
        <x:f>L78&amp;"-"&amp;K78</x:f>
      </x:c>
      <x:c r="N78" s="109" t="s">
        <x:v>345</x:v>
      </x:c>
    </x:row>
    <x:row r="79" spans="1:41" customFormat="1" ht="18" customHeight="1">
      <x:c r="J79" s="4" t="s">
        <x:v>346</x:v>
      </x:c>
      <x:c r="K79" s="5" t="n">
        <x:v>7751101</x:v>
      </x:c>
      <x:c r="L79" s="6" t="s">
        <x:v>23</x:v>
      </x:c>
      <x:c r="M79" s="6">
        <x:f>L79&amp;"-"&amp;K79</x:f>
      </x:c>
    </x:row>
    <x:row r="80" spans="1:41" customFormat="1" ht="18" customHeight="1">
      <x:c r="J80" s="4" t="s">
        <x:v>347</x:v>
      </x:c>
      <x:c r="K80" s="5" t="n">
        <x:v>7751102</x:v>
      </x:c>
      <x:c r="L80" s="6" t="s">
        <x:v>23</x:v>
      </x:c>
      <x:c r="M80" s="6">
        <x:f>L80&amp;"-"&amp;K80</x:f>
      </x:c>
    </x:row>
    <x:row r="81" spans="1:41" customFormat="1" ht="18" customHeight="1">
      <x:c r="J81" s="4" t="s">
        <x:v>348</x:v>
      </x:c>
      <x:c r="K81" s="10" t="n">
        <x:v>7111211</x:v>
      </x:c>
      <x:c r="L81" s="10" t="s">
        <x:v>145</x:v>
      </x:c>
      <x:c r="M81" s="10">
        <x:f>L81&amp;"-"&amp;K81</x:f>
      </x:c>
    </x:row>
    <x:row r="82" spans="1:41" customFormat="1" ht="18" customHeight="1">
      <x:c r="J82" s="4" t="s">
        <x:v>349</x:v>
      </x:c>
      <x:c r="K82" s="10" t="n">
        <x:v>7111212</x:v>
      </x:c>
      <x:c r="L82" s="10" t="s">
        <x:v>145</x:v>
      </x:c>
      <x:c r="M82" s="10">
        <x:f>L82&amp;"-"&amp;K82</x:f>
      </x:c>
    </x:row>
    <x:row r="83" spans="1:41" customFormat="1" ht="18" customHeight="1">
      <x:c r="J83" s="4" t="s">
        <x:v>350</x:v>
      </x:c>
      <x:c r="K83" s="10" t="n">
        <x:v>7111221</x:v>
      </x:c>
      <x:c r="L83" s="10" t="s">
        <x:v>145</x:v>
      </x:c>
      <x:c r="M83" s="10">
        <x:f>L83&amp;"-"&amp;K83</x:f>
      </x:c>
    </x:row>
    <x:row r="84" spans="1:41" customFormat="1" ht="18" customHeight="1">
      <x:c r="J84" s="4" t="s">
        <x:v>351</x:v>
      </x:c>
      <x:c r="K84" s="10" t="n">
        <x:v>7111222</x:v>
      </x:c>
      <x:c r="L84" s="10" t="s">
        <x:v>145</x:v>
      </x:c>
      <x:c r="M84" s="10">
        <x:f>L84&amp;"-"&amp;K84</x:f>
      </x:c>
    </x:row>
    <x:row r="85" spans="1:41" customFormat="1" ht="18" customHeight="1">
      <x:c r="J85" s="4" t="s">
        <x:v>352</x:v>
      </x:c>
      <x:c r="K85" s="10" t="n">
        <x:v>7111223</x:v>
      </x:c>
      <x:c r="L85" s="10" t="s">
        <x:v>145</x:v>
      </x:c>
      <x:c r="M85" s="10">
        <x:f>L85&amp;"-"&amp;K85</x:f>
      </x:c>
    </x:row>
    <x:row r="86" spans="1:41" customFormat="1" ht="18" customHeight="1">
      <x:c r="J86" s="4" t="s">
        <x:v>353</x:v>
      </x:c>
      <x:c r="K86" s="10" t="n">
        <x:v>7111311</x:v>
      </x:c>
      <x:c r="L86" s="10" t="s">
        <x:v>145</x:v>
      </x:c>
      <x:c r="M86" s="10">
        <x:f>L86&amp;"-"&amp;K86</x:f>
      </x:c>
    </x:row>
    <x:row r="87" spans="1:41" customFormat="1" ht="18" customHeight="1">
      <x:c r="J87" s="4" t="s">
        <x:v>354</x:v>
      </x:c>
      <x:c r="K87" s="10" t="n">
        <x:v>7111312</x:v>
      </x:c>
      <x:c r="L87" s="10" t="s">
        <x:v>145</x:v>
      </x:c>
      <x:c r="M87" s="10">
        <x:f>L87&amp;"-"&amp;K87</x:f>
      </x:c>
    </x:row>
    <x:row r="88" spans="1:41" customFormat="1" ht="18" customHeight="1">
      <x:c r="J88" s="4" t="s">
        <x:v>355</x:v>
      </x:c>
      <x:c r="K88" s="10" t="n">
        <x:v>7111321</x:v>
      </x:c>
      <x:c r="L88" s="10" t="s">
        <x:v>145</x:v>
      </x:c>
      <x:c r="M88" s="10">
        <x:f>L88&amp;"-"&amp;K88</x:f>
      </x:c>
    </x:row>
    <x:row r="89" spans="1:41" customFormat="1" ht="18" customHeight="1">
      <x:c r="J89" s="4" t="s">
        <x:v>356</x:v>
      </x:c>
      <x:c r="K89" s="10" t="n">
        <x:v>7111322</x:v>
      </x:c>
      <x:c r="L89" s="10" t="s">
        <x:v>145</x:v>
      </x:c>
      <x:c r="M89" s="10">
        <x:f>L89&amp;"-"&amp;K89</x:f>
      </x:c>
    </x:row>
    <x:row r="90" spans="1:41" customFormat="1" ht="18" customHeight="1">
      <x:c r="J90" s="4" t="s">
        <x:v>357</x:v>
      </x:c>
      <x:c r="K90" s="10" t="n">
        <x:v>7111323</x:v>
      </x:c>
      <x:c r="L90" s="10" t="s">
        <x:v>145</x:v>
      </x:c>
      <x:c r="M90" s="10">
        <x:f>L90&amp;"-"&amp;K90</x:f>
      </x:c>
    </x:row>
    <x:row r="91" spans="1:41" customFormat="1" ht="18" customHeight="1">
      <x:c r="J91" s="4" t="s">
        <x:v>358</x:v>
      </x:c>
      <x:c r="K91" s="10" t="n">
        <x:v>7111411</x:v>
      </x:c>
      <x:c r="L91" s="10" t="s">
        <x:v>145</x:v>
      </x:c>
      <x:c r="M91" s="10">
        <x:f>L91&amp;"-"&amp;K91</x:f>
      </x:c>
    </x:row>
    <x:row r="92" spans="1:41" customFormat="1" ht="18" customHeight="1">
      <x:c r="J92" s="4" t="s">
        <x:v>359</x:v>
      </x:c>
      <x:c r="K92" s="10" t="n">
        <x:v>7151101</x:v>
      </x:c>
      <x:c r="L92" s="10" t="s">
        <x:v>145</x:v>
      </x:c>
      <x:c r="M92" s="10">
        <x:f>L92&amp;"-"&amp;K92</x:f>
      </x:c>
    </x:row>
    <x:row r="93" spans="1:41" customFormat="1" ht="18" customHeight="1">
      <x:c r="J93" s="4" t="s">
        <x:v>360</x:v>
      </x:c>
      <x:c r="K93" s="10" t="n">
        <x:v>7200000</x:v>
      </x:c>
      <x:c r="L93" s="10" t="s">
        <x:v>145</x:v>
      </x:c>
      <x:c r="M93" s="10">
        <x:f>L93&amp;"-"&amp;K93</x:f>
      </x:c>
    </x:row>
    <x:row r="94" spans="1:41" customFormat="1" ht="18" customHeight="1">
      <x:c r="J94" s="4" t="s">
        <x:v>361</x:v>
      </x:c>
      <x:c r="K94" s="10" t="n">
        <x:v>7211101</x:v>
      </x:c>
      <x:c r="L94" s="10" t="s">
        <x:v>145</x:v>
      </x:c>
      <x:c r="M94" s="10">
        <x:f>L94&amp;"-"&amp;K94</x:f>
      </x:c>
    </x:row>
    <x:row r="95" spans="1:41" customFormat="1" ht="18" customHeight="1">
      <x:c r="J95" s="4" t="s">
        <x:v>362</x:v>
      </x:c>
      <x:c r="K95" s="10" t="n">
        <x:v>7211102</x:v>
      </x:c>
      <x:c r="L95" s="10" t="s">
        <x:v>145</x:v>
      </x:c>
      <x:c r="M95" s="10">
        <x:f>L95&amp;"-"&amp;K95</x:f>
      </x:c>
      <x:c r="N95" s="10" t="n">
        <x:v>901</x:v>
      </x:c>
      <x:c r="O95" s="4" t="s">
        <x:v>363</x:v>
      </x:c>
    </x:row>
    <x:row r="96" spans="1:41" customFormat="1" ht="18" customHeight="1">
      <x:c r="J96" s="4" t="s">
        <x:v>364</x:v>
      </x:c>
      <x:c r="K96" s="10" t="n">
        <x:v>7211103</x:v>
      </x:c>
      <x:c r="L96" s="10" t="s">
        <x:v>145</x:v>
      </x:c>
      <x:c r="M96" s="10">
        <x:f>L96&amp;"-"&amp;K96</x:f>
      </x:c>
      <x:c r="N96" s="10" t="s"/>
    </x:row>
    <x:row r="97" spans="1:41" customFormat="1" ht="18" customHeight="1">
      <x:c r="J97" s="4" t="s">
        <x:v>365</x:v>
      </x:c>
      <x:c r="K97" s="10" t="n">
        <x:v>7211104</x:v>
      </x:c>
      <x:c r="L97" s="10" t="s">
        <x:v>145</x:v>
      </x:c>
      <x:c r="M97" s="10">
        <x:f>L97&amp;"-"&amp;K97</x:f>
      </x:c>
      <x:c r="N97" s="10" t="n">
        <x:v>302</x:v>
      </x:c>
    </x:row>
    <x:row r="98" spans="1:41" customFormat="1" ht="18" customHeight="1">
      <x:c r="J98" s="4" t="s">
        <x:v>366</x:v>
      </x:c>
      <x:c r="K98" s="10" t="n">
        <x:v>7221101</x:v>
      </x:c>
      <x:c r="L98" s="10" t="s">
        <x:v>145</x:v>
      </x:c>
      <x:c r="M98" s="10">
        <x:f>L98&amp;"-"&amp;K98</x:f>
      </x:c>
      <x:c r="N98" s="10" t="n">
        <x:v>302</x:v>
      </x:c>
      <x:c r="O98" s="4" t="s">
        <x:v>367</x:v>
      </x:c>
    </x:row>
    <x:row r="99" spans="1:41" customFormat="1" ht="18" customHeight="1">
      <x:c r="J99" s="4" t="s">
        <x:v>368</x:v>
      </x:c>
      <x:c r="K99" s="10" t="n">
        <x:v>7221102</x:v>
      </x:c>
      <x:c r="L99" s="10" t="s">
        <x:v>145</x:v>
      </x:c>
      <x:c r="M99" s="10">
        <x:f>L99&amp;"-"&amp;K99</x:f>
      </x:c>
      <x:c r="N99" s="10" t="n">
        <x:v>301</x:v>
      </x:c>
      <x:c r="O99" s="4" t="s">
        <x:v>369</x:v>
      </x:c>
    </x:row>
    <x:row r="100" spans="1:41" customFormat="1" ht="18" customHeight="1">
      <x:c r="J100" s="4" t="s">
        <x:v>68</x:v>
      </x:c>
      <x:c r="K100" s="10" t="n">
        <x:v>7511101</x:v>
      </x:c>
      <x:c r="L100" s="10" t="s">
        <x:v>145</x:v>
      </x:c>
      <x:c r="M100" s="10">
        <x:f>L100&amp;"-"&amp;K100</x:f>
      </x:c>
      <x:c r="N100" s="10" t="n">
        <x:v>602</x:v>
      </x:c>
      <x:c r="O100" s="4" t="s">
        <x:v>68</x:v>
      </x:c>
    </x:row>
    <x:row r="101" spans="1:41" customFormat="1" ht="18" customHeight="1">
      <x:c r="J101" s="4" t="s">
        <x:v>77</x:v>
      </x:c>
      <x:c r="K101" s="10" t="n">
        <x:v>7511102</x:v>
      </x:c>
      <x:c r="L101" s="10" t="s">
        <x:v>145</x:v>
      </x:c>
      <x:c r="M101" s="10">
        <x:f>L101&amp;"-"&amp;K101</x:f>
      </x:c>
      <x:c r="N101" s="10" t="n">
        <x:v>602</x:v>
      </x:c>
      <x:c r="O101" s="4" t="s">
        <x:v>78</x:v>
      </x:c>
    </x:row>
    <x:row r="102" spans="1:41" customFormat="1" ht="18" customHeight="1">
      <x:c r="J102" s="4" t="s">
        <x:v>86</x:v>
      </x:c>
      <x:c r="K102" s="10" t="n">
        <x:v>7511103</x:v>
      </x:c>
      <x:c r="L102" s="10" t="s">
        <x:v>145</x:v>
      </x:c>
      <x:c r="M102" s="10">
        <x:f>L102&amp;"-"&amp;K102</x:f>
      </x:c>
      <x:c r="N102" s="10" t="n">
        <x:v>601</x:v>
      </x:c>
      <x:c r="O102" s="4" t="s">
        <x:v>88</x:v>
      </x:c>
    </x:row>
    <x:row r="103" spans="1:41" customFormat="1" ht="18" customHeight="1">
      <x:c r="J103" s="4" t="s">
        <x:v>96</x:v>
      </x:c>
      <x:c r="K103" s="10" t="n">
        <x:v>7511111</x:v>
      </x:c>
      <x:c r="L103" s="10" t="s">
        <x:v>145</x:v>
      </x:c>
      <x:c r="M103" s="10">
        <x:f>L103&amp;"-"&amp;K103</x:f>
      </x:c>
      <x:c r="N103" s="10" t="n">
        <x:v>601</x:v>
      </x:c>
      <x:c r="O103" s="4" t="s">
        <x:v>97</x:v>
      </x:c>
    </x:row>
    <x:row r="104" spans="1:41" customFormat="1" ht="18" customHeight="1">
      <x:c r="J104" s="4" t="s">
        <x:v>103</x:v>
      </x:c>
      <x:c r="K104" s="10" t="n">
        <x:v>7511112</x:v>
      </x:c>
      <x:c r="L104" s="10" t="s">
        <x:v>145</x:v>
      </x:c>
      <x:c r="M104" s="10">
        <x:f>L104&amp;"-"&amp;K104</x:f>
      </x:c>
      <x:c r="N104" s="10" t="n">
        <x:v>601</x:v>
      </x:c>
      <x:c r="O104" s="4" t="s">
        <x:v>104</x:v>
      </x:c>
    </x:row>
    <x:row r="105" spans="1:41" customFormat="1" ht="18" customHeight="1">
      <x:c r="J105" s="4" t="s">
        <x:v>111</x:v>
      </x:c>
      <x:c r="K105" s="10" t="n">
        <x:v>7511121</x:v>
      </x:c>
      <x:c r="L105" s="10" t="s">
        <x:v>145</x:v>
      </x:c>
      <x:c r="M105" s="10">
        <x:f>L105&amp;"-"&amp;K105</x:f>
      </x:c>
      <x:c r="N105" s="10" t="n">
        <x:v>601</x:v>
      </x:c>
      <x:c r="O105" s="4" t="s">
        <x:v>112</x:v>
      </x:c>
    </x:row>
    <x:row r="106" spans="1:41" customFormat="1" ht="18" customHeight="1">
      <x:c r="J106" s="4" t="s">
        <x:v>117</x:v>
      </x:c>
      <x:c r="K106" s="10" t="n">
        <x:v>7511122</x:v>
      </x:c>
      <x:c r="L106" s="10" t="s">
        <x:v>145</x:v>
      </x:c>
      <x:c r="M106" s="10">
        <x:f>L106&amp;"-"&amp;K106</x:f>
      </x:c>
      <x:c r="N106" s="10" t="n">
        <x:v>601</x:v>
      </x:c>
      <x:c r="O106" s="4" t="s">
        <x:v>118</x:v>
      </x:c>
    </x:row>
    <x:row r="107" spans="1:41" customFormat="1" ht="18" customHeight="1">
      <x:c r="J107" s="4" t="s">
        <x:v>119</x:v>
      </x:c>
      <x:c r="K107" s="10" t="n">
        <x:v>7511201</x:v>
      </x:c>
      <x:c r="L107" s="10" t="s">
        <x:v>145</x:v>
      </x:c>
      <x:c r="M107" s="10">
        <x:f>L107&amp;"-"&amp;K107</x:f>
      </x:c>
      <x:c r="N107" s="10" t="n">
        <x:v>603</x:v>
      </x:c>
      <x:c r="O107" s="4" t="s">
        <x:v>121</x:v>
      </x:c>
    </x:row>
    <x:row r="108" spans="1:41" customFormat="1" ht="18" customHeight="1">
      <x:c r="J108" s="4" t="s">
        <x:v>124</x:v>
      </x:c>
      <x:c r="K108" s="10" t="n">
        <x:v>7512111</x:v>
      </x:c>
      <x:c r="L108" s="10" t="s">
        <x:v>145</x:v>
      </x:c>
      <x:c r="M108" s="10">
        <x:f>L108&amp;"-"&amp;K108</x:f>
      </x:c>
      <x:c r="N108" s="10" t="n">
        <x:v>604</x:v>
      </x:c>
      <x:c r="O108" s="4" t="s">
        <x:v>126</x:v>
      </x:c>
    </x:row>
    <x:row r="109" spans="1:41" customFormat="1" ht="18" customHeight="1">
      <x:c r="J109" s="4" t="s">
        <x:v>129</x:v>
      </x:c>
      <x:c r="K109" s="10" t="n">
        <x:v>7512112</x:v>
      </x:c>
      <x:c r="L109" s="10" t="s">
        <x:v>145</x:v>
      </x:c>
      <x:c r="M109" s="10">
        <x:f>L109&amp;"-"&amp;K109</x:f>
      </x:c>
      <x:c r="N109" s="10" t="n">
        <x:v>604</x:v>
      </x:c>
      <x:c r="O109" s="4" t="s">
        <x:v>130</x:v>
      </x:c>
    </x:row>
    <x:row r="110" spans="1:41" customFormat="1" ht="18" customHeight="1">
      <x:c r="J110" s="4" t="s">
        <x:v>133</x:v>
      </x:c>
      <x:c r="K110" s="10" t="n">
        <x:v>7514101</x:v>
      </x:c>
      <x:c r="L110" s="10" t="s">
        <x:v>145</x:v>
      </x:c>
      <x:c r="M110" s="10">
        <x:f>L110&amp;"-"&amp;K110</x:f>
      </x:c>
      <x:c r="N110" s="10" t="n">
        <x:v>601</x:v>
      </x:c>
      <x:c r="O110" s="4" t="s">
        <x:v>134</x:v>
      </x:c>
    </x:row>
    <x:row r="111" spans="1:41" customFormat="1" ht="18" customHeight="1">
      <x:c r="J111" s="4" t="s">
        <x:v>137</x:v>
      </x:c>
      <x:c r="K111" s="10" t="n">
        <x:v>7514102</x:v>
      </x:c>
      <x:c r="L111" s="10" t="s">
        <x:v>145</x:v>
      </x:c>
      <x:c r="M111" s="10">
        <x:f>L111&amp;"-"&amp;K111</x:f>
      </x:c>
      <x:c r="N111" s="10" t="n">
        <x:v>601</x:v>
      </x:c>
      <x:c r="O111" s="4" t="s">
        <x:v>138</x:v>
      </x:c>
    </x:row>
    <x:row r="112" spans="1:41" customFormat="1" ht="18" customHeight="1">
      <x:c r="J112" s="4" t="s">
        <x:v>141</x:v>
      </x:c>
      <x:c r="K112" s="10" t="n">
        <x:v>7515401</x:v>
      </x:c>
      <x:c r="L112" s="10" t="s">
        <x:v>145</x:v>
      </x:c>
      <x:c r="M112" s="10">
        <x:f>L112&amp;"-"&amp;K112</x:f>
      </x:c>
      <x:c r="N112" s="10" t="n">
        <x:v>604</x:v>
      </x:c>
      <x:c r="O112" s="4" t="s">
        <x:v>142</x:v>
      </x:c>
    </x:row>
    <x:row r="113" spans="1:41" customFormat="1" ht="18" customHeight="1">
      <x:c r="J113" s="4" t="s">
        <x:v>147</x:v>
      </x:c>
      <x:c r="K113" s="10" t="n">
        <x:v>7515402</x:v>
      </x:c>
      <x:c r="L113" s="10" t="s">
        <x:v>145</x:v>
      </x:c>
      <x:c r="M113" s="10">
        <x:f>L113&amp;"-"&amp;K113</x:f>
      </x:c>
      <x:c r="N113" s="10" t="n">
        <x:v>604</x:v>
      </x:c>
      <x:c r="O113" s="4" t="s">
        <x:v>148</x:v>
      </x:c>
    </x:row>
    <x:row r="114" spans="1:41" customFormat="1" ht="18" customHeight="1">
      <x:c r="J114" s="4" t="s">
        <x:v>151</x:v>
      </x:c>
      <x:c r="K114" s="10" t="n">
        <x:v>7515403</x:v>
      </x:c>
      <x:c r="L114" s="10" t="s">
        <x:v>145</x:v>
      </x:c>
      <x:c r="M114" s="10">
        <x:f>L114&amp;"-"&amp;K114</x:f>
      </x:c>
      <x:c r="N114" s="10" t="n">
        <x:v>604</x:v>
      </x:c>
      <x:c r="O114" s="4" t="s">
        <x:v>152</x:v>
      </x:c>
    </x:row>
    <x:row r="115" spans="1:41" customFormat="1" ht="18" customHeight="1">
      <x:c r="J115" s="4" t="s">
        <x:v>155</x:v>
      </x:c>
      <x:c r="K115" s="10" t="n">
        <x:v>7515404</x:v>
      </x:c>
      <x:c r="L115" s="10" t="s">
        <x:v>145</x:v>
      </x:c>
      <x:c r="M115" s="10">
        <x:f>L115&amp;"-"&amp;K115</x:f>
      </x:c>
      <x:c r="N115" s="10" t="n">
        <x:v>604</x:v>
      </x:c>
      <x:c r="O115" s="4" t="s">
        <x:v>156</x:v>
      </x:c>
    </x:row>
    <x:row r="116" spans="1:41" customFormat="1" ht="18" customHeight="1">
      <x:c r="J116" s="4" t="s">
        <x:v>159</x:v>
      </x:c>
      <x:c r="K116" s="10" t="n">
        <x:v>7515405</x:v>
      </x:c>
      <x:c r="L116" s="10" t="s">
        <x:v>145</x:v>
      </x:c>
      <x:c r="M116" s="10">
        <x:f>L116&amp;"-"&amp;K116</x:f>
      </x:c>
      <x:c r="N116" s="10" t="n">
        <x:v>604</x:v>
      </x:c>
      <x:c r="O116" s="4" t="s">
        <x:v>160</x:v>
      </x:c>
    </x:row>
    <x:row r="117" spans="1:41" customFormat="1" ht="18" customHeight="1">
      <x:c r="J117" s="4" t="s">
        <x:v>163</x:v>
      </x:c>
      <x:c r="K117" s="10" t="n">
        <x:v>7515406</x:v>
      </x:c>
      <x:c r="L117" s="10" t="s">
        <x:v>145</x:v>
      </x:c>
      <x:c r="M117" s="10">
        <x:f>L117&amp;"-"&amp;K117</x:f>
      </x:c>
      <x:c r="N117" s="10" t="n">
        <x:v>604</x:v>
      </x:c>
      <x:c r="O117" s="4" t="s">
        <x:v>164</x:v>
      </x:c>
    </x:row>
    <x:row r="118" spans="1:41" customFormat="1" ht="18" customHeight="1">
      <x:c r="J118" s="4" t="s">
        <x:v>167</x:v>
      </x:c>
      <x:c r="K118" s="10" t="n">
        <x:v>7515407</x:v>
      </x:c>
      <x:c r="L118" s="10" t="s">
        <x:v>145</x:v>
      </x:c>
      <x:c r="M118" s="10">
        <x:f>L118&amp;"-"&amp;K118</x:f>
      </x:c>
      <x:c r="N118" s="10" t="n">
        <x:v>604</x:v>
      </x:c>
    </x:row>
    <x:row r="119" spans="1:41" customFormat="1" ht="18" customHeight="1">
      <x:c r="J119" s="4" t="s">
        <x:v>170</x:v>
      </x:c>
      <x:c r="K119" s="10" t="n">
        <x:v>7515408</x:v>
      </x:c>
      <x:c r="L119" s="10" t="s">
        <x:v>145</x:v>
      </x:c>
      <x:c r="M119" s="10">
        <x:f>L119&amp;"-"&amp;K119</x:f>
      </x:c>
      <x:c r="N119" s="10" t="n">
        <x:v>604</x:v>
      </x:c>
      <x:c r="O119" s="4" t="s">
        <x:v>171</x:v>
      </x:c>
    </x:row>
    <x:row r="120" spans="1:41" customFormat="1" ht="18" customHeight="1">
      <x:c r="J120" s="4" t="s">
        <x:v>174</x:v>
      </x:c>
      <x:c r="K120" s="10" t="n">
        <x:v>7515409</x:v>
      </x:c>
      <x:c r="L120" s="10" t="s">
        <x:v>145</x:v>
      </x:c>
      <x:c r="M120" s="10">
        <x:f>L120&amp;"-"&amp;K120</x:f>
      </x:c>
      <x:c r="N120" s="10" t="n">
        <x:v>604</x:v>
      </x:c>
      <x:c r="O120" s="4" t="s">
        <x:v>175</x:v>
      </x:c>
    </x:row>
    <x:row r="121" spans="1:41" customFormat="1" ht="18" customHeight="1">
      <x:c r="J121" s="4" t="s">
        <x:v>178</x:v>
      </x:c>
      <x:c r="K121" s="10" t="n">
        <x:v>7515410</x:v>
      </x:c>
      <x:c r="L121" s="10" t="s">
        <x:v>145</x:v>
      </x:c>
      <x:c r="M121" s="10">
        <x:f>L121&amp;"-"&amp;K121</x:f>
      </x:c>
      <x:c r="N121" s="10" t="n">
        <x:v>604</x:v>
      </x:c>
      <x:c r="O121" s="4" t="s">
        <x:v>179</x:v>
      </x:c>
    </x:row>
    <x:row r="122" spans="1:41" customFormat="1" ht="18" customHeight="1">
      <x:c r="J122" s="4" t="s">
        <x:v>182</x:v>
      </x:c>
      <x:c r="K122" s="10" t="n">
        <x:v>7515499</x:v>
      </x:c>
      <x:c r="L122" s="10" t="s">
        <x:v>145</x:v>
      </x:c>
      <x:c r="M122" s="10">
        <x:f>L122&amp;"-"&amp;K122</x:f>
      </x:c>
      <x:c r="N122" s="10" t="n">
        <x:v>604</x:v>
      </x:c>
      <x:c r="O122" s="4" t="s">
        <x:v>183</x:v>
      </x:c>
    </x:row>
    <x:row r="123" spans="1:41" customFormat="1" ht="18" customHeight="1">
      <x:c r="J123" s="4" t="s">
        <x:v>186</x:v>
      </x:c>
      <x:c r="K123" s="10" t="n">
        <x:v>7516102</x:v>
      </x:c>
      <x:c r="L123" s="10" t="s">
        <x:v>145</x:v>
      </x:c>
      <x:c r="M123" s="10">
        <x:f>L123&amp;"-"&amp;K123</x:f>
      </x:c>
      <x:c r="N123" s="10" t="n">
        <x:v>605</x:v>
      </x:c>
      <x:c r="O123" s="4" t="s">
        <x:v>188</x:v>
      </x:c>
    </x:row>
    <x:row r="124" spans="1:41" customFormat="1" ht="18" customHeight="1">
      <x:c r="J124" s="4" t="s">
        <x:v>191</x:v>
      </x:c>
      <x:c r="K124" s="10" t="n">
        <x:v>7519101</x:v>
      </x:c>
      <x:c r="L124" s="10" t="s">
        <x:v>145</x:v>
      </x:c>
      <x:c r="M124" s="10">
        <x:f>L124&amp;"-"&amp;K124</x:f>
      </x:c>
      <x:c r="N124" s="10" t="n">
        <x:v>602</x:v>
      </x:c>
      <x:c r="O124" s="4" t="s">
        <x:v>192</x:v>
      </x:c>
    </x:row>
    <x:row r="125" spans="1:41" customFormat="1" ht="18" customHeight="1">
      <x:c r="J125" s="4" t="s">
        <x:v>370</x:v>
      </x:c>
      <x:c r="K125" s="10" t="n">
        <x:v>7521101</x:v>
      </x:c>
      <x:c r="L125" s="10" t="s">
        <x:v>145</x:v>
      </x:c>
      <x:c r="M125" s="10">
        <x:f>L125&amp;"-"&amp;K125</x:f>
      </x:c>
      <x:c r="N125" s="10" t="n">
        <x:v>601</x:v>
      </x:c>
      <x:c r="O125" s="4" t="s">
        <x:v>196</x:v>
      </x:c>
    </x:row>
    <x:row r="126" spans="1:41" customFormat="1" ht="18" customHeight="1">
      <x:c r="J126" s="4" t="s">
        <x:v>199</x:v>
      </x:c>
      <x:c r="K126" s="10" t="n">
        <x:v>7521102</x:v>
      </x:c>
      <x:c r="L126" s="10" t="s">
        <x:v>145</x:v>
      </x:c>
      <x:c r="M126" s="10">
        <x:f>L126&amp;"-"&amp;K126</x:f>
      </x:c>
      <x:c r="N126" s="10" t="n">
        <x:v>603</x:v>
      </x:c>
      <x:c r="O126" s="4" t="s">
        <x:v>200</x:v>
      </x:c>
    </x:row>
    <x:row r="127" spans="1:41" customFormat="1" ht="18" customHeight="1">
      <x:c r="J127" s="4" t="s">
        <x:v>204</x:v>
      </x:c>
      <x:c r="K127" s="10" t="n">
        <x:v>7571101</x:v>
      </x:c>
      <x:c r="L127" s="10" t="s">
        <x:v>145</x:v>
      </x:c>
      <x:c r="M127" s="10">
        <x:f>L127&amp;"-"&amp;K127</x:f>
      </x:c>
      <x:c r="N127" s="10" t="n">
        <x:v>606</x:v>
      </x:c>
      <x:c r="O127" s="4" t="s">
        <x:v>206</x:v>
      </x:c>
    </x:row>
    <x:row r="128" spans="1:41" customFormat="1" ht="18" customHeight="1">
      <x:c r="J128" s="4" t="s">
        <x:v>73</x:v>
      </x:c>
      <x:c r="K128" s="10" t="n">
        <x:v>7611100</x:v>
      </x:c>
      <x:c r="L128" s="10" t="s">
        <x:v>145</x:v>
      </x:c>
      <x:c r="M128" s="10">
        <x:f>L128&amp;"-"&amp;K128</x:f>
      </x:c>
      <x:c r="N128" s="10" t="n">
        <x:v>701</x:v>
      </x:c>
      <x:c r="O128" s="4" t="s">
        <x:v>210</x:v>
      </x:c>
    </x:row>
    <x:row r="129" spans="1:41" customFormat="1" ht="18" customHeight="1">
      <x:c r="J129" s="4" t="s">
        <x:v>82</x:v>
      </x:c>
      <x:c r="K129" s="10" t="n">
        <x:v>7611300</x:v>
      </x:c>
      <x:c r="L129" s="10" t="s">
        <x:v>145</x:v>
      </x:c>
      <x:c r="M129" s="10">
        <x:f>L129&amp;"-"&amp;K129</x:f>
      </x:c>
      <x:c r="N129" s="10" t="n">
        <x:v>701</x:v>
      </x:c>
      <x:c r="O129" s="4" t="s">
        <x:v>213</x:v>
      </x:c>
    </x:row>
    <x:row r="130" spans="1:41" customFormat="1" ht="18" customHeight="1">
      <x:c r="J130" s="4" t="s">
        <x:v>216</x:v>
      </x:c>
      <x:c r="K130" s="10" t="n">
        <x:v>7611400</x:v>
      </x:c>
      <x:c r="L130" s="10" t="s">
        <x:v>145</x:v>
      </x:c>
      <x:c r="M130" s="10">
        <x:f>L130&amp;"-"&amp;K130</x:f>
      </x:c>
      <x:c r="N130" s="10" t="n">
        <x:v>701</x:v>
      </x:c>
      <x:c r="O130" s="4" t="s">
        <x:v>217</x:v>
      </x:c>
    </x:row>
    <x:row r="131" spans="1:41" customFormat="1" ht="18" customHeight="1">
      <x:c r="J131" s="4" t="s">
        <x:v>99</x:v>
      </x:c>
      <x:c r="K131" s="10" t="n">
        <x:v>7611500</x:v>
      </x:c>
      <x:c r="L131" s="10" t="s">
        <x:v>145</x:v>
      </x:c>
      <x:c r="M131" s="10">
        <x:f>L131&amp;"-"&amp;K131</x:f>
      </x:c>
      <x:c r="N131" s="10" t="n">
        <x:v>701</x:v>
      </x:c>
      <x:c r="O131" s="4" t="s">
        <x:v>220</x:v>
      </x:c>
    </x:row>
    <x:row r="132" spans="1:41" customFormat="1" ht="18" customHeight="1">
      <x:c r="J132" s="4" t="s">
        <x:v>105</x:v>
      </x:c>
      <x:c r="K132" s="10" t="n">
        <x:v>7611600</x:v>
      </x:c>
      <x:c r="L132" s="10" t="s">
        <x:v>145</x:v>
      </x:c>
      <x:c r="M132" s="10">
        <x:f>L132&amp;"-"&amp;K132</x:f>
      </x:c>
      <x:c r="N132" s="10" t="n">
        <x:v>701</x:v>
      </x:c>
      <x:c r="O132" s="4" t="s">
        <x:v>223</x:v>
      </x:c>
    </x:row>
    <x:row r="133" spans="1:41" customFormat="1" ht="18" customHeight="1">
      <x:c r="J133" s="4" t="s">
        <x:v>113</x:v>
      </x:c>
      <x:c r="K133" s="10" t="n">
        <x:v>7611700</x:v>
      </x:c>
      <x:c r="L133" s="10" t="s">
        <x:v>145</x:v>
      </x:c>
      <x:c r="M133" s="10">
        <x:f>L133&amp;"-"&amp;K133</x:f>
      </x:c>
      <x:c r="N133" s="10" t="n">
        <x:v>701</x:v>
      </x:c>
      <x:c r="O133" s="4" t="s">
        <x:v>371</x:v>
      </x:c>
    </x:row>
    <x:row r="134" spans="1:41" customFormat="1" ht="18" customHeight="1">
      <x:c r="J134" s="4" t="s">
        <x:v>229</x:v>
      </x:c>
      <x:c r="K134" s="10" t="n">
        <x:v>7611800</x:v>
      </x:c>
      <x:c r="L134" s="10" t="s">
        <x:v>145</x:v>
      </x:c>
      <x:c r="M134" s="10">
        <x:f>L134&amp;"-"&amp;K134</x:f>
      </x:c>
      <x:c r="N134" s="10" t="n">
        <x:v>701</x:v>
      </x:c>
      <x:c r="O134" s="4" t="s">
        <x:v>230</x:v>
      </x:c>
    </x:row>
    <x:row r="135" spans="1:41" customFormat="1" ht="18" customHeight="1">
      <x:c r="J135" s="4" t="s">
        <x:v>233</x:v>
      </x:c>
      <x:c r="K135" s="10" t="n">
        <x:v>7621101</x:v>
      </x:c>
      <x:c r="L135" s="10" t="s">
        <x:v>145</x:v>
      </x:c>
      <x:c r="M135" s="10">
        <x:f>L135&amp;"-"&amp;K135</x:f>
      </x:c>
      <x:c r="N135" s="10" t="n">
        <x:v>903</x:v>
      </x:c>
      <x:c r="O135" s="4" t="s">
        <x:v>235</x:v>
      </x:c>
    </x:row>
    <x:row r="136" spans="1:41" customFormat="1" ht="18" customHeight="1">
      <x:c r="J136" s="108" t="s">
        <x:v>238</x:v>
      </x:c>
      <x:c r="K136" s="110" t="n">
        <x:v>7621199</x:v>
      </x:c>
      <x:c r="L136" s="10" t="s">
        <x:v>145</x:v>
      </x:c>
      <x:c r="M136" s="10">
        <x:f>L136&amp;"-"&amp;K136</x:f>
      </x:c>
      <x:c r="N136" s="10" t="n">
        <x:v>801</x:v>
      </x:c>
      <x:c r="O136" s="4" t="s">
        <x:v>240</x:v>
      </x:c>
    </x:row>
    <x:row r="137" spans="1:41" customFormat="1" ht="18" customHeight="1">
      <x:c r="J137" s="4" t="s">
        <x:v>243</x:v>
      </x:c>
      <x:c r="K137" s="10" t="n">
        <x:v>7631101</x:v>
      </x:c>
      <x:c r="L137" s="10" t="s">
        <x:v>145</x:v>
      </x:c>
      <x:c r="M137" s="10">
        <x:f>L137&amp;"-"&amp;K137</x:f>
      </x:c>
      <x:c r="N137" s="10" t="n">
        <x:v>501</x:v>
      </x:c>
      <x:c r="O137" s="4" t="s">
        <x:v>245</x:v>
      </x:c>
    </x:row>
    <x:row r="138" spans="1:41" customFormat="1" ht="18" customHeight="1">
      <x:c r="J138" s="4" t="s">
        <x:v>246</x:v>
      </x:c>
      <x:c r="K138" s="10" t="n">
        <x:v>7631102</x:v>
      </x:c>
      <x:c r="L138" s="10" t="s">
        <x:v>145</x:v>
      </x:c>
      <x:c r="M138" s="10">
        <x:f>L138&amp;"-"&amp;K138</x:f>
      </x:c>
      <x:c r="N138" s="10" t="n">
        <x:v>502</x:v>
      </x:c>
      <x:c r="O138" s="4" t="s">
        <x:v>248</x:v>
      </x:c>
    </x:row>
    <x:row r="139" spans="1:41" customFormat="1" ht="18" customHeight="1">
      <x:c r="J139" s="4" t="s">
        <x:v>251</x:v>
      </x:c>
      <x:c r="K139" s="10" t="n">
        <x:v>7641101</x:v>
      </x:c>
      <x:c r="L139" s="10" t="s">
        <x:v>145</x:v>
      </x:c>
      <x:c r="M139" s="10">
        <x:f>L139&amp;"-"&amp;K139</x:f>
      </x:c>
      <x:c r="N139" s="10" t="n">
        <x:v>401</x:v>
      </x:c>
      <x:c r="O139" s="4" t="s">
        <x:v>253</x:v>
      </x:c>
    </x:row>
    <x:row r="140" spans="1:41" customFormat="1" ht="18" customHeight="1">
      <x:c r="J140" s="4" t="s">
        <x:v>254</x:v>
      </x:c>
      <x:c r="K140" s="10" t="n">
        <x:v>7641102</x:v>
      </x:c>
      <x:c r="L140" s="10" t="s">
        <x:v>145</x:v>
      </x:c>
      <x:c r="M140" s="10">
        <x:f>L140&amp;"-"&amp;K140</x:f>
      </x:c>
      <x:c r="N140" s="10" t="n">
        <x:v>401</x:v>
      </x:c>
      <x:c r="O140" s="4" t="s">
        <x:v>255</x:v>
      </x:c>
    </x:row>
    <x:row r="141" spans="1:41" customFormat="1" ht="18" customHeight="1">
      <x:c r="J141" s="4" t="s">
        <x:v>258</x:v>
      </x:c>
      <x:c r="K141" s="10" t="n">
        <x:v>7641103</x:v>
      </x:c>
      <x:c r="L141" s="10" t="s">
        <x:v>145</x:v>
      </x:c>
      <x:c r="M141" s="10">
        <x:f>L141&amp;"-"&amp;K141</x:f>
      </x:c>
      <x:c r="N141" s="10" t="n">
        <x:v>902</x:v>
      </x:c>
      <x:c r="O141" s="4" t="s">
        <x:v>260</x:v>
      </x:c>
    </x:row>
    <x:row r="142" spans="1:41" customFormat="1" ht="18" customHeight="1">
      <x:c r="J142" s="4" t="s">
        <x:v>263</x:v>
      </x:c>
      <x:c r="K142" s="10" t="n">
        <x:v>7641104</x:v>
      </x:c>
      <x:c r="L142" s="10" t="s">
        <x:v>145</x:v>
      </x:c>
      <x:c r="M142" s="10">
        <x:f>L142&amp;"-"&amp;K142</x:f>
      </x:c>
      <x:c r="N142" s="10" t="n">
        <x:v>999</x:v>
      </x:c>
      <x:c r="O142" s="4" t="s">
        <x:v>264</x:v>
      </x:c>
    </x:row>
    <x:row r="143" spans="1:41" customFormat="1" ht="18" customHeight="1">
      <x:c r="J143" s="4" t="s">
        <x:v>265</x:v>
      </x:c>
      <x:c r="K143" s="10" t="n">
        <x:v>7651101</x:v>
      </x:c>
      <x:c r="L143" s="10" t="s">
        <x:v>145</x:v>
      </x:c>
      <x:c r="M143" s="10">
        <x:f>L143&amp;"-"&amp;K143</x:f>
      </x:c>
      <x:c r="N143" s="10" t="n">
        <x:v>903</x:v>
      </x:c>
      <x:c r="O143" s="4" t="s">
        <x:v>266</x:v>
      </x:c>
    </x:row>
    <x:row r="144" spans="1:41" customFormat="1" ht="18" customHeight="1">
      <x:c r="J144" s="4" t="s">
        <x:v>267</x:v>
      </x:c>
      <x:c r="K144" s="10" t="n">
        <x:v>7651102</x:v>
      </x:c>
      <x:c r="L144" s="10" t="s">
        <x:v>145</x:v>
      </x:c>
      <x:c r="M144" s="10">
        <x:f>L144&amp;"-"&amp;K144</x:f>
      </x:c>
      <x:c r="N144" s="10" t="n">
        <x:v>903</x:v>
      </x:c>
      <x:c r="O144" s="4" t="s">
        <x:v>268</x:v>
      </x:c>
    </x:row>
    <x:row r="145" spans="1:41" customFormat="1" ht="18" customHeight="1">
      <x:c r="J145" s="4" t="s">
        <x:v>269</x:v>
      </x:c>
      <x:c r="K145" s="10" t="n">
        <x:v>7651103</x:v>
      </x:c>
      <x:c r="L145" s="10" t="s">
        <x:v>145</x:v>
      </x:c>
      <x:c r="M145" s="10">
        <x:f>L145&amp;"-"&amp;K145</x:f>
      </x:c>
      <x:c r="N145" s="10" t="n">
        <x:v>903</x:v>
      </x:c>
      <x:c r="O145" s="4" t="s">
        <x:v>270</x:v>
      </x:c>
    </x:row>
    <x:row r="146" spans="1:41" customFormat="1" ht="18" customHeight="1">
      <x:c r="J146" s="4" t="s">
        <x:v>271</x:v>
      </x:c>
      <x:c r="K146" s="10" t="n">
        <x:v>7661101</x:v>
      </x:c>
      <x:c r="L146" s="10" t="s">
        <x:v>145</x:v>
      </x:c>
      <x:c r="M146" s="10">
        <x:f>L146&amp;"-"&amp;K146</x:f>
      </x:c>
      <x:c r="N146" s="10" t="n">
        <x:v>999</x:v>
      </x:c>
      <x:c r="O146" s="4" t="s">
        <x:v>273</x:v>
      </x:c>
    </x:row>
    <x:row r="147" spans="1:41" customFormat="1" ht="18" customHeight="1">
      <x:c r="J147" s="4" t="s">
        <x:v>274</x:v>
      </x:c>
      <x:c r="K147" s="10" t="n">
        <x:v>7671102</x:v>
      </x:c>
      <x:c r="L147" s="10" t="s">
        <x:v>145</x:v>
      </x:c>
      <x:c r="M147" s="10">
        <x:f>L147&amp;"-"&amp;K147</x:f>
      </x:c>
      <x:c r="N147" s="10" t="n">
        <x:v>999</x:v>
      </x:c>
      <x:c r="O147" s="4" t="s">
        <x:v>275</x:v>
      </x:c>
    </x:row>
    <x:row r="148" spans="1:41" customFormat="1" ht="18" customHeight="1">
      <x:c r="J148" s="4" t="s">
        <x:v>276</x:v>
      </x:c>
      <x:c r="K148" s="10" t="n">
        <x:v>7671103</x:v>
      </x:c>
      <x:c r="L148" s="10" t="s">
        <x:v>145</x:v>
      </x:c>
      <x:c r="M148" s="10">
        <x:f>L148&amp;"-"&amp;K148</x:f>
      </x:c>
      <x:c r="N148" s="10" t="n">
        <x:v>999</x:v>
      </x:c>
      <x:c r="O148" s="4" t="s">
        <x:v>277</x:v>
      </x:c>
    </x:row>
    <x:row r="149" spans="1:41" customFormat="1" ht="18" customHeight="1">
      <x:c r="J149" s="4" t="s">
        <x:v>278</x:v>
      </x:c>
      <x:c r="K149" s="10" t="n">
        <x:v>7681101</x:v>
      </x:c>
      <x:c r="L149" s="10" t="s">
        <x:v>145</x:v>
      </x:c>
      <x:c r="M149" s="10">
        <x:f>L149&amp;"-"&amp;K149</x:f>
      </x:c>
      <x:c r="N149" s="10" t="n">
        <x:v>999</x:v>
      </x:c>
      <x:c r="O149" s="4" t="s">
        <x:v>279</x:v>
      </x:c>
    </x:row>
    <x:row r="150" spans="1:41" customFormat="1" ht="18" customHeight="1">
      <x:c r="J150" s="4" t="s">
        <x:v>280</x:v>
      </x:c>
      <x:c r="K150" s="10" t="n">
        <x:v>7691000</x:v>
      </x:c>
      <x:c r="L150" s="10" t="s">
        <x:v>145</x:v>
      </x:c>
      <x:c r="M150" s="10">
        <x:f>L150&amp;"-"&amp;K150</x:f>
      </x:c>
      <x:c r="N150" s="10" t="n">
        <x:v>999</x:v>
      </x:c>
      <x:c r="O150" s="4" t="s">
        <x:v>281</x:v>
      </x:c>
    </x:row>
    <x:row r="151" spans="1:41" customFormat="1" ht="18" customHeight="1">
      <x:c r="J151" s="4" t="s">
        <x:v>282</x:v>
      </x:c>
      <x:c r="K151" s="10" t="n">
        <x:v>7711101</x:v>
      </x:c>
      <x:c r="L151" s="10" t="s">
        <x:v>145</x:v>
      </x:c>
      <x:c r="M151" s="10">
        <x:f>L151&amp;"-"&amp;K151</x:f>
      </x:c>
      <x:c r="N151" s="10" t="n">
        <x:v>999</x:v>
      </x:c>
      <x:c r="O151" s="4" t="s">
        <x:v>283</x:v>
      </x:c>
    </x:row>
    <x:row r="152" spans="1:41" customFormat="1" ht="18" customHeight="1">
      <x:c r="J152" s="4" t="s">
        <x:v>284</x:v>
      </x:c>
      <x:c r="K152" s="10" t="n">
        <x:v>7711102</x:v>
      </x:c>
      <x:c r="L152" s="10" t="s">
        <x:v>145</x:v>
      </x:c>
      <x:c r="M152" s="10">
        <x:f>L152&amp;"-"&amp;K152</x:f>
      </x:c>
      <x:c r="N152" s="10" t="n">
        <x:v>904</x:v>
      </x:c>
      <x:c r="O152" s="4" t="s">
        <x:v>286</x:v>
      </x:c>
    </x:row>
    <x:row r="153" spans="1:41" customFormat="1" ht="18" customHeight="1">
      <x:c r="J153" s="4" t="s">
        <x:v>287</x:v>
      </x:c>
      <x:c r="K153" s="10" t="n">
        <x:v>7711103</x:v>
      </x:c>
      <x:c r="L153" s="10" t="s">
        <x:v>145</x:v>
      </x:c>
      <x:c r="M153" s="10">
        <x:f>L153&amp;"-"&amp;K153</x:f>
      </x:c>
      <x:c r="N153" s="10" t="n">
        <x:v>999</x:v>
      </x:c>
      <x:c r="O153" s="4" t="s">
        <x:v>288</x:v>
      </x:c>
    </x:row>
    <x:row r="154" spans="1:41" customFormat="1" ht="18" customHeight="1">
      <x:c r="J154" s="4" t="s">
        <x:v>289</x:v>
      </x:c>
      <x:c r="K154" s="10" t="n">
        <x:v>7721101</x:v>
      </x:c>
      <x:c r="L154" s="10" t="s">
        <x:v>145</x:v>
      </x:c>
      <x:c r="M154" s="10">
        <x:f>L154&amp;"-"&amp;K154</x:f>
      </x:c>
      <x:c r="N154" s="10" t="n">
        <x:v>999</x:v>
      </x:c>
      <x:c r="O154" s="4" t="s">
        <x:v>290</x:v>
      </x:c>
    </x:row>
    <x:row r="155" spans="1:41" customFormat="1" ht="18" customHeight="1">
      <x:c r="J155" s="4" t="s">
        <x:v>291</x:v>
      </x:c>
      <x:c r="K155" s="10" t="n">
        <x:v>7729101</x:v>
      </x:c>
      <x:c r="L155" s="10" t="s">
        <x:v>145</x:v>
      </x:c>
      <x:c r="M155" s="10">
        <x:f>L155&amp;"-"&amp;K155</x:f>
      </x:c>
      <x:c r="N155" s="10" t="n">
        <x:v>905</x:v>
      </x:c>
      <x:c r="O155" s="4" t="s">
        <x:v>293</x:v>
      </x:c>
    </x:row>
    <x:row r="156" spans="1:41" customFormat="1" ht="18" customHeight="1">
      <x:c r="J156" s="4" t="s">
        <x:v>294</x:v>
      </x:c>
      <x:c r="K156" s="10" t="n">
        <x:v>7729103</x:v>
      </x:c>
      <x:c r="L156" s="10" t="s">
        <x:v>145</x:v>
      </x:c>
      <x:c r="M156" s="10">
        <x:f>L156&amp;"-"&amp;K156</x:f>
      </x:c>
      <x:c r="N156" s="10" t="n">
        <x:v>907</x:v>
      </x:c>
      <x:c r="O156" s="4" t="s">
        <x:v>296</x:v>
      </x:c>
    </x:row>
    <x:row r="157" spans="1:41" customFormat="1" ht="18" customHeight="1">
      <x:c r="J157" s="4" t="s">
        <x:v>297</x:v>
      </x:c>
      <x:c r="K157" s="10" t="n">
        <x:v>7729105</x:v>
      </x:c>
      <x:c r="L157" s="10" t="s">
        <x:v>145</x:v>
      </x:c>
      <x:c r="M157" s="10">
        <x:f>L157&amp;"-"&amp;K157</x:f>
      </x:c>
      <x:c r="N157" s="10" t="n">
        <x:v>999</x:v>
      </x:c>
      <x:c r="O157" s="4" t="s">
        <x:v>298</x:v>
      </x:c>
    </x:row>
    <x:row r="158" spans="1:41" customFormat="1" ht="18" customHeight="1">
      <x:c r="J158" s="4" t="s">
        <x:v>299</x:v>
      </x:c>
      <x:c r="K158" s="10" t="n">
        <x:v>7781101</x:v>
      </x:c>
      <x:c r="L158" s="10" t="s">
        <x:v>145</x:v>
      </x:c>
      <x:c r="M158" s="10">
        <x:f>L158&amp;"-"&amp;K158</x:f>
      </x:c>
      <x:c r="N158" s="10" t="n">
        <x:v>999</x:v>
      </x:c>
      <x:c r="O158" s="4" t="s">
        <x:v>300</x:v>
      </x:c>
    </x:row>
    <x:row r="159" spans="1:41" customFormat="1" ht="18" customHeight="1">
      <x:c r="J159" s="4" t="s">
        <x:v>301</x:v>
      </x:c>
      <x:c r="K159" s="10" t="n">
        <x:v>7781103</x:v>
      </x:c>
      <x:c r="L159" s="10" t="s">
        <x:v>145</x:v>
      </x:c>
      <x:c r="M159" s="10">
        <x:f>L159&amp;"-"&amp;K159</x:f>
      </x:c>
      <x:c r="N159" s="10" t="n">
        <x:v>999</x:v>
      </x:c>
      <x:c r="O159" s="4" t="s">
        <x:v>302</x:v>
      </x:c>
    </x:row>
    <x:row r="160" spans="1:41" customFormat="1" ht="18" customHeight="1">
      <x:c r="J160" s="4" t="s">
        <x:v>303</x:v>
      </x:c>
      <x:c r="K160" s="10" t="n">
        <x:v>7781104</x:v>
      </x:c>
      <x:c r="L160" s="10" t="s">
        <x:v>145</x:v>
      </x:c>
      <x:c r="M160" s="10">
        <x:f>L160&amp;"-"&amp;K160</x:f>
      </x:c>
      <x:c r="N160" s="10" t="n">
        <x:v>999</x:v>
      </x:c>
      <x:c r="O160" s="4" t="s">
        <x:v>304</x:v>
      </x:c>
    </x:row>
    <x:row r="161" spans="1:41" customFormat="1" ht="18" customHeight="1">
      <x:c r="J161" s="4" t="s">
        <x:v>305</x:v>
      </x:c>
      <x:c r="K161" s="10" t="n">
        <x:v>7781105</x:v>
      </x:c>
      <x:c r="L161" s="10" t="s">
        <x:v>145</x:v>
      </x:c>
      <x:c r="M161" s="10">
        <x:f>L161&amp;"-"&amp;K161</x:f>
      </x:c>
      <x:c r="N161" s="10" t="n">
        <x:v>999</x:v>
      </x:c>
      <x:c r="O161" s="4" t="s">
        <x:v>306</x:v>
      </x:c>
    </x:row>
    <x:row r="162" spans="1:41" customFormat="1" ht="18" customHeight="1">
      <x:c r="J162" s="4" t="s">
        <x:v>307</x:v>
      </x:c>
      <x:c r="K162" s="10" t="n">
        <x:v>7781106</x:v>
      </x:c>
      <x:c r="L162" s="10" t="s">
        <x:v>145</x:v>
      </x:c>
      <x:c r="M162" s="10">
        <x:f>L162&amp;"-"&amp;K162</x:f>
      </x:c>
      <x:c r="N162" s="10" t="n">
        <x:v>999</x:v>
      </x:c>
      <x:c r="O162" s="4" t="s">
        <x:v>308</x:v>
      </x:c>
    </x:row>
    <x:row r="163" spans="1:41" customFormat="1" ht="18" customHeight="1">
      <x:c r="J163" s="4" t="s">
        <x:v>309</x:v>
      </x:c>
      <x:c r="K163" s="10" t="n">
        <x:v>7781107</x:v>
      </x:c>
      <x:c r="L163" s="10" t="s">
        <x:v>145</x:v>
      </x:c>
      <x:c r="M163" s="10">
        <x:f>L163&amp;"-"&amp;K163</x:f>
      </x:c>
      <x:c r="N163" s="10" t="n">
        <x:v>906</x:v>
      </x:c>
      <x:c r="O163" s="4" t="s">
        <x:v>311</x:v>
      </x:c>
    </x:row>
    <x:row r="164" spans="1:41" customFormat="1" ht="18" customHeight="1">
      <x:c r="J164" s="4" t="s">
        <x:v>312</x:v>
      </x:c>
      <x:c r="K164" s="10" t="n">
        <x:v>7781111</x:v>
      </x:c>
      <x:c r="L164" s="10" t="s">
        <x:v>145</x:v>
      </x:c>
      <x:c r="M164" s="10">
        <x:f>L164&amp;"-"&amp;K164</x:f>
      </x:c>
      <x:c r="N164" s="10" t="n">
        <x:v>999</x:v>
      </x:c>
      <x:c r="O164" s="4" t="s">
        <x:v>313</x:v>
      </x:c>
    </x:row>
    <x:row r="165" spans="1:41" customFormat="1" ht="18" customHeight="1">
      <x:c r="J165" s="4" t="s">
        <x:v>314</x:v>
      </x:c>
      <x:c r="K165" s="10" t="n">
        <x:v>7781112</x:v>
      </x:c>
      <x:c r="L165" s="10" t="s">
        <x:v>145</x:v>
      </x:c>
      <x:c r="M165" s="10">
        <x:f>L165&amp;"-"&amp;K165</x:f>
      </x:c>
      <x:c r="N165" s="10" t="n">
        <x:v>999</x:v>
      </x:c>
      <x:c r="O165" s="4" t="s">
        <x:v>315</x:v>
      </x:c>
    </x:row>
    <x:row r="166" spans="1:41" customFormat="1" ht="18" customHeight="1">
      <x:c r="J166" s="4" t="s">
        <x:v>316</x:v>
      </x:c>
      <x:c r="K166" s="10" t="n">
        <x:v>7781113</x:v>
      </x:c>
      <x:c r="L166" s="10" t="s">
        <x:v>145</x:v>
      </x:c>
      <x:c r="M166" s="10">
        <x:f>L166&amp;"-"&amp;K166</x:f>
      </x:c>
      <x:c r="N166" s="10" t="n">
        <x:v>999</x:v>
      </x:c>
      <x:c r="O166" s="4" t="s">
        <x:v>317</x:v>
      </x:c>
    </x:row>
    <x:row r="167" spans="1:41" customFormat="1" ht="18" customHeight="1">
      <x:c r="J167" s="4" t="s">
        <x:v>372</x:v>
      </x:c>
      <x:c r="K167" s="5" t="n">
        <x:v>8291101</x:v>
      </x:c>
      <x:c r="L167" s="6" t="s">
        <x:v>373</x:v>
      </x:c>
      <x:c r="M167" s="6">
        <x:f>L167&amp;"-"&amp;K167</x:f>
      </x:c>
    </x:row>
    <x:row r="168" spans="1:41" customFormat="1" ht="18" customHeight="1">
      <x:c r="J168" s="4" t="s">
        <x:v>374</x:v>
      </x:c>
      <x:c r="K168" s="5" t="n">
        <x:v>8291102</x:v>
      </x:c>
      <x:c r="L168" s="6" t="s">
        <x:v>373</x:v>
      </x:c>
      <x:c r="M168" s="6">
        <x:f>L168&amp;"-"&amp;K168</x:f>
      </x:c>
    </x:row>
    <x:row r="169" spans="1:41" customFormat="1" ht="18" customHeight="1">
      <x:c r="J169" s="4" t="s">
        <x:v>375</x:v>
      </x:c>
      <x:c r="K169" s="5" t="n">
        <x:v>8291201</x:v>
      </x:c>
      <x:c r="L169" s="6" t="s">
        <x:v>373</x:v>
      </x:c>
      <x:c r="M169" s="6">
        <x:f>L169&amp;"-"&amp;K169</x:f>
      </x:c>
    </x:row>
    <x:row r="170" spans="1:41" customFormat="1" ht="18" customHeight="1">
      <x:c r="J170" s="4" t="s">
        <x:v>376</x:v>
      </x:c>
      <x:c r="K170" s="5" t="n">
        <x:v>8291202</x:v>
      </x:c>
      <x:c r="L170" s="6" t="s">
        <x:v>373</x:v>
      </x:c>
      <x:c r="M170" s="6">
        <x:f>L170&amp;"-"&amp;K170</x:f>
      </x:c>
    </x:row>
    <x:row r="171" spans="1:41" customFormat="1" ht="18" customHeight="1">
      <x:c r="J171" s="4" t="s">
        <x:v>377</x:v>
      </x:c>
      <x:c r="K171" s="5" t="n">
        <x:v>8291203</x:v>
      </x:c>
      <x:c r="L171" s="6" t="s">
        <x:v>373</x:v>
      </x:c>
      <x:c r="M171" s="6">
        <x:f>L171&amp;"-"&amp;K171</x:f>
      </x:c>
    </x:row>
    <x:row r="172" spans="1:41" customFormat="1" ht="18" customHeight="1">
      <x:c r="J172" s="4" t="s">
        <x:v>378</x:v>
      </x:c>
      <x:c r="K172" s="5" t="n">
        <x:v>8191101</x:v>
      </x:c>
      <x:c r="L172" s="6" t="s">
        <x:v>373</x:v>
      </x:c>
      <x:c r="M172" s="6">
        <x:f>L172&amp;"-"&amp;K172</x:f>
      </x:c>
    </x:row>
    <x:row r="173" spans="1:41" customFormat="1" ht="18" customHeight="1">
      <x:c r="N173" s="12" t="s"/>
    </x:row>
  </x:sheetData>
  <x:phoneticPr fontId="24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3B61871-B522-4360-BDA4-9BF4A4426FC5}" mc:Ignorable="x14ac xr xr2 xr3">
  <x:sheetPr>
    <x:outlinePr summaryBelow="1" summaryRight="1"/>
  </x:sheetPr>
  <x:dimension ref="A1:S173"/>
  <x:sheetViews>
    <x:sheetView topLeftCell="E1" zoomScale="80" zoomScaleNormal="80" workbookViewId="0">
      <x:selection activeCell="AO2" sqref="AO2"/>
    </x:sheetView>
  </x:sheetViews>
  <x:sheetFormatPr defaultColWidth="8.855469" defaultRowHeight="12.75"/>
  <x:cols>
    <x:col min="1" max="1" width="56.140625" style="4" bestFit="1" customWidth="1"/>
    <x:col min="2" max="2" width="10.570312" style="5" bestFit="1" customWidth="1"/>
    <x:col min="3" max="3" width="12.570312" style="6" bestFit="1" customWidth="1"/>
    <x:col min="4" max="4" width="12.425781" style="6" bestFit="1" customWidth="1"/>
    <x:col min="5" max="5" width="13.855469" style="6" bestFit="1" customWidth="1"/>
    <x:col min="6" max="6" width="50.710938" style="4" hidden="1" customWidth="1"/>
    <x:col min="7" max="7" width="0.855469" style="95" customWidth="1"/>
    <x:col min="8" max="8" width="28.570312" style="4" bestFit="1" customWidth="1"/>
    <x:col min="9" max="9" width="11.425781" style="5" bestFit="1" customWidth="1"/>
    <x:col min="10" max="10" width="15.855469" style="4" bestFit="1" customWidth="1"/>
    <x:col min="11" max="11" width="19.425781" style="4" bestFit="1" customWidth="1"/>
    <x:col min="12" max="12" width="28.570312" style="4" bestFit="1" customWidth="1"/>
    <x:col min="13" max="13" width="0.855469" style="95" customWidth="1"/>
    <x:col min="14" max="14" width="9.855469" style="4" bestFit="1" customWidth="1"/>
    <x:col min="15" max="15" width="19.570312" style="4" bestFit="1" customWidth="1"/>
    <x:col min="16" max="16" width="0.855469" style="95" customWidth="1"/>
    <x:col min="17" max="17" width="18.425781" style="29" bestFit="1" customWidth="1"/>
    <x:col min="18" max="18" width="19" style="30" bestFit="1" customWidth="1"/>
    <x:col min="19" max="19" width="72.570312" style="31" bestFit="1" customWidth="1"/>
    <x:col min="20" max="40" width="8.855469" style="4" customWidth="1"/>
    <x:col min="41" max="41" width="8.855469" style="0" customWidth="1"/>
    <x:col min="42" max="16384" width="8.855469" style="4" customWidth="1"/>
  </x:cols>
  <x:sheetData>
    <x:row r="1" spans="1:41" s="3" customFormat="1" ht="60" customHeight="1">
      <x:c r="A1" s="99" t="s">
        <x:v>50</x:v>
      </x:c>
      <x:c r="B1" s="99" t="s">
        <x:v>51</x:v>
      </x:c>
      <x:c r="C1" s="100" t="s">
        <x:v>9</x:v>
      </x:c>
      <x:c r="D1" s="100" t="s">
        <x:v>52</x:v>
      </x:c>
      <x:c r="E1" s="100" t="s">
        <x:v>53</x:v>
      </x:c>
      <x:c r="F1" s="99" t="s">
        <x:v>54</x:v>
      </x:c>
      <x:c r="G1" s="101" t="s"/>
      <x:c r="H1" s="96" t="s">
        <x:v>379</x:v>
      </x:c>
      <x:c r="I1" s="96" t="s">
        <x:v>44</x:v>
      </x:c>
      <x:c r="J1" s="97" t="s">
        <x:v>45</x:v>
      </x:c>
      <x:c r="K1" s="97" t="s">
        <x:v>46</x:v>
      </x:c>
      <x:c r="L1" s="96" t="s">
        <x:v>380</x:v>
      </x:c>
      <x:c r="M1" s="102" t="s"/>
      <x:c r="N1" s="98" t="s">
        <x:v>381</x:v>
      </x:c>
      <x:c r="O1" s="98" t="s">
        <x:v>382</x:v>
      </x:c>
      <x:c r="P1" s="102" t="s"/>
      <x:c r="Q1" s="103" t="s">
        <x:v>14</x:v>
      </x:c>
      <x:c r="R1" s="103" t="s">
        <x:v>59</x:v>
      </x:c>
      <x:c r="S1" s="104" t="s">
        <x:v>54</x:v>
      </x:c>
      <x:c r="AO1" s="0" t="s"/>
    </x:row>
    <x:row r="2" spans="1:41" s="0" customFormat="1" ht="18" customHeight="1">
      <x:c r="A2" s="4" t="s">
        <x:v>68</x:v>
      </x:c>
      <x:c r="B2" s="5" t="n">
        <x:v>7511101</x:v>
      </x:c>
      <x:c r="C2" s="6" t="s">
        <x:v>23</x:v>
      </x:c>
      <x:c r="D2" s="7">
        <x:f>C2&amp;"-"&amp;B2</x:f>
      </x:c>
      <x:c r="E2" s="6" t="s">
        <x:v>69</x:v>
      </x:c>
      <x:c r="F2" s="4" t="s">
        <x:v>68</x:v>
      </x:c>
      <x:c r="G2" s="105" t="s"/>
      <x:c r="H2" s="18" t="s">
        <x:v>65</x:v>
      </x:c>
      <x:c r="I2" s="19" t="s">
        <x:v>66</x:v>
      </x:c>
      <x:c r="J2" s="20" t="s">
        <x:v>23</x:v>
      </x:c>
      <x:c r="K2" s="21" t="s">
        <x:v>24</x:v>
      </x:c>
      <x:c r="L2" s="21">
        <x:f>H2</x:f>
      </x:c>
      <x:c r="M2" s="105" t="s"/>
      <x:c r="N2" s="21" t="n">
        <x:v>53450</x:v>
      </x:c>
      <x:c r="O2" s="21" t="s">
        <x:v>67</x:v>
      </x:c>
      <x:c r="P2" s="105" t="s"/>
      <x:c r="Q2" s="34" t="s">
        <x:v>25</x:v>
      </x:c>
      <x:c r="R2" s="35" t="s">
        <x:v>70</x:v>
      </x:c>
      <x:c r="S2" s="33" t="s">
        <x:v>71</x:v>
      </x:c>
      <x:c r="AO2" s="0" t="s"/>
    </x:row>
    <x:row r="3" spans="1:41" customFormat="1" ht="18" customHeight="1">
      <x:c r="A3" s="4" t="s">
        <x:v>77</x:v>
      </x:c>
      <x:c r="B3" s="5" t="n">
        <x:v>7511102</x:v>
      </x:c>
      <x:c r="C3" s="6" t="s">
        <x:v>23</x:v>
      </x:c>
      <x:c r="D3" s="7">
        <x:f>C3&amp;"-"&amp;B3</x:f>
      </x:c>
      <x:c r="E3" s="6" t="s">
        <x:v>69</x:v>
      </x:c>
      <x:c r="F3" s="4" t="s">
        <x:v>78</x:v>
      </x:c>
      <x:c r="H3" s="18" t="s">
        <x:v>75</x:v>
      </x:c>
      <x:c r="I3" s="19" t="s">
        <x:v>76</x:v>
      </x:c>
      <x:c r="J3" s="20" t="s">
        <x:v>23</x:v>
      </x:c>
      <x:c r="K3" s="21" t="s">
        <x:v>24</x:v>
      </x:c>
      <x:c r="L3" s="21">
        <x:f>H3</x:f>
      </x:c>
      <x:c r="N3" s="21" t="s"/>
      <x:c r="O3" s="21" t="s"/>
      <x:c r="Q3" s="34" t="s">
        <x:v>29</x:v>
      </x:c>
      <x:c r="R3" s="35" t="s">
        <x:v>79</x:v>
      </x:c>
      <x:c r="S3" s="33" t="s">
        <x:v>80</x:v>
      </x:c>
    </x:row>
    <x:row r="4" spans="1:41" customFormat="1" ht="18" customHeight="1">
      <x:c r="A4" s="4" t="s">
        <x:v>86</x:v>
      </x:c>
      <x:c r="B4" s="5" t="n">
        <x:v>7511103</x:v>
      </x:c>
      <x:c r="C4" s="6" t="s">
        <x:v>23</x:v>
      </x:c>
      <x:c r="D4" s="7">
        <x:f>C4&amp;"-"&amp;B4</x:f>
      </x:c>
      <x:c r="E4" s="6" t="s">
        <x:v>87</x:v>
      </x:c>
      <x:c r="F4" s="4" t="s">
        <x:v>88</x:v>
      </x:c>
      <x:c r="H4" s="18" t="s">
        <x:v>84</x:v>
      </x:c>
      <x:c r="I4" s="19" t="s">
        <x:v>85</x:v>
      </x:c>
      <x:c r="J4" s="20" t="s">
        <x:v>23</x:v>
      </x:c>
      <x:c r="K4" s="21" t="s">
        <x:v>24</x:v>
      </x:c>
      <x:c r="L4" s="21">
        <x:f>H4</x:f>
      </x:c>
      <x:c r="N4" s="21" t="s"/>
      <x:c r="O4" s="21" t="s"/>
      <x:c r="Q4" s="34" t="s">
        <x:v>89</x:v>
      </x:c>
      <x:c r="R4" s="35" t="s">
        <x:v>90</x:v>
      </x:c>
      <x:c r="S4" s="33" t="s">
        <x:v>91</x:v>
      </x:c>
    </x:row>
    <x:row r="5" spans="1:41" customFormat="1" ht="18" customHeight="1">
      <x:c r="A5" s="4" t="s">
        <x:v>96</x:v>
      </x:c>
      <x:c r="B5" s="5" t="n">
        <x:v>7511111</x:v>
      </x:c>
      <x:c r="C5" s="6" t="s">
        <x:v>23</x:v>
      </x:c>
      <x:c r="D5" s="7">
        <x:f>C5&amp;"-"&amp;B5</x:f>
      </x:c>
      <x:c r="E5" s="6" t="s">
        <x:v>87</x:v>
      </x:c>
      <x:c r="F5" s="4" t="s">
        <x:v>97</x:v>
      </x:c>
      <x:c r="H5" s="18" t="s">
        <x:v>94</x:v>
      </x:c>
      <x:c r="I5" s="19" t="s">
        <x:v>95</x:v>
      </x:c>
      <x:c r="J5" s="20" t="s">
        <x:v>23</x:v>
      </x:c>
      <x:c r="K5" s="21" t="s">
        <x:v>24</x:v>
      </x:c>
      <x:c r="L5" s="21">
        <x:f>H5</x:f>
      </x:c>
    </x:row>
    <x:row r="6" spans="1:41" customFormat="1" ht="18" customHeight="1">
      <x:c r="A6" s="4" t="s">
        <x:v>103</x:v>
      </x:c>
      <x:c r="B6" s="5" t="n">
        <x:v>7511112</x:v>
      </x:c>
      <x:c r="C6" s="6" t="s">
        <x:v>23</x:v>
      </x:c>
      <x:c r="D6" s="7">
        <x:f>C6&amp;"-"&amp;B6</x:f>
      </x:c>
      <x:c r="E6" s="6" t="s">
        <x:v>87</x:v>
      </x:c>
      <x:c r="F6" s="4" t="s">
        <x:v>104</x:v>
      </x:c>
      <x:c r="H6" s="18" t="s">
        <x:v>101</x:v>
      </x:c>
      <x:c r="I6" s="19" t="s">
        <x:v>102</x:v>
      </x:c>
      <x:c r="J6" s="20" t="s">
        <x:v>23</x:v>
      </x:c>
      <x:c r="K6" s="21" t="s">
        <x:v>24</x:v>
      </x:c>
      <x:c r="L6" s="21">
        <x:f>H6</x:f>
      </x:c>
    </x:row>
    <x:row r="7" spans="1:41" customFormat="1" ht="18" customHeight="1">
      <x:c r="A7" s="4" t="s">
        <x:v>111</x:v>
      </x:c>
      <x:c r="B7" s="5" t="n">
        <x:v>7511121</x:v>
      </x:c>
      <x:c r="C7" s="6" t="s">
        <x:v>23</x:v>
      </x:c>
      <x:c r="D7" s="7">
        <x:f>C7&amp;"-"&amp;B7</x:f>
      </x:c>
      <x:c r="E7" s="6" t="s">
        <x:v>87</x:v>
      </x:c>
      <x:c r="F7" s="4" t="s">
        <x:v>112</x:v>
      </x:c>
      <x:c r="H7" s="18" t="s">
        <x:v>108</x:v>
      </x:c>
      <x:c r="I7" s="19" t="s">
        <x:v>109</x:v>
      </x:c>
      <x:c r="J7" s="20" t="s">
        <x:v>23</x:v>
      </x:c>
      <x:c r="K7" s="21" t="s">
        <x:v>24</x:v>
      </x:c>
      <x:c r="L7" s="21">
        <x:f>H7</x:f>
      </x:c>
    </x:row>
    <x:row r="8" spans="1:41" customFormat="1" ht="18" customHeight="1">
      <x:c r="A8" s="4" t="s">
        <x:v>117</x:v>
      </x:c>
      <x:c r="B8" s="5" t="n">
        <x:v>7511122</x:v>
      </x:c>
      <x:c r="C8" s="6" t="s">
        <x:v>23</x:v>
      </x:c>
      <x:c r="D8" s="7">
        <x:f>C8&amp;"-"&amp;B8</x:f>
      </x:c>
      <x:c r="E8" s="6" t="s">
        <x:v>87</x:v>
      </x:c>
      <x:c r="F8" s="4" t="s">
        <x:v>118</x:v>
      </x:c>
      <x:c r="H8" s="18" t="s">
        <x:v>114</x:v>
      </x:c>
      <x:c r="I8" s="19" t="s">
        <x:v>115</x:v>
      </x:c>
      <x:c r="J8" s="20" t="s">
        <x:v>23</x:v>
      </x:c>
      <x:c r="K8" s="21" t="s">
        <x:v>24</x:v>
      </x:c>
      <x:c r="L8" s="21">
        <x:f>H8</x:f>
      </x:c>
    </x:row>
    <x:row r="9" spans="1:41" customFormat="1" ht="18" customHeight="1">
      <x:c r="A9" s="4" t="s">
        <x:v>119</x:v>
      </x:c>
      <x:c r="B9" s="5" t="n">
        <x:v>7511201</x:v>
      </x:c>
      <x:c r="C9" s="6" t="s">
        <x:v>23</x:v>
      </x:c>
      <x:c r="D9" s="7">
        <x:f>C9&amp;"-"&amp;B9</x:f>
      </x:c>
      <x:c r="E9" s="6" t="s">
        <x:v>120</x:v>
      </x:c>
      <x:c r="F9" s="4" t="s">
        <x:v>121</x:v>
      </x:c>
      <x:c r="H9" s="18" t="s">
        <x:v>19</x:v>
      </x:c>
      <x:c r="I9" s="19" t="s">
        <x:v>18</x:v>
      </x:c>
      <x:c r="J9" s="20" t="s">
        <x:v>23</x:v>
      </x:c>
      <x:c r="K9" s="21" t="s">
        <x:v>24</x:v>
      </x:c>
      <x:c r="L9" s="21">
        <x:f>H9</x:f>
      </x:c>
    </x:row>
    <x:row r="10" spans="1:41" customFormat="1" ht="18" customHeight="1">
      <x:c r="A10" s="4" t="s">
        <x:v>124</x:v>
      </x:c>
      <x:c r="B10" s="5" t="n">
        <x:v>7512111</x:v>
      </x:c>
      <x:c r="C10" s="6" t="s">
        <x:v>23</x:v>
      </x:c>
      <x:c r="D10" s="7">
        <x:f>C10&amp;"-"&amp;B10</x:f>
      </x:c>
      <x:c r="E10" s="6" t="s">
        <x:v>125</x:v>
      </x:c>
      <x:c r="F10" s="4" t="s">
        <x:v>126</x:v>
      </x:c>
      <x:c r="H10" s="18" t="s">
        <x:v>122</x:v>
      </x:c>
      <x:c r="I10" s="19" t="s">
        <x:v>123</x:v>
      </x:c>
      <x:c r="J10" s="20" t="s">
        <x:v>23</x:v>
      </x:c>
      <x:c r="K10" s="21" t="s">
        <x:v>24</x:v>
      </x:c>
      <x:c r="L10" s="21">
        <x:f>H10</x:f>
      </x:c>
    </x:row>
    <x:row r="11" spans="1:41" customFormat="1" ht="18" customHeight="1">
      <x:c r="A11" s="4" t="s">
        <x:v>129</x:v>
      </x:c>
      <x:c r="B11" s="5" t="n">
        <x:v>7512112</x:v>
      </x:c>
      <x:c r="C11" s="6" t="s">
        <x:v>23</x:v>
      </x:c>
      <x:c r="D11" s="7">
        <x:f>C11&amp;"-"&amp;B11</x:f>
      </x:c>
      <x:c r="E11" s="6" t="s">
        <x:v>125</x:v>
      </x:c>
      <x:c r="F11" s="4" t="s">
        <x:v>130</x:v>
      </x:c>
      <x:c r="H11" s="18" t="s">
        <x:v>127</x:v>
      </x:c>
      <x:c r="I11" s="19" t="s">
        <x:v>128</x:v>
      </x:c>
      <x:c r="J11" s="20" t="s">
        <x:v>23</x:v>
      </x:c>
      <x:c r="K11" s="21" t="s">
        <x:v>24</x:v>
      </x:c>
      <x:c r="L11" s="21">
        <x:f>H11</x:f>
      </x:c>
    </x:row>
    <x:row r="12" spans="1:41" customFormat="1" ht="18" customHeight="1">
      <x:c r="A12" s="4" t="s">
        <x:v>133</x:v>
      </x:c>
      <x:c r="B12" s="5" t="n">
        <x:v>7514101</x:v>
      </x:c>
      <x:c r="C12" s="6" t="s">
        <x:v>23</x:v>
      </x:c>
      <x:c r="D12" s="7">
        <x:f>C12&amp;"-"&amp;B12</x:f>
      </x:c>
      <x:c r="E12" s="6" t="s">
        <x:v>87</x:v>
      </x:c>
      <x:c r="F12" s="4" t="s">
        <x:v>134</x:v>
      </x:c>
      <x:c r="H12" s="18" t="s">
        <x:v>131</x:v>
      </x:c>
      <x:c r="I12" s="19" t="s">
        <x:v>132</x:v>
      </x:c>
      <x:c r="J12" s="20" t="s">
        <x:v>23</x:v>
      </x:c>
      <x:c r="K12" s="21" t="s">
        <x:v>24</x:v>
      </x:c>
      <x:c r="L12" s="21">
        <x:f>H12</x:f>
      </x:c>
    </x:row>
    <x:row r="13" spans="1:41" customFormat="1" ht="18" customHeight="1">
      <x:c r="A13" s="4" t="s">
        <x:v>137</x:v>
      </x:c>
      <x:c r="B13" s="5" t="n">
        <x:v>7514102</x:v>
      </x:c>
      <x:c r="C13" s="6" t="s">
        <x:v>23</x:v>
      </x:c>
      <x:c r="D13" s="7">
        <x:f>C13&amp;"-"&amp;B13</x:f>
      </x:c>
      <x:c r="E13" s="6" t="s">
        <x:v>87</x:v>
      </x:c>
      <x:c r="F13" s="4" t="s">
        <x:v>138</x:v>
      </x:c>
      <x:c r="H13" s="18" t="s">
        <x:v>135</x:v>
      </x:c>
      <x:c r="I13" s="19" t="s">
        <x:v>136</x:v>
      </x:c>
      <x:c r="J13" s="20" t="s">
        <x:v>23</x:v>
      </x:c>
      <x:c r="K13" s="21" t="s">
        <x:v>24</x:v>
      </x:c>
      <x:c r="L13" s="21">
        <x:f>H13</x:f>
      </x:c>
    </x:row>
    <x:row r="14" spans="1:41" customFormat="1" ht="18" customHeight="1">
      <x:c r="A14" s="4" t="s">
        <x:v>141</x:v>
      </x:c>
      <x:c r="B14" s="5" t="n">
        <x:v>7515401</x:v>
      </x:c>
      <x:c r="C14" s="6" t="s">
        <x:v>23</x:v>
      </x:c>
      <x:c r="D14" s="7">
        <x:f>C14&amp;"-"&amp;B14</x:f>
      </x:c>
      <x:c r="E14" s="6" t="s">
        <x:v>125</x:v>
      </x:c>
      <x:c r="F14" s="4" t="s">
        <x:v>142</x:v>
      </x:c>
      <x:c r="H14" s="18" t="s">
        <x:v>139</x:v>
      </x:c>
      <x:c r="I14" s="19" t="s">
        <x:v>140</x:v>
      </x:c>
      <x:c r="J14" s="20" t="s">
        <x:v>23</x:v>
      </x:c>
      <x:c r="K14" s="21" t="s">
        <x:v>24</x:v>
      </x:c>
      <x:c r="L14" s="21">
        <x:f>H14</x:f>
      </x:c>
    </x:row>
    <x:row r="15" spans="1:41" customFormat="1" ht="18" customHeight="1">
      <x:c r="A15" s="4" t="s">
        <x:v>147</x:v>
      </x:c>
      <x:c r="B15" s="5" t="n">
        <x:v>7515402</x:v>
      </x:c>
      <x:c r="C15" s="6" t="s">
        <x:v>23</x:v>
      </x:c>
      <x:c r="D15" s="7">
        <x:f>C15&amp;"-"&amp;B15</x:f>
      </x:c>
      <x:c r="E15" s="6" t="s">
        <x:v>125</x:v>
      </x:c>
      <x:c r="F15" s="4" t="s">
        <x:v>148</x:v>
      </x:c>
      <x:c r="H15" s="18" t="s">
        <x:v>383</x:v>
      </x:c>
      <x:c r="I15" s="19" t="s">
        <x:v>384</x:v>
      </x:c>
      <x:c r="J15" s="20" t="s">
        <x:v>23</x:v>
      </x:c>
      <x:c r="K15" s="21" t="s">
        <x:v>24</x:v>
      </x:c>
      <x:c r="L15" s="21" t="s">
        <x:v>383</x:v>
      </x:c>
    </x:row>
    <x:row r="16" spans="1:41" customFormat="1" ht="18" customHeight="1">
      <x:c r="A16" s="4" t="s">
        <x:v>151</x:v>
      </x:c>
      <x:c r="B16" s="5" t="n">
        <x:v>7515403</x:v>
      </x:c>
      <x:c r="C16" s="6" t="s">
        <x:v>23</x:v>
      </x:c>
      <x:c r="D16" s="7">
        <x:f>C16&amp;"-"&amp;B16</x:f>
      </x:c>
      <x:c r="E16" s="6" t="s">
        <x:v>125</x:v>
      </x:c>
      <x:c r="F16" s="4" t="s">
        <x:v>152</x:v>
      </x:c>
      <x:c r="H16" s="18" t="s">
        <x:v>143</x:v>
      </x:c>
      <x:c r="I16" s="19" t="s">
        <x:v>144</x:v>
      </x:c>
      <x:c r="J16" s="21" t="s">
        <x:v>145</x:v>
      </x:c>
      <x:c r="K16" s="21" t="s">
        <x:v>146</x:v>
      </x:c>
      <x:c r="L16" s="21">
        <x:f>H16</x:f>
      </x:c>
    </x:row>
    <x:row r="17" spans="1:41" customFormat="1" ht="18" customHeight="1">
      <x:c r="A17" s="4" t="s">
        <x:v>155</x:v>
      </x:c>
      <x:c r="B17" s="5" t="n">
        <x:v>7515404</x:v>
      </x:c>
      <x:c r="C17" s="6" t="s">
        <x:v>23</x:v>
      </x:c>
      <x:c r="D17" s="7">
        <x:f>C17&amp;"-"&amp;B17</x:f>
      </x:c>
      <x:c r="E17" s="6" t="s">
        <x:v>125</x:v>
      </x:c>
      <x:c r="F17" s="4" t="s">
        <x:v>156</x:v>
      </x:c>
      <x:c r="H17" s="18" t="s">
        <x:v>149</x:v>
      </x:c>
      <x:c r="I17" s="19" t="s">
        <x:v>150</x:v>
      </x:c>
      <x:c r="J17" s="21" t="s">
        <x:v>145</x:v>
      </x:c>
      <x:c r="K17" s="21" t="s">
        <x:v>146</x:v>
      </x:c>
      <x:c r="L17" s="21">
        <x:f>H17</x:f>
      </x:c>
    </x:row>
    <x:row r="18" spans="1:41" customFormat="1" ht="18" customHeight="1">
      <x:c r="A18" s="4" t="s">
        <x:v>159</x:v>
      </x:c>
      <x:c r="B18" s="5" t="n">
        <x:v>7515405</x:v>
      </x:c>
      <x:c r="C18" s="6" t="s">
        <x:v>23</x:v>
      </x:c>
      <x:c r="D18" s="7">
        <x:f>C18&amp;"-"&amp;B18</x:f>
      </x:c>
      <x:c r="E18" s="6" t="s">
        <x:v>125</x:v>
      </x:c>
      <x:c r="F18" s="4" t="s">
        <x:v>160</x:v>
      </x:c>
      <x:c r="H18" s="18" t="s">
        <x:v>153</x:v>
      </x:c>
      <x:c r="I18" s="19" t="s">
        <x:v>154</x:v>
      </x:c>
      <x:c r="J18" s="21" t="s">
        <x:v>145</x:v>
      </x:c>
      <x:c r="K18" s="21" t="s">
        <x:v>146</x:v>
      </x:c>
      <x:c r="L18" s="21">
        <x:f>H18</x:f>
      </x:c>
    </x:row>
    <x:row r="19" spans="1:41" customFormat="1" ht="18" customHeight="1">
      <x:c r="A19" s="4" t="s">
        <x:v>163</x:v>
      </x:c>
      <x:c r="B19" s="5" t="n">
        <x:v>7515406</x:v>
      </x:c>
      <x:c r="C19" s="6" t="s">
        <x:v>23</x:v>
      </x:c>
      <x:c r="D19" s="7">
        <x:f>C19&amp;"-"&amp;B19</x:f>
      </x:c>
      <x:c r="E19" s="6" t="s">
        <x:v>125</x:v>
      </x:c>
      <x:c r="F19" s="4" t="s">
        <x:v>164</x:v>
      </x:c>
      <x:c r="H19" s="18" t="s">
        <x:v>157</x:v>
      </x:c>
      <x:c r="I19" s="19" t="s">
        <x:v>158</x:v>
      </x:c>
      <x:c r="J19" s="21" t="s">
        <x:v>145</x:v>
      </x:c>
      <x:c r="K19" s="21" t="s">
        <x:v>146</x:v>
      </x:c>
      <x:c r="L19" s="21">
        <x:f>H19</x:f>
      </x:c>
    </x:row>
    <x:row r="20" spans="1:41" customFormat="1" ht="18" customHeight="1">
      <x:c r="A20" s="4" t="s">
        <x:v>167</x:v>
      </x:c>
      <x:c r="B20" s="5" t="n">
        <x:v>7515407</x:v>
      </x:c>
      <x:c r="C20" s="6" t="s">
        <x:v>23</x:v>
      </x:c>
      <x:c r="D20" s="7">
        <x:f>C20&amp;"-"&amp;B20</x:f>
      </x:c>
      <x:c r="E20" s="6" t="s">
        <x:v>125</x:v>
      </x:c>
      <x:c r="H20" s="18" t="s">
        <x:v>161</x:v>
      </x:c>
      <x:c r="I20" s="19" t="s">
        <x:v>162</x:v>
      </x:c>
      <x:c r="J20" s="21" t="s">
        <x:v>145</x:v>
      </x:c>
      <x:c r="K20" s="21" t="s">
        <x:v>146</x:v>
      </x:c>
      <x:c r="L20" s="21">
        <x:f>H20</x:f>
      </x:c>
    </x:row>
    <x:row r="21" spans="1:41" customFormat="1" ht="18" customHeight="1">
      <x:c r="A21" s="4" t="s">
        <x:v>170</x:v>
      </x:c>
      <x:c r="B21" s="5" t="n">
        <x:v>7515408</x:v>
      </x:c>
      <x:c r="C21" s="6" t="s">
        <x:v>23</x:v>
      </x:c>
      <x:c r="D21" s="7">
        <x:f>C21&amp;"-"&amp;B21</x:f>
      </x:c>
      <x:c r="E21" s="6" t="s">
        <x:v>125</x:v>
      </x:c>
      <x:c r="F21" s="4" t="s">
        <x:v>171</x:v>
      </x:c>
      <x:c r="H21" s="18" t="s">
        <x:v>165</x:v>
      </x:c>
      <x:c r="I21" s="19" t="s">
        <x:v>385</x:v>
      </x:c>
      <x:c r="J21" s="21" t="s">
        <x:v>145</x:v>
      </x:c>
      <x:c r="K21" s="21" t="s">
        <x:v>146</x:v>
      </x:c>
      <x:c r="L21" s="21">
        <x:f>H21</x:f>
      </x:c>
    </x:row>
    <x:row r="22" spans="1:41" customFormat="1" ht="18" customHeight="1">
      <x:c r="A22" s="4" t="s">
        <x:v>174</x:v>
      </x:c>
      <x:c r="B22" s="5" t="n">
        <x:v>7515409</x:v>
      </x:c>
      <x:c r="C22" s="6" t="s">
        <x:v>23</x:v>
      </x:c>
      <x:c r="D22" s="7">
        <x:f>C22&amp;"-"&amp;B22</x:f>
      </x:c>
      <x:c r="E22" s="6" t="s">
        <x:v>125</x:v>
      </x:c>
      <x:c r="F22" s="4" t="s">
        <x:v>175</x:v>
      </x:c>
      <x:c r="H22" s="18" t="s">
        <x:v>168</x:v>
      </x:c>
      <x:c r="I22" s="19" t="s">
        <x:v>169</x:v>
      </x:c>
      <x:c r="J22" s="21" t="s">
        <x:v>145</x:v>
      </x:c>
      <x:c r="K22" s="21" t="s">
        <x:v>146</x:v>
      </x:c>
      <x:c r="L22" s="21">
        <x:f>H22</x:f>
      </x:c>
    </x:row>
    <x:row r="23" spans="1:41" customFormat="1" ht="18" customHeight="1">
      <x:c r="A23" s="4" t="s">
        <x:v>178</x:v>
      </x:c>
      <x:c r="B23" s="5" t="n">
        <x:v>7515410</x:v>
      </x:c>
      <x:c r="C23" s="6" t="s">
        <x:v>23</x:v>
      </x:c>
      <x:c r="D23" s="7">
        <x:f>C23&amp;"-"&amp;B23</x:f>
      </x:c>
      <x:c r="E23" s="6" t="s">
        <x:v>125</x:v>
      </x:c>
      <x:c r="F23" s="4" t="s">
        <x:v>179</x:v>
      </x:c>
      <x:c r="H23" s="18" t="s">
        <x:v>172</x:v>
      </x:c>
      <x:c r="I23" s="19" t="s">
        <x:v>173</x:v>
      </x:c>
      <x:c r="J23" s="21" t="s">
        <x:v>145</x:v>
      </x:c>
      <x:c r="K23" s="21" t="s">
        <x:v>146</x:v>
      </x:c>
      <x:c r="L23" s="21">
        <x:f>H23</x:f>
      </x:c>
    </x:row>
    <x:row r="24" spans="1:41" customFormat="1" ht="18" customHeight="1">
      <x:c r="A24" s="4" t="s">
        <x:v>182</x:v>
      </x:c>
      <x:c r="B24" s="5" t="n">
        <x:v>7515499</x:v>
      </x:c>
      <x:c r="C24" s="6" t="s">
        <x:v>23</x:v>
      </x:c>
      <x:c r="D24" s="7">
        <x:f>C24&amp;"-"&amp;B24</x:f>
      </x:c>
      <x:c r="E24" s="6" t="s">
        <x:v>125</x:v>
      </x:c>
      <x:c r="F24" s="4" t="s">
        <x:v>183</x:v>
      </x:c>
      <x:c r="H24" s="18" t="s">
        <x:v>176</x:v>
      </x:c>
      <x:c r="I24" s="19" t="s">
        <x:v>177</x:v>
      </x:c>
      <x:c r="J24" s="21" t="s">
        <x:v>145</x:v>
      </x:c>
      <x:c r="K24" s="21" t="s">
        <x:v>146</x:v>
      </x:c>
      <x:c r="L24" s="21">
        <x:f>H24</x:f>
      </x:c>
    </x:row>
    <x:row r="25" spans="1:41" customFormat="1" ht="18" customHeight="1">
      <x:c r="A25" s="4" t="s">
        <x:v>186</x:v>
      </x:c>
      <x:c r="B25" s="5" t="n">
        <x:v>7516102</x:v>
      </x:c>
      <x:c r="C25" s="6" t="s">
        <x:v>23</x:v>
      </x:c>
      <x:c r="D25" s="7">
        <x:f>C25&amp;"-"&amp;B25</x:f>
      </x:c>
      <x:c r="E25" s="6" t="s">
        <x:v>386</x:v>
      </x:c>
      <x:c r="F25" s="4" t="s">
        <x:v>188</x:v>
      </x:c>
      <x:c r="H25" s="18" t="s">
        <x:v>180</x:v>
      </x:c>
      <x:c r="I25" s="19" t="s">
        <x:v>181</x:v>
      </x:c>
      <x:c r="J25" s="21" t="s">
        <x:v>145</x:v>
      </x:c>
      <x:c r="K25" s="21" t="s">
        <x:v>146</x:v>
      </x:c>
      <x:c r="L25" s="21">
        <x:f>H25</x:f>
      </x:c>
    </x:row>
    <x:row r="26" spans="1:41" customFormat="1" ht="18" customHeight="1">
      <x:c r="A26" s="4" t="s">
        <x:v>191</x:v>
      </x:c>
      <x:c r="B26" s="5" t="n">
        <x:v>7519101</x:v>
      </x:c>
      <x:c r="C26" s="6" t="s">
        <x:v>23</x:v>
      </x:c>
      <x:c r="D26" s="7">
        <x:f>C26&amp;"-"&amp;B26</x:f>
      </x:c>
      <x:c r="E26" s="6" t="s">
        <x:v>69</x:v>
      </x:c>
      <x:c r="F26" s="4" t="s">
        <x:v>192</x:v>
      </x:c>
      <x:c r="H26" s="18" t="s">
        <x:v>184</x:v>
      </x:c>
      <x:c r="I26" s="19" t="s">
        <x:v>185</x:v>
      </x:c>
      <x:c r="J26" s="21" t="s">
        <x:v>145</x:v>
      </x:c>
      <x:c r="K26" s="21" t="s">
        <x:v>146</x:v>
      </x:c>
      <x:c r="L26" s="21">
        <x:f>H26</x:f>
      </x:c>
    </x:row>
    <x:row r="27" spans="1:41" customFormat="1" ht="18" customHeight="1">
      <x:c r="A27" s="4" t="s">
        <x:v>195</x:v>
      </x:c>
      <x:c r="B27" s="5" t="n">
        <x:v>7521101</x:v>
      </x:c>
      <x:c r="C27" s="6" t="s">
        <x:v>23</x:v>
      </x:c>
      <x:c r="D27" s="7">
        <x:f>C27&amp;"-"&amp;B27</x:f>
      </x:c>
      <x:c r="E27" s="6" t="s">
        <x:v>87</x:v>
      </x:c>
      <x:c r="F27" s="4" t="s">
        <x:v>196</x:v>
      </x:c>
      <x:c r="H27" s="18" t="s">
        <x:v>189</x:v>
      </x:c>
      <x:c r="I27" s="19" t="s">
        <x:v>190</x:v>
      </x:c>
      <x:c r="J27" s="21" t="s">
        <x:v>145</x:v>
      </x:c>
      <x:c r="K27" s="21" t="s">
        <x:v>146</x:v>
      </x:c>
      <x:c r="L27" s="21">
        <x:f>H27</x:f>
      </x:c>
    </x:row>
    <x:row r="28" spans="1:41" customFormat="1" ht="18" customHeight="1">
      <x:c r="A28" s="4" t="s">
        <x:v>199</x:v>
      </x:c>
      <x:c r="B28" s="5" t="n">
        <x:v>7521102</x:v>
      </x:c>
      <x:c r="C28" s="6" t="s">
        <x:v>23</x:v>
      </x:c>
      <x:c r="D28" s="7">
        <x:f>C28&amp;"-"&amp;B28</x:f>
      </x:c>
      <x:c r="E28" s="6" t="s">
        <x:v>120</x:v>
      </x:c>
      <x:c r="F28" s="4" t="s">
        <x:v>200</x:v>
      </x:c>
      <x:c r="H28" s="18" t="s">
        <x:v>193</x:v>
      </x:c>
      <x:c r="I28" s="19" t="s">
        <x:v>194</x:v>
      </x:c>
      <x:c r="J28" s="21" t="s">
        <x:v>145</x:v>
      </x:c>
      <x:c r="K28" s="21" t="s">
        <x:v>146</x:v>
      </x:c>
      <x:c r="L28" s="21">
        <x:f>H28</x:f>
      </x:c>
    </x:row>
    <x:row r="29" spans="1:41" customFormat="1" ht="18" customHeight="1">
      <x:c r="A29" s="4" t="s">
        <x:v>204</x:v>
      </x:c>
      <x:c r="B29" s="5" t="n">
        <x:v>7571101</x:v>
      </x:c>
      <x:c r="C29" s="6" t="s">
        <x:v>23</x:v>
      </x:c>
      <x:c r="D29" s="7">
        <x:f>C29&amp;"-"&amp;B29</x:f>
      </x:c>
      <x:c r="E29" s="6" t="s">
        <x:v>387</x:v>
      </x:c>
      <x:c r="F29" s="4" t="s">
        <x:v>206</x:v>
      </x:c>
      <x:c r="H29" s="18" t="s">
        <x:v>197</x:v>
      </x:c>
      <x:c r="I29" s="19" t="s">
        <x:v>198</x:v>
      </x:c>
      <x:c r="J29" s="21" t="s">
        <x:v>145</x:v>
      </x:c>
      <x:c r="K29" s="21" t="s">
        <x:v>146</x:v>
      </x:c>
      <x:c r="L29" s="21">
        <x:f>H29</x:f>
      </x:c>
    </x:row>
    <x:row r="30" spans="1:41" customFormat="1" ht="18" customHeight="1">
      <x:c r="A30" s="4" t="s">
        <x:v>73</x:v>
      </x:c>
      <x:c r="B30" s="5" t="n">
        <x:v>7611100</x:v>
      </x:c>
      <x:c r="C30" s="6" t="s">
        <x:v>23</x:v>
      </x:c>
      <x:c r="D30" s="7">
        <x:f>C30&amp;"-"&amp;B30</x:f>
      </x:c>
      <x:c r="E30" s="6" t="s">
        <x:v>209</x:v>
      </x:c>
      <x:c r="F30" s="4" t="s">
        <x:v>210</x:v>
      </x:c>
      <x:c r="H30" s="18" t="s">
        <x:v>201</x:v>
      </x:c>
      <x:c r="I30" s="19" t="s">
        <x:v>202</x:v>
      </x:c>
      <x:c r="J30" s="21" t="s">
        <x:v>145</x:v>
      </x:c>
      <x:c r="K30" s="21" t="s">
        <x:v>203</x:v>
      </x:c>
      <x:c r="L30" s="21">
        <x:f>H30</x:f>
      </x:c>
    </x:row>
    <x:row r="31" spans="1:41" customFormat="1" ht="18" customHeight="1">
      <x:c r="A31" s="4" t="s">
        <x:v>82</x:v>
      </x:c>
      <x:c r="B31" s="5" t="n">
        <x:v>7611300</x:v>
      </x:c>
      <x:c r="C31" s="6" t="s">
        <x:v>23</x:v>
      </x:c>
      <x:c r="D31" s="7">
        <x:f>C31&amp;"-"&amp;B31</x:f>
      </x:c>
      <x:c r="E31" s="6" t="s">
        <x:v>209</x:v>
      </x:c>
      <x:c r="F31" s="4" t="s">
        <x:v>213</x:v>
      </x:c>
      <x:c r="H31" s="18" t="s">
        <x:v>207</x:v>
      </x:c>
      <x:c r="I31" s="19" t="s">
        <x:v>208</x:v>
      </x:c>
      <x:c r="J31" s="21" t="s">
        <x:v>145</x:v>
      </x:c>
      <x:c r="K31" s="21" t="s">
        <x:v>203</x:v>
      </x:c>
      <x:c r="L31" s="21">
        <x:f>H31</x:f>
      </x:c>
    </x:row>
    <x:row r="32" spans="1:41" customFormat="1" ht="18" customHeight="1">
      <x:c r="A32" s="4" t="s">
        <x:v>216</x:v>
      </x:c>
      <x:c r="B32" s="5" t="n">
        <x:v>7611400</x:v>
      </x:c>
      <x:c r="C32" s="6" t="s">
        <x:v>23</x:v>
      </x:c>
      <x:c r="D32" s="7">
        <x:f>C32&amp;"-"&amp;B32</x:f>
      </x:c>
      <x:c r="E32" s="6" t="s">
        <x:v>209</x:v>
      </x:c>
      <x:c r="F32" s="4" t="s">
        <x:v>217</x:v>
      </x:c>
      <x:c r="H32" s="18" t="s">
        <x:v>211</x:v>
      </x:c>
      <x:c r="I32" s="19" t="s">
        <x:v>212</x:v>
      </x:c>
      <x:c r="J32" s="21" t="s">
        <x:v>145</x:v>
      </x:c>
      <x:c r="K32" s="21" t="s">
        <x:v>203</x:v>
      </x:c>
      <x:c r="L32" s="21">
        <x:f>H32</x:f>
      </x:c>
    </x:row>
    <x:row r="33" spans="1:41" customFormat="1" ht="18" customHeight="1">
      <x:c r="A33" s="4" t="s">
        <x:v>99</x:v>
      </x:c>
      <x:c r="B33" s="5" t="n">
        <x:v>7611500</x:v>
      </x:c>
      <x:c r="C33" s="6" t="s">
        <x:v>23</x:v>
      </x:c>
      <x:c r="D33" s="7">
        <x:f>C33&amp;"-"&amp;B33</x:f>
      </x:c>
      <x:c r="E33" s="6" t="s">
        <x:v>209</x:v>
      </x:c>
      <x:c r="F33" s="4" t="s">
        <x:v>220</x:v>
      </x:c>
      <x:c r="H33" s="18" t="s">
        <x:v>214</x:v>
      </x:c>
      <x:c r="I33" s="19" t="s">
        <x:v>215</x:v>
      </x:c>
      <x:c r="J33" s="21" t="s">
        <x:v>145</x:v>
      </x:c>
      <x:c r="K33" s="21" t="s">
        <x:v>203</x:v>
      </x:c>
      <x:c r="L33" s="21">
        <x:f>H33</x:f>
      </x:c>
    </x:row>
    <x:row r="34" spans="1:41" customFormat="1" ht="18" customHeight="1">
      <x:c r="A34" s="4" t="s">
        <x:v>105</x:v>
      </x:c>
      <x:c r="B34" s="5" t="n">
        <x:v>7611600</x:v>
      </x:c>
      <x:c r="C34" s="6" t="s">
        <x:v>23</x:v>
      </x:c>
      <x:c r="D34" s="7">
        <x:f>C34&amp;"-"&amp;B34</x:f>
      </x:c>
      <x:c r="E34" s="6" t="s">
        <x:v>209</x:v>
      </x:c>
      <x:c r="F34" s="4" t="s">
        <x:v>223</x:v>
      </x:c>
      <x:c r="H34" s="18" t="s">
        <x:v>218</x:v>
      </x:c>
      <x:c r="I34" s="19" t="s">
        <x:v>219</x:v>
      </x:c>
      <x:c r="J34" s="21" t="s">
        <x:v>145</x:v>
      </x:c>
      <x:c r="K34" s="21" t="s">
        <x:v>203</x:v>
      </x:c>
      <x:c r="L34" s="21">
        <x:f>H34</x:f>
      </x:c>
    </x:row>
    <x:row r="35" spans="1:41" customFormat="1" ht="18" customHeight="1">
      <x:c r="A35" s="4" t="s">
        <x:v>113</x:v>
      </x:c>
      <x:c r="B35" s="5" t="n">
        <x:v>7611700</x:v>
      </x:c>
      <x:c r="C35" s="6" t="s">
        <x:v>23</x:v>
      </x:c>
      <x:c r="D35" s="7">
        <x:f>C35&amp;"-"&amp;B35</x:f>
      </x:c>
      <x:c r="E35" s="6" t="s">
        <x:v>209</x:v>
      </x:c>
      <x:c r="F35" s="4" t="s">
        <x:v>388</x:v>
      </x:c>
      <x:c r="H35" s="18" t="s">
        <x:v>221</x:v>
      </x:c>
      <x:c r="I35" s="19" t="s">
        <x:v>222</x:v>
      </x:c>
      <x:c r="J35" s="21" t="s">
        <x:v>145</x:v>
      </x:c>
      <x:c r="K35" s="21" t="s">
        <x:v>203</x:v>
      </x:c>
      <x:c r="L35" s="21">
        <x:f>H35</x:f>
      </x:c>
    </x:row>
    <x:row r="36" spans="1:41" customFormat="1" ht="18" customHeight="1">
      <x:c r="A36" s="4" t="s">
        <x:v>229</x:v>
      </x:c>
      <x:c r="B36" s="5" t="n">
        <x:v>7611800</x:v>
      </x:c>
      <x:c r="C36" s="6" t="s">
        <x:v>23</x:v>
      </x:c>
      <x:c r="D36" s="7">
        <x:f>C36&amp;"-"&amp;B36</x:f>
      </x:c>
      <x:c r="E36" s="6" t="s">
        <x:v>209</x:v>
      </x:c>
      <x:c r="F36" s="4" t="s">
        <x:v>230</x:v>
      </x:c>
      <x:c r="H36" s="18" t="s">
        <x:v>224</x:v>
      </x:c>
      <x:c r="I36" s="19" t="s">
        <x:v>225</x:v>
      </x:c>
      <x:c r="J36" s="21" t="s">
        <x:v>145</x:v>
      </x:c>
      <x:c r="K36" s="21" t="s">
        <x:v>203</x:v>
      </x:c>
      <x:c r="L36" s="21">
        <x:f>H36</x:f>
      </x:c>
    </x:row>
    <x:row r="37" spans="1:41" customFormat="1" ht="18" customHeight="1">
      <x:c r="A37" s="4" t="s">
        <x:v>233</x:v>
      </x:c>
      <x:c r="B37" s="5" t="n">
        <x:v>7621101</x:v>
      </x:c>
      <x:c r="C37" s="6" t="s">
        <x:v>23</x:v>
      </x:c>
      <x:c r="D37" s="7">
        <x:f>C37&amp;"-"&amp;B37</x:f>
      </x:c>
      <x:c r="E37" s="6" t="s">
        <x:v>234</x:v>
      </x:c>
      <x:c r="F37" s="4" t="s">
        <x:v>235</x:v>
      </x:c>
      <x:c r="H37" s="18" t="s">
        <x:v>227</x:v>
      </x:c>
      <x:c r="I37" s="19" t="s">
        <x:v>228</x:v>
      </x:c>
      <x:c r="J37" s="21" t="s">
        <x:v>145</x:v>
      </x:c>
      <x:c r="K37" s="21" t="s">
        <x:v>203</x:v>
      </x:c>
      <x:c r="L37" s="21">
        <x:f>H37</x:f>
      </x:c>
    </x:row>
    <x:row r="38" spans="1:41" customFormat="1" ht="18" customHeight="1">
      <x:c r="A38" s="4" t="s">
        <x:v>238</x:v>
      </x:c>
      <x:c r="B38" s="5" t="n">
        <x:v>7621199</x:v>
      </x:c>
      <x:c r="C38" s="6" t="s">
        <x:v>23</x:v>
      </x:c>
      <x:c r="D38" s="7">
        <x:f>C38&amp;"-"&amp;B38</x:f>
      </x:c>
      <x:c r="E38" s="6" t="s">
        <x:v>239</x:v>
      </x:c>
      <x:c r="F38" s="4" t="s">
        <x:v>240</x:v>
      </x:c>
      <x:c r="H38" s="18" t="s">
        <x:v>231</x:v>
      </x:c>
      <x:c r="I38" s="19" t="s">
        <x:v>232</x:v>
      </x:c>
      <x:c r="J38" s="21" t="s">
        <x:v>145</x:v>
      </x:c>
      <x:c r="K38" s="21" t="s">
        <x:v>203</x:v>
      </x:c>
      <x:c r="L38" s="21">
        <x:f>H38</x:f>
      </x:c>
    </x:row>
    <x:row r="39" spans="1:41" customFormat="1" ht="18" customHeight="1">
      <x:c r="A39" s="4" t="s">
        <x:v>243</x:v>
      </x:c>
      <x:c r="B39" s="5" t="n">
        <x:v>7631101</x:v>
      </x:c>
      <x:c r="C39" s="6" t="s">
        <x:v>23</x:v>
      </x:c>
      <x:c r="D39" s="7">
        <x:f>C39&amp;"-"&amp;B39</x:f>
      </x:c>
      <x:c r="E39" s="6" t="s">
        <x:v>244</x:v>
      </x:c>
      <x:c r="F39" s="4" t="s">
        <x:v>245</x:v>
      </x:c>
      <x:c r="H39" s="18" t="s">
        <x:v>236</x:v>
      </x:c>
      <x:c r="I39" s="19" t="s">
        <x:v>237</x:v>
      </x:c>
      <x:c r="J39" s="21" t="s">
        <x:v>145</x:v>
      </x:c>
      <x:c r="K39" s="21" t="s">
        <x:v>203</x:v>
      </x:c>
      <x:c r="L39" s="21">
        <x:f>H39</x:f>
      </x:c>
    </x:row>
    <x:row r="40" spans="1:41" customFormat="1" ht="18" customHeight="1">
      <x:c r="A40" s="4" t="s">
        <x:v>246</x:v>
      </x:c>
      <x:c r="B40" s="5" t="n">
        <x:v>7631102</x:v>
      </x:c>
      <x:c r="C40" s="6" t="s">
        <x:v>23</x:v>
      </x:c>
      <x:c r="D40" s="7">
        <x:f>C40&amp;"-"&amp;B40</x:f>
      </x:c>
      <x:c r="E40" s="6" t="s">
        <x:v>247</x:v>
      </x:c>
      <x:c r="F40" s="4" t="s">
        <x:v>248</x:v>
      </x:c>
      <x:c r="H40" s="106" t="s">
        <x:v>249</x:v>
      </x:c>
      <x:c r="I40" s="107" t="s">
        <x:v>250</x:v>
      </x:c>
      <x:c r="J40" s="106" t="s">
        <x:v>23</x:v>
      </x:c>
      <x:c r="K40" s="106" t="s">
        <x:v>24</x:v>
      </x:c>
      <x:c r="L40" s="106">
        <x:f>H40</x:f>
      </x:c>
    </x:row>
    <x:row r="41" spans="1:41" customFormat="1" ht="18" customHeight="1">
      <x:c r="A41" s="4" t="s">
        <x:v>251</x:v>
      </x:c>
      <x:c r="B41" s="5" t="n">
        <x:v>7641101</x:v>
      </x:c>
      <x:c r="C41" s="6" t="s">
        <x:v>23</x:v>
      </x:c>
      <x:c r="D41" s="7">
        <x:f>C41&amp;"-"&amp;B41</x:f>
      </x:c>
      <x:c r="E41" s="6" t="s">
        <x:v>252</x:v>
      </x:c>
      <x:c r="F41" s="4" t="s">
        <x:v>253</x:v>
      </x:c>
      <x:c r="H41" s="18" t="s">
        <x:v>241</x:v>
      </x:c>
      <x:c r="I41" s="19" t="s">
        <x:v>242</x:v>
      </x:c>
      <x:c r="J41" s="21" t="s">
        <x:v>145</x:v>
      </x:c>
      <x:c r="K41" s="21" t="s">
        <x:v>203</x:v>
      </x:c>
      <x:c r="L41" s="21">
        <x:f>H41</x:f>
      </x:c>
    </x:row>
    <x:row r="42" spans="1:41" customFormat="1" ht="18" customHeight="1">
      <x:c r="A42" s="4" t="s">
        <x:v>254</x:v>
      </x:c>
      <x:c r="B42" s="5" t="n">
        <x:v>7641102</x:v>
      </x:c>
      <x:c r="C42" s="6" t="s">
        <x:v>23</x:v>
      </x:c>
      <x:c r="D42" s="7">
        <x:f>C42&amp;"-"&amp;B42</x:f>
      </x:c>
      <x:c r="E42" s="6" t="s">
        <x:v>252</x:v>
      </x:c>
      <x:c r="F42" s="4" t="s">
        <x:v>255</x:v>
      </x:c>
      <x:c r="H42" s="18" t="s">
        <x:v>256</x:v>
      </x:c>
      <x:c r="I42" s="19" t="s">
        <x:v>257</x:v>
      </x:c>
      <x:c r="J42" s="21" t="s">
        <x:v>145</x:v>
      </x:c>
      <x:c r="K42" s="21" t="s">
        <x:v>203</x:v>
      </x:c>
      <x:c r="L42" s="21">
        <x:f>H42</x:f>
      </x:c>
    </x:row>
    <x:row r="43" spans="1:41" customFormat="1" ht="18" customHeight="1">
      <x:c r="A43" s="4" t="s">
        <x:v>258</x:v>
      </x:c>
      <x:c r="B43" s="5" t="n">
        <x:v>7641103</x:v>
      </x:c>
      <x:c r="C43" s="6" t="s">
        <x:v>23</x:v>
      </x:c>
      <x:c r="D43" s="7">
        <x:f>C43&amp;"-"&amp;B43</x:f>
      </x:c>
      <x:c r="E43" s="6" t="s">
        <x:v>259</x:v>
      </x:c>
      <x:c r="F43" s="4" t="s">
        <x:v>260</x:v>
      </x:c>
      <x:c r="H43" s="4" t="s">
        <x:v>261</x:v>
      </x:c>
      <x:c r="I43" s="5" t="s">
        <x:v>262</x:v>
      </x:c>
      <x:c r="L43" s="4">
        <x:f>H43</x:f>
      </x:c>
    </x:row>
    <x:row r="44" spans="1:41" customFormat="1" ht="18" customHeight="1">
      <x:c r="A44" s="4" t="s">
        <x:v>263</x:v>
      </x:c>
      <x:c r="B44" s="5" t="n">
        <x:v>7641104</x:v>
      </x:c>
      <x:c r="C44" s="6" t="s">
        <x:v>23</x:v>
      </x:c>
      <x:c r="D44" s="7">
        <x:f>C44&amp;"-"&amp;B44</x:f>
      </x:c>
      <x:c r="E44" s="6" t="s">
        <x:v>259</x:v>
      </x:c>
      <x:c r="F44" s="4" t="s">
        <x:v>264</x:v>
      </x:c>
    </x:row>
    <x:row r="45" spans="1:41" customFormat="1" ht="18" customHeight="1">
      <x:c r="A45" s="4" t="s">
        <x:v>265</x:v>
      </x:c>
      <x:c r="B45" s="5" t="n">
        <x:v>7651101</x:v>
      </x:c>
      <x:c r="C45" s="6" t="s">
        <x:v>23</x:v>
      </x:c>
      <x:c r="D45" s="7">
        <x:f>C45&amp;"-"&amp;B45</x:f>
      </x:c>
      <x:c r="E45" s="6" t="s">
        <x:v>234</x:v>
      </x:c>
      <x:c r="F45" s="4" t="s">
        <x:v>266</x:v>
      </x:c>
    </x:row>
    <x:row r="46" spans="1:41" customFormat="1" ht="18" customHeight="1">
      <x:c r="A46" s="4" t="s">
        <x:v>267</x:v>
      </x:c>
      <x:c r="B46" s="5" t="n">
        <x:v>7651102</x:v>
      </x:c>
      <x:c r="C46" s="6" t="s">
        <x:v>23</x:v>
      </x:c>
      <x:c r="D46" s="7">
        <x:f>C46&amp;"-"&amp;B46</x:f>
      </x:c>
      <x:c r="E46" s="6" t="s">
        <x:v>234</x:v>
      </x:c>
      <x:c r="F46" s="4" t="s">
        <x:v>268</x:v>
      </x:c>
    </x:row>
    <x:row r="47" spans="1:41" customFormat="1" ht="18" customHeight="1">
      <x:c r="A47" s="4" t="s">
        <x:v>269</x:v>
      </x:c>
      <x:c r="B47" s="5" t="n">
        <x:v>7651103</x:v>
      </x:c>
      <x:c r="C47" s="6" t="s">
        <x:v>23</x:v>
      </x:c>
      <x:c r="D47" s="7">
        <x:f>C47&amp;"-"&amp;B47</x:f>
      </x:c>
      <x:c r="E47" s="6" t="s">
        <x:v>234</x:v>
      </x:c>
      <x:c r="F47" s="4" t="s">
        <x:v>270</x:v>
      </x:c>
    </x:row>
    <x:row r="48" spans="1:41" customFormat="1" ht="18" customHeight="1">
      <x:c r="A48" s="4" t="s">
        <x:v>271</x:v>
      </x:c>
      <x:c r="B48" s="5" t="n">
        <x:v>7661101</x:v>
      </x:c>
      <x:c r="C48" s="6" t="s">
        <x:v>23</x:v>
      </x:c>
      <x:c r="D48" s="7">
        <x:f>C48&amp;"-"&amp;B48</x:f>
      </x:c>
      <x:c r="E48" s="6" t="s">
        <x:v>272</x:v>
      </x:c>
      <x:c r="F48" s="4" t="s">
        <x:v>273</x:v>
      </x:c>
    </x:row>
    <x:row r="49" spans="1:41" customFormat="1" ht="18" customHeight="1">
      <x:c r="A49" s="4" t="s">
        <x:v>274</x:v>
      </x:c>
      <x:c r="B49" s="5" t="n">
        <x:v>7671102</x:v>
      </x:c>
      <x:c r="C49" s="6" t="s">
        <x:v>23</x:v>
      </x:c>
      <x:c r="D49" s="7">
        <x:f>C49&amp;"-"&amp;B49</x:f>
      </x:c>
      <x:c r="E49" s="6" t="s">
        <x:v>259</x:v>
      </x:c>
      <x:c r="F49" s="4" t="s">
        <x:v>275</x:v>
      </x:c>
    </x:row>
    <x:row r="50" spans="1:41" customFormat="1" ht="18" customHeight="1">
      <x:c r="A50" s="4" t="s">
        <x:v>276</x:v>
      </x:c>
      <x:c r="B50" s="5" t="n">
        <x:v>7671103</x:v>
      </x:c>
      <x:c r="C50" s="6" t="s">
        <x:v>23</x:v>
      </x:c>
      <x:c r="D50" s="7">
        <x:f>C50&amp;"-"&amp;B50</x:f>
      </x:c>
      <x:c r="E50" s="6" t="s">
        <x:v>259</x:v>
      </x:c>
      <x:c r="F50" s="4" t="s">
        <x:v>277</x:v>
      </x:c>
    </x:row>
    <x:row r="51" spans="1:41" customFormat="1" ht="18" customHeight="1">
      <x:c r="A51" s="4" t="s">
        <x:v>278</x:v>
      </x:c>
      <x:c r="B51" s="5" t="n">
        <x:v>7681101</x:v>
      </x:c>
      <x:c r="C51" s="6" t="s">
        <x:v>23</x:v>
      </x:c>
      <x:c r="D51" s="7">
        <x:f>C51&amp;"-"&amp;B51</x:f>
      </x:c>
      <x:c r="E51" s="6" t="s">
        <x:v>259</x:v>
      </x:c>
      <x:c r="F51" s="4" t="s">
        <x:v>279</x:v>
      </x:c>
    </x:row>
    <x:row r="52" spans="1:41" customFormat="1" ht="18" customHeight="1">
      <x:c r="A52" s="4" t="s">
        <x:v>280</x:v>
      </x:c>
      <x:c r="B52" s="5" t="n">
        <x:v>7691000</x:v>
      </x:c>
      <x:c r="C52" s="6" t="s">
        <x:v>23</x:v>
      </x:c>
      <x:c r="D52" s="7">
        <x:f>C52&amp;"-"&amp;B52</x:f>
      </x:c>
      <x:c r="E52" s="6" t="s">
        <x:v>259</x:v>
      </x:c>
      <x:c r="F52" s="4" t="s">
        <x:v>281</x:v>
      </x:c>
    </x:row>
    <x:row r="53" spans="1:41" customFormat="1" ht="18" customHeight="1">
      <x:c r="A53" s="4" t="s">
        <x:v>282</x:v>
      </x:c>
      <x:c r="B53" s="5" t="n">
        <x:v>7711101</x:v>
      </x:c>
      <x:c r="C53" s="6" t="s">
        <x:v>23</x:v>
      </x:c>
      <x:c r="D53" s="7">
        <x:f>C53&amp;"-"&amp;B53</x:f>
      </x:c>
      <x:c r="E53" s="6" t="s">
        <x:v>259</x:v>
      </x:c>
      <x:c r="F53" s="4" t="s">
        <x:v>283</x:v>
      </x:c>
    </x:row>
    <x:row r="54" spans="1:41" customFormat="1" ht="18" customHeight="1">
      <x:c r="A54" s="4" t="s">
        <x:v>284</x:v>
      </x:c>
      <x:c r="B54" s="5" t="n">
        <x:v>7711102</x:v>
      </x:c>
      <x:c r="C54" s="6" t="s">
        <x:v>23</x:v>
      </x:c>
      <x:c r="D54" s="7">
        <x:f>C54&amp;"-"&amp;B54</x:f>
      </x:c>
      <x:c r="E54" s="6" t="s">
        <x:v>285</x:v>
      </x:c>
      <x:c r="F54" s="4" t="s">
        <x:v>286</x:v>
      </x:c>
    </x:row>
    <x:row r="55" spans="1:41" customFormat="1" ht="18" customHeight="1">
      <x:c r="A55" s="4" t="s">
        <x:v>287</x:v>
      </x:c>
      <x:c r="B55" s="5" t="n">
        <x:v>7711103</x:v>
      </x:c>
      <x:c r="C55" s="6" t="s">
        <x:v>23</x:v>
      </x:c>
      <x:c r="D55" s="7">
        <x:f>C55&amp;"-"&amp;B55</x:f>
      </x:c>
      <x:c r="E55" s="6" t="s">
        <x:v>259</x:v>
      </x:c>
      <x:c r="F55" s="4" t="s">
        <x:v>288</x:v>
      </x:c>
    </x:row>
    <x:row r="56" spans="1:41" customFormat="1" ht="18" customHeight="1">
      <x:c r="A56" s="4" t="s">
        <x:v>289</x:v>
      </x:c>
      <x:c r="B56" s="5" t="n">
        <x:v>7721101</x:v>
      </x:c>
      <x:c r="C56" s="6" t="s">
        <x:v>23</x:v>
      </x:c>
      <x:c r="D56" s="7">
        <x:f>C56&amp;"-"&amp;B56</x:f>
      </x:c>
      <x:c r="E56" s="6" t="s">
        <x:v>259</x:v>
      </x:c>
      <x:c r="F56" s="4" t="s">
        <x:v>290</x:v>
      </x:c>
    </x:row>
    <x:row r="57" spans="1:41" customFormat="1" ht="18" customHeight="1">
      <x:c r="A57" s="4" t="s">
        <x:v>291</x:v>
      </x:c>
      <x:c r="B57" s="5" t="n">
        <x:v>7729101</x:v>
      </x:c>
      <x:c r="C57" s="6" t="s">
        <x:v>23</x:v>
      </x:c>
      <x:c r="D57" s="7">
        <x:f>C57&amp;"-"&amp;B57</x:f>
      </x:c>
      <x:c r="E57" s="6" t="s">
        <x:v>292</x:v>
      </x:c>
      <x:c r="F57" s="4" t="s">
        <x:v>293</x:v>
      </x:c>
    </x:row>
    <x:row r="58" spans="1:41" customFormat="1" ht="18" customHeight="1">
      <x:c r="A58" s="4" t="s">
        <x:v>294</x:v>
      </x:c>
      <x:c r="B58" s="5" t="n">
        <x:v>7729103</x:v>
      </x:c>
      <x:c r="C58" s="6" t="s">
        <x:v>23</x:v>
      </x:c>
      <x:c r="D58" s="7">
        <x:f>C58&amp;"-"&amp;B58</x:f>
      </x:c>
      <x:c r="E58" s="6" t="s">
        <x:v>295</x:v>
      </x:c>
      <x:c r="F58" s="4" t="s">
        <x:v>296</x:v>
      </x:c>
    </x:row>
    <x:row r="59" spans="1:41" customFormat="1" ht="18" customHeight="1">
      <x:c r="A59" s="4" t="s">
        <x:v>297</x:v>
      </x:c>
      <x:c r="B59" s="5" t="n">
        <x:v>7729105</x:v>
      </x:c>
      <x:c r="C59" s="6" t="s">
        <x:v>23</x:v>
      </x:c>
      <x:c r="D59" s="7">
        <x:f>C59&amp;"-"&amp;B59</x:f>
      </x:c>
      <x:c r="E59" s="6" t="s">
        <x:v>259</x:v>
      </x:c>
      <x:c r="F59" s="4" t="s">
        <x:v>298</x:v>
      </x:c>
    </x:row>
    <x:row r="60" spans="1:41" customFormat="1" ht="18" customHeight="1">
      <x:c r="A60" s="4" t="s">
        <x:v>299</x:v>
      </x:c>
      <x:c r="B60" s="5" t="n">
        <x:v>7781101</x:v>
      </x:c>
      <x:c r="C60" s="6" t="s">
        <x:v>23</x:v>
      </x:c>
      <x:c r="D60" s="7">
        <x:f>C60&amp;"-"&amp;B60</x:f>
      </x:c>
      <x:c r="E60" s="6" t="s">
        <x:v>259</x:v>
      </x:c>
      <x:c r="F60" s="4" t="s">
        <x:v>300</x:v>
      </x:c>
    </x:row>
    <x:row r="61" spans="1:41" customFormat="1" ht="18" customHeight="1">
      <x:c r="A61" s="4" t="s">
        <x:v>301</x:v>
      </x:c>
      <x:c r="B61" s="5" t="n">
        <x:v>7781103</x:v>
      </x:c>
      <x:c r="C61" s="6" t="s">
        <x:v>23</x:v>
      </x:c>
      <x:c r="D61" s="7">
        <x:f>C61&amp;"-"&amp;B61</x:f>
      </x:c>
      <x:c r="E61" s="6" t="s">
        <x:v>259</x:v>
      </x:c>
      <x:c r="F61" s="4" t="s">
        <x:v>302</x:v>
      </x:c>
    </x:row>
    <x:row r="62" spans="1:41" customFormat="1" ht="18" customHeight="1">
      <x:c r="A62" s="4" t="s">
        <x:v>303</x:v>
      </x:c>
      <x:c r="B62" s="5" t="n">
        <x:v>7781104</x:v>
      </x:c>
      <x:c r="C62" s="6" t="s">
        <x:v>23</x:v>
      </x:c>
      <x:c r="D62" s="7">
        <x:f>C62&amp;"-"&amp;B62</x:f>
      </x:c>
      <x:c r="E62" s="6" t="s">
        <x:v>259</x:v>
      </x:c>
      <x:c r="F62" s="4" t="s">
        <x:v>304</x:v>
      </x:c>
    </x:row>
    <x:row r="63" spans="1:41" customFormat="1" ht="18" customHeight="1">
      <x:c r="A63" s="4" t="s">
        <x:v>305</x:v>
      </x:c>
      <x:c r="B63" s="5" t="n">
        <x:v>7781105</x:v>
      </x:c>
      <x:c r="C63" s="6" t="s">
        <x:v>23</x:v>
      </x:c>
      <x:c r="D63" s="7">
        <x:f>C63&amp;"-"&amp;B63</x:f>
      </x:c>
      <x:c r="E63" s="6" t="s">
        <x:v>259</x:v>
      </x:c>
      <x:c r="F63" s="4" t="s">
        <x:v>306</x:v>
      </x:c>
    </x:row>
    <x:row r="64" spans="1:41" customFormat="1" ht="18" customHeight="1">
      <x:c r="A64" s="4" t="s">
        <x:v>307</x:v>
      </x:c>
      <x:c r="B64" s="5" t="n">
        <x:v>7781106</x:v>
      </x:c>
      <x:c r="C64" s="6" t="s">
        <x:v>23</x:v>
      </x:c>
      <x:c r="D64" s="7">
        <x:f>C64&amp;"-"&amp;B64</x:f>
      </x:c>
      <x:c r="E64" s="6" t="s">
        <x:v>259</x:v>
      </x:c>
      <x:c r="F64" s="4" t="s">
        <x:v>308</x:v>
      </x:c>
    </x:row>
    <x:row r="65" spans="1:41" customFormat="1" ht="18" customHeight="1">
      <x:c r="A65" s="4" t="s">
        <x:v>309</x:v>
      </x:c>
      <x:c r="B65" s="5" t="n">
        <x:v>7781107</x:v>
      </x:c>
      <x:c r="C65" s="6" t="s">
        <x:v>23</x:v>
      </x:c>
      <x:c r="D65" s="7">
        <x:f>C65&amp;"-"&amp;B65</x:f>
      </x:c>
      <x:c r="E65" s="6" t="s">
        <x:v>310</x:v>
      </x:c>
      <x:c r="F65" s="4" t="s">
        <x:v>311</x:v>
      </x:c>
    </x:row>
    <x:row r="66" spans="1:41" customFormat="1" ht="18" customHeight="1">
      <x:c r="A66" s="4" t="s">
        <x:v>312</x:v>
      </x:c>
      <x:c r="B66" s="5" t="n">
        <x:v>7781111</x:v>
      </x:c>
      <x:c r="C66" s="6" t="s">
        <x:v>23</x:v>
      </x:c>
      <x:c r="D66" s="7">
        <x:f>C66&amp;"-"&amp;B66</x:f>
      </x:c>
      <x:c r="E66" s="6" t="s">
        <x:v>259</x:v>
      </x:c>
      <x:c r="F66" s="4" t="s">
        <x:v>313</x:v>
      </x:c>
    </x:row>
    <x:row r="67" spans="1:41" customFormat="1" ht="18" customHeight="1">
      <x:c r="A67" s="4" t="s">
        <x:v>314</x:v>
      </x:c>
      <x:c r="B67" s="5" t="n">
        <x:v>7781112</x:v>
      </x:c>
      <x:c r="C67" s="6" t="s">
        <x:v>23</x:v>
      </x:c>
      <x:c r="D67" s="7">
        <x:f>C67&amp;"-"&amp;B67</x:f>
      </x:c>
      <x:c r="E67" s="6" t="s">
        <x:v>259</x:v>
      </x:c>
      <x:c r="F67" s="4" t="s">
        <x:v>315</x:v>
      </x:c>
    </x:row>
    <x:row r="68" spans="1:41" customFormat="1" ht="18" customHeight="1">
      <x:c r="A68" s="4" t="s">
        <x:v>316</x:v>
      </x:c>
      <x:c r="B68" s="5" t="n">
        <x:v>7781113</x:v>
      </x:c>
      <x:c r="C68" s="6" t="s">
        <x:v>23</x:v>
      </x:c>
      <x:c r="D68" s="7">
        <x:f>C68&amp;"-"&amp;B68</x:f>
      </x:c>
      <x:c r="E68" s="6" t="s">
        <x:v>259</x:v>
      </x:c>
      <x:c r="F68" s="4" t="s">
        <x:v>317</x:v>
      </x:c>
    </x:row>
    <x:row r="69" spans="1:41" customFormat="1" ht="18" customHeight="1">
      <x:c r="A69" s="4" t="s">
        <x:v>318</x:v>
      </x:c>
      <x:c r="B69" s="5" t="n">
        <x:v>7411101</x:v>
      </x:c>
      <x:c r="C69" s="6" t="s">
        <x:v>23</x:v>
      </x:c>
      <x:c r="D69" s="7">
        <x:f>C69&amp;"-"&amp;B69</x:f>
      </x:c>
      <x:c r="E69" s="6" t="s">
        <x:v>319</x:v>
      </x:c>
      <x:c r="F69" s="4" t="s">
        <x:v>320</x:v>
      </x:c>
    </x:row>
    <x:row r="70" spans="1:41" customFormat="1" ht="18" customHeight="1">
      <x:c r="A70" s="4" t="s">
        <x:v>321</x:v>
      </x:c>
      <x:c r="B70" s="5" t="n">
        <x:v>7411103</x:v>
      </x:c>
      <x:c r="C70" s="6" t="s">
        <x:v>23</x:v>
      </x:c>
      <x:c r="D70" s="7">
        <x:f>C70&amp;"-"&amp;B70</x:f>
      </x:c>
      <x:c r="E70" s="6" t="s">
        <x:v>322</x:v>
      </x:c>
      <x:c r="F70" s="4" t="s">
        <x:v>323</x:v>
      </x:c>
    </x:row>
    <x:row r="71" spans="1:41" customFormat="1" ht="18" customHeight="1">
      <x:c r="A71" s="4" t="s">
        <x:v>324</x:v>
      </x:c>
      <x:c r="B71" s="5" t="n">
        <x:v>7411104</x:v>
      </x:c>
      <x:c r="C71" s="6" t="s">
        <x:v>23</x:v>
      </x:c>
      <x:c r="D71" s="7">
        <x:f>C71&amp;"-"&amp;B71</x:f>
      </x:c>
      <x:c r="E71" s="6" t="s">
        <x:v>325</x:v>
      </x:c>
      <x:c r="F71" s="4" t="s">
        <x:v>326</x:v>
      </x:c>
    </x:row>
    <x:row r="72" spans="1:41" customFormat="1" ht="18" customHeight="1">
      <x:c r="A72" s="4" t="s">
        <x:v>327</x:v>
      </x:c>
      <x:c r="B72" s="5" t="n">
        <x:v>7431101</x:v>
      </x:c>
      <x:c r="C72" s="6" t="s">
        <x:v>23</x:v>
      </x:c>
      <x:c r="D72" s="7">
        <x:f>C72&amp;"-"&amp;B72</x:f>
      </x:c>
      <x:c r="E72" s="6" t="s">
        <x:v>328</x:v>
      </x:c>
      <x:c r="F72" s="4" t="s">
        <x:v>329</x:v>
      </x:c>
    </x:row>
    <x:row r="73" spans="1:41" customFormat="1" ht="18" customHeight="1">
      <x:c r="A73" s="4" t="s">
        <x:v>330</x:v>
      </x:c>
      <x:c r="B73" s="5" t="n">
        <x:v>7451101</x:v>
      </x:c>
      <x:c r="C73" s="6" t="s">
        <x:v>23</x:v>
      </x:c>
      <x:c r="D73" s="7">
        <x:f>C73&amp;"-"&amp;B73</x:f>
      </x:c>
      <x:c r="E73" s="6" t="s">
        <x:v>389</x:v>
      </x:c>
      <x:c r="F73" s="4" t="s">
        <x:v>390</x:v>
      </x:c>
    </x:row>
    <x:row r="74" spans="1:41" customFormat="1" ht="18" customHeight="1">
      <x:c r="A74" s="4" t="s">
        <x:v>333</x:v>
      </x:c>
      <x:c r="B74" s="5" t="n">
        <x:v>7451102</x:v>
      </x:c>
      <x:c r="C74" s="6" t="s">
        <x:v>23</x:v>
      </x:c>
      <x:c r="D74" s="7">
        <x:f>C74&amp;"-"&amp;B74</x:f>
      </x:c>
      <x:c r="E74" s="6" t="s">
        <x:v>391</x:v>
      </x:c>
      <x:c r="F74" s="4" t="s">
        <x:v>392</x:v>
      </x:c>
    </x:row>
    <x:row r="75" spans="1:41" customFormat="1" ht="18" customHeight="1">
      <x:c r="A75" s="4" t="s">
        <x:v>336</x:v>
      </x:c>
      <x:c r="B75" s="5" t="n">
        <x:v>7451103</x:v>
      </x:c>
      <x:c r="C75" s="6" t="s">
        <x:v>23</x:v>
      </x:c>
      <x:c r="D75" s="7">
        <x:f>C75&amp;"-"&amp;B75</x:f>
      </x:c>
      <x:c r="E75" s="6" t="s">
        <x:v>393</x:v>
      </x:c>
      <x:c r="F75" s="4" t="s">
        <x:v>394</x:v>
      </x:c>
    </x:row>
    <x:row r="76" spans="1:41" customFormat="1" ht="18" customHeight="1">
      <x:c r="A76" s="108" t="s">
        <x:v>339</x:v>
      </x:c>
      <x:c r="B76" s="5" t="n">
        <x:v>7461101</x:v>
      </x:c>
      <x:c r="C76" s="6" t="s">
        <x:v>23</x:v>
      </x:c>
      <x:c r="D76" s="7">
        <x:f>C76&amp;"-"&amp;B76</x:f>
      </x:c>
      <x:c r="E76" s="6" t="s">
        <x:v>340</x:v>
      </x:c>
      <x:c r="F76" s="4" t="s">
        <x:v>341</x:v>
      </x:c>
    </x:row>
    <x:row r="77" spans="1:41" customFormat="1" ht="18" customHeight="1">
      <x:c r="A77" s="4" t="s">
        <x:v>342</x:v>
      </x:c>
      <x:c r="B77" s="5" t="n">
        <x:v>7411105</x:v>
      </x:c>
      <x:c r="C77" s="6" t="s">
        <x:v>23</x:v>
      </x:c>
      <x:c r="D77" s="6">
        <x:f>C77&amp;"-"&amp;B77</x:f>
      </x:c>
      <x:c r="E77" s="109" t="s">
        <x:v>395</x:v>
      </x:c>
    </x:row>
    <x:row r="78" spans="1:41" customFormat="1" ht="18" customHeight="1">
      <x:c r="A78" s="4" t="s">
        <x:v>344</x:v>
      </x:c>
      <x:c r="B78" s="5" t="n">
        <x:v>7471201</x:v>
      </x:c>
      <x:c r="C78" s="6" t="s">
        <x:v>23</x:v>
      </x:c>
      <x:c r="D78" s="6">
        <x:f>C78&amp;"-"&amp;B78</x:f>
      </x:c>
      <x:c r="E78" s="109" t="s">
        <x:v>396</x:v>
      </x:c>
    </x:row>
    <x:row r="79" spans="1:41" customFormat="1" ht="18" customHeight="1">
      <x:c r="A79" s="4" t="s">
        <x:v>346</x:v>
      </x:c>
      <x:c r="B79" s="5" t="n">
        <x:v>7751101</x:v>
      </x:c>
      <x:c r="C79" s="6" t="s">
        <x:v>23</x:v>
      </x:c>
      <x:c r="D79" s="6">
        <x:f>C79&amp;"-"&amp;B79</x:f>
      </x:c>
    </x:row>
    <x:row r="80" spans="1:41" customFormat="1" ht="18" customHeight="1">
      <x:c r="A80" s="4" t="s">
        <x:v>347</x:v>
      </x:c>
      <x:c r="B80" s="5" t="n">
        <x:v>7751102</x:v>
      </x:c>
      <x:c r="C80" s="6" t="s">
        <x:v>23</x:v>
      </x:c>
      <x:c r="D80" s="6">
        <x:f>C80&amp;"-"&amp;B80</x:f>
      </x:c>
    </x:row>
    <x:row r="81" spans="1:41" customFormat="1" ht="18" customHeight="1">
      <x:c r="A81" s="4" t="s">
        <x:v>348</x:v>
      </x:c>
      <x:c r="B81" s="10" t="n">
        <x:v>7111211</x:v>
      </x:c>
      <x:c r="C81" s="10" t="s">
        <x:v>145</x:v>
      </x:c>
      <x:c r="D81" s="10">
        <x:f>C81&amp;"-"&amp;B81</x:f>
      </x:c>
    </x:row>
    <x:row r="82" spans="1:41" customFormat="1" ht="18" customHeight="1">
      <x:c r="A82" s="4" t="s">
        <x:v>349</x:v>
      </x:c>
      <x:c r="B82" s="10" t="n">
        <x:v>7111212</x:v>
      </x:c>
      <x:c r="C82" s="10" t="s">
        <x:v>145</x:v>
      </x:c>
      <x:c r="D82" s="10">
        <x:f>C82&amp;"-"&amp;B82</x:f>
      </x:c>
    </x:row>
    <x:row r="83" spans="1:41" customFormat="1" ht="18" customHeight="1">
      <x:c r="A83" s="4" t="s">
        <x:v>350</x:v>
      </x:c>
      <x:c r="B83" s="10" t="n">
        <x:v>7111221</x:v>
      </x:c>
      <x:c r="C83" s="10" t="s">
        <x:v>145</x:v>
      </x:c>
      <x:c r="D83" s="10">
        <x:f>C83&amp;"-"&amp;B83</x:f>
      </x:c>
    </x:row>
    <x:row r="84" spans="1:41" customFormat="1" ht="18" customHeight="1">
      <x:c r="A84" s="4" t="s">
        <x:v>351</x:v>
      </x:c>
      <x:c r="B84" s="10" t="n">
        <x:v>7111222</x:v>
      </x:c>
      <x:c r="C84" s="10" t="s">
        <x:v>145</x:v>
      </x:c>
      <x:c r="D84" s="10">
        <x:f>C84&amp;"-"&amp;B84</x:f>
      </x:c>
    </x:row>
    <x:row r="85" spans="1:41" customFormat="1" ht="18" customHeight="1">
      <x:c r="A85" s="4" t="s">
        <x:v>352</x:v>
      </x:c>
      <x:c r="B85" s="10" t="n">
        <x:v>7111223</x:v>
      </x:c>
      <x:c r="C85" s="10" t="s">
        <x:v>145</x:v>
      </x:c>
      <x:c r="D85" s="10">
        <x:f>C85&amp;"-"&amp;B85</x:f>
      </x:c>
    </x:row>
    <x:row r="86" spans="1:41" customFormat="1" ht="18" customHeight="1">
      <x:c r="A86" s="4" t="s">
        <x:v>353</x:v>
      </x:c>
      <x:c r="B86" s="10" t="n">
        <x:v>7111311</x:v>
      </x:c>
      <x:c r="C86" s="10" t="s">
        <x:v>145</x:v>
      </x:c>
      <x:c r="D86" s="10">
        <x:f>C86&amp;"-"&amp;B86</x:f>
      </x:c>
    </x:row>
    <x:row r="87" spans="1:41" customFormat="1" ht="18" customHeight="1">
      <x:c r="A87" s="4" t="s">
        <x:v>354</x:v>
      </x:c>
      <x:c r="B87" s="10" t="n">
        <x:v>7111312</x:v>
      </x:c>
      <x:c r="C87" s="10" t="s">
        <x:v>145</x:v>
      </x:c>
      <x:c r="D87" s="10">
        <x:f>C87&amp;"-"&amp;B87</x:f>
      </x:c>
    </x:row>
    <x:row r="88" spans="1:41" customFormat="1" ht="18" customHeight="1">
      <x:c r="A88" s="4" t="s">
        <x:v>355</x:v>
      </x:c>
      <x:c r="B88" s="10" t="n">
        <x:v>7111321</x:v>
      </x:c>
      <x:c r="C88" s="10" t="s">
        <x:v>145</x:v>
      </x:c>
      <x:c r="D88" s="10">
        <x:f>C88&amp;"-"&amp;B88</x:f>
      </x:c>
    </x:row>
    <x:row r="89" spans="1:41" customFormat="1" ht="18" customHeight="1">
      <x:c r="A89" s="4" t="s">
        <x:v>356</x:v>
      </x:c>
      <x:c r="B89" s="10" t="n">
        <x:v>7111322</x:v>
      </x:c>
      <x:c r="C89" s="10" t="s">
        <x:v>145</x:v>
      </x:c>
      <x:c r="D89" s="10">
        <x:f>C89&amp;"-"&amp;B89</x:f>
      </x:c>
    </x:row>
    <x:row r="90" spans="1:41" customFormat="1" ht="18" customHeight="1">
      <x:c r="A90" s="4" t="s">
        <x:v>357</x:v>
      </x:c>
      <x:c r="B90" s="10" t="n">
        <x:v>7111323</x:v>
      </x:c>
      <x:c r="C90" s="10" t="s">
        <x:v>145</x:v>
      </x:c>
      <x:c r="D90" s="10">
        <x:f>C90&amp;"-"&amp;B90</x:f>
      </x:c>
    </x:row>
    <x:row r="91" spans="1:41" customFormat="1" ht="18" customHeight="1">
      <x:c r="A91" s="4" t="s">
        <x:v>358</x:v>
      </x:c>
      <x:c r="B91" s="10" t="n">
        <x:v>7111411</x:v>
      </x:c>
      <x:c r="C91" s="10" t="s">
        <x:v>145</x:v>
      </x:c>
      <x:c r="D91" s="10">
        <x:f>C91&amp;"-"&amp;B91</x:f>
      </x:c>
    </x:row>
    <x:row r="92" spans="1:41" customFormat="1" ht="18" customHeight="1">
      <x:c r="A92" s="4" t="s">
        <x:v>359</x:v>
      </x:c>
      <x:c r="B92" s="10" t="n">
        <x:v>7151101</x:v>
      </x:c>
      <x:c r="C92" s="10" t="s">
        <x:v>145</x:v>
      </x:c>
      <x:c r="D92" s="10">
        <x:f>C92&amp;"-"&amp;B92</x:f>
      </x:c>
    </x:row>
    <x:row r="93" spans="1:41" customFormat="1" ht="18" customHeight="1">
      <x:c r="A93" s="4" t="s">
        <x:v>360</x:v>
      </x:c>
      <x:c r="B93" s="10" t="n">
        <x:v>7200000</x:v>
      </x:c>
      <x:c r="C93" s="10" t="s">
        <x:v>145</x:v>
      </x:c>
      <x:c r="D93" s="10">
        <x:f>C93&amp;"-"&amp;B93</x:f>
      </x:c>
    </x:row>
    <x:row r="94" spans="1:41" customFormat="1" ht="18" customHeight="1">
      <x:c r="A94" s="4" t="s">
        <x:v>361</x:v>
      </x:c>
      <x:c r="B94" s="10" t="n">
        <x:v>7211101</x:v>
      </x:c>
      <x:c r="C94" s="10" t="s">
        <x:v>145</x:v>
      </x:c>
      <x:c r="D94" s="10">
        <x:f>C94&amp;"-"&amp;B94</x:f>
      </x:c>
    </x:row>
    <x:row r="95" spans="1:41" customFormat="1" ht="18" customHeight="1">
      <x:c r="A95" s="4" t="s">
        <x:v>397</x:v>
      </x:c>
      <x:c r="B95" s="10" t="n">
        <x:v>7211102</x:v>
      </x:c>
      <x:c r="C95" s="10" t="s">
        <x:v>145</x:v>
      </x:c>
      <x:c r="D95" s="10">
        <x:f>C95&amp;"-"&amp;B95</x:f>
      </x:c>
      <x:c r="E95" s="10" t="n">
        <x:v>901</x:v>
      </x:c>
      <x:c r="F95" s="4" t="s">
        <x:v>363</x:v>
      </x:c>
    </x:row>
    <x:row r="96" spans="1:41" customFormat="1" ht="18" customHeight="1">
      <x:c r="A96" s="4" t="s">
        <x:v>364</x:v>
      </x:c>
      <x:c r="B96" s="10" t="n">
        <x:v>7211103</x:v>
      </x:c>
      <x:c r="C96" s="10" t="s">
        <x:v>145</x:v>
      </x:c>
      <x:c r="D96" s="10">
        <x:f>C96&amp;"-"&amp;B96</x:f>
      </x:c>
      <x:c r="E96" s="10" t="s"/>
    </x:row>
    <x:row r="97" spans="1:41" customFormat="1" ht="18" customHeight="1">
      <x:c r="A97" s="4" t="s">
        <x:v>365</x:v>
      </x:c>
      <x:c r="B97" s="10" t="n">
        <x:v>7211104</x:v>
      </x:c>
      <x:c r="C97" s="10" t="s">
        <x:v>145</x:v>
      </x:c>
      <x:c r="D97" s="10">
        <x:f>C97&amp;"-"&amp;B97</x:f>
      </x:c>
      <x:c r="E97" s="10" t="n">
        <x:v>302</x:v>
      </x:c>
    </x:row>
    <x:row r="98" spans="1:41" customFormat="1" ht="18" customHeight="1">
      <x:c r="A98" s="4" t="s">
        <x:v>366</x:v>
      </x:c>
      <x:c r="B98" s="10" t="n">
        <x:v>7221101</x:v>
      </x:c>
      <x:c r="C98" s="10" t="s">
        <x:v>145</x:v>
      </x:c>
      <x:c r="D98" s="10">
        <x:f>C98&amp;"-"&amp;B98</x:f>
      </x:c>
      <x:c r="E98" s="10" t="n">
        <x:v>302</x:v>
      </x:c>
      <x:c r="F98" s="4" t="s">
        <x:v>367</x:v>
      </x:c>
    </x:row>
    <x:row r="99" spans="1:41" customFormat="1" ht="18" customHeight="1">
      <x:c r="A99" s="4" t="s">
        <x:v>368</x:v>
      </x:c>
      <x:c r="B99" s="10" t="n">
        <x:v>7221102</x:v>
      </x:c>
      <x:c r="C99" s="10" t="s">
        <x:v>145</x:v>
      </x:c>
      <x:c r="D99" s="10">
        <x:f>C99&amp;"-"&amp;B99</x:f>
      </x:c>
      <x:c r="E99" s="10" t="n">
        <x:v>301</x:v>
      </x:c>
      <x:c r="F99" s="4" t="s">
        <x:v>369</x:v>
      </x:c>
    </x:row>
    <x:row r="100" spans="1:41" customFormat="1" ht="18" customHeight="1">
      <x:c r="A100" s="4" t="s">
        <x:v>68</x:v>
      </x:c>
      <x:c r="B100" s="10" t="n">
        <x:v>7511101</x:v>
      </x:c>
      <x:c r="C100" s="10" t="s">
        <x:v>145</x:v>
      </x:c>
      <x:c r="D100" s="10">
        <x:f>C100&amp;"-"&amp;B100</x:f>
      </x:c>
      <x:c r="E100" s="10" t="n">
        <x:v>602</x:v>
      </x:c>
      <x:c r="F100" s="4" t="s">
        <x:v>68</x:v>
      </x:c>
    </x:row>
    <x:row r="101" spans="1:41" customFormat="1" ht="18" customHeight="1">
      <x:c r="A101" s="4" t="s">
        <x:v>77</x:v>
      </x:c>
      <x:c r="B101" s="10" t="n">
        <x:v>7511102</x:v>
      </x:c>
      <x:c r="C101" s="10" t="s">
        <x:v>145</x:v>
      </x:c>
      <x:c r="D101" s="10">
        <x:f>C101&amp;"-"&amp;B101</x:f>
      </x:c>
      <x:c r="E101" s="10" t="n">
        <x:v>602</x:v>
      </x:c>
      <x:c r="F101" s="4" t="s">
        <x:v>78</x:v>
      </x:c>
    </x:row>
    <x:row r="102" spans="1:41" customFormat="1" ht="18" customHeight="1">
      <x:c r="A102" s="4" t="s">
        <x:v>86</x:v>
      </x:c>
      <x:c r="B102" s="10" t="n">
        <x:v>7511103</x:v>
      </x:c>
      <x:c r="C102" s="10" t="s">
        <x:v>145</x:v>
      </x:c>
      <x:c r="D102" s="10">
        <x:f>C102&amp;"-"&amp;B102</x:f>
      </x:c>
      <x:c r="E102" s="10" t="n">
        <x:v>601</x:v>
      </x:c>
      <x:c r="F102" s="4" t="s">
        <x:v>88</x:v>
      </x:c>
    </x:row>
    <x:row r="103" spans="1:41" customFormat="1" ht="18" customHeight="1">
      <x:c r="A103" s="4" t="s">
        <x:v>96</x:v>
      </x:c>
      <x:c r="B103" s="10" t="n">
        <x:v>7511111</x:v>
      </x:c>
      <x:c r="C103" s="10" t="s">
        <x:v>145</x:v>
      </x:c>
      <x:c r="D103" s="10">
        <x:f>C103&amp;"-"&amp;B103</x:f>
      </x:c>
      <x:c r="E103" s="10" t="n">
        <x:v>601</x:v>
      </x:c>
      <x:c r="F103" s="4" t="s">
        <x:v>97</x:v>
      </x:c>
    </x:row>
    <x:row r="104" spans="1:41" customFormat="1" ht="18" customHeight="1">
      <x:c r="A104" s="4" t="s">
        <x:v>103</x:v>
      </x:c>
      <x:c r="B104" s="10" t="n">
        <x:v>7511112</x:v>
      </x:c>
      <x:c r="C104" s="10" t="s">
        <x:v>145</x:v>
      </x:c>
      <x:c r="D104" s="10">
        <x:f>C104&amp;"-"&amp;B104</x:f>
      </x:c>
      <x:c r="E104" s="10" t="n">
        <x:v>601</x:v>
      </x:c>
      <x:c r="F104" s="4" t="s">
        <x:v>104</x:v>
      </x:c>
    </x:row>
    <x:row r="105" spans="1:41" customFormat="1" ht="18" customHeight="1">
      <x:c r="A105" s="4" t="s">
        <x:v>111</x:v>
      </x:c>
      <x:c r="B105" s="10" t="n">
        <x:v>7511121</x:v>
      </x:c>
      <x:c r="C105" s="10" t="s">
        <x:v>145</x:v>
      </x:c>
      <x:c r="D105" s="10">
        <x:f>C105&amp;"-"&amp;B105</x:f>
      </x:c>
      <x:c r="E105" s="10" t="n">
        <x:v>601</x:v>
      </x:c>
      <x:c r="F105" s="4" t="s">
        <x:v>112</x:v>
      </x:c>
    </x:row>
    <x:row r="106" spans="1:41" customFormat="1" ht="18" customHeight="1">
      <x:c r="A106" s="4" t="s">
        <x:v>117</x:v>
      </x:c>
      <x:c r="B106" s="10" t="n">
        <x:v>7511122</x:v>
      </x:c>
      <x:c r="C106" s="10" t="s">
        <x:v>145</x:v>
      </x:c>
      <x:c r="D106" s="10">
        <x:f>C106&amp;"-"&amp;B106</x:f>
      </x:c>
      <x:c r="E106" s="10" t="n">
        <x:v>601</x:v>
      </x:c>
      <x:c r="F106" s="4" t="s">
        <x:v>118</x:v>
      </x:c>
    </x:row>
    <x:row r="107" spans="1:41" customFormat="1" ht="18" customHeight="1">
      <x:c r="A107" s="4" t="s">
        <x:v>119</x:v>
      </x:c>
      <x:c r="B107" s="10" t="n">
        <x:v>7511201</x:v>
      </x:c>
      <x:c r="C107" s="10" t="s">
        <x:v>145</x:v>
      </x:c>
      <x:c r="D107" s="10">
        <x:f>C107&amp;"-"&amp;B107</x:f>
      </x:c>
      <x:c r="E107" s="10" t="n">
        <x:v>603</x:v>
      </x:c>
      <x:c r="F107" s="4" t="s">
        <x:v>121</x:v>
      </x:c>
    </x:row>
    <x:row r="108" spans="1:41" customFormat="1" ht="18" customHeight="1">
      <x:c r="A108" s="4" t="s">
        <x:v>124</x:v>
      </x:c>
      <x:c r="B108" s="10" t="n">
        <x:v>7512111</x:v>
      </x:c>
      <x:c r="C108" s="10" t="s">
        <x:v>145</x:v>
      </x:c>
      <x:c r="D108" s="10">
        <x:f>C108&amp;"-"&amp;B108</x:f>
      </x:c>
      <x:c r="E108" s="10" t="n">
        <x:v>604</x:v>
      </x:c>
      <x:c r="F108" s="4" t="s">
        <x:v>126</x:v>
      </x:c>
    </x:row>
    <x:row r="109" spans="1:41" customFormat="1" ht="18" customHeight="1">
      <x:c r="A109" s="4" t="s">
        <x:v>129</x:v>
      </x:c>
      <x:c r="B109" s="10" t="n">
        <x:v>7512112</x:v>
      </x:c>
      <x:c r="C109" s="10" t="s">
        <x:v>145</x:v>
      </x:c>
      <x:c r="D109" s="10">
        <x:f>C109&amp;"-"&amp;B109</x:f>
      </x:c>
      <x:c r="E109" s="10" t="n">
        <x:v>604</x:v>
      </x:c>
      <x:c r="F109" s="4" t="s">
        <x:v>130</x:v>
      </x:c>
    </x:row>
    <x:row r="110" spans="1:41" customFormat="1" ht="18" customHeight="1">
      <x:c r="A110" s="4" t="s">
        <x:v>133</x:v>
      </x:c>
      <x:c r="B110" s="10" t="n">
        <x:v>7514101</x:v>
      </x:c>
      <x:c r="C110" s="10" t="s">
        <x:v>145</x:v>
      </x:c>
      <x:c r="D110" s="10">
        <x:f>C110&amp;"-"&amp;B110</x:f>
      </x:c>
      <x:c r="E110" s="10" t="n">
        <x:v>601</x:v>
      </x:c>
      <x:c r="F110" s="4" t="s">
        <x:v>134</x:v>
      </x:c>
    </x:row>
    <x:row r="111" spans="1:41" customFormat="1" ht="18" customHeight="1">
      <x:c r="A111" s="4" t="s">
        <x:v>137</x:v>
      </x:c>
      <x:c r="B111" s="10" t="n">
        <x:v>7514102</x:v>
      </x:c>
      <x:c r="C111" s="10" t="s">
        <x:v>145</x:v>
      </x:c>
      <x:c r="D111" s="10">
        <x:f>C111&amp;"-"&amp;B111</x:f>
      </x:c>
      <x:c r="E111" s="10" t="n">
        <x:v>601</x:v>
      </x:c>
      <x:c r="F111" s="4" t="s">
        <x:v>138</x:v>
      </x:c>
    </x:row>
    <x:row r="112" spans="1:41" customFormat="1" ht="18" customHeight="1">
      <x:c r="A112" s="4" t="s">
        <x:v>141</x:v>
      </x:c>
      <x:c r="B112" s="10" t="n">
        <x:v>7515401</x:v>
      </x:c>
      <x:c r="C112" s="10" t="s">
        <x:v>145</x:v>
      </x:c>
      <x:c r="D112" s="10">
        <x:f>C112&amp;"-"&amp;B112</x:f>
      </x:c>
      <x:c r="E112" s="10" t="n">
        <x:v>604</x:v>
      </x:c>
      <x:c r="F112" s="4" t="s">
        <x:v>142</x:v>
      </x:c>
    </x:row>
    <x:row r="113" spans="1:41" customFormat="1" ht="18" customHeight="1">
      <x:c r="A113" s="4" t="s">
        <x:v>147</x:v>
      </x:c>
      <x:c r="B113" s="10" t="n">
        <x:v>7515402</x:v>
      </x:c>
      <x:c r="C113" s="10" t="s">
        <x:v>145</x:v>
      </x:c>
      <x:c r="D113" s="10">
        <x:f>C113&amp;"-"&amp;B113</x:f>
      </x:c>
      <x:c r="E113" s="10" t="n">
        <x:v>604</x:v>
      </x:c>
      <x:c r="F113" s="4" t="s">
        <x:v>148</x:v>
      </x:c>
    </x:row>
    <x:row r="114" spans="1:41" customFormat="1" ht="18" customHeight="1">
      <x:c r="A114" s="4" t="s">
        <x:v>151</x:v>
      </x:c>
      <x:c r="B114" s="10" t="n">
        <x:v>7515403</x:v>
      </x:c>
      <x:c r="C114" s="10" t="s">
        <x:v>145</x:v>
      </x:c>
      <x:c r="D114" s="10">
        <x:f>C114&amp;"-"&amp;B114</x:f>
      </x:c>
      <x:c r="E114" s="10" t="n">
        <x:v>604</x:v>
      </x:c>
      <x:c r="F114" s="4" t="s">
        <x:v>152</x:v>
      </x:c>
    </x:row>
    <x:row r="115" spans="1:41" customFormat="1" ht="18" customHeight="1">
      <x:c r="A115" s="4" t="s">
        <x:v>155</x:v>
      </x:c>
      <x:c r="B115" s="10" t="n">
        <x:v>7515404</x:v>
      </x:c>
      <x:c r="C115" s="10" t="s">
        <x:v>145</x:v>
      </x:c>
      <x:c r="D115" s="10">
        <x:f>C115&amp;"-"&amp;B115</x:f>
      </x:c>
      <x:c r="E115" s="10" t="n">
        <x:v>604</x:v>
      </x:c>
      <x:c r="F115" s="4" t="s">
        <x:v>156</x:v>
      </x:c>
    </x:row>
    <x:row r="116" spans="1:41" customFormat="1" ht="18" customHeight="1">
      <x:c r="A116" s="4" t="s">
        <x:v>159</x:v>
      </x:c>
      <x:c r="B116" s="10" t="n">
        <x:v>7515405</x:v>
      </x:c>
      <x:c r="C116" s="10" t="s">
        <x:v>145</x:v>
      </x:c>
      <x:c r="D116" s="10">
        <x:f>C116&amp;"-"&amp;B116</x:f>
      </x:c>
      <x:c r="E116" s="10" t="n">
        <x:v>604</x:v>
      </x:c>
      <x:c r="F116" s="4" t="s">
        <x:v>160</x:v>
      </x:c>
    </x:row>
    <x:row r="117" spans="1:41" customFormat="1" ht="18" customHeight="1">
      <x:c r="A117" s="4" t="s">
        <x:v>163</x:v>
      </x:c>
      <x:c r="B117" s="10" t="n">
        <x:v>7515406</x:v>
      </x:c>
      <x:c r="C117" s="10" t="s">
        <x:v>145</x:v>
      </x:c>
      <x:c r="D117" s="10">
        <x:f>C117&amp;"-"&amp;B117</x:f>
      </x:c>
      <x:c r="E117" s="10" t="n">
        <x:v>604</x:v>
      </x:c>
      <x:c r="F117" s="4" t="s">
        <x:v>164</x:v>
      </x:c>
    </x:row>
    <x:row r="118" spans="1:41" customFormat="1" ht="18" customHeight="1">
      <x:c r="A118" s="4" t="s">
        <x:v>167</x:v>
      </x:c>
      <x:c r="B118" s="10" t="n">
        <x:v>7515407</x:v>
      </x:c>
      <x:c r="C118" s="10" t="s">
        <x:v>145</x:v>
      </x:c>
      <x:c r="D118" s="10">
        <x:f>C118&amp;"-"&amp;B118</x:f>
      </x:c>
      <x:c r="E118" s="10" t="n">
        <x:v>604</x:v>
      </x:c>
    </x:row>
    <x:row r="119" spans="1:41" customFormat="1" ht="18" customHeight="1">
      <x:c r="A119" s="4" t="s">
        <x:v>170</x:v>
      </x:c>
      <x:c r="B119" s="10" t="n">
        <x:v>7515408</x:v>
      </x:c>
      <x:c r="C119" s="10" t="s">
        <x:v>145</x:v>
      </x:c>
      <x:c r="D119" s="10">
        <x:f>C119&amp;"-"&amp;B119</x:f>
      </x:c>
      <x:c r="E119" s="10" t="n">
        <x:v>604</x:v>
      </x:c>
      <x:c r="F119" s="4" t="s">
        <x:v>171</x:v>
      </x:c>
    </x:row>
    <x:row r="120" spans="1:41" customFormat="1" ht="18" customHeight="1">
      <x:c r="A120" s="4" t="s">
        <x:v>174</x:v>
      </x:c>
      <x:c r="B120" s="10" t="n">
        <x:v>7515409</x:v>
      </x:c>
      <x:c r="C120" s="10" t="s">
        <x:v>145</x:v>
      </x:c>
      <x:c r="D120" s="10">
        <x:f>C120&amp;"-"&amp;B120</x:f>
      </x:c>
      <x:c r="E120" s="10" t="n">
        <x:v>604</x:v>
      </x:c>
      <x:c r="F120" s="4" t="s">
        <x:v>175</x:v>
      </x:c>
    </x:row>
    <x:row r="121" spans="1:41" customFormat="1" ht="18" customHeight="1">
      <x:c r="A121" s="4" t="s">
        <x:v>178</x:v>
      </x:c>
      <x:c r="B121" s="10" t="n">
        <x:v>7515410</x:v>
      </x:c>
      <x:c r="C121" s="10" t="s">
        <x:v>145</x:v>
      </x:c>
      <x:c r="D121" s="10">
        <x:f>C121&amp;"-"&amp;B121</x:f>
      </x:c>
      <x:c r="E121" s="10" t="n">
        <x:v>604</x:v>
      </x:c>
      <x:c r="F121" s="4" t="s">
        <x:v>179</x:v>
      </x:c>
    </x:row>
    <x:row r="122" spans="1:41" customFormat="1" ht="18" customHeight="1">
      <x:c r="A122" s="4" t="s">
        <x:v>182</x:v>
      </x:c>
      <x:c r="B122" s="10" t="n">
        <x:v>7515499</x:v>
      </x:c>
      <x:c r="C122" s="10" t="s">
        <x:v>145</x:v>
      </x:c>
      <x:c r="D122" s="10">
        <x:f>C122&amp;"-"&amp;B122</x:f>
      </x:c>
      <x:c r="E122" s="10" t="n">
        <x:v>604</x:v>
      </x:c>
      <x:c r="F122" s="4" t="s">
        <x:v>183</x:v>
      </x:c>
    </x:row>
    <x:row r="123" spans="1:41" customFormat="1" ht="18" customHeight="1">
      <x:c r="A123" s="4" t="s">
        <x:v>186</x:v>
      </x:c>
      <x:c r="B123" s="10" t="n">
        <x:v>7516102</x:v>
      </x:c>
      <x:c r="C123" s="10" t="s">
        <x:v>145</x:v>
      </x:c>
      <x:c r="D123" s="10">
        <x:f>C123&amp;"-"&amp;B123</x:f>
      </x:c>
      <x:c r="E123" s="10" t="n">
        <x:v>605</x:v>
      </x:c>
      <x:c r="F123" s="4" t="s">
        <x:v>188</x:v>
      </x:c>
    </x:row>
    <x:row r="124" spans="1:41" customFormat="1" ht="18" customHeight="1">
      <x:c r="A124" s="4" t="s">
        <x:v>191</x:v>
      </x:c>
      <x:c r="B124" s="10" t="n">
        <x:v>7519101</x:v>
      </x:c>
      <x:c r="C124" s="10" t="s">
        <x:v>145</x:v>
      </x:c>
      <x:c r="D124" s="10">
        <x:f>C124&amp;"-"&amp;B124</x:f>
      </x:c>
      <x:c r="E124" s="10" t="n">
        <x:v>602</x:v>
      </x:c>
      <x:c r="F124" s="4" t="s">
        <x:v>192</x:v>
      </x:c>
    </x:row>
    <x:row r="125" spans="1:41" customFormat="1" ht="18" customHeight="1">
      <x:c r="A125" s="4" t="s">
        <x:v>370</x:v>
      </x:c>
      <x:c r="B125" s="10" t="n">
        <x:v>7521101</x:v>
      </x:c>
      <x:c r="C125" s="10" t="s">
        <x:v>145</x:v>
      </x:c>
      <x:c r="D125" s="10">
        <x:f>C125&amp;"-"&amp;B125</x:f>
      </x:c>
      <x:c r="E125" s="10" t="n">
        <x:v>601</x:v>
      </x:c>
      <x:c r="F125" s="4" t="s">
        <x:v>196</x:v>
      </x:c>
    </x:row>
    <x:row r="126" spans="1:41" customFormat="1" ht="18" customHeight="1">
      <x:c r="A126" s="4" t="s">
        <x:v>199</x:v>
      </x:c>
      <x:c r="B126" s="10" t="n">
        <x:v>7521102</x:v>
      </x:c>
      <x:c r="C126" s="10" t="s">
        <x:v>145</x:v>
      </x:c>
      <x:c r="D126" s="10">
        <x:f>C126&amp;"-"&amp;B126</x:f>
      </x:c>
      <x:c r="E126" s="10" t="n">
        <x:v>603</x:v>
      </x:c>
      <x:c r="F126" s="4" t="s">
        <x:v>200</x:v>
      </x:c>
    </x:row>
    <x:row r="127" spans="1:41" customFormat="1" ht="18" customHeight="1">
      <x:c r="A127" s="4" t="s">
        <x:v>204</x:v>
      </x:c>
      <x:c r="B127" s="10" t="n">
        <x:v>7571101</x:v>
      </x:c>
      <x:c r="C127" s="10" t="s">
        <x:v>145</x:v>
      </x:c>
      <x:c r="D127" s="10">
        <x:f>C127&amp;"-"&amp;B127</x:f>
      </x:c>
      <x:c r="E127" s="10" t="n">
        <x:v>606</x:v>
      </x:c>
      <x:c r="F127" s="4" t="s">
        <x:v>206</x:v>
      </x:c>
    </x:row>
    <x:row r="128" spans="1:41" customFormat="1" ht="18" customHeight="1">
      <x:c r="A128" s="4" t="s">
        <x:v>73</x:v>
      </x:c>
      <x:c r="B128" s="10" t="n">
        <x:v>7611100</x:v>
      </x:c>
      <x:c r="C128" s="10" t="s">
        <x:v>145</x:v>
      </x:c>
      <x:c r="D128" s="10">
        <x:f>C128&amp;"-"&amp;B128</x:f>
      </x:c>
      <x:c r="E128" s="10" t="n">
        <x:v>701</x:v>
      </x:c>
      <x:c r="F128" s="4" t="s">
        <x:v>210</x:v>
      </x:c>
    </x:row>
    <x:row r="129" spans="1:41" customFormat="1" ht="18" customHeight="1">
      <x:c r="A129" s="4" t="s">
        <x:v>82</x:v>
      </x:c>
      <x:c r="B129" s="10" t="n">
        <x:v>7611300</x:v>
      </x:c>
      <x:c r="C129" s="10" t="s">
        <x:v>145</x:v>
      </x:c>
      <x:c r="D129" s="10">
        <x:f>C129&amp;"-"&amp;B129</x:f>
      </x:c>
      <x:c r="E129" s="10" t="n">
        <x:v>701</x:v>
      </x:c>
      <x:c r="F129" s="4" t="s">
        <x:v>213</x:v>
      </x:c>
    </x:row>
    <x:row r="130" spans="1:41" customFormat="1" ht="18" customHeight="1">
      <x:c r="A130" s="4" t="s">
        <x:v>216</x:v>
      </x:c>
      <x:c r="B130" s="10" t="n">
        <x:v>7611400</x:v>
      </x:c>
      <x:c r="C130" s="10" t="s">
        <x:v>145</x:v>
      </x:c>
      <x:c r="D130" s="10">
        <x:f>C130&amp;"-"&amp;B130</x:f>
      </x:c>
      <x:c r="E130" s="10" t="n">
        <x:v>701</x:v>
      </x:c>
      <x:c r="F130" s="4" t="s">
        <x:v>217</x:v>
      </x:c>
    </x:row>
    <x:row r="131" spans="1:41" customFormat="1" ht="18" customHeight="1">
      <x:c r="A131" s="4" t="s">
        <x:v>99</x:v>
      </x:c>
      <x:c r="B131" s="10" t="n">
        <x:v>7611500</x:v>
      </x:c>
      <x:c r="C131" s="10" t="s">
        <x:v>145</x:v>
      </x:c>
      <x:c r="D131" s="10">
        <x:f>C131&amp;"-"&amp;B131</x:f>
      </x:c>
      <x:c r="E131" s="10" t="n">
        <x:v>701</x:v>
      </x:c>
      <x:c r="F131" s="4" t="s">
        <x:v>220</x:v>
      </x:c>
    </x:row>
    <x:row r="132" spans="1:41" customFormat="1" ht="18" customHeight="1">
      <x:c r="A132" s="4" t="s">
        <x:v>105</x:v>
      </x:c>
      <x:c r="B132" s="10" t="n">
        <x:v>7611600</x:v>
      </x:c>
      <x:c r="C132" s="10" t="s">
        <x:v>145</x:v>
      </x:c>
      <x:c r="D132" s="10">
        <x:f>C132&amp;"-"&amp;B132</x:f>
      </x:c>
      <x:c r="E132" s="10" t="n">
        <x:v>701</x:v>
      </x:c>
      <x:c r="F132" s="4" t="s">
        <x:v>223</x:v>
      </x:c>
    </x:row>
    <x:row r="133" spans="1:41" customFormat="1" ht="18" customHeight="1">
      <x:c r="A133" s="4" t="s">
        <x:v>113</x:v>
      </x:c>
      <x:c r="B133" s="10" t="n">
        <x:v>7611700</x:v>
      </x:c>
      <x:c r="C133" s="10" t="s">
        <x:v>145</x:v>
      </x:c>
      <x:c r="D133" s="10">
        <x:f>C133&amp;"-"&amp;B133</x:f>
      </x:c>
      <x:c r="E133" s="10" t="n">
        <x:v>701</x:v>
      </x:c>
      <x:c r="F133" s="4" t="s">
        <x:v>398</x:v>
      </x:c>
    </x:row>
    <x:row r="134" spans="1:41" customFormat="1" ht="18" customHeight="1">
      <x:c r="A134" s="4" t="s">
        <x:v>229</x:v>
      </x:c>
      <x:c r="B134" s="10" t="n">
        <x:v>7611800</x:v>
      </x:c>
      <x:c r="C134" s="10" t="s">
        <x:v>145</x:v>
      </x:c>
      <x:c r="D134" s="10">
        <x:f>C134&amp;"-"&amp;B134</x:f>
      </x:c>
      <x:c r="E134" s="10" t="n">
        <x:v>701</x:v>
      </x:c>
      <x:c r="F134" s="4" t="s">
        <x:v>230</x:v>
      </x:c>
    </x:row>
    <x:row r="135" spans="1:41" customFormat="1" ht="18" customHeight="1">
      <x:c r="A135" s="4" t="s">
        <x:v>233</x:v>
      </x:c>
      <x:c r="B135" s="10" t="n">
        <x:v>7621101</x:v>
      </x:c>
      <x:c r="C135" s="10" t="s">
        <x:v>145</x:v>
      </x:c>
      <x:c r="D135" s="10">
        <x:f>C135&amp;"-"&amp;B135</x:f>
      </x:c>
      <x:c r="E135" s="10" t="n">
        <x:v>903</x:v>
      </x:c>
      <x:c r="F135" s="4" t="s">
        <x:v>235</x:v>
      </x:c>
    </x:row>
    <x:row r="136" spans="1:41" customFormat="1" ht="18" customHeight="1">
      <x:c r="A136" s="108" t="s">
        <x:v>238</x:v>
      </x:c>
      <x:c r="B136" s="110" t="n">
        <x:v>7621199</x:v>
      </x:c>
      <x:c r="C136" s="10" t="s">
        <x:v>145</x:v>
      </x:c>
      <x:c r="D136" s="10">
        <x:f>C136&amp;"-"&amp;B136</x:f>
      </x:c>
      <x:c r="E136" s="10" t="n">
        <x:v>801</x:v>
      </x:c>
      <x:c r="F136" s="4" t="s">
        <x:v>240</x:v>
      </x:c>
    </x:row>
    <x:row r="137" spans="1:41" customFormat="1" ht="18" customHeight="1">
      <x:c r="A137" s="4" t="s">
        <x:v>243</x:v>
      </x:c>
      <x:c r="B137" s="10" t="n">
        <x:v>7631101</x:v>
      </x:c>
      <x:c r="C137" s="10" t="s">
        <x:v>145</x:v>
      </x:c>
      <x:c r="D137" s="10">
        <x:f>C137&amp;"-"&amp;B137</x:f>
      </x:c>
      <x:c r="E137" s="10" t="n">
        <x:v>501</x:v>
      </x:c>
      <x:c r="F137" s="4" t="s">
        <x:v>245</x:v>
      </x:c>
    </x:row>
    <x:row r="138" spans="1:41" customFormat="1" ht="18" customHeight="1">
      <x:c r="A138" s="4" t="s">
        <x:v>246</x:v>
      </x:c>
      <x:c r="B138" s="10" t="n">
        <x:v>7631102</x:v>
      </x:c>
      <x:c r="C138" s="10" t="s">
        <x:v>145</x:v>
      </x:c>
      <x:c r="D138" s="10">
        <x:f>C138&amp;"-"&amp;B138</x:f>
      </x:c>
      <x:c r="E138" s="10" t="n">
        <x:v>502</x:v>
      </x:c>
      <x:c r="F138" s="4" t="s">
        <x:v>248</x:v>
      </x:c>
    </x:row>
    <x:row r="139" spans="1:41" customFormat="1" ht="18" customHeight="1">
      <x:c r="A139" s="4" t="s">
        <x:v>251</x:v>
      </x:c>
      <x:c r="B139" s="10" t="n">
        <x:v>7641101</x:v>
      </x:c>
      <x:c r="C139" s="10" t="s">
        <x:v>145</x:v>
      </x:c>
      <x:c r="D139" s="10">
        <x:f>C139&amp;"-"&amp;B139</x:f>
      </x:c>
      <x:c r="E139" s="10" t="n">
        <x:v>401</x:v>
      </x:c>
      <x:c r="F139" s="4" t="s">
        <x:v>253</x:v>
      </x:c>
    </x:row>
    <x:row r="140" spans="1:41" customFormat="1" ht="18" customHeight="1">
      <x:c r="A140" s="4" t="s">
        <x:v>254</x:v>
      </x:c>
      <x:c r="B140" s="10" t="n">
        <x:v>7641102</x:v>
      </x:c>
      <x:c r="C140" s="10" t="s">
        <x:v>145</x:v>
      </x:c>
      <x:c r="D140" s="10">
        <x:f>C140&amp;"-"&amp;B140</x:f>
      </x:c>
      <x:c r="E140" s="10" t="n">
        <x:v>401</x:v>
      </x:c>
      <x:c r="F140" s="4" t="s">
        <x:v>255</x:v>
      </x:c>
    </x:row>
    <x:row r="141" spans="1:41" customFormat="1" ht="18" customHeight="1">
      <x:c r="A141" s="4" t="s">
        <x:v>258</x:v>
      </x:c>
      <x:c r="B141" s="10" t="n">
        <x:v>7641103</x:v>
      </x:c>
      <x:c r="C141" s="10" t="s">
        <x:v>145</x:v>
      </x:c>
      <x:c r="D141" s="10">
        <x:f>C141&amp;"-"&amp;B141</x:f>
      </x:c>
      <x:c r="E141" s="10" t="n">
        <x:v>902</x:v>
      </x:c>
      <x:c r="F141" s="4" t="s">
        <x:v>260</x:v>
      </x:c>
    </x:row>
    <x:row r="142" spans="1:41" customFormat="1" ht="18" customHeight="1">
      <x:c r="A142" s="4" t="s">
        <x:v>263</x:v>
      </x:c>
      <x:c r="B142" s="10" t="n">
        <x:v>7641104</x:v>
      </x:c>
      <x:c r="C142" s="10" t="s">
        <x:v>145</x:v>
      </x:c>
      <x:c r="D142" s="10">
        <x:f>C142&amp;"-"&amp;B142</x:f>
      </x:c>
      <x:c r="E142" s="10" t="n">
        <x:v>999</x:v>
      </x:c>
      <x:c r="F142" s="4" t="s">
        <x:v>264</x:v>
      </x:c>
    </x:row>
    <x:row r="143" spans="1:41" customFormat="1" ht="18" customHeight="1">
      <x:c r="A143" s="4" t="s">
        <x:v>265</x:v>
      </x:c>
      <x:c r="B143" s="10" t="n">
        <x:v>7651101</x:v>
      </x:c>
      <x:c r="C143" s="10" t="s">
        <x:v>145</x:v>
      </x:c>
      <x:c r="D143" s="10">
        <x:f>C143&amp;"-"&amp;B143</x:f>
      </x:c>
      <x:c r="E143" s="10" t="n">
        <x:v>903</x:v>
      </x:c>
      <x:c r="F143" s="4" t="s">
        <x:v>266</x:v>
      </x:c>
    </x:row>
    <x:row r="144" spans="1:41" customFormat="1" ht="18" customHeight="1">
      <x:c r="A144" s="4" t="s">
        <x:v>267</x:v>
      </x:c>
      <x:c r="B144" s="10" t="n">
        <x:v>7651102</x:v>
      </x:c>
      <x:c r="C144" s="10" t="s">
        <x:v>145</x:v>
      </x:c>
      <x:c r="D144" s="10">
        <x:f>C144&amp;"-"&amp;B144</x:f>
      </x:c>
      <x:c r="E144" s="10" t="n">
        <x:v>903</x:v>
      </x:c>
      <x:c r="F144" s="4" t="s">
        <x:v>268</x:v>
      </x:c>
    </x:row>
    <x:row r="145" spans="1:41" customFormat="1" ht="18" customHeight="1">
      <x:c r="A145" s="4" t="s">
        <x:v>269</x:v>
      </x:c>
      <x:c r="B145" s="10" t="n">
        <x:v>7651103</x:v>
      </x:c>
      <x:c r="C145" s="10" t="s">
        <x:v>145</x:v>
      </x:c>
      <x:c r="D145" s="10">
        <x:f>C145&amp;"-"&amp;B145</x:f>
      </x:c>
      <x:c r="E145" s="10" t="n">
        <x:v>903</x:v>
      </x:c>
      <x:c r="F145" s="4" t="s">
        <x:v>270</x:v>
      </x:c>
    </x:row>
    <x:row r="146" spans="1:41" customFormat="1" ht="18" customHeight="1">
      <x:c r="A146" s="4" t="s">
        <x:v>271</x:v>
      </x:c>
      <x:c r="B146" s="10" t="n">
        <x:v>7661101</x:v>
      </x:c>
      <x:c r="C146" s="10" t="s">
        <x:v>145</x:v>
      </x:c>
      <x:c r="D146" s="10">
        <x:f>C146&amp;"-"&amp;B146</x:f>
      </x:c>
      <x:c r="E146" s="10" t="n">
        <x:v>999</x:v>
      </x:c>
      <x:c r="F146" s="4" t="s">
        <x:v>273</x:v>
      </x:c>
    </x:row>
    <x:row r="147" spans="1:41" customFormat="1" ht="18" customHeight="1">
      <x:c r="A147" s="4" t="s">
        <x:v>274</x:v>
      </x:c>
      <x:c r="B147" s="10" t="n">
        <x:v>7671102</x:v>
      </x:c>
      <x:c r="C147" s="10" t="s">
        <x:v>145</x:v>
      </x:c>
      <x:c r="D147" s="10">
        <x:f>C147&amp;"-"&amp;B147</x:f>
      </x:c>
      <x:c r="E147" s="10" t="n">
        <x:v>999</x:v>
      </x:c>
      <x:c r="F147" s="4" t="s">
        <x:v>275</x:v>
      </x:c>
    </x:row>
    <x:row r="148" spans="1:41" customFormat="1" ht="18" customHeight="1">
      <x:c r="A148" s="4" t="s">
        <x:v>276</x:v>
      </x:c>
      <x:c r="B148" s="10" t="n">
        <x:v>7671103</x:v>
      </x:c>
      <x:c r="C148" s="10" t="s">
        <x:v>145</x:v>
      </x:c>
      <x:c r="D148" s="10">
        <x:f>C148&amp;"-"&amp;B148</x:f>
      </x:c>
      <x:c r="E148" s="10" t="n">
        <x:v>999</x:v>
      </x:c>
      <x:c r="F148" s="4" t="s">
        <x:v>277</x:v>
      </x:c>
    </x:row>
    <x:row r="149" spans="1:41" customFormat="1" ht="18" customHeight="1">
      <x:c r="A149" s="4" t="s">
        <x:v>278</x:v>
      </x:c>
      <x:c r="B149" s="10" t="n">
        <x:v>7681101</x:v>
      </x:c>
      <x:c r="C149" s="10" t="s">
        <x:v>145</x:v>
      </x:c>
      <x:c r="D149" s="10">
        <x:f>C149&amp;"-"&amp;B149</x:f>
      </x:c>
      <x:c r="E149" s="10" t="n">
        <x:v>999</x:v>
      </x:c>
      <x:c r="F149" s="4" t="s">
        <x:v>279</x:v>
      </x:c>
    </x:row>
    <x:row r="150" spans="1:41" customFormat="1" ht="18" customHeight="1">
      <x:c r="A150" s="4" t="s">
        <x:v>280</x:v>
      </x:c>
      <x:c r="B150" s="10" t="n">
        <x:v>7691000</x:v>
      </x:c>
      <x:c r="C150" s="10" t="s">
        <x:v>145</x:v>
      </x:c>
      <x:c r="D150" s="10">
        <x:f>C150&amp;"-"&amp;B150</x:f>
      </x:c>
      <x:c r="E150" s="10" t="n">
        <x:v>999</x:v>
      </x:c>
      <x:c r="F150" s="4" t="s">
        <x:v>281</x:v>
      </x:c>
    </x:row>
    <x:row r="151" spans="1:41" customFormat="1" ht="18" customHeight="1">
      <x:c r="A151" s="4" t="s">
        <x:v>282</x:v>
      </x:c>
      <x:c r="B151" s="10" t="n">
        <x:v>7711101</x:v>
      </x:c>
      <x:c r="C151" s="10" t="s">
        <x:v>145</x:v>
      </x:c>
      <x:c r="D151" s="10">
        <x:f>C151&amp;"-"&amp;B151</x:f>
      </x:c>
      <x:c r="E151" s="10" t="n">
        <x:v>999</x:v>
      </x:c>
      <x:c r="F151" s="4" t="s">
        <x:v>283</x:v>
      </x:c>
    </x:row>
    <x:row r="152" spans="1:41" customFormat="1" ht="18" customHeight="1">
      <x:c r="A152" s="4" t="s">
        <x:v>284</x:v>
      </x:c>
      <x:c r="B152" s="10" t="n">
        <x:v>7711102</x:v>
      </x:c>
      <x:c r="C152" s="10" t="s">
        <x:v>145</x:v>
      </x:c>
      <x:c r="D152" s="10">
        <x:f>C152&amp;"-"&amp;B152</x:f>
      </x:c>
      <x:c r="E152" s="10" t="n">
        <x:v>904</x:v>
      </x:c>
      <x:c r="F152" s="4" t="s">
        <x:v>286</x:v>
      </x:c>
    </x:row>
    <x:row r="153" spans="1:41" customFormat="1" ht="18" customHeight="1">
      <x:c r="A153" s="4" t="s">
        <x:v>287</x:v>
      </x:c>
      <x:c r="B153" s="10" t="n">
        <x:v>7711103</x:v>
      </x:c>
      <x:c r="C153" s="10" t="s">
        <x:v>145</x:v>
      </x:c>
      <x:c r="D153" s="10">
        <x:f>C153&amp;"-"&amp;B153</x:f>
      </x:c>
      <x:c r="E153" s="10" t="n">
        <x:v>999</x:v>
      </x:c>
      <x:c r="F153" s="4" t="s">
        <x:v>288</x:v>
      </x:c>
    </x:row>
    <x:row r="154" spans="1:41" customFormat="1" ht="18" customHeight="1">
      <x:c r="A154" s="4" t="s">
        <x:v>289</x:v>
      </x:c>
      <x:c r="B154" s="10" t="n">
        <x:v>7721101</x:v>
      </x:c>
      <x:c r="C154" s="10" t="s">
        <x:v>145</x:v>
      </x:c>
      <x:c r="D154" s="10">
        <x:f>C154&amp;"-"&amp;B154</x:f>
      </x:c>
      <x:c r="E154" s="10" t="n">
        <x:v>999</x:v>
      </x:c>
      <x:c r="F154" s="4" t="s">
        <x:v>290</x:v>
      </x:c>
    </x:row>
    <x:row r="155" spans="1:41" customFormat="1" ht="18" customHeight="1">
      <x:c r="A155" s="4" t="s">
        <x:v>291</x:v>
      </x:c>
      <x:c r="B155" s="10" t="n">
        <x:v>7729101</x:v>
      </x:c>
      <x:c r="C155" s="10" t="s">
        <x:v>145</x:v>
      </x:c>
      <x:c r="D155" s="10">
        <x:f>C155&amp;"-"&amp;B155</x:f>
      </x:c>
      <x:c r="E155" s="10" t="n">
        <x:v>905</x:v>
      </x:c>
      <x:c r="F155" s="4" t="s">
        <x:v>293</x:v>
      </x:c>
    </x:row>
    <x:row r="156" spans="1:41" customFormat="1" ht="18" customHeight="1">
      <x:c r="A156" s="4" t="s">
        <x:v>294</x:v>
      </x:c>
      <x:c r="B156" s="10" t="n">
        <x:v>7729103</x:v>
      </x:c>
      <x:c r="C156" s="10" t="s">
        <x:v>145</x:v>
      </x:c>
      <x:c r="D156" s="10">
        <x:f>C156&amp;"-"&amp;B156</x:f>
      </x:c>
      <x:c r="E156" s="10" t="n">
        <x:v>907</x:v>
      </x:c>
      <x:c r="F156" s="4" t="s">
        <x:v>296</x:v>
      </x:c>
    </x:row>
    <x:row r="157" spans="1:41" customFormat="1" ht="18" customHeight="1">
      <x:c r="A157" s="4" t="s">
        <x:v>297</x:v>
      </x:c>
      <x:c r="B157" s="10" t="n">
        <x:v>7729105</x:v>
      </x:c>
      <x:c r="C157" s="10" t="s">
        <x:v>145</x:v>
      </x:c>
      <x:c r="D157" s="10">
        <x:f>C157&amp;"-"&amp;B157</x:f>
      </x:c>
      <x:c r="E157" s="10" t="n">
        <x:v>999</x:v>
      </x:c>
      <x:c r="F157" s="4" t="s">
        <x:v>298</x:v>
      </x:c>
    </x:row>
    <x:row r="158" spans="1:41" customFormat="1" ht="18" customHeight="1">
      <x:c r="A158" s="4" t="s">
        <x:v>299</x:v>
      </x:c>
      <x:c r="B158" s="10" t="n">
        <x:v>7781101</x:v>
      </x:c>
      <x:c r="C158" s="10" t="s">
        <x:v>145</x:v>
      </x:c>
      <x:c r="D158" s="10">
        <x:f>C158&amp;"-"&amp;B158</x:f>
      </x:c>
      <x:c r="E158" s="10" t="n">
        <x:v>999</x:v>
      </x:c>
      <x:c r="F158" s="4" t="s">
        <x:v>300</x:v>
      </x:c>
    </x:row>
    <x:row r="159" spans="1:41" customFormat="1" ht="18" customHeight="1">
      <x:c r="A159" s="4" t="s">
        <x:v>301</x:v>
      </x:c>
      <x:c r="B159" s="10" t="n">
        <x:v>7781103</x:v>
      </x:c>
      <x:c r="C159" s="10" t="s">
        <x:v>145</x:v>
      </x:c>
      <x:c r="D159" s="10">
        <x:f>C159&amp;"-"&amp;B159</x:f>
      </x:c>
      <x:c r="E159" s="10" t="n">
        <x:v>999</x:v>
      </x:c>
      <x:c r="F159" s="4" t="s">
        <x:v>302</x:v>
      </x:c>
    </x:row>
    <x:row r="160" spans="1:41" customFormat="1" ht="18" customHeight="1">
      <x:c r="A160" s="4" t="s">
        <x:v>303</x:v>
      </x:c>
      <x:c r="B160" s="10" t="n">
        <x:v>7781104</x:v>
      </x:c>
      <x:c r="C160" s="10" t="s">
        <x:v>145</x:v>
      </x:c>
      <x:c r="D160" s="10">
        <x:f>C160&amp;"-"&amp;B160</x:f>
      </x:c>
      <x:c r="E160" s="10" t="n">
        <x:v>999</x:v>
      </x:c>
      <x:c r="F160" s="4" t="s">
        <x:v>304</x:v>
      </x:c>
    </x:row>
    <x:row r="161" spans="1:41" customFormat="1" ht="18" customHeight="1">
      <x:c r="A161" s="4" t="s">
        <x:v>305</x:v>
      </x:c>
      <x:c r="B161" s="10" t="n">
        <x:v>7781105</x:v>
      </x:c>
      <x:c r="C161" s="10" t="s">
        <x:v>145</x:v>
      </x:c>
      <x:c r="D161" s="10">
        <x:f>C161&amp;"-"&amp;B161</x:f>
      </x:c>
      <x:c r="E161" s="10" t="n">
        <x:v>999</x:v>
      </x:c>
      <x:c r="F161" s="4" t="s">
        <x:v>306</x:v>
      </x:c>
    </x:row>
    <x:row r="162" spans="1:41" customFormat="1" ht="18" customHeight="1">
      <x:c r="A162" s="4" t="s">
        <x:v>307</x:v>
      </x:c>
      <x:c r="B162" s="10" t="n">
        <x:v>7781106</x:v>
      </x:c>
      <x:c r="C162" s="10" t="s">
        <x:v>145</x:v>
      </x:c>
      <x:c r="D162" s="10">
        <x:f>C162&amp;"-"&amp;B162</x:f>
      </x:c>
      <x:c r="E162" s="10" t="n">
        <x:v>999</x:v>
      </x:c>
      <x:c r="F162" s="4" t="s">
        <x:v>308</x:v>
      </x:c>
    </x:row>
    <x:row r="163" spans="1:41" customFormat="1" ht="18" customHeight="1">
      <x:c r="A163" s="4" t="s">
        <x:v>309</x:v>
      </x:c>
      <x:c r="B163" s="10" t="n">
        <x:v>7781107</x:v>
      </x:c>
      <x:c r="C163" s="10" t="s">
        <x:v>145</x:v>
      </x:c>
      <x:c r="D163" s="10">
        <x:f>C163&amp;"-"&amp;B163</x:f>
      </x:c>
      <x:c r="E163" s="10" t="n">
        <x:v>906</x:v>
      </x:c>
      <x:c r="F163" s="4" t="s">
        <x:v>311</x:v>
      </x:c>
    </x:row>
    <x:row r="164" spans="1:41" customFormat="1" ht="18" customHeight="1">
      <x:c r="A164" s="4" t="s">
        <x:v>312</x:v>
      </x:c>
      <x:c r="B164" s="10" t="n">
        <x:v>7781111</x:v>
      </x:c>
      <x:c r="C164" s="10" t="s">
        <x:v>145</x:v>
      </x:c>
      <x:c r="D164" s="10">
        <x:f>C164&amp;"-"&amp;B164</x:f>
      </x:c>
      <x:c r="E164" s="10" t="n">
        <x:v>999</x:v>
      </x:c>
      <x:c r="F164" s="4" t="s">
        <x:v>313</x:v>
      </x:c>
    </x:row>
    <x:row r="165" spans="1:41" customFormat="1" ht="18" customHeight="1">
      <x:c r="A165" s="4" t="s">
        <x:v>314</x:v>
      </x:c>
      <x:c r="B165" s="10" t="n">
        <x:v>7781112</x:v>
      </x:c>
      <x:c r="C165" s="10" t="s">
        <x:v>145</x:v>
      </x:c>
      <x:c r="D165" s="10">
        <x:f>C165&amp;"-"&amp;B165</x:f>
      </x:c>
      <x:c r="E165" s="10" t="n">
        <x:v>999</x:v>
      </x:c>
      <x:c r="F165" s="4" t="s">
        <x:v>315</x:v>
      </x:c>
    </x:row>
    <x:row r="166" spans="1:41" customFormat="1" ht="18" customHeight="1">
      <x:c r="A166" s="4" t="s">
        <x:v>316</x:v>
      </x:c>
      <x:c r="B166" s="10" t="n">
        <x:v>7781113</x:v>
      </x:c>
      <x:c r="C166" s="10" t="s">
        <x:v>145</x:v>
      </x:c>
      <x:c r="D166" s="10">
        <x:f>C166&amp;"-"&amp;B166</x:f>
      </x:c>
      <x:c r="E166" s="10" t="n">
        <x:v>999</x:v>
      </x:c>
      <x:c r="F166" s="4" t="s">
        <x:v>317</x:v>
      </x:c>
    </x:row>
    <x:row r="167" spans="1:41" customFormat="1" ht="18" customHeight="1">
      <x:c r="A167" s="4" t="s">
        <x:v>372</x:v>
      </x:c>
      <x:c r="B167" s="5" t="n">
        <x:v>8291101</x:v>
      </x:c>
      <x:c r="C167" s="6" t="s">
        <x:v>373</x:v>
      </x:c>
      <x:c r="D167" s="6">
        <x:f>C167&amp;"-"&amp;B167</x:f>
      </x:c>
    </x:row>
    <x:row r="168" spans="1:41" customFormat="1" ht="18" customHeight="1">
      <x:c r="A168" s="4" t="s">
        <x:v>374</x:v>
      </x:c>
      <x:c r="B168" s="5" t="n">
        <x:v>8291102</x:v>
      </x:c>
      <x:c r="C168" s="6" t="s">
        <x:v>373</x:v>
      </x:c>
      <x:c r="D168" s="6">
        <x:f>C168&amp;"-"&amp;B168</x:f>
      </x:c>
    </x:row>
    <x:row r="169" spans="1:41" customFormat="1" ht="18" customHeight="1">
      <x:c r="A169" s="4" t="s">
        <x:v>375</x:v>
      </x:c>
      <x:c r="B169" s="5" t="n">
        <x:v>8291201</x:v>
      </x:c>
      <x:c r="C169" s="6" t="s">
        <x:v>373</x:v>
      </x:c>
      <x:c r="D169" s="6">
        <x:f>C169&amp;"-"&amp;B169</x:f>
      </x:c>
    </x:row>
    <x:row r="170" spans="1:41" customFormat="1" ht="18" customHeight="1">
      <x:c r="A170" s="4" t="s">
        <x:v>376</x:v>
      </x:c>
      <x:c r="B170" s="5" t="n">
        <x:v>8291202</x:v>
      </x:c>
      <x:c r="C170" s="6" t="s">
        <x:v>373</x:v>
      </x:c>
      <x:c r="D170" s="6">
        <x:f>C170&amp;"-"&amp;B170</x:f>
      </x:c>
    </x:row>
    <x:row r="171" spans="1:41" customFormat="1" ht="18" customHeight="1">
      <x:c r="A171" s="4" t="s">
        <x:v>377</x:v>
      </x:c>
      <x:c r="B171" s="5" t="n">
        <x:v>8291203</x:v>
      </x:c>
      <x:c r="C171" s="6" t="s">
        <x:v>373</x:v>
      </x:c>
      <x:c r="D171" s="6">
        <x:f>C171&amp;"-"&amp;B171</x:f>
      </x:c>
    </x:row>
    <x:row r="172" spans="1:41" customFormat="1" ht="18" customHeight="1">
      <x:c r="A172" s="4" t="s">
        <x:v>378</x:v>
      </x:c>
      <x:c r="B172" s="5" t="n">
        <x:v>8191101</x:v>
      </x:c>
      <x:c r="C172" s="6" t="s">
        <x:v>373</x:v>
      </x:c>
      <x:c r="D172" s="6">
        <x:f>C172&amp;"-"&amp;B172</x:f>
      </x:c>
    </x:row>
    <x:row r="173" spans="1:41" customFormat="1" ht="18" customHeight="1">
      <x:c r="E173" s="12" t="s"/>
    </x:row>
  </x:sheetData>
  <x:phoneticPr fontId="2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8686C78-A7C3-4058-9DEC-53815F5CD0C1}" mc:Ignorable="x14ac xr xr2 xr3">
  <x:sheetPr>
    <x:outlinePr summaryBelow="1" summaryRight="1"/>
    <x:pageSetUpPr fitToPage="1"/>
  </x:sheetPr>
  <x:dimension ref="A1:F155"/>
  <x:sheetViews>
    <x:sheetView zoomScale="80" zoomScaleNormal="80" workbookViewId="0">
      <x:pane xSplit="1" ySplit="1" topLeftCell="B2" activePane="bottomRight" state="frozenSplit"/>
      <x:selection activeCell="AO2" sqref="AO2"/>
      <x:selection pane="bottomRight" activeCell="AO2" sqref="AO2"/>
    </x:sheetView>
  </x:sheetViews>
  <x:sheetFormatPr defaultColWidth="8.855469" defaultRowHeight="18" customHeight="1"/>
  <x:cols>
    <x:col min="1" max="1" width="44.425781" style="4" bestFit="1" customWidth="1"/>
    <x:col min="2" max="2" width="8.425781" style="5" customWidth="1"/>
    <x:col min="3" max="3" width="8.570312" style="6" customWidth="1"/>
    <x:col min="4" max="4" width="12.140625" style="6" bestFit="1" customWidth="1"/>
    <x:col min="5" max="5" width="10.570312" style="6" customWidth="1"/>
    <x:col min="6" max="6" width="163.425781" style="4" bestFit="1" customWidth="1"/>
    <x:col min="7" max="40" width="8.855469" style="4" customWidth="1"/>
    <x:col min="41" max="41" width="8.855469" style="0" customWidth="1"/>
    <x:col min="42" max="16384" width="8.855469" style="4" customWidth="1"/>
  </x:cols>
  <x:sheetData>
    <x:row r="1" spans="1:41" s="3" customFormat="1" ht="60" customHeight="1">
      <x:c r="A1" s="99" t="s">
        <x:v>399</x:v>
      </x:c>
      <x:c r="B1" s="99" t="s">
        <x:v>51</x:v>
      </x:c>
      <x:c r="C1" s="100" t="s">
        <x:v>9</x:v>
      </x:c>
      <x:c r="D1" s="100" t="s">
        <x:v>52</x:v>
      </x:c>
      <x:c r="E1" s="100" t="s">
        <x:v>53</x:v>
      </x:c>
      <x:c r="F1" s="99" t="s">
        <x:v>54</x:v>
      </x:c>
    </x:row>
    <x:row r="2" spans="1:41" s="0" customFormat="1" ht="18" customHeight="1">
      <x:c r="A2" s="4" t="s">
        <x:v>68</x:v>
      </x:c>
      <x:c r="B2" s="5" t="n">
        <x:v>7511101</x:v>
      </x:c>
      <x:c r="C2" s="6" t="s">
        <x:v>23</x:v>
      </x:c>
      <x:c r="D2" s="7">
        <x:f>C2&amp;"-"&amp;B2</x:f>
      </x:c>
      <x:c r="E2" s="6" t="s">
        <x:v>69</x:v>
      </x:c>
      <x:c r="F2" s="4" t="s">
        <x:v>68</x:v>
      </x:c>
      <x:c r="AO2" s="0" t="s"/>
    </x:row>
    <x:row r="3" spans="1:41" customFormat="1" ht="18" customHeight="1">
      <x:c r="A3" s="4" t="s">
        <x:v>77</x:v>
      </x:c>
      <x:c r="B3" s="5" t="n">
        <x:v>7511102</x:v>
      </x:c>
      <x:c r="C3" s="6" t="s">
        <x:v>23</x:v>
      </x:c>
      <x:c r="D3" s="7">
        <x:f>C3&amp;"-"&amp;B3</x:f>
      </x:c>
      <x:c r="E3" s="6" t="s">
        <x:v>69</x:v>
      </x:c>
      <x:c r="F3" s="4" t="s">
        <x:v>78</x:v>
      </x:c>
    </x:row>
    <x:row r="4" spans="1:41" customFormat="1" ht="18" customHeight="1">
      <x:c r="A4" s="4" t="s">
        <x:v>86</x:v>
      </x:c>
      <x:c r="B4" s="5" t="n">
        <x:v>7511103</x:v>
      </x:c>
      <x:c r="C4" s="6" t="s">
        <x:v>23</x:v>
      </x:c>
      <x:c r="D4" s="7">
        <x:f>C4&amp;"-"&amp;B4</x:f>
      </x:c>
      <x:c r="E4" s="6" t="s">
        <x:v>87</x:v>
      </x:c>
      <x:c r="F4" s="4" t="s">
        <x:v>88</x:v>
      </x:c>
    </x:row>
    <x:row r="5" spans="1:41" customFormat="1" ht="18" customHeight="1">
      <x:c r="A5" s="4" t="s">
        <x:v>96</x:v>
      </x:c>
      <x:c r="B5" s="5" t="n">
        <x:v>7511111</x:v>
      </x:c>
      <x:c r="C5" s="6" t="s">
        <x:v>23</x:v>
      </x:c>
      <x:c r="D5" s="7">
        <x:f>C5&amp;"-"&amp;B5</x:f>
      </x:c>
      <x:c r="E5" s="6" t="s">
        <x:v>87</x:v>
      </x:c>
      <x:c r="F5" s="4" t="s">
        <x:v>97</x:v>
      </x:c>
    </x:row>
    <x:row r="6" spans="1:41" customFormat="1" ht="18" customHeight="1">
      <x:c r="A6" s="4" t="s">
        <x:v>103</x:v>
      </x:c>
      <x:c r="B6" s="5" t="n">
        <x:v>7511112</x:v>
      </x:c>
      <x:c r="C6" s="6" t="s">
        <x:v>23</x:v>
      </x:c>
      <x:c r="D6" s="7">
        <x:f>C6&amp;"-"&amp;B6</x:f>
      </x:c>
      <x:c r="E6" s="6" t="s">
        <x:v>87</x:v>
      </x:c>
      <x:c r="F6" s="4" t="s">
        <x:v>104</x:v>
      </x:c>
    </x:row>
    <x:row r="7" spans="1:41" customFormat="1" ht="18" customHeight="1">
      <x:c r="A7" s="4" t="s">
        <x:v>111</x:v>
      </x:c>
      <x:c r="B7" s="5" t="n">
        <x:v>7511121</x:v>
      </x:c>
      <x:c r="C7" s="6" t="s">
        <x:v>23</x:v>
      </x:c>
      <x:c r="D7" s="7">
        <x:f>C7&amp;"-"&amp;B7</x:f>
      </x:c>
      <x:c r="E7" s="6" t="s">
        <x:v>87</x:v>
      </x:c>
      <x:c r="F7" s="4" t="s">
        <x:v>112</x:v>
      </x:c>
    </x:row>
    <x:row r="8" spans="1:41" customFormat="1" ht="18" customHeight="1">
      <x:c r="A8" s="4" t="s">
        <x:v>117</x:v>
      </x:c>
      <x:c r="B8" s="5" t="n">
        <x:v>7511122</x:v>
      </x:c>
      <x:c r="C8" s="6" t="s">
        <x:v>23</x:v>
      </x:c>
      <x:c r="D8" s="7">
        <x:f>C8&amp;"-"&amp;B8</x:f>
      </x:c>
      <x:c r="E8" s="6" t="s">
        <x:v>87</x:v>
      </x:c>
      <x:c r="F8" s="4" t="s">
        <x:v>118</x:v>
      </x:c>
    </x:row>
    <x:row r="9" spans="1:41" customFormat="1" ht="18" customHeight="1">
      <x:c r="A9" s="4" t="s">
        <x:v>119</x:v>
      </x:c>
      <x:c r="B9" s="5" t="n">
        <x:v>7511201</x:v>
      </x:c>
      <x:c r="C9" s="6" t="s">
        <x:v>23</x:v>
      </x:c>
      <x:c r="D9" s="7">
        <x:f>C9&amp;"-"&amp;B9</x:f>
      </x:c>
      <x:c r="E9" s="6" t="s">
        <x:v>120</x:v>
      </x:c>
      <x:c r="F9" s="4" t="s">
        <x:v>121</x:v>
      </x:c>
    </x:row>
    <x:row r="10" spans="1:41" customFormat="1" ht="18" customHeight="1">
      <x:c r="A10" s="4" t="s">
        <x:v>124</x:v>
      </x:c>
      <x:c r="B10" s="5" t="n">
        <x:v>7512111</x:v>
      </x:c>
      <x:c r="C10" s="6" t="s">
        <x:v>23</x:v>
      </x:c>
      <x:c r="D10" s="7">
        <x:f>C10&amp;"-"&amp;B10</x:f>
      </x:c>
      <x:c r="E10" s="6" t="s">
        <x:v>125</x:v>
      </x:c>
      <x:c r="F10" s="4" t="s">
        <x:v>126</x:v>
      </x:c>
    </x:row>
    <x:row r="11" spans="1:41" customFormat="1" ht="18" customHeight="1">
      <x:c r="A11" s="4" t="s">
        <x:v>129</x:v>
      </x:c>
      <x:c r="B11" s="5" t="n">
        <x:v>7512112</x:v>
      </x:c>
      <x:c r="C11" s="6" t="s">
        <x:v>23</x:v>
      </x:c>
      <x:c r="D11" s="7">
        <x:f>C11&amp;"-"&amp;B11</x:f>
      </x:c>
      <x:c r="E11" s="6" t="s">
        <x:v>125</x:v>
      </x:c>
      <x:c r="F11" s="4" t="s">
        <x:v>130</x:v>
      </x:c>
    </x:row>
    <x:row r="12" spans="1:41" customFormat="1" ht="18" customHeight="1">
      <x:c r="A12" s="4" t="s">
        <x:v>133</x:v>
      </x:c>
      <x:c r="B12" s="5" t="n">
        <x:v>7514101</x:v>
      </x:c>
      <x:c r="C12" s="6" t="s">
        <x:v>23</x:v>
      </x:c>
      <x:c r="D12" s="7">
        <x:f>C12&amp;"-"&amp;B12</x:f>
      </x:c>
      <x:c r="E12" s="6" t="s">
        <x:v>87</x:v>
      </x:c>
      <x:c r="F12" s="4" t="s">
        <x:v>134</x:v>
      </x:c>
    </x:row>
    <x:row r="13" spans="1:41" customFormat="1" ht="18" customHeight="1">
      <x:c r="A13" s="4" t="s">
        <x:v>137</x:v>
      </x:c>
      <x:c r="B13" s="5" t="n">
        <x:v>7514102</x:v>
      </x:c>
      <x:c r="C13" s="6" t="s">
        <x:v>23</x:v>
      </x:c>
      <x:c r="D13" s="7">
        <x:f>C13&amp;"-"&amp;B13</x:f>
      </x:c>
      <x:c r="E13" s="6" t="s">
        <x:v>87</x:v>
      </x:c>
      <x:c r="F13" s="4" t="s">
        <x:v>138</x:v>
      </x:c>
    </x:row>
    <x:row r="14" spans="1:41" customFormat="1" ht="18" customHeight="1">
      <x:c r="A14" s="4" t="s">
        <x:v>141</x:v>
      </x:c>
      <x:c r="B14" s="5" t="n">
        <x:v>7515401</x:v>
      </x:c>
      <x:c r="C14" s="6" t="s">
        <x:v>23</x:v>
      </x:c>
      <x:c r="D14" s="7">
        <x:f>C14&amp;"-"&amp;B14</x:f>
      </x:c>
      <x:c r="E14" s="6" t="s">
        <x:v>125</x:v>
      </x:c>
      <x:c r="F14" s="4" t="s">
        <x:v>142</x:v>
      </x:c>
    </x:row>
    <x:row r="15" spans="1:41" customFormat="1" ht="18" customHeight="1">
      <x:c r="A15" s="4" t="s">
        <x:v>147</x:v>
      </x:c>
      <x:c r="B15" s="5" t="n">
        <x:v>7515402</x:v>
      </x:c>
      <x:c r="C15" s="6" t="s">
        <x:v>23</x:v>
      </x:c>
      <x:c r="D15" s="7">
        <x:f>C15&amp;"-"&amp;B15</x:f>
      </x:c>
      <x:c r="E15" s="6" t="s">
        <x:v>125</x:v>
      </x:c>
      <x:c r="F15" s="4" t="s">
        <x:v>148</x:v>
      </x:c>
    </x:row>
    <x:row r="16" spans="1:41" customFormat="1" ht="18" customHeight="1">
      <x:c r="A16" s="4" t="s">
        <x:v>151</x:v>
      </x:c>
      <x:c r="B16" s="5" t="n">
        <x:v>7515403</x:v>
      </x:c>
      <x:c r="C16" s="6" t="s">
        <x:v>23</x:v>
      </x:c>
      <x:c r="D16" s="7">
        <x:f>C16&amp;"-"&amp;B16</x:f>
      </x:c>
      <x:c r="E16" s="6" t="s">
        <x:v>125</x:v>
      </x:c>
      <x:c r="F16" s="4" t="s">
        <x:v>152</x:v>
      </x:c>
    </x:row>
    <x:row r="17" spans="1:41" customFormat="1" ht="18" customHeight="1">
      <x:c r="A17" s="4" t="s">
        <x:v>155</x:v>
      </x:c>
      <x:c r="B17" s="5" t="n">
        <x:v>7515404</x:v>
      </x:c>
      <x:c r="C17" s="6" t="s">
        <x:v>23</x:v>
      </x:c>
      <x:c r="D17" s="7">
        <x:f>C17&amp;"-"&amp;B17</x:f>
      </x:c>
      <x:c r="E17" s="6" t="s">
        <x:v>125</x:v>
      </x:c>
      <x:c r="F17" s="4" t="s">
        <x:v>156</x:v>
      </x:c>
    </x:row>
    <x:row r="18" spans="1:41" customFormat="1" ht="18" customHeight="1">
      <x:c r="A18" s="4" t="s">
        <x:v>159</x:v>
      </x:c>
      <x:c r="B18" s="5" t="n">
        <x:v>7515405</x:v>
      </x:c>
      <x:c r="C18" s="6" t="s">
        <x:v>23</x:v>
      </x:c>
      <x:c r="D18" s="7">
        <x:f>C18&amp;"-"&amp;B18</x:f>
      </x:c>
      <x:c r="E18" s="6" t="s">
        <x:v>125</x:v>
      </x:c>
      <x:c r="F18" s="4" t="s">
        <x:v>160</x:v>
      </x:c>
    </x:row>
    <x:row r="19" spans="1:41" customFormat="1" ht="18" customHeight="1">
      <x:c r="A19" s="4" t="s">
        <x:v>163</x:v>
      </x:c>
      <x:c r="B19" s="5" t="n">
        <x:v>7515406</x:v>
      </x:c>
      <x:c r="C19" s="6" t="s">
        <x:v>23</x:v>
      </x:c>
      <x:c r="D19" s="7">
        <x:f>C19&amp;"-"&amp;B19</x:f>
      </x:c>
      <x:c r="E19" s="6" t="s">
        <x:v>125</x:v>
      </x:c>
      <x:c r="F19" s="4" t="s">
        <x:v>164</x:v>
      </x:c>
    </x:row>
    <x:row r="20" spans="1:41" customFormat="1" ht="18" customHeight="1">
      <x:c r="A20" s="4" t="s">
        <x:v>170</x:v>
      </x:c>
      <x:c r="B20" s="5" t="n">
        <x:v>7515408</x:v>
      </x:c>
      <x:c r="C20" s="6" t="s">
        <x:v>23</x:v>
      </x:c>
      <x:c r="D20" s="7">
        <x:f>C20&amp;"-"&amp;B20</x:f>
      </x:c>
      <x:c r="E20" s="6" t="s">
        <x:v>125</x:v>
      </x:c>
      <x:c r="F20" s="4" t="s">
        <x:v>171</x:v>
      </x:c>
    </x:row>
    <x:row r="21" spans="1:41" customFormat="1" ht="18" customHeight="1">
      <x:c r="A21" s="4" t="s">
        <x:v>174</x:v>
      </x:c>
      <x:c r="B21" s="5" t="n">
        <x:v>7515409</x:v>
      </x:c>
      <x:c r="C21" s="6" t="s">
        <x:v>23</x:v>
      </x:c>
      <x:c r="D21" s="7">
        <x:f>C21&amp;"-"&amp;B21</x:f>
      </x:c>
      <x:c r="E21" s="6" t="s">
        <x:v>125</x:v>
      </x:c>
      <x:c r="F21" s="4" t="s">
        <x:v>175</x:v>
      </x:c>
    </x:row>
    <x:row r="22" spans="1:41" customFormat="1" ht="18" customHeight="1">
      <x:c r="A22" s="4" t="s">
        <x:v>178</x:v>
      </x:c>
      <x:c r="B22" s="5" t="n">
        <x:v>7515410</x:v>
      </x:c>
      <x:c r="C22" s="6" t="s">
        <x:v>23</x:v>
      </x:c>
      <x:c r="D22" s="7">
        <x:f>C22&amp;"-"&amp;B22</x:f>
      </x:c>
      <x:c r="E22" s="6" t="s">
        <x:v>125</x:v>
      </x:c>
      <x:c r="F22" s="4" t="s">
        <x:v>179</x:v>
      </x:c>
    </x:row>
    <x:row r="23" spans="1:41" customFormat="1" ht="18" customHeight="1">
      <x:c r="A23" s="4" t="s">
        <x:v>182</x:v>
      </x:c>
      <x:c r="B23" s="5" t="n">
        <x:v>7515499</x:v>
      </x:c>
      <x:c r="C23" s="6" t="s">
        <x:v>23</x:v>
      </x:c>
      <x:c r="D23" s="7">
        <x:f>C23&amp;"-"&amp;B23</x:f>
      </x:c>
      <x:c r="E23" s="6" t="s">
        <x:v>125</x:v>
      </x:c>
      <x:c r="F23" s="4" t="s">
        <x:v>183</x:v>
      </x:c>
    </x:row>
    <x:row r="24" spans="1:41" customFormat="1" ht="18" customHeight="1">
      <x:c r="A24" s="4" t="s">
        <x:v>186</x:v>
      </x:c>
      <x:c r="B24" s="5" t="n">
        <x:v>7516102</x:v>
      </x:c>
      <x:c r="C24" s="6" t="s">
        <x:v>23</x:v>
      </x:c>
      <x:c r="D24" s="7">
        <x:f>C24&amp;"-"&amp;B24</x:f>
      </x:c>
      <x:c r="E24" s="6" t="s">
        <x:v>400</x:v>
      </x:c>
      <x:c r="F24" s="4" t="s">
        <x:v>188</x:v>
      </x:c>
    </x:row>
    <x:row r="25" spans="1:41" customFormat="1" ht="18" customHeight="1">
      <x:c r="A25" s="4" t="s">
        <x:v>191</x:v>
      </x:c>
      <x:c r="B25" s="5" t="n">
        <x:v>7519101</x:v>
      </x:c>
      <x:c r="C25" s="6" t="s">
        <x:v>23</x:v>
      </x:c>
      <x:c r="D25" s="7">
        <x:f>C25&amp;"-"&amp;B25</x:f>
      </x:c>
      <x:c r="E25" s="6" t="s">
        <x:v>69</x:v>
      </x:c>
      <x:c r="F25" s="4" t="s">
        <x:v>192</x:v>
      </x:c>
    </x:row>
    <x:row r="26" spans="1:41" customFormat="1" ht="18" customHeight="1">
      <x:c r="A26" s="4" t="s">
        <x:v>195</x:v>
      </x:c>
      <x:c r="B26" s="5" t="n">
        <x:v>7521101</x:v>
      </x:c>
      <x:c r="C26" s="6" t="s">
        <x:v>23</x:v>
      </x:c>
      <x:c r="D26" s="7">
        <x:f>C26&amp;"-"&amp;B26</x:f>
      </x:c>
      <x:c r="E26" s="6" t="s">
        <x:v>87</x:v>
      </x:c>
      <x:c r="F26" s="4" t="s">
        <x:v>196</x:v>
      </x:c>
    </x:row>
    <x:row r="27" spans="1:41" customFormat="1" ht="18" customHeight="1">
      <x:c r="A27" s="4" t="s">
        <x:v>199</x:v>
      </x:c>
      <x:c r="B27" s="5" t="n">
        <x:v>7521102</x:v>
      </x:c>
      <x:c r="C27" s="6" t="s">
        <x:v>23</x:v>
      </x:c>
      <x:c r="D27" s="7">
        <x:f>C27&amp;"-"&amp;B27</x:f>
      </x:c>
      <x:c r="E27" s="6" t="s">
        <x:v>120</x:v>
      </x:c>
      <x:c r="F27" s="4" t="s">
        <x:v>200</x:v>
      </x:c>
    </x:row>
    <x:row r="28" spans="1:41" customFormat="1" ht="18" customHeight="1">
      <x:c r="A28" s="4" t="s">
        <x:v>204</x:v>
      </x:c>
      <x:c r="B28" s="5" t="n">
        <x:v>7571101</x:v>
      </x:c>
      <x:c r="C28" s="6" t="s">
        <x:v>23</x:v>
      </x:c>
      <x:c r="D28" s="7">
        <x:f>C28&amp;"-"&amp;B28</x:f>
      </x:c>
      <x:c r="E28" s="6" t="s">
        <x:v>401</x:v>
      </x:c>
      <x:c r="F28" s="4" t="s">
        <x:v>206</x:v>
      </x:c>
    </x:row>
    <x:row r="29" spans="1:41" customFormat="1" ht="18" customHeight="1">
      <x:c r="A29" s="4" t="s">
        <x:v>73</x:v>
      </x:c>
      <x:c r="B29" s="5" t="n">
        <x:v>7611100</x:v>
      </x:c>
      <x:c r="C29" s="6" t="s">
        <x:v>23</x:v>
      </x:c>
      <x:c r="D29" s="7">
        <x:f>C29&amp;"-"&amp;B29</x:f>
      </x:c>
      <x:c r="E29" s="6" t="s">
        <x:v>209</x:v>
      </x:c>
      <x:c r="F29" s="4" t="s">
        <x:v>210</x:v>
      </x:c>
    </x:row>
    <x:row r="30" spans="1:41" customFormat="1" ht="18" customHeight="1">
      <x:c r="A30" s="4" t="s">
        <x:v>82</x:v>
      </x:c>
      <x:c r="B30" s="5" t="n">
        <x:v>7611300</x:v>
      </x:c>
      <x:c r="C30" s="6" t="s">
        <x:v>23</x:v>
      </x:c>
      <x:c r="D30" s="7">
        <x:f>C30&amp;"-"&amp;B30</x:f>
      </x:c>
      <x:c r="E30" s="6" t="s">
        <x:v>209</x:v>
      </x:c>
      <x:c r="F30" s="4" t="s">
        <x:v>213</x:v>
      </x:c>
    </x:row>
    <x:row r="31" spans="1:41" customFormat="1" ht="18" customHeight="1">
      <x:c r="A31" s="4" t="s">
        <x:v>99</x:v>
      </x:c>
      <x:c r="B31" s="5" t="n">
        <x:v>7611500</x:v>
      </x:c>
      <x:c r="C31" s="6" t="s">
        <x:v>23</x:v>
      </x:c>
      <x:c r="D31" s="7">
        <x:f>C31&amp;"-"&amp;B31</x:f>
      </x:c>
      <x:c r="E31" s="6" t="s">
        <x:v>209</x:v>
      </x:c>
      <x:c r="F31" s="4" t="s">
        <x:v>220</x:v>
      </x:c>
    </x:row>
    <x:row r="32" spans="1:41" customFormat="1" ht="18" customHeight="1">
      <x:c r="A32" s="4" t="s">
        <x:v>105</x:v>
      </x:c>
      <x:c r="B32" s="5" t="n">
        <x:v>7611600</x:v>
      </x:c>
      <x:c r="C32" s="6" t="s">
        <x:v>23</x:v>
      </x:c>
      <x:c r="D32" s="7">
        <x:f>C32&amp;"-"&amp;B32</x:f>
      </x:c>
      <x:c r="E32" s="6" t="s">
        <x:v>209</x:v>
      </x:c>
      <x:c r="F32" s="4" t="s">
        <x:v>223</x:v>
      </x:c>
    </x:row>
    <x:row r="33" spans="1:41" customFormat="1" ht="18" customHeight="1">
      <x:c r="A33" s="4" t="s">
        <x:v>113</x:v>
      </x:c>
      <x:c r="B33" s="5" t="n">
        <x:v>7611700</x:v>
      </x:c>
      <x:c r="C33" s="6" t="s">
        <x:v>23</x:v>
      </x:c>
      <x:c r="D33" s="7">
        <x:f>C33&amp;"-"&amp;B33</x:f>
      </x:c>
      <x:c r="E33" s="6" t="s">
        <x:v>209</x:v>
      </x:c>
      <x:c r="F33" s="4" t="s">
        <x:v>402</x:v>
      </x:c>
    </x:row>
    <x:row r="34" spans="1:41" customFormat="1" ht="18" customHeight="1">
      <x:c r="A34" s="4" t="s">
        <x:v>233</x:v>
      </x:c>
      <x:c r="B34" s="5" t="n">
        <x:v>7621101</x:v>
      </x:c>
      <x:c r="C34" s="6" t="s">
        <x:v>23</x:v>
      </x:c>
      <x:c r="D34" s="7">
        <x:f>C34&amp;"-"&amp;B34</x:f>
      </x:c>
      <x:c r="E34" s="6" t="s">
        <x:v>234</x:v>
      </x:c>
      <x:c r="F34" s="4" t="s">
        <x:v>235</x:v>
      </x:c>
    </x:row>
    <x:row r="35" spans="1:41" customFormat="1" ht="18" customHeight="1">
      <x:c r="A35" s="4" t="s">
        <x:v>238</x:v>
      </x:c>
      <x:c r="B35" s="5" t="n">
        <x:v>7621199</x:v>
      </x:c>
      <x:c r="C35" s="6" t="s">
        <x:v>23</x:v>
      </x:c>
      <x:c r="D35" s="7">
        <x:f>C35&amp;"-"&amp;B35</x:f>
      </x:c>
      <x:c r="E35" s="6" t="s">
        <x:v>239</x:v>
      </x:c>
      <x:c r="F35" s="4" t="s">
        <x:v>240</x:v>
      </x:c>
    </x:row>
    <x:row r="36" spans="1:41" customFormat="1" ht="18" customHeight="1">
      <x:c r="A36" s="4" t="s">
        <x:v>243</x:v>
      </x:c>
      <x:c r="B36" s="5" t="n">
        <x:v>7631101</x:v>
      </x:c>
      <x:c r="C36" s="6" t="s">
        <x:v>23</x:v>
      </x:c>
      <x:c r="D36" s="7">
        <x:f>C36&amp;"-"&amp;B36</x:f>
      </x:c>
      <x:c r="E36" s="6" t="s">
        <x:v>244</x:v>
      </x:c>
      <x:c r="F36" s="4" t="s">
        <x:v>245</x:v>
      </x:c>
    </x:row>
    <x:row r="37" spans="1:41" customFormat="1" ht="18" customHeight="1">
      <x:c r="A37" s="4" t="s">
        <x:v>246</x:v>
      </x:c>
      <x:c r="B37" s="5" t="n">
        <x:v>7631102</x:v>
      </x:c>
      <x:c r="C37" s="6" t="s">
        <x:v>23</x:v>
      </x:c>
      <x:c r="D37" s="7">
        <x:f>C37&amp;"-"&amp;B37</x:f>
      </x:c>
      <x:c r="E37" s="6" t="s">
        <x:v>247</x:v>
      </x:c>
      <x:c r="F37" s="4" t="s">
        <x:v>248</x:v>
      </x:c>
    </x:row>
    <x:row r="38" spans="1:41" customFormat="1" ht="18" customHeight="1">
      <x:c r="A38" s="4" t="s">
        <x:v>251</x:v>
      </x:c>
      <x:c r="B38" s="5" t="n">
        <x:v>7641101</x:v>
      </x:c>
      <x:c r="C38" s="6" t="s">
        <x:v>23</x:v>
      </x:c>
      <x:c r="D38" s="7">
        <x:f>C38&amp;"-"&amp;B38</x:f>
      </x:c>
      <x:c r="E38" s="6" t="s">
        <x:v>252</x:v>
      </x:c>
      <x:c r="F38" s="4" t="s">
        <x:v>253</x:v>
      </x:c>
    </x:row>
    <x:row r="39" spans="1:41" customFormat="1" ht="18" customHeight="1">
      <x:c r="A39" s="4" t="s">
        <x:v>254</x:v>
      </x:c>
      <x:c r="B39" s="5" t="n">
        <x:v>7641102</x:v>
      </x:c>
      <x:c r="C39" s="6" t="s">
        <x:v>23</x:v>
      </x:c>
      <x:c r="D39" s="7">
        <x:f>C39&amp;"-"&amp;B39</x:f>
      </x:c>
      <x:c r="E39" s="6" t="s">
        <x:v>252</x:v>
      </x:c>
      <x:c r="F39" s="4" t="s">
        <x:v>255</x:v>
      </x:c>
    </x:row>
    <x:row r="40" spans="1:41" customFormat="1" ht="18" customHeight="1">
      <x:c r="A40" s="4" t="s">
        <x:v>258</x:v>
      </x:c>
      <x:c r="B40" s="5" t="n">
        <x:v>7641103</x:v>
      </x:c>
      <x:c r="C40" s="6" t="s">
        <x:v>23</x:v>
      </x:c>
      <x:c r="D40" s="7">
        <x:f>C40&amp;"-"&amp;B40</x:f>
      </x:c>
      <x:c r="E40" s="6" t="s">
        <x:v>259</x:v>
      </x:c>
      <x:c r="F40" s="4" t="s">
        <x:v>260</x:v>
      </x:c>
    </x:row>
    <x:row r="41" spans="1:41" customFormat="1" ht="18" customHeight="1">
      <x:c r="A41" s="4" t="s">
        <x:v>263</x:v>
      </x:c>
      <x:c r="B41" s="5" t="n">
        <x:v>7641104</x:v>
      </x:c>
      <x:c r="C41" s="6" t="s">
        <x:v>23</x:v>
      </x:c>
      <x:c r="D41" s="7">
        <x:f>C41&amp;"-"&amp;B41</x:f>
      </x:c>
      <x:c r="E41" s="6" t="s">
        <x:v>259</x:v>
      </x:c>
      <x:c r="F41" s="4" t="s">
        <x:v>264</x:v>
      </x:c>
    </x:row>
    <x:row r="42" spans="1:41" customFormat="1" ht="18" customHeight="1">
      <x:c r="A42" s="4" t="s">
        <x:v>265</x:v>
      </x:c>
      <x:c r="B42" s="5" t="n">
        <x:v>7651101</x:v>
      </x:c>
      <x:c r="C42" s="6" t="s">
        <x:v>23</x:v>
      </x:c>
      <x:c r="D42" s="7">
        <x:f>C42&amp;"-"&amp;B42</x:f>
      </x:c>
      <x:c r="E42" s="6" t="s">
        <x:v>234</x:v>
      </x:c>
      <x:c r="F42" s="4" t="s">
        <x:v>266</x:v>
      </x:c>
    </x:row>
    <x:row r="43" spans="1:41" customFormat="1" ht="18" customHeight="1">
      <x:c r="A43" s="4" t="s">
        <x:v>267</x:v>
      </x:c>
      <x:c r="B43" s="5" t="n">
        <x:v>7651102</x:v>
      </x:c>
      <x:c r="C43" s="6" t="s">
        <x:v>23</x:v>
      </x:c>
      <x:c r="D43" s="7">
        <x:f>C43&amp;"-"&amp;B43</x:f>
      </x:c>
      <x:c r="E43" s="6" t="s">
        <x:v>234</x:v>
      </x:c>
      <x:c r="F43" s="4" t="s">
        <x:v>268</x:v>
      </x:c>
    </x:row>
    <x:row r="44" spans="1:41" customFormat="1" ht="18" customHeight="1">
      <x:c r="A44" s="4" t="s">
        <x:v>269</x:v>
      </x:c>
      <x:c r="B44" s="5" t="n">
        <x:v>7651103</x:v>
      </x:c>
      <x:c r="C44" s="6" t="s">
        <x:v>23</x:v>
      </x:c>
      <x:c r="D44" s="7">
        <x:f>C44&amp;"-"&amp;B44</x:f>
      </x:c>
      <x:c r="E44" s="6" t="s">
        <x:v>234</x:v>
      </x:c>
      <x:c r="F44" s="4" t="s">
        <x:v>270</x:v>
      </x:c>
    </x:row>
    <x:row r="45" spans="1:41" customFormat="1" ht="18" customHeight="1">
      <x:c r="A45" s="4" t="s">
        <x:v>271</x:v>
      </x:c>
      <x:c r="B45" s="5" t="n">
        <x:v>7661101</x:v>
      </x:c>
      <x:c r="C45" s="6" t="s">
        <x:v>23</x:v>
      </x:c>
      <x:c r="D45" s="7">
        <x:f>C45&amp;"-"&amp;B45</x:f>
      </x:c>
      <x:c r="E45" s="6" t="s">
        <x:v>272</x:v>
      </x:c>
      <x:c r="F45" s="4" t="s">
        <x:v>273</x:v>
      </x:c>
    </x:row>
    <x:row r="46" spans="1:41" customFormat="1" ht="18" customHeight="1">
      <x:c r="A46" s="4" t="s">
        <x:v>274</x:v>
      </x:c>
      <x:c r="B46" s="5" t="n">
        <x:v>7671102</x:v>
      </x:c>
      <x:c r="C46" s="6" t="s">
        <x:v>23</x:v>
      </x:c>
      <x:c r="D46" s="7">
        <x:f>C46&amp;"-"&amp;B46</x:f>
      </x:c>
      <x:c r="E46" s="6" t="s">
        <x:v>259</x:v>
      </x:c>
      <x:c r="F46" s="4" t="s">
        <x:v>275</x:v>
      </x:c>
    </x:row>
    <x:row r="47" spans="1:41" customFormat="1" ht="18" customHeight="1">
      <x:c r="A47" s="4" t="s">
        <x:v>276</x:v>
      </x:c>
      <x:c r="B47" s="5" t="n">
        <x:v>7671103</x:v>
      </x:c>
      <x:c r="C47" s="6" t="s">
        <x:v>23</x:v>
      </x:c>
      <x:c r="D47" s="7">
        <x:f>C47&amp;"-"&amp;B47</x:f>
      </x:c>
      <x:c r="E47" s="6" t="s">
        <x:v>259</x:v>
      </x:c>
      <x:c r="F47" s="4" t="s">
        <x:v>277</x:v>
      </x:c>
    </x:row>
    <x:row r="48" spans="1:41" customFormat="1" ht="18" customHeight="1">
      <x:c r="A48" s="4" t="s">
        <x:v>278</x:v>
      </x:c>
      <x:c r="B48" s="5" t="n">
        <x:v>7681101</x:v>
      </x:c>
      <x:c r="C48" s="6" t="s">
        <x:v>23</x:v>
      </x:c>
      <x:c r="D48" s="7">
        <x:f>C48&amp;"-"&amp;B48</x:f>
      </x:c>
      <x:c r="E48" s="6" t="s">
        <x:v>259</x:v>
      </x:c>
      <x:c r="F48" s="4" t="s">
        <x:v>279</x:v>
      </x:c>
    </x:row>
    <x:row r="49" spans="1:41" customFormat="1" ht="18" customHeight="1">
      <x:c r="A49" s="4" t="s">
        <x:v>280</x:v>
      </x:c>
      <x:c r="B49" s="5" t="n">
        <x:v>7691000</x:v>
      </x:c>
      <x:c r="C49" s="6" t="s">
        <x:v>23</x:v>
      </x:c>
      <x:c r="D49" s="7">
        <x:f>C49&amp;"-"&amp;B49</x:f>
      </x:c>
      <x:c r="E49" s="6" t="s">
        <x:v>259</x:v>
      </x:c>
      <x:c r="F49" s="4" t="s">
        <x:v>281</x:v>
      </x:c>
    </x:row>
    <x:row r="50" spans="1:41" customFormat="1" ht="18" customHeight="1">
      <x:c r="A50" s="4" t="s">
        <x:v>282</x:v>
      </x:c>
      <x:c r="B50" s="5" t="n">
        <x:v>7711101</x:v>
      </x:c>
      <x:c r="C50" s="6" t="s">
        <x:v>23</x:v>
      </x:c>
      <x:c r="D50" s="7">
        <x:f>C50&amp;"-"&amp;B50</x:f>
      </x:c>
      <x:c r="E50" s="6" t="s">
        <x:v>259</x:v>
      </x:c>
      <x:c r="F50" s="4" t="s">
        <x:v>283</x:v>
      </x:c>
    </x:row>
    <x:row r="51" spans="1:41" customFormat="1" ht="18" customHeight="1">
      <x:c r="A51" s="4" t="s">
        <x:v>284</x:v>
      </x:c>
      <x:c r="B51" s="5" t="n">
        <x:v>7711102</x:v>
      </x:c>
      <x:c r="C51" s="6" t="s">
        <x:v>23</x:v>
      </x:c>
      <x:c r="D51" s="7">
        <x:f>C51&amp;"-"&amp;B51</x:f>
      </x:c>
      <x:c r="E51" s="6" t="s">
        <x:v>285</x:v>
      </x:c>
      <x:c r="F51" s="4" t="s">
        <x:v>286</x:v>
      </x:c>
    </x:row>
    <x:row r="52" spans="1:41" customFormat="1" ht="18" customHeight="1">
      <x:c r="A52" s="4" t="s">
        <x:v>287</x:v>
      </x:c>
      <x:c r="B52" s="5" t="n">
        <x:v>7711103</x:v>
      </x:c>
      <x:c r="C52" s="6" t="s">
        <x:v>23</x:v>
      </x:c>
      <x:c r="D52" s="7">
        <x:f>C52&amp;"-"&amp;B52</x:f>
      </x:c>
      <x:c r="E52" s="6" t="s">
        <x:v>259</x:v>
      </x:c>
      <x:c r="F52" s="4" t="s">
        <x:v>288</x:v>
      </x:c>
    </x:row>
    <x:row r="53" spans="1:41" customFormat="1" ht="18" customHeight="1">
      <x:c r="A53" s="4" t="s">
        <x:v>291</x:v>
      </x:c>
      <x:c r="B53" s="5" t="n">
        <x:v>7729101</x:v>
      </x:c>
      <x:c r="C53" s="6" t="s">
        <x:v>23</x:v>
      </x:c>
      <x:c r="D53" s="7">
        <x:f>C53&amp;"-"&amp;B53</x:f>
      </x:c>
      <x:c r="E53" s="6" t="s">
        <x:v>292</x:v>
      </x:c>
      <x:c r="F53" s="4" t="s">
        <x:v>293</x:v>
      </x:c>
    </x:row>
    <x:row r="54" spans="1:41" customFormat="1" ht="18" customHeight="1">
      <x:c r="A54" s="4" t="s">
        <x:v>294</x:v>
      </x:c>
      <x:c r="B54" s="5" t="n">
        <x:v>7729103</x:v>
      </x:c>
      <x:c r="C54" s="6" t="s">
        <x:v>23</x:v>
      </x:c>
      <x:c r="D54" s="7">
        <x:f>C54&amp;"-"&amp;B54</x:f>
      </x:c>
      <x:c r="E54" s="6" t="s">
        <x:v>295</x:v>
      </x:c>
      <x:c r="F54" s="4" t="s">
        <x:v>296</x:v>
      </x:c>
    </x:row>
    <x:row r="55" spans="1:41" customFormat="1" ht="18" customHeight="1">
      <x:c r="A55" s="4" t="s">
        <x:v>297</x:v>
      </x:c>
      <x:c r="B55" s="5" t="n">
        <x:v>7729105</x:v>
      </x:c>
      <x:c r="C55" s="6" t="s">
        <x:v>23</x:v>
      </x:c>
      <x:c r="D55" s="7">
        <x:f>C55&amp;"-"&amp;B55</x:f>
      </x:c>
      <x:c r="E55" s="6" t="s">
        <x:v>259</x:v>
      </x:c>
      <x:c r="F55" s="4" t="s">
        <x:v>298</x:v>
      </x:c>
    </x:row>
    <x:row r="56" spans="1:41" customFormat="1" ht="18" customHeight="1">
      <x:c r="A56" s="4" t="s">
        <x:v>299</x:v>
      </x:c>
      <x:c r="B56" s="5" t="n">
        <x:v>7781101</x:v>
      </x:c>
      <x:c r="C56" s="6" t="s">
        <x:v>23</x:v>
      </x:c>
      <x:c r="D56" s="7">
        <x:f>C56&amp;"-"&amp;B56</x:f>
      </x:c>
      <x:c r="E56" s="6" t="s">
        <x:v>259</x:v>
      </x:c>
      <x:c r="F56" s="4" t="s">
        <x:v>300</x:v>
      </x:c>
    </x:row>
    <x:row r="57" spans="1:41" customFormat="1" ht="18" customHeight="1">
      <x:c r="A57" s="4" t="s">
        <x:v>301</x:v>
      </x:c>
      <x:c r="B57" s="5" t="n">
        <x:v>7781103</x:v>
      </x:c>
      <x:c r="C57" s="6" t="s">
        <x:v>23</x:v>
      </x:c>
      <x:c r="D57" s="7">
        <x:f>C57&amp;"-"&amp;B57</x:f>
      </x:c>
      <x:c r="E57" s="6" t="s">
        <x:v>259</x:v>
      </x:c>
      <x:c r="F57" s="4" t="s">
        <x:v>302</x:v>
      </x:c>
    </x:row>
    <x:row r="58" spans="1:41" customFormat="1" ht="18" customHeight="1">
      <x:c r="A58" s="4" t="s">
        <x:v>303</x:v>
      </x:c>
      <x:c r="B58" s="5" t="n">
        <x:v>7781104</x:v>
      </x:c>
      <x:c r="C58" s="6" t="s">
        <x:v>23</x:v>
      </x:c>
      <x:c r="D58" s="7">
        <x:f>C58&amp;"-"&amp;B58</x:f>
      </x:c>
      <x:c r="E58" s="6" t="s">
        <x:v>259</x:v>
      </x:c>
      <x:c r="F58" s="4" t="s">
        <x:v>304</x:v>
      </x:c>
    </x:row>
    <x:row r="59" spans="1:41" customFormat="1" ht="18" customHeight="1">
      <x:c r="A59" s="4" t="s">
        <x:v>309</x:v>
      </x:c>
      <x:c r="B59" s="5" t="n">
        <x:v>7781107</x:v>
      </x:c>
      <x:c r="C59" s="6" t="s">
        <x:v>23</x:v>
      </x:c>
      <x:c r="D59" s="7">
        <x:f>C59&amp;"-"&amp;B59</x:f>
      </x:c>
      <x:c r="E59" s="6" t="s">
        <x:v>310</x:v>
      </x:c>
      <x:c r="F59" s="4" t="s">
        <x:v>311</x:v>
      </x:c>
    </x:row>
    <x:row r="60" spans="1:41" customFormat="1" ht="18" customHeight="1">
      <x:c r="A60" s="4" t="s">
        <x:v>312</x:v>
      </x:c>
      <x:c r="B60" s="5" t="n">
        <x:v>7781111</x:v>
      </x:c>
      <x:c r="C60" s="6" t="s">
        <x:v>23</x:v>
      </x:c>
      <x:c r="D60" s="7">
        <x:f>C60&amp;"-"&amp;B60</x:f>
      </x:c>
      <x:c r="E60" s="6" t="s">
        <x:v>259</x:v>
      </x:c>
      <x:c r="F60" s="4" t="s">
        <x:v>313</x:v>
      </x:c>
    </x:row>
    <x:row r="61" spans="1:41" customFormat="1" ht="18" customHeight="1">
      <x:c r="A61" s="4" t="s">
        <x:v>314</x:v>
      </x:c>
      <x:c r="B61" s="5" t="n">
        <x:v>7781112</x:v>
      </x:c>
      <x:c r="C61" s="6" t="s">
        <x:v>23</x:v>
      </x:c>
      <x:c r="D61" s="7">
        <x:f>C61&amp;"-"&amp;B61</x:f>
      </x:c>
      <x:c r="E61" s="6" t="s">
        <x:v>259</x:v>
      </x:c>
      <x:c r="F61" s="4" t="s">
        <x:v>315</x:v>
      </x:c>
    </x:row>
    <x:row r="62" spans="1:41" customFormat="1" ht="18" customHeight="1">
      <x:c r="A62" s="4" t="s">
        <x:v>316</x:v>
      </x:c>
      <x:c r="B62" s="5" t="n">
        <x:v>7781113</x:v>
      </x:c>
      <x:c r="C62" s="6" t="s">
        <x:v>23</x:v>
      </x:c>
      <x:c r="D62" s="7">
        <x:f>C62&amp;"-"&amp;B62</x:f>
      </x:c>
      <x:c r="E62" s="6" t="s">
        <x:v>259</x:v>
      </x:c>
      <x:c r="F62" s="4" t="s">
        <x:v>317</x:v>
      </x:c>
    </x:row>
    <x:row r="63" spans="1:41" customFormat="1" ht="18" customHeight="1">
      <x:c r="A63" s="4" t="s">
        <x:v>318</x:v>
      </x:c>
      <x:c r="B63" s="5" t="n">
        <x:v>7411101</x:v>
      </x:c>
      <x:c r="C63" s="6" t="s">
        <x:v>23</x:v>
      </x:c>
      <x:c r="D63" s="7">
        <x:f>C63&amp;"-"&amp;B63</x:f>
      </x:c>
      <x:c r="E63" s="6" t="s">
        <x:v>319</x:v>
      </x:c>
      <x:c r="F63" s="4" t="s">
        <x:v>320</x:v>
      </x:c>
    </x:row>
    <x:row r="64" spans="1:41" customFormat="1" ht="18" customHeight="1">
      <x:c r="A64" s="4" t="s">
        <x:v>321</x:v>
      </x:c>
      <x:c r="B64" s="5" t="n">
        <x:v>7411103</x:v>
      </x:c>
      <x:c r="C64" s="6" t="s">
        <x:v>23</x:v>
      </x:c>
      <x:c r="D64" s="7">
        <x:f>C64&amp;"-"&amp;B64</x:f>
      </x:c>
      <x:c r="E64" s="6" t="s">
        <x:v>322</x:v>
      </x:c>
      <x:c r="F64" s="4" t="s">
        <x:v>323</x:v>
      </x:c>
    </x:row>
    <x:row r="65" spans="1:41" customFormat="1" ht="18" customHeight="1">
      <x:c r="A65" s="4" t="s">
        <x:v>324</x:v>
      </x:c>
      <x:c r="B65" s="5" t="n">
        <x:v>7411104</x:v>
      </x:c>
      <x:c r="C65" s="6" t="s">
        <x:v>23</x:v>
      </x:c>
      <x:c r="D65" s="7">
        <x:f>C65&amp;"-"&amp;B65</x:f>
      </x:c>
      <x:c r="E65" s="6" t="s">
        <x:v>325</x:v>
      </x:c>
      <x:c r="F65" s="4" t="s">
        <x:v>326</x:v>
      </x:c>
    </x:row>
    <x:row r="66" spans="1:41" customFormat="1" ht="18" customHeight="1">
      <x:c r="A66" s="4" t="s">
        <x:v>327</x:v>
      </x:c>
      <x:c r="B66" s="5" t="n">
        <x:v>7431101</x:v>
      </x:c>
      <x:c r="C66" s="6" t="s">
        <x:v>23</x:v>
      </x:c>
      <x:c r="D66" s="7">
        <x:f>C66&amp;"-"&amp;B66</x:f>
      </x:c>
      <x:c r="E66" s="6" t="s">
        <x:v>328</x:v>
      </x:c>
      <x:c r="F66" s="4" t="s">
        <x:v>329</x:v>
      </x:c>
    </x:row>
    <x:row r="67" spans="1:41" customFormat="1" ht="18" customHeight="1">
      <x:c r="A67" s="4" t="s">
        <x:v>330</x:v>
      </x:c>
      <x:c r="B67" s="5" t="n">
        <x:v>7451101</x:v>
      </x:c>
      <x:c r="C67" s="6" t="s">
        <x:v>23</x:v>
      </x:c>
      <x:c r="D67" s="7">
        <x:f>C67&amp;"-"&amp;B67</x:f>
      </x:c>
      <x:c r="E67" s="6" t="s">
        <x:v>403</x:v>
      </x:c>
      <x:c r="F67" s="4" t="s">
        <x:v>404</x:v>
      </x:c>
    </x:row>
    <x:row r="68" spans="1:41" customFormat="1" ht="18" customHeight="1">
      <x:c r="A68" s="4" t="s">
        <x:v>333</x:v>
      </x:c>
      <x:c r="B68" s="5" t="n">
        <x:v>7451102</x:v>
      </x:c>
      <x:c r="C68" s="6" t="s">
        <x:v>23</x:v>
      </x:c>
      <x:c r="D68" s="7">
        <x:f>C68&amp;"-"&amp;B68</x:f>
      </x:c>
      <x:c r="E68" s="6" t="s">
        <x:v>405</x:v>
      </x:c>
      <x:c r="F68" s="4" t="s">
        <x:v>406</x:v>
      </x:c>
    </x:row>
    <x:row r="69" spans="1:41" customFormat="1" ht="18" customHeight="1">
      <x:c r="A69" s="4" t="s">
        <x:v>336</x:v>
      </x:c>
      <x:c r="B69" s="5" t="n">
        <x:v>7451103</x:v>
      </x:c>
      <x:c r="C69" s="6" t="s">
        <x:v>23</x:v>
      </x:c>
      <x:c r="D69" s="7">
        <x:f>C69&amp;"-"&amp;B69</x:f>
      </x:c>
      <x:c r="E69" s="6" t="s">
        <x:v>407</x:v>
      </x:c>
      <x:c r="F69" s="4" t="s">
        <x:v>408</x:v>
      </x:c>
    </x:row>
    <x:row r="70" spans="1:41" customFormat="1" ht="18" customHeight="1">
      <x:c r="A70" s="108" t="s">
        <x:v>339</x:v>
      </x:c>
      <x:c r="B70" s="5" t="n">
        <x:v>7461101</x:v>
      </x:c>
      <x:c r="C70" s="6" t="s">
        <x:v>23</x:v>
      </x:c>
      <x:c r="D70" s="7">
        <x:f>C70&amp;"-"&amp;B70</x:f>
      </x:c>
      <x:c r="E70" s="6" t="s">
        <x:v>340</x:v>
      </x:c>
      <x:c r="F70" s="4" t="s">
        <x:v>341</x:v>
      </x:c>
    </x:row>
    <x:row r="71" spans="1:41" customFormat="1" ht="18" customHeight="1">
      <x:c r="A71" s="4" t="s">
        <x:v>342</x:v>
      </x:c>
      <x:c r="B71" s="5" t="n">
        <x:v>7411105</x:v>
      </x:c>
      <x:c r="C71" s="6" t="s">
        <x:v>23</x:v>
      </x:c>
      <x:c r="D71" s="6">
        <x:f>C71&amp;"-"&amp;B71</x:f>
      </x:c>
      <x:c r="E71" s="109" t="s">
        <x:v>409</x:v>
      </x:c>
    </x:row>
    <x:row r="72" spans="1:41" customFormat="1" ht="18" customHeight="1">
      <x:c r="A72" s="4" t="s">
        <x:v>344</x:v>
      </x:c>
      <x:c r="B72" s="5" t="n">
        <x:v>7471201</x:v>
      </x:c>
      <x:c r="C72" s="6" t="s">
        <x:v>23</x:v>
      </x:c>
      <x:c r="D72" s="6">
        <x:f>C72&amp;"-"&amp;B72</x:f>
      </x:c>
      <x:c r="E72" s="109" t="s">
        <x:v>410</x:v>
      </x:c>
    </x:row>
    <x:row r="73" spans="1:41" customFormat="1" ht="18" customHeight="1">
      <x:c r="A73" s="4" t="s">
        <x:v>346</x:v>
      </x:c>
      <x:c r="B73" s="5" t="n">
        <x:v>7751101</x:v>
      </x:c>
      <x:c r="C73" s="6" t="s">
        <x:v>23</x:v>
      </x:c>
      <x:c r="D73" s="6">
        <x:f>C73&amp;"-"&amp;B73</x:f>
      </x:c>
    </x:row>
    <x:row r="74" spans="1:41" customFormat="1" ht="18" customHeight="1">
      <x:c r="A74" s="4" t="s">
        <x:v>347</x:v>
      </x:c>
      <x:c r="B74" s="5" t="n">
        <x:v>7751102</x:v>
      </x:c>
      <x:c r="C74" s="6" t="s">
        <x:v>23</x:v>
      </x:c>
      <x:c r="D74" s="6">
        <x:f>C74&amp;"-"&amp;B74</x:f>
      </x:c>
    </x:row>
    <x:row r="75" spans="1:41" customFormat="1" ht="18" customHeight="1">
      <x:c r="A75" s="4" t="s">
        <x:v>348</x:v>
      </x:c>
      <x:c r="B75" s="10" t="n">
        <x:v>7111211</x:v>
      </x:c>
      <x:c r="C75" s="10" t="s">
        <x:v>145</x:v>
      </x:c>
      <x:c r="D75" s="10">
        <x:f>C75&amp;"-"&amp;B75</x:f>
      </x:c>
    </x:row>
    <x:row r="76" spans="1:41" customFormat="1" ht="18" customHeight="1">
      <x:c r="A76" s="4" t="s">
        <x:v>350</x:v>
      </x:c>
      <x:c r="B76" s="10" t="n">
        <x:v>7111221</x:v>
      </x:c>
      <x:c r="C76" s="10" t="s">
        <x:v>145</x:v>
      </x:c>
      <x:c r="D76" s="10">
        <x:f>C76&amp;"-"&amp;B76</x:f>
      </x:c>
    </x:row>
    <x:row r="77" spans="1:41" customFormat="1" ht="18" customHeight="1">
      <x:c r="A77" s="4" t="s">
        <x:v>351</x:v>
      </x:c>
      <x:c r="B77" s="10" t="n">
        <x:v>7111222</x:v>
      </x:c>
      <x:c r="C77" s="10" t="s">
        <x:v>145</x:v>
      </x:c>
      <x:c r="D77" s="10">
        <x:f>C77&amp;"-"&amp;B77</x:f>
      </x:c>
    </x:row>
    <x:row r="78" spans="1:41" customFormat="1" ht="18" customHeight="1">
      <x:c r="A78" s="4" t="s">
        <x:v>352</x:v>
      </x:c>
      <x:c r="B78" s="10" t="n">
        <x:v>7111223</x:v>
      </x:c>
      <x:c r="C78" s="10" t="s">
        <x:v>145</x:v>
      </x:c>
      <x:c r="D78" s="10">
        <x:f>C78&amp;"-"&amp;B78</x:f>
      </x:c>
    </x:row>
    <x:row r="79" spans="1:41" customFormat="1" ht="18" customHeight="1">
      <x:c r="A79" s="4" t="s">
        <x:v>353</x:v>
      </x:c>
      <x:c r="B79" s="10" t="n">
        <x:v>7111311</x:v>
      </x:c>
      <x:c r="C79" s="10" t="s">
        <x:v>145</x:v>
      </x:c>
      <x:c r="D79" s="10">
        <x:f>C79&amp;"-"&amp;B79</x:f>
      </x:c>
    </x:row>
    <x:row r="80" spans="1:41" customFormat="1" ht="18" customHeight="1">
      <x:c r="A80" s="4" t="s">
        <x:v>355</x:v>
      </x:c>
      <x:c r="B80" s="10" t="n">
        <x:v>7111321</x:v>
      </x:c>
      <x:c r="C80" s="10" t="s">
        <x:v>145</x:v>
      </x:c>
      <x:c r="D80" s="10">
        <x:f>C80&amp;"-"&amp;B80</x:f>
      </x:c>
    </x:row>
    <x:row r="81" spans="1:41" customFormat="1" ht="18" customHeight="1">
      <x:c r="A81" s="4" t="s">
        <x:v>356</x:v>
      </x:c>
      <x:c r="B81" s="10" t="n">
        <x:v>7111322</x:v>
      </x:c>
      <x:c r="C81" s="10" t="s">
        <x:v>145</x:v>
      </x:c>
      <x:c r="D81" s="10">
        <x:f>C81&amp;"-"&amp;B81</x:f>
      </x:c>
    </x:row>
    <x:row r="82" spans="1:41" customFormat="1" ht="18" customHeight="1">
      <x:c r="A82" s="4" t="s">
        <x:v>357</x:v>
      </x:c>
      <x:c r="B82" s="10" t="n">
        <x:v>7111323</x:v>
      </x:c>
      <x:c r="C82" s="10" t="s">
        <x:v>145</x:v>
      </x:c>
      <x:c r="D82" s="10">
        <x:f>C82&amp;"-"&amp;B82</x:f>
      </x:c>
    </x:row>
    <x:row r="83" spans="1:41" customFormat="1" ht="18" customHeight="1">
      <x:c r="A83" s="4" t="s">
        <x:v>361</x:v>
      </x:c>
      <x:c r="B83" s="10" t="n">
        <x:v>7211101</x:v>
      </x:c>
      <x:c r="C83" s="10" t="s">
        <x:v>145</x:v>
      </x:c>
      <x:c r="D83" s="10">
        <x:f>C83&amp;"-"&amp;B83</x:f>
      </x:c>
    </x:row>
    <x:row r="84" spans="1:41" customFormat="1" ht="18" customHeight="1">
      <x:c r="A84" s="4" t="s">
        <x:v>411</x:v>
      </x:c>
      <x:c r="B84" s="10" t="n">
        <x:v>7211102</x:v>
      </x:c>
      <x:c r="C84" s="10" t="s">
        <x:v>145</x:v>
      </x:c>
      <x:c r="D84" s="10">
        <x:f>C84&amp;"-"&amp;B84</x:f>
      </x:c>
      <x:c r="E84" s="10" t="n">
        <x:v>901</x:v>
      </x:c>
      <x:c r="F84" s="4" t="s">
        <x:v>363</x:v>
      </x:c>
    </x:row>
    <x:row r="85" spans="1:41" customFormat="1" ht="18" customHeight="1">
      <x:c r="A85" s="4" t="s">
        <x:v>364</x:v>
      </x:c>
      <x:c r="B85" s="10" t="n">
        <x:v>7211103</x:v>
      </x:c>
      <x:c r="C85" s="10" t="s">
        <x:v>145</x:v>
      </x:c>
      <x:c r="D85" s="10">
        <x:f>C85&amp;"-"&amp;B85</x:f>
      </x:c>
      <x:c r="E85" s="10" t="s"/>
    </x:row>
    <x:row r="86" spans="1:41" customFormat="1" ht="18" customHeight="1">
      <x:c r="A86" s="4" t="s">
        <x:v>366</x:v>
      </x:c>
      <x:c r="B86" s="10" t="n">
        <x:v>7221101</x:v>
      </x:c>
      <x:c r="C86" s="10" t="s">
        <x:v>145</x:v>
      </x:c>
      <x:c r="D86" s="10">
        <x:f>C86&amp;"-"&amp;B86</x:f>
      </x:c>
      <x:c r="E86" s="10" t="n">
        <x:v>302</x:v>
      </x:c>
      <x:c r="F86" s="4" t="s">
        <x:v>367</x:v>
      </x:c>
    </x:row>
    <x:row r="87" spans="1:41" customFormat="1" ht="18" customHeight="1">
      <x:c r="A87" s="4" t="s">
        <x:v>368</x:v>
      </x:c>
      <x:c r="B87" s="10" t="n">
        <x:v>7221102</x:v>
      </x:c>
      <x:c r="C87" s="10" t="s">
        <x:v>145</x:v>
      </x:c>
      <x:c r="D87" s="10">
        <x:f>C87&amp;"-"&amp;B87</x:f>
      </x:c>
      <x:c r="E87" s="10" t="n">
        <x:v>301</x:v>
      </x:c>
      <x:c r="F87" s="4" t="s">
        <x:v>369</x:v>
      </x:c>
    </x:row>
    <x:row r="88" spans="1:41" customFormat="1" ht="18" customHeight="1">
      <x:c r="A88" s="4" t="s">
        <x:v>68</x:v>
      </x:c>
      <x:c r="B88" s="10" t="n">
        <x:v>7511101</x:v>
      </x:c>
      <x:c r="C88" s="10" t="s">
        <x:v>145</x:v>
      </x:c>
      <x:c r="D88" s="10">
        <x:f>C88&amp;"-"&amp;B88</x:f>
      </x:c>
      <x:c r="E88" s="10" t="n">
        <x:v>602</x:v>
      </x:c>
      <x:c r="F88" s="4" t="s">
        <x:v>68</x:v>
      </x:c>
    </x:row>
    <x:row r="89" spans="1:41" customFormat="1" ht="18" customHeight="1">
      <x:c r="A89" s="4" t="s">
        <x:v>77</x:v>
      </x:c>
      <x:c r="B89" s="10" t="n">
        <x:v>7511102</x:v>
      </x:c>
      <x:c r="C89" s="10" t="s">
        <x:v>145</x:v>
      </x:c>
      <x:c r="D89" s="10">
        <x:f>C89&amp;"-"&amp;B89</x:f>
      </x:c>
      <x:c r="E89" s="10" t="n">
        <x:v>602</x:v>
      </x:c>
      <x:c r="F89" s="4" t="s">
        <x:v>78</x:v>
      </x:c>
    </x:row>
    <x:row r="90" spans="1:41" customFormat="1" ht="18" customHeight="1">
      <x:c r="A90" s="4" t="s">
        <x:v>86</x:v>
      </x:c>
      <x:c r="B90" s="10" t="n">
        <x:v>7511103</x:v>
      </x:c>
      <x:c r="C90" s="10" t="s">
        <x:v>145</x:v>
      </x:c>
      <x:c r="D90" s="10">
        <x:f>C90&amp;"-"&amp;B90</x:f>
      </x:c>
      <x:c r="E90" s="10" t="n">
        <x:v>601</x:v>
      </x:c>
      <x:c r="F90" s="4" t="s">
        <x:v>88</x:v>
      </x:c>
    </x:row>
    <x:row r="91" spans="1:41" customFormat="1" ht="18" customHeight="1">
      <x:c r="A91" s="4" t="s">
        <x:v>96</x:v>
      </x:c>
      <x:c r="B91" s="10" t="n">
        <x:v>7511111</x:v>
      </x:c>
      <x:c r="C91" s="10" t="s">
        <x:v>145</x:v>
      </x:c>
      <x:c r="D91" s="10">
        <x:f>C91&amp;"-"&amp;B91</x:f>
      </x:c>
      <x:c r="E91" s="10" t="n">
        <x:v>601</x:v>
      </x:c>
      <x:c r="F91" s="4" t="s">
        <x:v>97</x:v>
      </x:c>
    </x:row>
    <x:row r="92" spans="1:41" customFormat="1" ht="18" customHeight="1">
      <x:c r="A92" s="4" t="s">
        <x:v>103</x:v>
      </x:c>
      <x:c r="B92" s="10" t="n">
        <x:v>7511112</x:v>
      </x:c>
      <x:c r="C92" s="10" t="s">
        <x:v>145</x:v>
      </x:c>
      <x:c r="D92" s="10">
        <x:f>C92&amp;"-"&amp;B92</x:f>
      </x:c>
      <x:c r="E92" s="10" t="n">
        <x:v>601</x:v>
      </x:c>
      <x:c r="F92" s="4" t="s">
        <x:v>104</x:v>
      </x:c>
    </x:row>
    <x:row r="93" spans="1:41" customFormat="1" ht="18" customHeight="1">
      <x:c r="A93" s="4" t="s">
        <x:v>111</x:v>
      </x:c>
      <x:c r="B93" s="10" t="n">
        <x:v>7511121</x:v>
      </x:c>
      <x:c r="C93" s="10" t="s">
        <x:v>145</x:v>
      </x:c>
      <x:c r="D93" s="10">
        <x:f>C93&amp;"-"&amp;B93</x:f>
      </x:c>
      <x:c r="E93" s="10" t="n">
        <x:v>601</x:v>
      </x:c>
      <x:c r="F93" s="4" t="s">
        <x:v>112</x:v>
      </x:c>
    </x:row>
    <x:row r="94" spans="1:41" customFormat="1" ht="18" customHeight="1">
      <x:c r="A94" s="4" t="s">
        <x:v>117</x:v>
      </x:c>
      <x:c r="B94" s="10" t="n">
        <x:v>7511122</x:v>
      </x:c>
      <x:c r="C94" s="10" t="s">
        <x:v>145</x:v>
      </x:c>
      <x:c r="D94" s="10">
        <x:f>C94&amp;"-"&amp;B94</x:f>
      </x:c>
      <x:c r="E94" s="10" t="n">
        <x:v>601</x:v>
      </x:c>
      <x:c r="F94" s="4" t="s">
        <x:v>118</x:v>
      </x:c>
    </x:row>
    <x:row r="95" spans="1:41" customFormat="1" ht="18" customHeight="1">
      <x:c r="A95" s="4" t="s">
        <x:v>119</x:v>
      </x:c>
      <x:c r="B95" s="10" t="n">
        <x:v>7511201</x:v>
      </x:c>
      <x:c r="C95" s="10" t="s">
        <x:v>145</x:v>
      </x:c>
      <x:c r="D95" s="10">
        <x:f>C95&amp;"-"&amp;B95</x:f>
      </x:c>
      <x:c r="E95" s="10" t="n">
        <x:v>603</x:v>
      </x:c>
      <x:c r="F95" s="4" t="s">
        <x:v>121</x:v>
      </x:c>
    </x:row>
    <x:row r="96" spans="1:41" customFormat="1" ht="18" customHeight="1">
      <x:c r="A96" s="4" t="s">
        <x:v>124</x:v>
      </x:c>
      <x:c r="B96" s="10" t="n">
        <x:v>7512111</x:v>
      </x:c>
      <x:c r="C96" s="10" t="s">
        <x:v>145</x:v>
      </x:c>
      <x:c r="D96" s="10">
        <x:f>C96&amp;"-"&amp;B96</x:f>
      </x:c>
      <x:c r="E96" s="10" t="n">
        <x:v>604</x:v>
      </x:c>
      <x:c r="F96" s="4" t="s">
        <x:v>126</x:v>
      </x:c>
    </x:row>
    <x:row r="97" spans="1:41" customFormat="1" ht="18" customHeight="1">
      <x:c r="A97" s="4" t="s">
        <x:v>129</x:v>
      </x:c>
      <x:c r="B97" s="10" t="n">
        <x:v>7512112</x:v>
      </x:c>
      <x:c r="C97" s="10" t="s">
        <x:v>145</x:v>
      </x:c>
      <x:c r="D97" s="10">
        <x:f>C97&amp;"-"&amp;B97</x:f>
      </x:c>
      <x:c r="E97" s="10" t="n">
        <x:v>604</x:v>
      </x:c>
      <x:c r="F97" s="4" t="s">
        <x:v>130</x:v>
      </x:c>
    </x:row>
    <x:row r="98" spans="1:41" customFormat="1" ht="18" customHeight="1">
      <x:c r="A98" s="4" t="s">
        <x:v>133</x:v>
      </x:c>
      <x:c r="B98" s="10" t="n">
        <x:v>7514101</x:v>
      </x:c>
      <x:c r="C98" s="10" t="s">
        <x:v>145</x:v>
      </x:c>
      <x:c r="D98" s="10">
        <x:f>C98&amp;"-"&amp;B98</x:f>
      </x:c>
      <x:c r="E98" s="10" t="n">
        <x:v>601</x:v>
      </x:c>
      <x:c r="F98" s="4" t="s">
        <x:v>134</x:v>
      </x:c>
    </x:row>
    <x:row r="99" spans="1:41" customFormat="1" ht="18" customHeight="1">
      <x:c r="A99" s="4" t="s">
        <x:v>137</x:v>
      </x:c>
      <x:c r="B99" s="10" t="n">
        <x:v>7514102</x:v>
      </x:c>
      <x:c r="C99" s="10" t="s">
        <x:v>145</x:v>
      </x:c>
      <x:c r="D99" s="10">
        <x:f>C99&amp;"-"&amp;B99</x:f>
      </x:c>
      <x:c r="E99" s="10" t="n">
        <x:v>601</x:v>
      </x:c>
      <x:c r="F99" s="4" t="s">
        <x:v>138</x:v>
      </x:c>
    </x:row>
    <x:row r="100" spans="1:41" customFormat="1" ht="18" customHeight="1">
      <x:c r="A100" s="4" t="s">
        <x:v>141</x:v>
      </x:c>
      <x:c r="B100" s="10" t="n">
        <x:v>7515401</x:v>
      </x:c>
      <x:c r="C100" s="10" t="s">
        <x:v>145</x:v>
      </x:c>
      <x:c r="D100" s="10">
        <x:f>C100&amp;"-"&amp;B100</x:f>
      </x:c>
      <x:c r="E100" s="10" t="n">
        <x:v>604</x:v>
      </x:c>
      <x:c r="F100" s="4" t="s">
        <x:v>142</x:v>
      </x:c>
    </x:row>
    <x:row r="101" spans="1:41" customFormat="1" ht="18" customHeight="1">
      <x:c r="A101" s="4" t="s">
        <x:v>147</x:v>
      </x:c>
      <x:c r="B101" s="10" t="n">
        <x:v>7515402</x:v>
      </x:c>
      <x:c r="C101" s="10" t="s">
        <x:v>145</x:v>
      </x:c>
      <x:c r="D101" s="10">
        <x:f>C101&amp;"-"&amp;B101</x:f>
      </x:c>
      <x:c r="E101" s="10" t="n">
        <x:v>604</x:v>
      </x:c>
      <x:c r="F101" s="4" t="s">
        <x:v>148</x:v>
      </x:c>
    </x:row>
    <x:row r="102" spans="1:41" customFormat="1" ht="18" customHeight="1">
      <x:c r="A102" s="4" t="s">
        <x:v>151</x:v>
      </x:c>
      <x:c r="B102" s="10" t="n">
        <x:v>7515403</x:v>
      </x:c>
      <x:c r="C102" s="10" t="s">
        <x:v>145</x:v>
      </x:c>
      <x:c r="D102" s="10">
        <x:f>C102&amp;"-"&amp;B102</x:f>
      </x:c>
      <x:c r="E102" s="10" t="n">
        <x:v>604</x:v>
      </x:c>
      <x:c r="F102" s="4" t="s">
        <x:v>152</x:v>
      </x:c>
    </x:row>
    <x:row r="103" spans="1:41" customFormat="1" ht="18" customHeight="1">
      <x:c r="A103" s="4" t="s">
        <x:v>155</x:v>
      </x:c>
      <x:c r="B103" s="10" t="n">
        <x:v>7515404</x:v>
      </x:c>
      <x:c r="C103" s="10" t="s">
        <x:v>145</x:v>
      </x:c>
      <x:c r="D103" s="10">
        <x:f>C103&amp;"-"&amp;B103</x:f>
      </x:c>
      <x:c r="E103" s="10" t="n">
        <x:v>604</x:v>
      </x:c>
      <x:c r="F103" s="4" t="s">
        <x:v>156</x:v>
      </x:c>
    </x:row>
    <x:row r="104" spans="1:41" customFormat="1" ht="18" customHeight="1">
      <x:c r="A104" s="4" t="s">
        <x:v>159</x:v>
      </x:c>
      <x:c r="B104" s="10" t="n">
        <x:v>7515405</x:v>
      </x:c>
      <x:c r="C104" s="10" t="s">
        <x:v>145</x:v>
      </x:c>
      <x:c r="D104" s="10">
        <x:f>C104&amp;"-"&amp;B104</x:f>
      </x:c>
      <x:c r="E104" s="10" t="n">
        <x:v>604</x:v>
      </x:c>
      <x:c r="F104" s="4" t="s">
        <x:v>160</x:v>
      </x:c>
    </x:row>
    <x:row r="105" spans="1:41" customFormat="1" ht="18" customHeight="1">
      <x:c r="A105" s="4" t="s">
        <x:v>163</x:v>
      </x:c>
      <x:c r="B105" s="10" t="n">
        <x:v>7515406</x:v>
      </x:c>
      <x:c r="C105" s="10" t="s">
        <x:v>145</x:v>
      </x:c>
      <x:c r="D105" s="10">
        <x:f>C105&amp;"-"&amp;B105</x:f>
      </x:c>
      <x:c r="E105" s="10" t="n">
        <x:v>604</x:v>
      </x:c>
      <x:c r="F105" s="4" t="s">
        <x:v>164</x:v>
      </x:c>
    </x:row>
    <x:row r="106" spans="1:41" customFormat="1" ht="18" customHeight="1">
      <x:c r="A106" s="4" t="s">
        <x:v>170</x:v>
      </x:c>
      <x:c r="B106" s="10" t="n">
        <x:v>7515408</x:v>
      </x:c>
      <x:c r="C106" s="10" t="s">
        <x:v>145</x:v>
      </x:c>
      <x:c r="D106" s="10">
        <x:f>C106&amp;"-"&amp;B106</x:f>
      </x:c>
      <x:c r="E106" s="10" t="n">
        <x:v>604</x:v>
      </x:c>
      <x:c r="F106" s="4" t="s">
        <x:v>171</x:v>
      </x:c>
    </x:row>
    <x:row r="107" spans="1:41" customFormat="1" ht="18" customHeight="1">
      <x:c r="A107" s="4" t="s">
        <x:v>174</x:v>
      </x:c>
      <x:c r="B107" s="10" t="n">
        <x:v>7515409</x:v>
      </x:c>
      <x:c r="C107" s="10" t="s">
        <x:v>145</x:v>
      </x:c>
      <x:c r="D107" s="10">
        <x:f>C107&amp;"-"&amp;B107</x:f>
      </x:c>
      <x:c r="E107" s="10" t="n">
        <x:v>604</x:v>
      </x:c>
      <x:c r="F107" s="4" t="s">
        <x:v>175</x:v>
      </x:c>
    </x:row>
    <x:row r="108" spans="1:41" customFormat="1" ht="18" customHeight="1">
      <x:c r="A108" s="4" t="s">
        <x:v>178</x:v>
      </x:c>
      <x:c r="B108" s="10" t="n">
        <x:v>7515410</x:v>
      </x:c>
      <x:c r="C108" s="10" t="s">
        <x:v>145</x:v>
      </x:c>
      <x:c r="D108" s="10">
        <x:f>C108&amp;"-"&amp;B108</x:f>
      </x:c>
      <x:c r="E108" s="10" t="n">
        <x:v>604</x:v>
      </x:c>
      <x:c r="F108" s="4" t="s">
        <x:v>179</x:v>
      </x:c>
    </x:row>
    <x:row r="109" spans="1:41" customFormat="1" ht="18" customHeight="1">
      <x:c r="A109" s="4" t="s">
        <x:v>182</x:v>
      </x:c>
      <x:c r="B109" s="10" t="n">
        <x:v>7515499</x:v>
      </x:c>
      <x:c r="C109" s="10" t="s">
        <x:v>145</x:v>
      </x:c>
      <x:c r="D109" s="10">
        <x:f>C109&amp;"-"&amp;B109</x:f>
      </x:c>
      <x:c r="E109" s="10" t="n">
        <x:v>604</x:v>
      </x:c>
      <x:c r="F109" s="4" t="s">
        <x:v>183</x:v>
      </x:c>
    </x:row>
    <x:row r="110" spans="1:41" customFormat="1" ht="18" customHeight="1">
      <x:c r="A110" s="4" t="s">
        <x:v>186</x:v>
      </x:c>
      <x:c r="B110" s="10" t="n">
        <x:v>7516102</x:v>
      </x:c>
      <x:c r="C110" s="10" t="s">
        <x:v>145</x:v>
      </x:c>
      <x:c r="D110" s="10">
        <x:f>C110&amp;"-"&amp;B110</x:f>
      </x:c>
      <x:c r="E110" s="10" t="n">
        <x:v>605</x:v>
      </x:c>
      <x:c r="F110" s="4" t="s">
        <x:v>188</x:v>
      </x:c>
    </x:row>
    <x:row r="111" spans="1:41" customFormat="1" ht="18" customHeight="1">
      <x:c r="A111" s="4" t="s">
        <x:v>191</x:v>
      </x:c>
      <x:c r="B111" s="10" t="n">
        <x:v>7519101</x:v>
      </x:c>
      <x:c r="C111" s="10" t="s">
        <x:v>145</x:v>
      </x:c>
      <x:c r="D111" s="10">
        <x:f>C111&amp;"-"&amp;B111</x:f>
      </x:c>
      <x:c r="E111" s="10" t="n">
        <x:v>602</x:v>
      </x:c>
      <x:c r="F111" s="4" t="s">
        <x:v>192</x:v>
      </x:c>
    </x:row>
    <x:row r="112" spans="1:41" customFormat="1" ht="18" customHeight="1">
      <x:c r="A112" s="4" t="s">
        <x:v>370</x:v>
      </x:c>
      <x:c r="B112" s="10" t="n">
        <x:v>7521101</x:v>
      </x:c>
      <x:c r="C112" s="10" t="s">
        <x:v>145</x:v>
      </x:c>
      <x:c r="D112" s="10">
        <x:f>C112&amp;"-"&amp;B112</x:f>
      </x:c>
      <x:c r="E112" s="10" t="n">
        <x:v>601</x:v>
      </x:c>
      <x:c r="F112" s="4" t="s">
        <x:v>196</x:v>
      </x:c>
    </x:row>
    <x:row r="113" spans="1:41" customFormat="1" ht="18" customHeight="1">
      <x:c r="A113" s="4" t="s">
        <x:v>199</x:v>
      </x:c>
      <x:c r="B113" s="10" t="n">
        <x:v>7521102</x:v>
      </x:c>
      <x:c r="C113" s="10" t="s">
        <x:v>145</x:v>
      </x:c>
      <x:c r="D113" s="10">
        <x:f>C113&amp;"-"&amp;B113</x:f>
      </x:c>
      <x:c r="E113" s="10" t="n">
        <x:v>603</x:v>
      </x:c>
      <x:c r="F113" s="4" t="s">
        <x:v>200</x:v>
      </x:c>
    </x:row>
    <x:row r="114" spans="1:41" customFormat="1" ht="18" customHeight="1">
      <x:c r="A114" s="4" t="s">
        <x:v>204</x:v>
      </x:c>
      <x:c r="B114" s="10" t="n">
        <x:v>7571101</x:v>
      </x:c>
      <x:c r="C114" s="10" t="s">
        <x:v>145</x:v>
      </x:c>
      <x:c r="D114" s="10">
        <x:f>C114&amp;"-"&amp;B114</x:f>
      </x:c>
      <x:c r="E114" s="10" t="n">
        <x:v>606</x:v>
      </x:c>
      <x:c r="F114" s="4" t="s">
        <x:v>206</x:v>
      </x:c>
    </x:row>
    <x:row r="115" spans="1:41" customFormat="1" ht="18" customHeight="1">
      <x:c r="A115" s="4" t="s">
        <x:v>73</x:v>
      </x:c>
      <x:c r="B115" s="10" t="n">
        <x:v>7611100</x:v>
      </x:c>
      <x:c r="C115" s="10" t="s">
        <x:v>145</x:v>
      </x:c>
      <x:c r="D115" s="10">
        <x:f>C115&amp;"-"&amp;B115</x:f>
      </x:c>
      <x:c r="E115" s="10" t="n">
        <x:v>701</x:v>
      </x:c>
      <x:c r="F115" s="4" t="s">
        <x:v>210</x:v>
      </x:c>
    </x:row>
    <x:row r="116" spans="1:41" customFormat="1" ht="18" customHeight="1">
      <x:c r="A116" s="4" t="s">
        <x:v>82</x:v>
      </x:c>
      <x:c r="B116" s="10" t="n">
        <x:v>7611300</x:v>
      </x:c>
      <x:c r="C116" s="10" t="s">
        <x:v>145</x:v>
      </x:c>
      <x:c r="D116" s="10">
        <x:f>C116&amp;"-"&amp;B116</x:f>
      </x:c>
      <x:c r="E116" s="10" t="n">
        <x:v>701</x:v>
      </x:c>
      <x:c r="F116" s="4" t="s">
        <x:v>213</x:v>
      </x:c>
    </x:row>
    <x:row r="117" spans="1:41" customFormat="1" ht="18" customHeight="1">
      <x:c r="A117" s="4" t="s">
        <x:v>99</x:v>
      </x:c>
      <x:c r="B117" s="10" t="n">
        <x:v>7611500</x:v>
      </x:c>
      <x:c r="C117" s="10" t="s">
        <x:v>145</x:v>
      </x:c>
      <x:c r="D117" s="10">
        <x:f>C117&amp;"-"&amp;B117</x:f>
      </x:c>
      <x:c r="E117" s="10" t="n">
        <x:v>701</x:v>
      </x:c>
      <x:c r="F117" s="4" t="s">
        <x:v>220</x:v>
      </x:c>
    </x:row>
    <x:row r="118" spans="1:41" customFormat="1" ht="18" customHeight="1">
      <x:c r="A118" s="4" t="s">
        <x:v>105</x:v>
      </x:c>
      <x:c r="B118" s="10" t="n">
        <x:v>7611600</x:v>
      </x:c>
      <x:c r="C118" s="10" t="s">
        <x:v>145</x:v>
      </x:c>
      <x:c r="D118" s="10">
        <x:f>C118&amp;"-"&amp;B118</x:f>
      </x:c>
      <x:c r="E118" s="10" t="n">
        <x:v>701</x:v>
      </x:c>
      <x:c r="F118" s="4" t="s">
        <x:v>223</x:v>
      </x:c>
    </x:row>
    <x:row r="119" spans="1:41" customFormat="1" ht="18" customHeight="1">
      <x:c r="A119" s="4" t="s">
        <x:v>113</x:v>
      </x:c>
      <x:c r="B119" s="10" t="n">
        <x:v>7611700</x:v>
      </x:c>
      <x:c r="C119" s="10" t="s">
        <x:v>145</x:v>
      </x:c>
      <x:c r="D119" s="10">
        <x:f>C119&amp;"-"&amp;B119</x:f>
      </x:c>
      <x:c r="E119" s="10" t="n">
        <x:v>701</x:v>
      </x:c>
      <x:c r="F119" s="4" t="s">
        <x:v>412</x:v>
      </x:c>
    </x:row>
    <x:row r="120" spans="1:41" customFormat="1" ht="18" customHeight="1">
      <x:c r="A120" s="4" t="s">
        <x:v>233</x:v>
      </x:c>
      <x:c r="B120" s="10" t="n">
        <x:v>7621101</x:v>
      </x:c>
      <x:c r="C120" s="10" t="s">
        <x:v>145</x:v>
      </x:c>
      <x:c r="D120" s="10">
        <x:f>C120&amp;"-"&amp;B120</x:f>
      </x:c>
      <x:c r="E120" s="10" t="n">
        <x:v>903</x:v>
      </x:c>
      <x:c r="F120" s="4" t="s">
        <x:v>235</x:v>
      </x:c>
    </x:row>
    <x:row r="121" spans="1:41" customFormat="1" ht="18" customHeight="1">
      <x:c r="A121" s="108" t="s">
        <x:v>238</x:v>
      </x:c>
      <x:c r="B121" s="110" t="n">
        <x:v>7621199</x:v>
      </x:c>
      <x:c r="C121" s="10" t="s">
        <x:v>145</x:v>
      </x:c>
      <x:c r="D121" s="10">
        <x:f>C121&amp;"-"&amp;B121</x:f>
      </x:c>
      <x:c r="E121" s="10" t="n">
        <x:v>801</x:v>
      </x:c>
      <x:c r="F121" s="4" t="s">
        <x:v>240</x:v>
      </x:c>
    </x:row>
    <x:row r="122" spans="1:41" customFormat="1" ht="18" customHeight="1">
      <x:c r="A122" s="4" t="s">
        <x:v>243</x:v>
      </x:c>
      <x:c r="B122" s="10" t="n">
        <x:v>7631101</x:v>
      </x:c>
      <x:c r="C122" s="10" t="s">
        <x:v>145</x:v>
      </x:c>
      <x:c r="D122" s="10">
        <x:f>C122&amp;"-"&amp;B122</x:f>
      </x:c>
      <x:c r="E122" s="10" t="n">
        <x:v>501</x:v>
      </x:c>
      <x:c r="F122" s="4" t="s">
        <x:v>245</x:v>
      </x:c>
    </x:row>
    <x:row r="123" spans="1:41" customFormat="1" ht="18" customHeight="1">
      <x:c r="A123" s="4" t="s">
        <x:v>246</x:v>
      </x:c>
      <x:c r="B123" s="10" t="n">
        <x:v>7631102</x:v>
      </x:c>
      <x:c r="C123" s="10" t="s">
        <x:v>145</x:v>
      </x:c>
      <x:c r="D123" s="10">
        <x:f>C123&amp;"-"&amp;B123</x:f>
      </x:c>
      <x:c r="E123" s="10" t="n">
        <x:v>502</x:v>
      </x:c>
      <x:c r="F123" s="4" t="s">
        <x:v>248</x:v>
      </x:c>
    </x:row>
    <x:row r="124" spans="1:41" customFormat="1" ht="18" customHeight="1">
      <x:c r="A124" s="4" t="s">
        <x:v>251</x:v>
      </x:c>
      <x:c r="B124" s="10" t="n">
        <x:v>7641101</x:v>
      </x:c>
      <x:c r="C124" s="10" t="s">
        <x:v>145</x:v>
      </x:c>
      <x:c r="D124" s="10">
        <x:f>C124&amp;"-"&amp;B124</x:f>
      </x:c>
      <x:c r="E124" s="10" t="n">
        <x:v>401</x:v>
      </x:c>
      <x:c r="F124" s="4" t="s">
        <x:v>253</x:v>
      </x:c>
    </x:row>
    <x:row r="125" spans="1:41" customFormat="1" ht="18" customHeight="1">
      <x:c r="A125" s="4" t="s">
        <x:v>254</x:v>
      </x:c>
      <x:c r="B125" s="10" t="n">
        <x:v>7641102</x:v>
      </x:c>
      <x:c r="C125" s="10" t="s">
        <x:v>145</x:v>
      </x:c>
      <x:c r="D125" s="10">
        <x:f>C125&amp;"-"&amp;B125</x:f>
      </x:c>
      <x:c r="E125" s="10" t="n">
        <x:v>401</x:v>
      </x:c>
      <x:c r="F125" s="4" t="s">
        <x:v>255</x:v>
      </x:c>
    </x:row>
    <x:row r="126" spans="1:41" customFormat="1" ht="18" customHeight="1">
      <x:c r="A126" s="4" t="s">
        <x:v>258</x:v>
      </x:c>
      <x:c r="B126" s="10" t="n">
        <x:v>7641103</x:v>
      </x:c>
      <x:c r="C126" s="10" t="s">
        <x:v>145</x:v>
      </x:c>
      <x:c r="D126" s="10">
        <x:f>C126&amp;"-"&amp;B126</x:f>
      </x:c>
      <x:c r="E126" s="10" t="n">
        <x:v>902</x:v>
      </x:c>
      <x:c r="F126" s="4" t="s">
        <x:v>260</x:v>
      </x:c>
    </x:row>
    <x:row r="127" spans="1:41" customFormat="1" ht="18" customHeight="1">
      <x:c r="A127" s="4" t="s">
        <x:v>263</x:v>
      </x:c>
      <x:c r="B127" s="10" t="n">
        <x:v>7641104</x:v>
      </x:c>
      <x:c r="C127" s="10" t="s">
        <x:v>145</x:v>
      </x:c>
      <x:c r="D127" s="10">
        <x:f>C127&amp;"-"&amp;B127</x:f>
      </x:c>
      <x:c r="E127" s="10" t="n">
        <x:v>999</x:v>
      </x:c>
      <x:c r="F127" s="4" t="s">
        <x:v>264</x:v>
      </x:c>
    </x:row>
    <x:row r="128" spans="1:41" customFormat="1" ht="18" customHeight="1">
      <x:c r="A128" s="4" t="s">
        <x:v>265</x:v>
      </x:c>
      <x:c r="B128" s="10" t="n">
        <x:v>7651101</x:v>
      </x:c>
      <x:c r="C128" s="10" t="s">
        <x:v>145</x:v>
      </x:c>
      <x:c r="D128" s="10">
        <x:f>C128&amp;"-"&amp;B128</x:f>
      </x:c>
      <x:c r="E128" s="10" t="n">
        <x:v>903</x:v>
      </x:c>
      <x:c r="F128" s="4" t="s">
        <x:v>266</x:v>
      </x:c>
    </x:row>
    <x:row r="129" spans="1:41" customFormat="1" ht="18" customHeight="1">
      <x:c r="A129" s="4" t="s">
        <x:v>267</x:v>
      </x:c>
      <x:c r="B129" s="10" t="n">
        <x:v>7651102</x:v>
      </x:c>
      <x:c r="C129" s="10" t="s">
        <x:v>145</x:v>
      </x:c>
      <x:c r="D129" s="10">
        <x:f>C129&amp;"-"&amp;B129</x:f>
      </x:c>
      <x:c r="E129" s="10" t="n">
        <x:v>903</x:v>
      </x:c>
      <x:c r="F129" s="4" t="s">
        <x:v>268</x:v>
      </x:c>
    </x:row>
    <x:row r="130" spans="1:41" customFormat="1" ht="18" customHeight="1">
      <x:c r="A130" s="4" t="s">
        <x:v>269</x:v>
      </x:c>
      <x:c r="B130" s="10" t="n">
        <x:v>7651103</x:v>
      </x:c>
      <x:c r="C130" s="10" t="s">
        <x:v>145</x:v>
      </x:c>
      <x:c r="D130" s="10">
        <x:f>C130&amp;"-"&amp;B130</x:f>
      </x:c>
      <x:c r="E130" s="10" t="n">
        <x:v>903</x:v>
      </x:c>
      <x:c r="F130" s="4" t="s">
        <x:v>270</x:v>
      </x:c>
    </x:row>
    <x:row r="131" spans="1:41" customFormat="1" ht="18" customHeight="1">
      <x:c r="A131" s="4" t="s">
        <x:v>271</x:v>
      </x:c>
      <x:c r="B131" s="10" t="n">
        <x:v>7661101</x:v>
      </x:c>
      <x:c r="C131" s="10" t="s">
        <x:v>145</x:v>
      </x:c>
      <x:c r="D131" s="10">
        <x:f>C131&amp;"-"&amp;B131</x:f>
      </x:c>
      <x:c r="E131" s="10" t="n">
        <x:v>999</x:v>
      </x:c>
      <x:c r="F131" s="4" t="s">
        <x:v>273</x:v>
      </x:c>
    </x:row>
    <x:row r="132" spans="1:41" customFormat="1" ht="18" customHeight="1">
      <x:c r="A132" s="4" t="s">
        <x:v>274</x:v>
      </x:c>
      <x:c r="B132" s="10" t="n">
        <x:v>7671102</x:v>
      </x:c>
      <x:c r="C132" s="10" t="s">
        <x:v>145</x:v>
      </x:c>
      <x:c r="D132" s="10">
        <x:f>C132&amp;"-"&amp;B132</x:f>
      </x:c>
      <x:c r="E132" s="10" t="n">
        <x:v>999</x:v>
      </x:c>
      <x:c r="F132" s="4" t="s">
        <x:v>275</x:v>
      </x:c>
    </x:row>
    <x:row r="133" spans="1:41" customFormat="1" ht="18" customHeight="1">
      <x:c r="A133" s="4" t="s">
        <x:v>276</x:v>
      </x:c>
      <x:c r="B133" s="10" t="n">
        <x:v>7671103</x:v>
      </x:c>
      <x:c r="C133" s="10" t="s">
        <x:v>145</x:v>
      </x:c>
      <x:c r="D133" s="10">
        <x:f>C133&amp;"-"&amp;B133</x:f>
      </x:c>
      <x:c r="E133" s="10" t="n">
        <x:v>999</x:v>
      </x:c>
      <x:c r="F133" s="4" t="s">
        <x:v>277</x:v>
      </x:c>
    </x:row>
    <x:row r="134" spans="1:41" customFormat="1" ht="18" customHeight="1">
      <x:c r="A134" s="4" t="s">
        <x:v>278</x:v>
      </x:c>
      <x:c r="B134" s="10" t="n">
        <x:v>7681101</x:v>
      </x:c>
      <x:c r="C134" s="10" t="s">
        <x:v>145</x:v>
      </x:c>
      <x:c r="D134" s="10">
        <x:f>C134&amp;"-"&amp;B134</x:f>
      </x:c>
      <x:c r="E134" s="10" t="n">
        <x:v>999</x:v>
      </x:c>
      <x:c r="F134" s="4" t="s">
        <x:v>279</x:v>
      </x:c>
    </x:row>
    <x:row r="135" spans="1:41" customFormat="1" ht="18" customHeight="1">
      <x:c r="A135" s="4" t="s">
        <x:v>280</x:v>
      </x:c>
      <x:c r="B135" s="10" t="n">
        <x:v>7691000</x:v>
      </x:c>
      <x:c r="C135" s="10" t="s">
        <x:v>145</x:v>
      </x:c>
      <x:c r="D135" s="10">
        <x:f>C135&amp;"-"&amp;B135</x:f>
      </x:c>
      <x:c r="E135" s="10" t="n">
        <x:v>999</x:v>
      </x:c>
      <x:c r="F135" s="4" t="s">
        <x:v>281</x:v>
      </x:c>
    </x:row>
    <x:row r="136" spans="1:41" customFormat="1" ht="18" customHeight="1">
      <x:c r="A136" s="4" t="s">
        <x:v>282</x:v>
      </x:c>
      <x:c r="B136" s="10" t="n">
        <x:v>7711101</x:v>
      </x:c>
      <x:c r="C136" s="10" t="s">
        <x:v>145</x:v>
      </x:c>
      <x:c r="D136" s="10">
        <x:f>C136&amp;"-"&amp;B136</x:f>
      </x:c>
      <x:c r="E136" s="10" t="n">
        <x:v>999</x:v>
      </x:c>
      <x:c r="F136" s="4" t="s">
        <x:v>283</x:v>
      </x:c>
    </x:row>
    <x:row r="137" spans="1:41" customFormat="1" ht="18" customHeight="1">
      <x:c r="A137" s="4" t="s">
        <x:v>284</x:v>
      </x:c>
      <x:c r="B137" s="10" t="n">
        <x:v>7711102</x:v>
      </x:c>
      <x:c r="C137" s="10" t="s">
        <x:v>145</x:v>
      </x:c>
      <x:c r="D137" s="10">
        <x:f>C137&amp;"-"&amp;B137</x:f>
      </x:c>
      <x:c r="E137" s="10" t="n">
        <x:v>904</x:v>
      </x:c>
      <x:c r="F137" s="4" t="s">
        <x:v>286</x:v>
      </x:c>
    </x:row>
    <x:row r="138" spans="1:41" customFormat="1" ht="18" customHeight="1">
      <x:c r="A138" s="4" t="s">
        <x:v>287</x:v>
      </x:c>
      <x:c r="B138" s="10" t="n">
        <x:v>7711103</x:v>
      </x:c>
      <x:c r="C138" s="10" t="s">
        <x:v>145</x:v>
      </x:c>
      <x:c r="D138" s="10">
        <x:f>C138&amp;"-"&amp;B138</x:f>
      </x:c>
      <x:c r="E138" s="10" t="n">
        <x:v>999</x:v>
      </x:c>
      <x:c r="F138" s="4" t="s">
        <x:v>288</x:v>
      </x:c>
    </x:row>
    <x:row r="139" spans="1:41" customFormat="1" ht="18" customHeight="1">
      <x:c r="A139" s="4" t="s">
        <x:v>291</x:v>
      </x:c>
      <x:c r="B139" s="10" t="n">
        <x:v>7729101</x:v>
      </x:c>
      <x:c r="C139" s="10" t="s">
        <x:v>145</x:v>
      </x:c>
      <x:c r="D139" s="10">
        <x:f>C139&amp;"-"&amp;B139</x:f>
      </x:c>
      <x:c r="E139" s="10" t="n">
        <x:v>905</x:v>
      </x:c>
      <x:c r="F139" s="4" t="s">
        <x:v>293</x:v>
      </x:c>
    </x:row>
    <x:row r="140" spans="1:41" customFormat="1" ht="18" customHeight="1">
      <x:c r="A140" s="4" t="s">
        <x:v>294</x:v>
      </x:c>
      <x:c r="B140" s="10" t="n">
        <x:v>7729103</x:v>
      </x:c>
      <x:c r="C140" s="10" t="s">
        <x:v>145</x:v>
      </x:c>
      <x:c r="D140" s="10">
        <x:f>C140&amp;"-"&amp;B140</x:f>
      </x:c>
      <x:c r="E140" s="10" t="n">
        <x:v>907</x:v>
      </x:c>
      <x:c r="F140" s="4" t="s">
        <x:v>296</x:v>
      </x:c>
    </x:row>
    <x:row r="141" spans="1:41" customFormat="1" ht="18" customHeight="1">
      <x:c r="A141" s="4" t="s">
        <x:v>297</x:v>
      </x:c>
      <x:c r="B141" s="10" t="n">
        <x:v>7729105</x:v>
      </x:c>
      <x:c r="C141" s="10" t="s">
        <x:v>145</x:v>
      </x:c>
      <x:c r="D141" s="10">
        <x:f>C141&amp;"-"&amp;B141</x:f>
      </x:c>
      <x:c r="E141" s="10" t="n">
        <x:v>999</x:v>
      </x:c>
      <x:c r="F141" s="4" t="s">
        <x:v>298</x:v>
      </x:c>
    </x:row>
    <x:row r="142" spans="1:41" customFormat="1" ht="18" customHeight="1">
      <x:c r="A142" s="4" t="s">
        <x:v>299</x:v>
      </x:c>
      <x:c r="B142" s="10" t="n">
        <x:v>7781101</x:v>
      </x:c>
      <x:c r="C142" s="10" t="s">
        <x:v>145</x:v>
      </x:c>
      <x:c r="D142" s="10">
        <x:f>C142&amp;"-"&amp;B142</x:f>
      </x:c>
      <x:c r="E142" s="10" t="n">
        <x:v>999</x:v>
      </x:c>
      <x:c r="F142" s="4" t="s">
        <x:v>300</x:v>
      </x:c>
    </x:row>
    <x:row r="143" spans="1:41" customFormat="1" ht="18" customHeight="1">
      <x:c r="A143" s="4" t="s">
        <x:v>301</x:v>
      </x:c>
      <x:c r="B143" s="10" t="n">
        <x:v>7781103</x:v>
      </x:c>
      <x:c r="C143" s="10" t="s">
        <x:v>145</x:v>
      </x:c>
      <x:c r="D143" s="10">
        <x:f>C143&amp;"-"&amp;B143</x:f>
      </x:c>
      <x:c r="E143" s="10" t="n">
        <x:v>999</x:v>
      </x:c>
      <x:c r="F143" s="4" t="s">
        <x:v>302</x:v>
      </x:c>
    </x:row>
    <x:row r="144" spans="1:41" customFormat="1" ht="18" customHeight="1">
      <x:c r="A144" s="4" t="s">
        <x:v>303</x:v>
      </x:c>
      <x:c r="B144" s="10" t="n">
        <x:v>7781104</x:v>
      </x:c>
      <x:c r="C144" s="10" t="s">
        <x:v>145</x:v>
      </x:c>
      <x:c r="D144" s="10">
        <x:f>C144&amp;"-"&amp;B144</x:f>
      </x:c>
      <x:c r="E144" s="10" t="n">
        <x:v>999</x:v>
      </x:c>
      <x:c r="F144" s="4" t="s">
        <x:v>304</x:v>
      </x:c>
    </x:row>
    <x:row r="145" spans="1:41" customFormat="1" ht="18" customHeight="1">
      <x:c r="A145" s="4" t="s">
        <x:v>309</x:v>
      </x:c>
      <x:c r="B145" s="10" t="n">
        <x:v>7781107</x:v>
      </x:c>
      <x:c r="C145" s="10" t="s">
        <x:v>145</x:v>
      </x:c>
      <x:c r="D145" s="10">
        <x:f>C145&amp;"-"&amp;B145</x:f>
      </x:c>
      <x:c r="E145" s="10" t="n">
        <x:v>906</x:v>
      </x:c>
      <x:c r="F145" s="4" t="s">
        <x:v>311</x:v>
      </x:c>
    </x:row>
    <x:row r="146" spans="1:41" customFormat="1" ht="18" customHeight="1">
      <x:c r="A146" s="4" t="s">
        <x:v>312</x:v>
      </x:c>
      <x:c r="B146" s="10" t="n">
        <x:v>7781111</x:v>
      </x:c>
      <x:c r="C146" s="10" t="s">
        <x:v>145</x:v>
      </x:c>
      <x:c r="D146" s="10">
        <x:f>C146&amp;"-"&amp;B146</x:f>
      </x:c>
      <x:c r="E146" s="10" t="n">
        <x:v>999</x:v>
      </x:c>
      <x:c r="F146" s="4" t="s">
        <x:v>313</x:v>
      </x:c>
    </x:row>
    <x:row r="147" spans="1:41" customFormat="1" ht="18" customHeight="1">
      <x:c r="A147" s="4" t="s">
        <x:v>314</x:v>
      </x:c>
      <x:c r="B147" s="10" t="n">
        <x:v>7781112</x:v>
      </x:c>
      <x:c r="C147" s="10" t="s">
        <x:v>145</x:v>
      </x:c>
      <x:c r="D147" s="10">
        <x:f>C147&amp;"-"&amp;B147</x:f>
      </x:c>
      <x:c r="E147" s="10" t="n">
        <x:v>999</x:v>
      </x:c>
      <x:c r="F147" s="4" t="s">
        <x:v>315</x:v>
      </x:c>
    </x:row>
    <x:row r="148" spans="1:41" customFormat="1" ht="18" customHeight="1">
      <x:c r="A148" s="4" t="s">
        <x:v>316</x:v>
      </x:c>
      <x:c r="B148" s="10" t="n">
        <x:v>7781113</x:v>
      </x:c>
      <x:c r="C148" s="10" t="s">
        <x:v>145</x:v>
      </x:c>
      <x:c r="D148" s="10">
        <x:f>C148&amp;"-"&amp;B148</x:f>
      </x:c>
      <x:c r="E148" s="10" t="n">
        <x:v>999</x:v>
      </x:c>
      <x:c r="F148" s="4" t="s">
        <x:v>317</x:v>
      </x:c>
    </x:row>
    <x:row r="149" spans="1:41" customFormat="1" ht="18" customHeight="1">
      <x:c r="A149" s="4" t="s">
        <x:v>372</x:v>
      </x:c>
      <x:c r="B149" s="5" t="n">
        <x:v>8291101</x:v>
      </x:c>
      <x:c r="C149" s="6" t="s">
        <x:v>373</x:v>
      </x:c>
      <x:c r="D149" s="6">
        <x:f>C149&amp;"-"&amp;B149</x:f>
      </x:c>
    </x:row>
    <x:row r="150" spans="1:41" customFormat="1" ht="18" customHeight="1">
      <x:c r="A150" s="4" t="s">
        <x:v>374</x:v>
      </x:c>
      <x:c r="B150" s="5" t="n">
        <x:v>8291102</x:v>
      </x:c>
      <x:c r="C150" s="6" t="s">
        <x:v>373</x:v>
      </x:c>
      <x:c r="D150" s="6">
        <x:f>C150&amp;"-"&amp;B150</x:f>
      </x:c>
    </x:row>
    <x:row r="151" spans="1:41" customFormat="1" ht="18" customHeight="1">
      <x:c r="A151" s="4" t="s">
        <x:v>375</x:v>
      </x:c>
      <x:c r="B151" s="5" t="n">
        <x:v>8291201</x:v>
      </x:c>
      <x:c r="C151" s="6" t="s">
        <x:v>373</x:v>
      </x:c>
      <x:c r="D151" s="6">
        <x:f>C151&amp;"-"&amp;B151</x:f>
      </x:c>
    </x:row>
    <x:row r="152" spans="1:41" customFormat="1" ht="18" customHeight="1">
      <x:c r="A152" s="4" t="s">
        <x:v>376</x:v>
      </x:c>
      <x:c r="B152" s="5" t="n">
        <x:v>8291202</x:v>
      </x:c>
      <x:c r="C152" s="6" t="s">
        <x:v>373</x:v>
      </x:c>
      <x:c r="D152" s="6">
        <x:f>C152&amp;"-"&amp;B152</x:f>
      </x:c>
    </x:row>
    <x:row r="153" spans="1:41" customFormat="1" ht="18" customHeight="1">
      <x:c r="A153" s="4" t="s">
        <x:v>377</x:v>
      </x:c>
      <x:c r="B153" s="5" t="n">
        <x:v>8291203</x:v>
      </x:c>
      <x:c r="C153" s="6" t="s">
        <x:v>373</x:v>
      </x:c>
      <x:c r="D153" s="6">
        <x:f>C153&amp;"-"&amp;B153</x:f>
      </x:c>
    </x:row>
    <x:row r="154" spans="1:41" customFormat="1" ht="18" customHeight="1">
      <x:c r="A154" s="4" t="s">
        <x:v>378</x:v>
      </x:c>
      <x:c r="B154" s="5" t="n">
        <x:v>8191101</x:v>
      </x:c>
      <x:c r="C154" s="6" t="s">
        <x:v>373</x:v>
      </x:c>
      <x:c r="D154" s="6">
        <x:f>C154&amp;"-"&amp;B154</x:f>
      </x:c>
    </x:row>
    <x:row r="155" spans="1:41" customFormat="1" ht="18" customHeight="1">
      <x:c r="E155" s="12" t="s"/>
    </x:row>
  </x:sheetData>
  <x:phoneticPr fontId="24"/>
  <x:printOptions horizontalCentered="0" verticalCentered="0" headings="0" gridLines="0"/>
  <x:pageMargins left="0.25" right="0.25" top="0.75" bottom="0.75" header="0.3" footer="0.3"/>
  <x:pageSetup paperSize="9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1D6C908-891A-4794-88BF-4603A66FB4C2}" mc:Ignorable="x14ac xr xr2 xr3">
  <x:sheetPr>
    <x:outlinePr summaryBelow="1" summaryRight="1"/>
  </x:sheetPr>
  <x:dimension ref="A1"/>
  <x:sheetViews>
    <x:sheetView workbookViewId="0">
      <x:selection activeCell="AO2" sqref="AO2"/>
    </x:sheetView>
  </x:sheetViews>
  <x:sheetFormatPr defaultRowHeight="15"/>
  <x:sheetData>
    <x:row r="1" spans="1:41">
      <x:c r="A1" s="0" t="s">
        <x:v>413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F3344F-8A9E-45F8-A59E-57E01FB26749}" mc:Ignorable="x14ac xr xr2 xr3">
  <x:sheetPr>
    <x:outlinePr summaryBelow="1" summaryRight="1"/>
  </x:sheetPr>
  <x:dimension ref="A1:C4"/>
  <x:sheetViews>
    <x:sheetView showGridLines="0" workbookViewId="0">
      <x:selection activeCell="C19" sqref="C19"/>
    </x:sheetView>
  </x:sheetViews>
  <x:sheetFormatPr defaultRowHeight="15"/>
  <x:cols>
    <x:col min="1" max="1" width="13.425781" style="0" bestFit="1" customWidth="1"/>
    <x:col min="2" max="2" width="14.140625" style="0" bestFit="1" customWidth="1"/>
    <x:col min="3" max="3" width="72.710938" style="0" bestFit="1" customWidth="1"/>
  </x:cols>
  <x:sheetData>
    <x:row r="1" spans="1:3">
      <x:c r="A1" s="103" t="s">
        <x:v>14</x:v>
      </x:c>
      <x:c r="B1" s="103" t="s">
        <x:v>59</x:v>
      </x:c>
      <x:c r="C1" s="103" t="s">
        <x:v>54</x:v>
      </x:c>
    </x:row>
    <x:row r="2" spans="1:3">
      <x:c r="A2" s="111" t="s">
        <x:v>25</x:v>
      </x:c>
      <x:c r="B2" s="35" t="s">
        <x:v>70</x:v>
      </x:c>
      <x:c r="C2" s="35" t="s">
        <x:v>71</x:v>
      </x:c>
    </x:row>
    <x:row r="3" spans="1:3">
      <x:c r="A3" s="111" t="s">
        <x:v>29</x:v>
      </x:c>
      <x:c r="B3" s="35" t="s">
        <x:v>79</x:v>
      </x:c>
      <x:c r="C3" s="35" t="s">
        <x:v>80</x:v>
      </x:c>
    </x:row>
    <x:row r="4" spans="1:3">
      <x:c r="A4" s="111" t="s">
        <x:v>89</x:v>
      </x:c>
      <x:c r="B4" s="35" t="s">
        <x:v>90</x:v>
      </x:c>
      <x:c r="C4" s="35" t="s">
        <x:v>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481</vt:i4>
      </vt:variant>
    </vt:vector>
  </ap:HeadingPairs>
  <ap:TitlesOfParts>
    <vt:vector baseType="lpstr" size="488">
      <vt:lpstr>Data</vt:lpstr>
      <vt:lpstr>V1</vt:lpstr>
      <vt:lpstr>Master</vt:lpstr>
      <vt:lpstr>Master_Section</vt:lpstr>
      <vt:lpstr>COA</vt:lpstr>
      <vt:lpstr>Password</vt:lpstr>
      <vt:lpstr>Priority</vt:lpstr>
      <vt:lpstr>Data!_xlnm._FilterDatabase</vt:lpstr>
      <vt:lpstr>Data!_j102</vt:lpstr>
      <vt:lpstr>Data!_Key1</vt:lpstr>
      <vt:lpstr>Data!_Sort</vt:lpstr>
      <vt:lpstr>Data!aa</vt:lpstr>
      <vt:lpstr>Data!AB</vt:lpstr>
      <vt:lpstr>Data!ai</vt:lpstr>
      <vt:lpstr>Data!as</vt:lpstr>
      <vt:lpstr>Data!assit</vt:lpstr>
      <vt:lpstr>Data!b</vt:lpstr>
      <vt:lpstr>Data!BC</vt:lpstr>
      <vt:lpstr>Data!BI</vt:lpstr>
      <vt:lpstr>Data!BO</vt:lpstr>
      <vt:lpstr>Data!cc</vt:lpstr>
      <vt:lpstr>Data!ccc</vt:lpstr>
      <vt:lpstr>Data!CH</vt:lpstr>
      <vt:lpstr>Data!CI</vt:lpstr>
      <vt:lpstr>Data!Ck_for</vt:lpstr>
      <vt:lpstr>Data!Ck_in</vt:lpstr>
      <vt:lpstr>Data!Ck_out</vt:lpstr>
      <vt:lpstr>Data!d</vt:lpstr>
      <vt:lpstr>Data!_xlnm.Database</vt:lpstr>
      <vt:lpstr>Data!dd</vt:lpstr>
      <vt:lpstr>Data!ddd</vt:lpstr>
      <vt:lpstr>Data!DF</vt:lpstr>
      <vt:lpstr>Data!e</vt:lpstr>
      <vt:lpstr>Data!ee</vt:lpstr>
      <vt:lpstr>Data!eXCRATE</vt:lpstr>
      <vt:lpstr>Data!exrate</vt:lpstr>
      <vt:lpstr>Data!F</vt:lpstr>
      <vt:lpstr>Data!fcb</vt:lpstr>
      <vt:lpstr>Data!FG</vt:lpstr>
      <vt:lpstr>Data!g</vt:lpstr>
      <vt:lpstr>Data!gg</vt:lpstr>
      <vt:lpstr>Data!HF</vt:lpstr>
      <vt:lpstr>Data!HTML_Control</vt:lpstr>
      <vt:lpstr>Data!kissa</vt:lpstr>
      <vt:lpstr>Data!kissakei</vt:lpstr>
      <vt:lpstr>Data!kk</vt:lpstr>
      <vt:lpstr>Data!kkk</vt:lpstr>
      <vt:lpstr>Data!kkkk</vt:lpstr>
      <vt:lpstr>Data!l</vt:lpstr>
      <vt:lpstr>Data!L_01</vt:lpstr>
      <vt:lpstr>Data!LIA</vt:lpstr>
      <vt:lpstr>Data!LILI</vt:lpstr>
      <vt:lpstr>Data!LINA</vt:lpstr>
      <vt:lpstr>Data!m</vt:lpstr>
      <vt:lpstr>Data!Manufacturing</vt:lpstr>
      <vt:lpstr>Data!MR</vt:lpstr>
      <vt:lpstr>Data!nittk</vt:lpstr>
      <vt:lpstr>Data!nittk_ok</vt:lpstr>
      <vt:lpstr>Data!nittoukei</vt:lpstr>
      <vt:lpstr>Data!Print_Area_MI</vt:lpstr>
      <vt:lpstr>Data!ry</vt:lpstr>
      <vt:lpstr>Data!ryohikei</vt:lpstr>
      <vt:lpstr>Data!S</vt:lpstr>
      <vt:lpstr>Data!sais</vt:lpstr>
      <vt:lpstr>Data!saisyuu</vt:lpstr>
      <vt:lpstr>Data!se</vt:lpstr>
      <vt:lpstr>Data!sett</vt:lpstr>
      <vt:lpstr>Data!setta</vt:lpstr>
      <vt:lpstr>Data!settaihikei</vt:lpstr>
      <vt:lpstr>Data!settaikousai</vt:lpstr>
      <vt:lpstr>Data!SEX</vt:lpstr>
      <vt:lpstr>Data!shu</vt:lpstr>
      <vt:lpstr>Data!shukuhakukei</vt:lpstr>
      <vt:lpstr>Data!so</vt:lpstr>
      <vt:lpstr>Data!son</vt:lpstr>
      <vt:lpstr>Data!sonot</vt:lpstr>
      <vt:lpstr>Data!sonotakei</vt:lpstr>
      <vt:lpstr>Data!ST</vt:lpstr>
      <vt:lpstr>Data!stt</vt:lpstr>
      <vt:lpstr>Data!SX</vt:lpstr>
      <vt:lpstr>Data!sxx</vt:lpstr>
      <vt:lpstr>Data!Tgl</vt:lpstr>
      <vt:lpstr>Data!tgll</vt:lpstr>
      <vt:lpstr>Data!tr</vt:lpstr>
      <vt:lpstr>Data!train</vt:lpstr>
      <vt:lpstr>Data!TRIAL</vt:lpstr>
      <vt:lpstr>Data!tttttttttttt</vt:lpstr>
      <vt:lpstr>Data!tu</vt:lpstr>
      <vt:lpstr>Data!tuusinhikei</vt:lpstr>
      <vt:lpstr>Data!u</vt:lpstr>
      <vt:lpstr>Data!uj</vt:lpstr>
      <vt:lpstr>Data!uji</vt:lpstr>
      <vt:lpstr>Data!UT</vt:lpstr>
      <vt:lpstr>Data!uu</vt:lpstr>
      <vt:lpstr>Data!ww</vt:lpstr>
      <vt:lpstr>Data!ﾃﾞｰﾀ海市</vt:lpstr>
      <vt:lpstr>Data!ルピア</vt:lpstr>
      <vt:lpstr>Data!予算ﾚｰﾄ</vt:lpstr>
      <vt:lpstr>Data!今</vt:lpstr>
      <vt:lpstr>Data!仲介</vt:lpstr>
      <vt:lpstr>Data!元</vt:lpstr>
      <vt:lpstr>Data!円</vt:lpstr>
      <vt:lpstr>Data!円vsドル_レート</vt:lpstr>
      <vt:lpstr>Data!印刷領域</vt:lpstr>
      <vt:lpstr>Data!品種別実績</vt:lpstr>
      <vt:lpstr>Data!実績レート</vt:lpstr>
      <vt:lpstr>Data!対象日数</vt:lpstr>
      <vt:lpstr>Data!技術開発経費181</vt:lpstr>
      <vt:lpstr>Data!技術開発経費182</vt:lpstr>
      <vt:lpstr>Data!日数</vt:lpstr>
      <vt:lpstr>Data!期</vt:lpstr>
      <vt:lpstr>Data!機能分類リスト</vt:lpstr>
      <vt:lpstr>Data!比率</vt:lpstr>
      <vt:lpstr>Data!決算期区分</vt:lpstr>
      <vt:lpstr>Data!為替</vt:lpstr>
      <vt:lpstr>Data!為替レートEU</vt:lpstr>
      <vt:lpstr>Data!為替レートUS</vt:lpstr>
      <vt:lpstr>Data!補助部門比率</vt:lpstr>
      <vt:lpstr>Data!補助部門費_設計以外181</vt:lpstr>
      <vt:lpstr>Data!補助部門費_設計以外182</vt:lpstr>
      <vt:lpstr>Data!販管費率</vt:lpstr>
      <vt:lpstr>Data!輸入</vt:lpstr>
      <vt:lpstr>Data!配布先</vt:lpstr>
      <vt:lpstr>Data!開発経費合計181</vt:lpstr>
      <vt:lpstr>Data!開発経費合計182</vt:lpstr>
      <vt:lpstr>Data!雇用</vt:lpstr>
      <vt:lpstr>Data!電話代補助</vt:lpstr>
      <vt:lpstr>Data!Print_Area</vt:lpstr>
      <vt:lpstr>Data!Print_Titles</vt:lpstr>
      <vt:lpstr>V1!Print_Area</vt:lpstr>
      <vt:lpstr>V1!Print_Titles</vt:lpstr>
      <vt:lpstr>Master!_Fill</vt:lpstr>
      <vt:lpstr>Master!_xlnm._FilterDatabase</vt:lpstr>
      <vt:lpstr>Master!_j102</vt:lpstr>
      <vt:lpstr>Master!_Sort</vt:lpstr>
      <vt:lpstr>Master!HTML_Control</vt:lpstr>
      <vt:lpstr>Master!kissa</vt:lpstr>
      <vt:lpstr>Master!PRINT_AREA_MI</vt:lpstr>
      <vt:lpstr>Master!PRINT_TITLES_MI</vt:lpstr>
      <vt:lpstr>Master!Tgl</vt:lpstr>
      <vt:lpstr>Master!uj</vt:lpstr>
      <vt:lpstr>Master!uji</vt:lpstr>
      <vt:lpstr>Master!ﾃﾞｰﾀ海市</vt:lpstr>
      <vt:lpstr>Master!ルピア</vt:lpstr>
      <vt:lpstr>Master!出発</vt:lpstr>
      <vt:lpstr>Master!到着</vt:lpstr>
      <vt:lpstr>Master!印刷領域</vt:lpstr>
      <vt:lpstr>Master!品種別実績</vt:lpstr>
      <vt:lpstr>Master!商品群</vt:lpstr>
      <vt:lpstr>Master!実績レート</vt:lpstr>
      <vt:lpstr>Master!担当者</vt:lpstr>
      <vt:lpstr>Master!日付</vt:lpstr>
      <vt:lpstr>Master!日数</vt:lpstr>
      <vt:lpstr>Master!決算期区分</vt:lpstr>
      <vt:lpstr>Master!生産拠点</vt:lpstr>
      <vt:lpstr>Master!立上年</vt:lpstr>
      <vt:lpstr>Master!立上月</vt:lpstr>
      <vt:lpstr>Master!補助部門比率</vt:lpstr>
      <vt:lpstr>Master!Print_Area</vt:lpstr>
      <vt:lpstr>Master!Print_Titles</vt:lpstr>
      <vt:lpstr>Master_Section!Print_Area</vt:lpstr>
      <vt:lpstr>Master_Section!Print_Titles</vt:lpstr>
      <vt:lpstr>COA!__j102</vt:lpstr>
      <vt:lpstr>COA!_Fill</vt:lpstr>
      <vt:lpstr>COA!_xlnm._FilterDatabase</vt:lpstr>
      <vt:lpstr>COA!_j102</vt:lpstr>
      <vt:lpstr>COA!_Key1</vt:lpstr>
      <vt:lpstr>COA!_Sort</vt:lpstr>
      <vt:lpstr>COA!aa</vt:lpstr>
      <vt:lpstr>COA!AB</vt:lpstr>
      <vt:lpstr>COA!ai</vt:lpstr>
      <vt:lpstr>COA!as</vt:lpstr>
      <vt:lpstr>COA!assit</vt:lpstr>
      <vt:lpstr>COA!b</vt:lpstr>
      <vt:lpstr>COA!BC</vt:lpstr>
      <vt:lpstr>COA!BI</vt:lpstr>
      <vt:lpstr>COA!BO</vt:lpstr>
      <vt:lpstr>COA!cc</vt:lpstr>
      <vt:lpstr>COA!ccc</vt:lpstr>
      <vt:lpstr>COA!CH</vt:lpstr>
      <vt:lpstr>COA!CI</vt:lpstr>
      <vt:lpstr>COA!Ck_for</vt:lpstr>
      <vt:lpstr>COA!Ck_in</vt:lpstr>
      <vt:lpstr>COA!Ck_out</vt:lpstr>
      <vt:lpstr>COA!d</vt:lpstr>
      <vt:lpstr>COA!_xlnm.Database</vt:lpstr>
      <vt:lpstr>COA!dd</vt:lpstr>
      <vt:lpstr>COA!ddd</vt:lpstr>
      <vt:lpstr>COA!DF</vt:lpstr>
      <vt:lpstr>COA!e</vt:lpstr>
      <vt:lpstr>COA!ee</vt:lpstr>
      <vt:lpstr>COA!eXCRATE</vt:lpstr>
      <vt:lpstr>COA!exrate</vt:lpstr>
      <vt:lpstr>COA!F</vt:lpstr>
      <vt:lpstr>COA!fcb</vt:lpstr>
      <vt:lpstr>COA!FG</vt:lpstr>
      <vt:lpstr>COA!g</vt:lpstr>
      <vt:lpstr>COA!gg</vt:lpstr>
      <vt:lpstr>COA!HF</vt:lpstr>
      <vt:lpstr>COA!HTML_Control</vt:lpstr>
      <vt:lpstr>COA!kissa</vt:lpstr>
      <vt:lpstr>COA!kissakei</vt:lpstr>
      <vt:lpstr>COA!kk</vt:lpstr>
      <vt:lpstr>COA!kkk</vt:lpstr>
      <vt:lpstr>COA!kkkk</vt:lpstr>
      <vt:lpstr>COA!l</vt:lpstr>
      <vt:lpstr>COA!L_01</vt:lpstr>
      <vt:lpstr>COA!LIA</vt:lpstr>
      <vt:lpstr>COA!LILI</vt:lpstr>
      <vt:lpstr>COA!LINA</vt:lpstr>
      <vt:lpstr>COA!m</vt:lpstr>
      <vt:lpstr>COA!Manufacturing</vt:lpstr>
      <vt:lpstr>COA!MR</vt:lpstr>
      <vt:lpstr>COA!nittk</vt:lpstr>
      <vt:lpstr>COA!nittk_ok</vt:lpstr>
      <vt:lpstr>COA!nittoukei</vt:lpstr>
      <vt:lpstr>COA!PRINT_AREA_MI</vt:lpstr>
      <vt:lpstr>COA!PRINT_TITLES_MI</vt:lpstr>
      <vt:lpstr>COA!ry</vt:lpstr>
      <vt:lpstr>COA!ryohikei</vt:lpstr>
      <vt:lpstr>COA!S</vt:lpstr>
      <vt:lpstr>COA!sais</vt:lpstr>
      <vt:lpstr>COA!saisyuu</vt:lpstr>
      <vt:lpstr>COA!se</vt:lpstr>
      <vt:lpstr>COA!sett</vt:lpstr>
      <vt:lpstr>COA!setta</vt:lpstr>
      <vt:lpstr>COA!settaihikei</vt:lpstr>
      <vt:lpstr>COA!settaikousai</vt:lpstr>
      <vt:lpstr>COA!SEX</vt:lpstr>
      <vt:lpstr>COA!shu</vt:lpstr>
      <vt:lpstr>COA!shukuhakukei</vt:lpstr>
      <vt:lpstr>COA!so</vt:lpstr>
      <vt:lpstr>COA!son</vt:lpstr>
      <vt:lpstr>COA!sonot</vt:lpstr>
      <vt:lpstr>COA!sonotakei</vt:lpstr>
      <vt:lpstr>COA!ST</vt:lpstr>
      <vt:lpstr>COA!stt</vt:lpstr>
      <vt:lpstr>COA!SX</vt:lpstr>
      <vt:lpstr>COA!sxx</vt:lpstr>
      <vt:lpstr>COA!Tgl</vt:lpstr>
      <vt:lpstr>COA!tgll</vt:lpstr>
      <vt:lpstr>COA!tr</vt:lpstr>
      <vt:lpstr>COA!train</vt:lpstr>
      <vt:lpstr>COA!TRIAL</vt:lpstr>
      <vt:lpstr>COA!tttttttttttt</vt:lpstr>
      <vt:lpstr>COA!tu</vt:lpstr>
      <vt:lpstr>COA!tuusinhikei</vt:lpstr>
      <vt:lpstr>COA!u</vt:lpstr>
      <vt:lpstr>COA!uj</vt:lpstr>
      <vt:lpstr>COA!uji</vt:lpstr>
      <vt:lpstr>COA!UT</vt:lpstr>
      <vt:lpstr>COA!uu</vt:lpstr>
      <vt:lpstr>COA!ww</vt:lpstr>
      <vt:lpstr>COA!ﾃﾞｰﾀ海市</vt:lpstr>
      <vt:lpstr>COA!ルピア</vt:lpstr>
      <vt:lpstr>COA!予算ﾚｰﾄ</vt:lpstr>
      <vt:lpstr>COA!今</vt:lpstr>
      <vt:lpstr>COA!仲介</vt:lpstr>
      <vt:lpstr>COA!元</vt:lpstr>
      <vt:lpstr>COA!円</vt:lpstr>
      <vt:lpstr>COA!円vsドル_レート</vt:lpstr>
      <vt:lpstr>COA!出発</vt:lpstr>
      <vt:lpstr>COA!到着</vt:lpstr>
      <vt:lpstr>COA!印刷領域</vt:lpstr>
      <vt:lpstr>COA!品種別実績</vt:lpstr>
      <vt:lpstr>COA!商品群</vt:lpstr>
      <vt:lpstr>COA!実績レート</vt:lpstr>
      <vt:lpstr>COA!対象日数</vt:lpstr>
      <vt:lpstr>COA!技術開発経費181</vt:lpstr>
      <vt:lpstr>COA!技術開発経費182</vt:lpstr>
      <vt:lpstr>COA!担当者</vt:lpstr>
      <vt:lpstr>COA!日付</vt:lpstr>
      <vt:lpstr>COA!日数</vt:lpstr>
      <vt:lpstr>COA!期</vt:lpstr>
      <vt:lpstr>COA!決算期区分</vt:lpstr>
      <vt:lpstr>COA!為替</vt:lpstr>
      <vt:lpstr>COA!為替レートEU</vt:lpstr>
      <vt:lpstr>COA!為替レートUS</vt:lpstr>
      <vt:lpstr>COA!生産拠点</vt:lpstr>
      <vt:lpstr>COA!立上年</vt:lpstr>
      <vt:lpstr>COA!立上月</vt:lpstr>
      <vt:lpstr>COA!補助部門比率</vt:lpstr>
      <vt:lpstr>COA!補助部門費_設計以外181</vt:lpstr>
      <vt:lpstr>COA!補助部門費_設計以外182</vt:lpstr>
      <vt:lpstr>COA!販管費率</vt:lpstr>
      <vt:lpstr>COA!輸入</vt:lpstr>
      <vt:lpstr>COA!配布先</vt:lpstr>
      <vt:lpstr>COA!開発経費合計181</vt:lpstr>
      <vt:lpstr>COA!開発経費合計182</vt:lpstr>
      <vt:lpstr>COA!雇用</vt:lpstr>
      <vt:lpstr>COA!電話代補助</vt:lpstr>
      <vt:lpstr>COA!Print_Area</vt:lpstr>
      <vt:lpstr>COA!Print_Titles</vt:lpstr>
      <vt:lpstr>Password!Print_Area</vt:lpstr>
      <vt:lpstr>Password!Print_Titles</vt:lpstr>
      <vt:lpstr>Priority!__j102</vt:lpstr>
      <vt:lpstr>Priority!_xlnm._FilterDatabase</vt:lpstr>
      <vt:lpstr>Priority!_j102</vt:lpstr>
      <vt:lpstr>Priority!_Sort</vt:lpstr>
      <vt:lpstr>Priority!HTML_Control</vt:lpstr>
      <vt:lpstr>Priority!kissa</vt:lpstr>
      <vt:lpstr>Priority!PRINT_AREA_MI</vt:lpstr>
      <vt:lpstr>Priority!PRINT_TITLES_MI</vt:lpstr>
      <vt:lpstr>Priority!Tgl</vt:lpstr>
      <vt:lpstr>Priority!uj</vt:lpstr>
      <vt:lpstr>Priority!uji</vt:lpstr>
      <vt:lpstr>Priority!ﾃﾞｰﾀ海市</vt:lpstr>
      <vt:lpstr>Priority!ルピア</vt:lpstr>
      <vt:lpstr>Priority!出発</vt:lpstr>
      <vt:lpstr>Priority!到着</vt:lpstr>
      <vt:lpstr>Priority!印刷領域</vt:lpstr>
      <vt:lpstr>Priority!品種別実績</vt:lpstr>
      <vt:lpstr>Priority!商品群</vt:lpstr>
      <vt:lpstr>Priority!実績レート</vt:lpstr>
      <vt:lpstr>Priority!担当者</vt:lpstr>
      <vt:lpstr>Priority!日付</vt:lpstr>
      <vt:lpstr>Priority!日数</vt:lpstr>
      <vt:lpstr>Priority!決算期区分</vt:lpstr>
      <vt:lpstr>Priority!生産拠点</vt:lpstr>
      <vt:lpstr>Priority!立上年</vt:lpstr>
      <vt:lpstr>Priority!立上月</vt:lpstr>
      <vt:lpstr>Priority!補助部門比率</vt:lpstr>
      <vt:lpstr>Priority!Print_Area</vt:lpstr>
      <vt:lpstr>Priority!Print_Titles</vt:lpstr>
      <vt:lpstr>__j102</vt:lpstr>
      <vt:lpstr>_1</vt:lpstr>
      <vt:lpstr>_Fill</vt:lpstr>
      <vt:lpstr>_xlnm._FilterDatabase</vt:lpstr>
      <vt:lpstr>_j102</vt:lpstr>
      <vt:lpstr>_Key1</vt:lpstr>
      <vt:lpstr>_Order1</vt:lpstr>
      <vt:lpstr>_Sort</vt:lpstr>
      <vt:lpstr>aa</vt:lpstr>
      <vt:lpstr>AB</vt:lpstr>
      <vt:lpstr>ai</vt:lpstr>
      <vt:lpstr>as</vt:lpstr>
      <vt:lpstr>assit</vt:lpstr>
      <vt:lpstr>b</vt:lpstr>
      <vt:lpstr>BC</vt:lpstr>
      <vt:lpstr>BI</vt:lpstr>
      <vt:lpstr>BO</vt:lpstr>
      <vt:lpstr>cc</vt:lpstr>
      <vt:lpstr>ccc</vt:lpstr>
      <vt:lpstr>CH</vt:lpstr>
      <vt:lpstr>CI</vt:lpstr>
      <vt:lpstr>Ck_for</vt:lpstr>
      <vt:lpstr>Ck_in</vt:lpstr>
      <vt:lpstr>Ck_out</vt:lpstr>
      <vt:lpstr>d</vt:lpstr>
      <vt:lpstr>_xlnm.Database</vt:lpstr>
      <vt:lpstr>dd</vt:lpstr>
      <vt:lpstr>ddd</vt:lpstr>
      <vt:lpstr>DF</vt:lpstr>
      <vt:lpstr>e</vt:lpstr>
      <vt:lpstr>edy</vt:lpstr>
      <vt:lpstr>ee</vt:lpstr>
      <vt:lpstr>eXCRATE</vt:lpstr>
      <vt:lpstr>exrate</vt:lpstr>
      <vt:lpstr>F</vt:lpstr>
      <vt:lpstr>fcb</vt:lpstr>
      <vt:lpstr>FG</vt:lpstr>
      <vt:lpstr>g</vt:lpstr>
      <vt:lpstr>gg</vt:lpstr>
      <vt:lpstr>HF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kissa</vt:lpstr>
      <vt:lpstr>kissakei</vt:lpstr>
      <vt:lpstr>kk</vt:lpstr>
      <vt:lpstr>kkk</vt:lpstr>
      <vt:lpstr>kkkk</vt:lpstr>
      <vt:lpstr>l</vt:lpstr>
      <vt:lpstr>L_01</vt:lpstr>
      <vt:lpstr>LIA</vt:lpstr>
      <vt:lpstr>LILI</vt:lpstr>
      <vt:lpstr>LINA</vt:lpstr>
      <vt:lpstr>m</vt:lpstr>
      <vt:lpstr>Manufacturing</vt:lpstr>
      <vt:lpstr>MR</vt:lpstr>
      <vt:lpstr>nittk</vt:lpstr>
      <vt:lpstr>nittk_ok</vt:lpstr>
      <vt:lpstr>nittoukei</vt:lpstr>
      <vt:lpstr>Plan</vt:lpstr>
      <vt:lpstr>Print_Area_MI</vt:lpstr>
      <vt:lpstr>PRINT_TITLES_MI</vt:lpstr>
      <vt:lpstr>ry</vt:lpstr>
      <vt:lpstr>ryohikei</vt:lpstr>
      <vt:lpstr>S</vt:lpstr>
      <vt:lpstr>sais</vt:lpstr>
      <vt:lpstr>saisyuu</vt:lpstr>
      <vt:lpstr>se</vt:lpstr>
      <vt:lpstr>sett</vt:lpstr>
      <vt:lpstr>setta</vt:lpstr>
      <vt:lpstr>settaihikei</vt:lpstr>
      <vt:lpstr>settaikousai</vt:lpstr>
      <vt:lpstr>SEX</vt:lpstr>
      <vt:lpstr>shu</vt:lpstr>
      <vt:lpstr>shukuhakukei</vt:lpstr>
      <vt:lpstr>so</vt:lpstr>
      <vt:lpstr>son</vt:lpstr>
      <vt:lpstr>sonot</vt:lpstr>
      <vt:lpstr>sonotakei</vt:lpstr>
      <vt:lpstr>ST</vt:lpstr>
      <vt:lpstr>stt</vt:lpstr>
      <vt:lpstr>SX</vt:lpstr>
      <vt:lpstr>sxx</vt:lpstr>
      <vt:lpstr>test</vt:lpstr>
      <vt:lpstr>test2</vt:lpstr>
      <vt:lpstr>test3</vt:lpstr>
      <vt:lpstr>test4</vt:lpstr>
      <vt:lpstr>Tgl</vt:lpstr>
      <vt:lpstr>tgll</vt:lpstr>
      <vt:lpstr>tr</vt:lpstr>
      <vt:lpstr>train</vt:lpstr>
      <vt:lpstr>TRIAL</vt:lpstr>
      <vt:lpstr>tttttttttttt</vt:lpstr>
      <vt:lpstr>tu</vt:lpstr>
      <vt:lpstr>tuusinhikei</vt:lpstr>
      <vt:lpstr>u</vt:lpstr>
      <vt:lpstr>uj</vt:lpstr>
      <vt:lpstr>uji</vt:lpstr>
      <vt:lpstr>UT</vt:lpstr>
      <vt:lpstr>uu</vt:lpstr>
      <vt:lpstr>ww</vt:lpstr>
      <vt:lpstr>ﾃﾞｰﾀセ直販</vt:lpstr>
      <vt:lpstr>ﾃﾞｰﾀプラント</vt:lpstr>
      <vt:lpstr>ﾃﾞｰﾀ海プ</vt:lpstr>
      <vt:lpstr>ﾃﾞｰﾀ海市</vt:lpstr>
      <vt:lpstr>ﾃﾞｰﾀ直販ｾﾝｻｰ</vt:lpstr>
      <vt:lpstr>プラントｺｰﾄﾞ</vt:lpstr>
      <vt:lpstr>リスト</vt:lpstr>
      <vt:lpstr>ルピア</vt:lpstr>
      <vt:lpstr>予算ﾚｰﾄ</vt:lpstr>
      <vt:lpstr>今</vt:lpstr>
      <vt:lpstr>仲介</vt:lpstr>
      <vt:lpstr>元</vt:lpstr>
      <vt:lpstr>円</vt:lpstr>
      <vt:lpstr>円vsドル_レート</vt:lpstr>
      <vt:lpstr>出発</vt:lpstr>
      <vt:lpstr>到着</vt:lpstr>
      <vt:lpstr>印刷領域</vt:lpstr>
      <vt:lpstr>品種別ｺｰﾄﾞ</vt:lpstr>
      <vt:lpstr>品種別出荷ﾃﾞｰﾀ</vt:lpstr>
      <vt:lpstr>品種別出荷ﾃﾞｰﾀ全社</vt:lpstr>
      <vt:lpstr>品種別実績</vt:lpstr>
      <vt:lpstr>商品群</vt:lpstr>
      <vt:lpstr>実績レート</vt:lpstr>
      <vt:lpstr>対象日数</vt:lpstr>
      <vt:lpstr>技術開発経費181</vt:lpstr>
      <vt:lpstr>技術開発経費182</vt:lpstr>
      <vt:lpstr>担当者</vt:lpstr>
      <vt:lpstr>支援まとめ</vt:lpstr>
      <vt:lpstr>日付</vt:lpstr>
      <vt:lpstr>日数</vt:lpstr>
      <vt:lpstr>期</vt:lpstr>
      <vt:lpstr>梱包_Ｍ３</vt:lpstr>
      <vt:lpstr>機能分類リスト</vt:lpstr>
      <vt:lpstr>比率</vt:lpstr>
      <vt:lpstr>決算期区分</vt:lpstr>
      <vt:lpstr>為替</vt:lpstr>
      <vt:lpstr>為替レートEU</vt:lpstr>
      <vt:lpstr>為替レートUS</vt:lpstr>
      <vt:lpstr>生産拠点</vt:lpstr>
      <vt:lpstr>直販ｺｰﾄﾞ</vt:lpstr>
      <vt:lpstr>立上年</vt:lpstr>
      <vt:lpstr>立上月</vt:lpstr>
      <vt:lpstr>補助部門比率</vt:lpstr>
      <vt:lpstr>補助部門費_設計以外181</vt:lpstr>
      <vt:lpstr>補助部門費_設計以外182</vt:lpstr>
      <vt:lpstr>販管費率</vt:lpstr>
      <vt:lpstr>輸入</vt:lpstr>
      <vt:lpstr>配布先</vt:lpstr>
      <vt:lpstr>開発経費合計181</vt:lpstr>
      <vt:lpstr>開発経費合計182</vt:lpstr>
      <vt:lpstr>雇用</vt:lpstr>
      <vt:lpstr>電話代補助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Wiyani Utari</dc:creator>
  <lastModifiedBy>User 40 NGKBUSI</lastModifiedBy>
  <dcterms:created xsi:type="dcterms:W3CDTF">2020-10-12T08:41:42.0000000Z</dcterms:created>
  <dcterms:modified xsi:type="dcterms:W3CDTF">2024-09-26T09:35:54.0000000Z</dcterms:modified>
</coreProperties>
</file>